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hil Singh\Desktop\"/>
    </mc:Choice>
  </mc:AlternateContent>
  <xr:revisionPtr revIDLastSave="0" documentId="13_ncr:1_{B61390DF-A8B0-4A8F-B6A1-10DDCC5F5510}" xr6:coauthVersionLast="47" xr6:coauthVersionMax="47" xr10:uidLastSave="{00000000-0000-0000-0000-000000000000}"/>
  <bookViews>
    <workbookView xWindow="-110" yWindow="-110" windowWidth="19420" windowHeight="10300" firstSheet="2" activeTab="6" xr2:uid="{83EEFBA7-39C4-4267-A8D7-511C6A7D9FAE}"/>
  </bookViews>
  <sheets>
    <sheet name="Sheet1" sheetId="2" r:id="rId1"/>
    <sheet name="Sheet2" sheetId="3" r:id="rId2"/>
    <sheet name="NHS_A&amp;E" sheetId="1" r:id="rId3"/>
    <sheet name="PIVOT TABLES" sheetId="4" r:id="rId4"/>
    <sheet name="CHART DATA" sheetId="5" r:id="rId5"/>
    <sheet name="DASHBOARD" sheetId="6" r:id="rId6"/>
    <sheet name="METHODOLOGY" sheetId="7" r:id="rId7"/>
  </sheets>
  <definedNames>
    <definedName name="ExternalData_1" localSheetId="2" hidden="1">'NHS_A&amp;E'!$A$1:$M$2386</definedName>
    <definedName name="Slicer_Seas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0" i="5" l="1"/>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P2" i="1"/>
  <c r="E3" i="3"/>
  <c r="C5" i="2"/>
  <c r="C6" i="2"/>
  <c r="C7" i="2"/>
  <c r="C8" i="2"/>
  <c r="C9" i="2"/>
  <c r="C10" i="2"/>
  <c r="C11" i="2"/>
  <c r="C12" i="2"/>
  <c r="C13" i="2"/>
  <c r="C14" i="2"/>
  <c r="C15" i="2"/>
  <c r="C4"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4AEC41-158F-4CF5-BFA6-78CC0619FE9F}" keepAlive="1" name="Query - NHS_A&amp;E" description="Connection to the 'NHS_A&amp;E' query in the workbook." type="5" refreshedVersion="8" background="1" saveData="1">
    <dbPr connection="Provider=Microsoft.Mashup.OleDb.1;Data Source=$Workbook$;Location=NHS_A&amp;E;Extended Properties=&quot;&quot;" command="SELECT * FROM [NHS_A&amp;E]"/>
  </connection>
  <connection id="2" xr16:uid="{F109DD24-D8BD-4F6F-965A-980824125223}"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4C169257-B4CB-4D6B-A9C7-0E647C8B7BC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6CC06AE-D7A2-42C7-AF9E-0D07AE168C5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8D488C8-0D67-4E3E-93F8-55A369478483}"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<sst xmlns="http://schemas.openxmlformats.org/spreadsheetml/2006/main" count="14932" uniqueCount="578">
  <si>
    <t>Period</t>
  </si>
  <si>
    <t>Org_Code</t>
  </si>
  <si>
    <t>Region</t>
  </si>
  <si>
    <t>Trust_Name</t>
  </si>
  <si>
    <t>T1_Attendances</t>
  </si>
  <si>
    <t>Other_Attendances</t>
  </si>
  <si>
    <t>T1_Over4hrs</t>
  </si>
  <si>
    <t>Others_Over4hrs</t>
  </si>
  <si>
    <t>Wait_4to12hr</t>
  </si>
  <si>
    <t>Wait_12hr_plus</t>
  </si>
  <si>
    <t>Month_Date</t>
  </si>
  <si>
    <t>Quarter</t>
  </si>
  <si>
    <t>Season</t>
  </si>
  <si>
    <t>April-2025</t>
  </si>
  <si>
    <t>NDJ</t>
  </si>
  <si>
    <t>NHS ENGLAND SOUTH EAST</t>
  </si>
  <si>
    <t>FIRST COMMUNITY HEALTH AND CARE CIC</t>
  </si>
  <si>
    <t>Q1</t>
  </si>
  <si>
    <t>Spring</t>
  </si>
  <si>
    <t>RD1</t>
  </si>
  <si>
    <t>NHS ENGLAND SOUTH WEST</t>
  </si>
  <si>
    <t>ROYAL UNITED HOSPITALS BATH NHS FOUNDATION TRUST</t>
  </si>
  <si>
    <t>RDE</t>
  </si>
  <si>
    <t>NHS ENGLAND EAST OF ENGLAND</t>
  </si>
  <si>
    <t>EAST SUFFOLK AND NORTH ESSEX NHS FOUNDATION TRUST</t>
  </si>
  <si>
    <t>RDR</t>
  </si>
  <si>
    <t>SUSSEX COMMUNITY NHS FOUNDATION TRUST</t>
  </si>
  <si>
    <t>REF</t>
  </si>
  <si>
    <t>ROYAL CORNWALL HOSPITALS NHS TRUST</t>
  </si>
  <si>
    <t>REM</t>
  </si>
  <si>
    <t>NHS ENGLAND NORTH WEST</t>
  </si>
  <si>
    <t>LIVERPOOL UNIVERSITY HOSPITALS NHS FOUNDATION TRUST</t>
  </si>
  <si>
    <t>RET</t>
  </si>
  <si>
    <t>THE WALTON CENTRE NHS FOUNDATION TRUST</t>
  </si>
  <si>
    <t>RF4</t>
  </si>
  <si>
    <t>NHS ENGLAND LONDON</t>
  </si>
  <si>
    <t>BARKING, HAVERING AND REDBRIDGE UNIVERSITY HOSPITALS NHS TRUST</t>
  </si>
  <si>
    <t>RJ2</t>
  </si>
  <si>
    <t>LEWISHAM AND GREENWICH NHS TRUST</t>
  </si>
  <si>
    <t>RJE</t>
  </si>
  <si>
    <t>NHS ENGLAND MIDLANDS</t>
  </si>
  <si>
    <t>UNIVERSITY HOSPITALS OF NORTH MIDLANDS NHS TRUST</t>
  </si>
  <si>
    <t>RK5</t>
  </si>
  <si>
    <t>SHERWOOD FOREST HOSPITALS NHS FOUNDATION TRUST</t>
  </si>
  <si>
    <t>RKB</t>
  </si>
  <si>
    <t>UNIVERSITY HOSPITALS COVENTRY AND WARWICKSHIRE NHS TRUST</t>
  </si>
  <si>
    <t>RL1</t>
  </si>
  <si>
    <t>THE ROBERT JONES AND AGNES HUNT ORTHOPAEDIC HOSPITAL NHS FOUNDATION TRUST</t>
  </si>
  <si>
    <t>RLT</t>
  </si>
  <si>
    <t>GEORGE ELIOT HOSPITAL NHS TRUST</t>
  </si>
  <si>
    <t>RN7</t>
  </si>
  <si>
    <t>DARTFORD AND GRAVESHAM NHS TRUST</t>
  </si>
  <si>
    <t>RNS</t>
  </si>
  <si>
    <t>NORTHAMPTON GENERAL HOSPITAL NHS TRUST</t>
  </si>
  <si>
    <t>RNU</t>
  </si>
  <si>
    <t>OXFORD HEALTH NHS FOUNDATION TRUST</t>
  </si>
  <si>
    <t>RNZ</t>
  </si>
  <si>
    <t>SALISBURY NHS FOUNDATION TRUST</t>
  </si>
  <si>
    <t>RQ3</t>
  </si>
  <si>
    <t>BIRMINGHAM WOMEN'S AND CHILDREN'S NHS FOUNDATION TRUST</t>
  </si>
  <si>
    <t>RQM</t>
  </si>
  <si>
    <t>CHELSEA AND WESTMINSTER HOSPITAL NHS FOUNDATION TRUST</t>
  </si>
  <si>
    <t>RR8</t>
  </si>
  <si>
    <t>NHS ENGLAND NORTH EAST AND YORKSHIRE</t>
  </si>
  <si>
    <t>LEEDS TEACHING HOSPITALS NHS TRUST</t>
  </si>
  <si>
    <t>RRF</t>
  </si>
  <si>
    <t>WRIGHTINGTON, WIGAN AND LEIGH NHS FOUNDATION TRUST</t>
  </si>
  <si>
    <t>RBV</t>
  </si>
  <si>
    <t>THE CHRISTIE NHS FOUNDATION TRUST</t>
  </si>
  <si>
    <t>RTE</t>
  </si>
  <si>
    <t>GLOUCESTERSHIRE HOSPITALS NHS FOUNDATION TRUST</t>
  </si>
  <si>
    <t>RAN</t>
  </si>
  <si>
    <t>ROYAL NATIONAL ORTHOPAEDIC HOSPITAL NHS TRUST</t>
  </si>
  <si>
    <t>R1F</t>
  </si>
  <si>
    <t>ISLE OF WIGHT NHS TRUST</t>
  </si>
  <si>
    <t>NNF09</t>
  </si>
  <si>
    <t>BRANSHOLME HEALTH CENTRE</t>
  </si>
  <si>
    <t>NNF16</t>
  </si>
  <si>
    <t>BRIDLINGTON HOSPITAL</t>
  </si>
  <si>
    <t>NNF94</t>
  </si>
  <si>
    <t>EAST RIDING COMMUNITY HOSPITAL</t>
  </si>
  <si>
    <t>NNFA7</t>
  </si>
  <si>
    <t>GOOLE &amp; DISTRICT HOSPITAL</t>
  </si>
  <si>
    <t>R1K</t>
  </si>
  <si>
    <t>LONDON NORTH WEST UNIVERSITY HEALTHCARE NHS TRUST</t>
  </si>
  <si>
    <t>RAE</t>
  </si>
  <si>
    <t>BRADFORD TEACHING HOSPITALS NHS FOUNDATION TRUST</t>
  </si>
  <si>
    <t>RAJ</t>
  </si>
  <si>
    <t>MID AND SOUTH ESSEX NHS FOUNDATION TRUST</t>
  </si>
  <si>
    <t>RAL</t>
  </si>
  <si>
    <t>ROYAL FREE LONDON NHS FOUNDATION TRUST</t>
  </si>
  <si>
    <t>RBN</t>
  </si>
  <si>
    <t>MERSEY AND WEST LANCASHIRE TEACHING HOSPITALS NHS TRUST</t>
  </si>
  <si>
    <t>RCB</t>
  </si>
  <si>
    <t>YORK AND SCARBOROUGH TEACHING HOSPITALS NHS FOUNDATION TRUST</t>
  </si>
  <si>
    <t>RD8</t>
  </si>
  <si>
    <t>MILTON KEYNES UNIVERSITY HOSPITAL NHS FOUNDATION TRUST</t>
  </si>
  <si>
    <t>RDU</t>
  </si>
  <si>
    <t>FRIMLEY HEALTH NHS FOUNDATION TRUST</t>
  </si>
  <si>
    <t>REP</t>
  </si>
  <si>
    <t>LIVERPOOL WOMEN'S NHS FOUNDATION TRUST</t>
  </si>
  <si>
    <t>RFR</t>
  </si>
  <si>
    <t>THE ROTHERHAM NHS FOUNDATION TRUST</t>
  </si>
  <si>
    <t>RH5</t>
  </si>
  <si>
    <t>SOMERSET NHS FOUNDATION TRUST</t>
  </si>
  <si>
    <t>RHM</t>
  </si>
  <si>
    <t>UNIVERSITY HOSPITAL SOUTHAMPTON NHS FOUNDATION TRUST</t>
  </si>
  <si>
    <t>RHQ</t>
  </si>
  <si>
    <t>SHEFFIELD TEACHING HOSPITALS NHS FOUNDATION TRUST</t>
  </si>
  <si>
    <t>RJ1</t>
  </si>
  <si>
    <t>GUY'S AND ST THOMAS' NHS FOUNDATION TRUST</t>
  </si>
  <si>
    <t>C83023</t>
  </si>
  <si>
    <t>SLEAFORD MEDICAL GROUP</t>
  </si>
  <si>
    <t>NR3</t>
  </si>
  <si>
    <t>NOTTINGHAM CITYCARE PARTNERSHIP</t>
  </si>
  <si>
    <t>R1D</t>
  </si>
  <si>
    <t>SHROPSHIRE COMMUNITY HEALTH NHS TRUST</t>
  </si>
  <si>
    <t>RA2</t>
  </si>
  <si>
    <t>ROYAL SURREY COUNTY HOSPITAL NHS FOUNDATION TRUST</t>
  </si>
  <si>
    <t>RXQ</t>
  </si>
  <si>
    <t>BUCKINGHAMSHIRE HEALTHCARE NHS TRUST</t>
  </si>
  <si>
    <t>RTK</t>
  </si>
  <si>
    <t>ASHFORD AND ST PETER'S HOSPITALS NHS FOUNDATION TRUST</t>
  </si>
  <si>
    <t>RVV</t>
  </si>
  <si>
    <t>EAST KENT HOSPITALS UNIVERSITY NHS FOUNDATION TRUST</t>
  </si>
  <si>
    <t>RYX</t>
  </si>
  <si>
    <t>CENTRAL LONDON COMMUNITY HEALTHCARE NHS TRUST</t>
  </si>
  <si>
    <t>Y02676</t>
  </si>
  <si>
    <t>BRIGHTON STATION HEALTH CENTRE</t>
  </si>
  <si>
    <t>RP5</t>
  </si>
  <si>
    <t>DONCASTER AND BASSETLAW TEACHING HOSPITALS NHS FOUNDATION TRUST</t>
  </si>
  <si>
    <t>RTG</t>
  </si>
  <si>
    <t>UNIVERSITY HOSPITALS OF DERBY AND BURTON NHS FOUNDATION TRUST</t>
  </si>
  <si>
    <t>RWX</t>
  </si>
  <si>
    <t>BERKSHIRE HEALTHCARE NHS FOUNDATION TRUST</t>
  </si>
  <si>
    <t>NNJ07</t>
  </si>
  <si>
    <t>LOUGHBOROUGH URGENT CARE CENTRE</t>
  </si>
  <si>
    <t>NNJ0H</t>
  </si>
  <si>
    <t>LLR EA - THE MERLYN VAZ HEALTH &amp; SOCIAL CARE CENTRE</t>
  </si>
  <si>
    <t>NNJ12</t>
  </si>
  <si>
    <t>MARKET HARBOROUGH</t>
  </si>
  <si>
    <t>NNJ13</t>
  </si>
  <si>
    <t>MELTON MOWBRAY</t>
  </si>
  <si>
    <t>NNJ14</t>
  </si>
  <si>
    <t>OADBY</t>
  </si>
  <si>
    <t>NNJ15</t>
  </si>
  <si>
    <t>OAKHAM</t>
  </si>
  <si>
    <t>NNJ</t>
  </si>
  <si>
    <t>DHU HEALTH CARE C.I.C</t>
  </si>
  <si>
    <t>RHU</t>
  </si>
  <si>
    <t>PORTSMOUTH HOSPITALS UNIVERSITY NHS TRUST</t>
  </si>
  <si>
    <t>RM3</t>
  </si>
  <si>
    <t>NORTHERN CARE ALLIANCE NHS FOUNDATION TRUST</t>
  </si>
  <si>
    <t>RXN</t>
  </si>
  <si>
    <t>LANCASHIRE TEACHING HOSPITALS NHS FOUNDATION TRUST</t>
  </si>
  <si>
    <t>RHW</t>
  </si>
  <si>
    <t>ROYAL BERKSHIRE NHS FOUNDATION TRUST</t>
  </si>
  <si>
    <t>RRK</t>
  </si>
  <si>
    <t>UNIVERSITY HOSPITALS BIRMINGHAM NHS FOUNDATION TRUST</t>
  </si>
  <si>
    <t>RFS</t>
  </si>
  <si>
    <t>CHESTERFIELD ROYAL HOSPITAL NHS FOUNDATION TRUST</t>
  </si>
  <si>
    <t>RBT</t>
  </si>
  <si>
    <t>MID CHESHIRE HOSPITALS NHS FOUNDATION TRUST</t>
  </si>
  <si>
    <t>AD913</t>
  </si>
  <si>
    <t>BECKENHAM BEACON UCC</t>
  </si>
  <si>
    <t>RTD</t>
  </si>
  <si>
    <t>THE NEWCASTLE UPON TYNE HOSPITALS NHS FOUNDATION TRUST</t>
  </si>
  <si>
    <t>RMC</t>
  </si>
  <si>
    <t>BOLTON NHS FOUNDATION TRUST</t>
  </si>
  <si>
    <t>RVJ</t>
  </si>
  <si>
    <t>NORTH BRISTOL NHS TRUST</t>
  </si>
  <si>
    <t>RVR</t>
  </si>
  <si>
    <t>EPSOM AND ST HELIER UNIVERSITY HOSPITALS NHS TRUST</t>
  </si>
  <si>
    <t>RM1</t>
  </si>
  <si>
    <t>NORFOLK AND NORWICH UNIVERSITY HOSPITALS NHS FOUNDATION TRUST</t>
  </si>
  <si>
    <t>RVW</t>
  </si>
  <si>
    <t>NORTH TEES AND HARTLEPOOL NHS FOUNDATION TRUST</t>
  </si>
  <si>
    <t>RWA</t>
  </si>
  <si>
    <t>HULL UNIVERSITY TEACHING HOSPITALS NHS TRUST</t>
  </si>
  <si>
    <t>RWD</t>
  </si>
  <si>
    <t>UNITED LINCOLNSHIRE TEACHING HOSPITALS NHS TRUST</t>
  </si>
  <si>
    <t>RWE</t>
  </si>
  <si>
    <t>UNIVERSITY HOSPITALS OF LEICESTER NHS TRUST</t>
  </si>
  <si>
    <t>RWG</t>
  </si>
  <si>
    <t>WEST HERTFORDSHIRE TEACHING HOSPITALS NHS TRUST</t>
  </si>
  <si>
    <t>RWH</t>
  </si>
  <si>
    <t>EAST AND NORTH HERTFORDSHIRE NHS TRUST</t>
  </si>
  <si>
    <t>RWJ</t>
  </si>
  <si>
    <t>STOCKPORT NHS FOUNDATION TRUST</t>
  </si>
  <si>
    <t>RWW</t>
  </si>
  <si>
    <t>WARRINGTON AND HALTON TEACHING HOSPITALS NHS FOUNDATION TRUST</t>
  </si>
  <si>
    <t>RXC</t>
  </si>
  <si>
    <t>EAST SUSSEX HEALTHCARE NHS TRUST</t>
  </si>
  <si>
    <t>RXG</t>
  </si>
  <si>
    <t>SOUTH WEST YORKSHIRE PARTNERSHIP NHS FOUNDATION TRUST</t>
  </si>
  <si>
    <t>RXL</t>
  </si>
  <si>
    <t>BLACKPOOL TEACHING HOSPITALS NHS FOUNDATION TRUST</t>
  </si>
  <si>
    <t>RXP</t>
  </si>
  <si>
    <t>COUNTY DURHAM AND DARLINGTON NHS FOUNDATION TRUST</t>
  </si>
  <si>
    <t>RXW</t>
  </si>
  <si>
    <t>THE SHREWSBURY AND TELFORD HOSPITAL NHS TRUST</t>
  </si>
  <si>
    <t>RYF</t>
  </si>
  <si>
    <t>SOUTH WESTERN AMBULANCE SERVICE NHS FOUNDATION TRUST</t>
  </si>
  <si>
    <t>RYG</t>
  </si>
  <si>
    <t>COVENTRY AND WARWICKSHIRE PARTNERSHIP NHS TRUST</t>
  </si>
  <si>
    <t>RYJ</t>
  </si>
  <si>
    <t>IMPERIAL COLLEGE HEALTHCARE NHS TRUST</t>
  </si>
  <si>
    <t>RYR</t>
  </si>
  <si>
    <t>UNIVERSITY HOSPITALS SUSSEX NHS FOUNDATION TRUST</t>
  </si>
  <si>
    <t>R1H</t>
  </si>
  <si>
    <t>BARTS HEALTH NHS TRUST</t>
  </si>
  <si>
    <t>RBL</t>
  </si>
  <si>
    <t>WIRRAL UNIVERSITY TEACHING HOSPITAL NHS FOUNDATION TRUST</t>
  </si>
  <si>
    <t>RGT</t>
  </si>
  <si>
    <t>CAMBRIDGE UNIVERSITY HOSPITALS NHS FOUNDATION TRUST</t>
  </si>
  <si>
    <t>RJ7</t>
  </si>
  <si>
    <t>ST GEORGE'S UNIVERSITY HOSPITALS NHS FOUNDATION TRUST</t>
  </si>
  <si>
    <t>RN5</t>
  </si>
  <si>
    <t>HAMPSHIRE HOSPITALS NHS FOUNDATION TRUST</t>
  </si>
  <si>
    <t>RTX</t>
  </si>
  <si>
    <t>UNIVERSITY HOSPITALS OF MORECAMBE BAY NHS FOUNDATION TRUST</t>
  </si>
  <si>
    <t>RTF</t>
  </si>
  <si>
    <t>NORTHUMBRIA HEALTHCARE NHS FOUNDATION TRUST</t>
  </si>
  <si>
    <t>RTH</t>
  </si>
  <si>
    <t>OXFORD UNIVERSITY HOSPITALS NHS FOUNDATION TRUST</t>
  </si>
  <si>
    <t>Y07709</t>
  </si>
  <si>
    <t>READING URGENT CARE CENTRE</t>
  </si>
  <si>
    <t>NV693</t>
  </si>
  <si>
    <t>ROSSENDALE MIU &amp; OOH</t>
  </si>
  <si>
    <t>RCX</t>
  </si>
  <si>
    <t>THE QUEEN ELIZABETH HOSPITAL, KING'S LYNN, NHS FOUNDATION TRUST</t>
  </si>
  <si>
    <t>RFF</t>
  </si>
  <si>
    <t>BARNSLEY HOSPITAL NHS FOUNDATION TRUST</t>
  </si>
  <si>
    <t>RJR</t>
  </si>
  <si>
    <t>COUNTESS OF CHESTER HOSPITAL NHS FOUNDATION TRUST</t>
  </si>
  <si>
    <t>RQX</t>
  </si>
  <si>
    <t>HOMERTON HEALTHCARE NHS FOUNDATION TRUST</t>
  </si>
  <si>
    <t>RXR</t>
  </si>
  <si>
    <t>EAST LANCASHIRE HOSPITALS NHS TRUST</t>
  </si>
  <si>
    <t>Y03218</t>
  </si>
  <si>
    <t>THE PINN UNREGISTERED WIC</t>
  </si>
  <si>
    <t>8J094</t>
  </si>
  <si>
    <t>BADGER LTD</t>
  </si>
  <si>
    <t>DT301</t>
  </si>
  <si>
    <t>HERTS URGENT CARE (ASCOTS LANE)</t>
  </si>
  <si>
    <t>NQT51</t>
  </si>
  <si>
    <t>STATION PLAZA HEALTH CENTRE</t>
  </si>
  <si>
    <t>NTPAD</t>
  </si>
  <si>
    <t>PRACTICE PLUS GROUP SURGICAL CENTRE - ST MARYS PORTSMOUTH</t>
  </si>
  <si>
    <t>RA9</t>
  </si>
  <si>
    <t>TORBAY AND SOUTH DEVON NHS FOUNDATION TRUST</t>
  </si>
  <si>
    <t>RAX</t>
  </si>
  <si>
    <t>KINGSTON AND RICHMOND NHS FOUNDATION TRUST</t>
  </si>
  <si>
    <t>RR7</t>
  </si>
  <si>
    <t>GATESHEAD HEALTH NHS FOUNDATION TRUST</t>
  </si>
  <si>
    <t>Y00751</t>
  </si>
  <si>
    <t>EAST BERKS PRIMARY CARE OOH(WAM)</t>
  </si>
  <si>
    <t>Y02147</t>
  </si>
  <si>
    <t>URGENT CARE CENTRE (QMS)</t>
  </si>
  <si>
    <t>Y03007</t>
  </si>
  <si>
    <t>ERDINGTON GP HEALTH &amp; WELLBEING WIC</t>
  </si>
  <si>
    <t>ACH01</t>
  </si>
  <si>
    <t>WHITSTABLE MEDICAL PRACTICE</t>
  </si>
  <si>
    <t>G0Q0L</t>
  </si>
  <si>
    <t>BARKING HOSPITAL UTC</t>
  </si>
  <si>
    <t>K6K0R</t>
  </si>
  <si>
    <t>HAROLD WOOD POLYCLINIC UTC</t>
  </si>
  <si>
    <t>RYY</t>
  </si>
  <si>
    <t>KENT COMMUNITY HEALTH NHS FOUNDATION TRUST</t>
  </si>
  <si>
    <t>RLQ</t>
  </si>
  <si>
    <t>WYE VALLEY NHS TRUST</t>
  </si>
  <si>
    <t>RW4</t>
  </si>
  <si>
    <t>MERSEY CARE NHS FOUNDATION TRUST</t>
  </si>
  <si>
    <t>RJN</t>
  </si>
  <si>
    <t>EAST CHESHIRE NHS TRUST</t>
  </si>
  <si>
    <t>RTQ</t>
  </si>
  <si>
    <t>GLOUCESTERSHIRE HEALTH AND CARE NHS FOUNDATION TRUST</t>
  </si>
  <si>
    <t>NTV0B</t>
  </si>
  <si>
    <t>ASHFORD WALK-IN-CENTRE</t>
  </si>
  <si>
    <t>NTV0W</t>
  </si>
  <si>
    <t>WOKING WALK IN CENTRE</t>
  </si>
  <si>
    <t>Y02615</t>
  </si>
  <si>
    <t>SOUTH BIRMINGHAM GP WALK IN CENTRE</t>
  </si>
  <si>
    <t>AQN04</t>
  </si>
  <si>
    <t>PHL LYMINGTON UTC</t>
  </si>
  <si>
    <t>C82038</t>
  </si>
  <si>
    <t>LATHAM HOUSE MEDICAL PRACTICE</t>
  </si>
  <si>
    <t>NQTE4</t>
  </si>
  <si>
    <t>SUMMERFIELD URGENT CARE CENTRE</t>
  </si>
  <si>
    <t>RBQ</t>
  </si>
  <si>
    <t>LIVERPOOL HEART AND CHEST HOSPITAL NHS FOUNDATION TRUST</t>
  </si>
  <si>
    <t>RCD</t>
  </si>
  <si>
    <t>HARROGATE AND DISTRICT NHS FOUNDATION TRUST</t>
  </si>
  <si>
    <t>RJ8</t>
  </si>
  <si>
    <t>CORNWALL PARTNERSHIP NHS FOUNDATION TRUST</t>
  </si>
  <si>
    <t>RTP</t>
  </si>
  <si>
    <t>SURREY AND SUSSEX HEALTHCARE NHS TRUST</t>
  </si>
  <si>
    <t>RW1</t>
  </si>
  <si>
    <t>HAMPSHIRE AND ISLE OF WIGHT HEALTHCARE NHS FOUNDATION TRUST</t>
  </si>
  <si>
    <t>RWY</t>
  </si>
  <si>
    <t>CALDERDALE AND HUDDERSFIELD NHS FOUNDATION TRUST</t>
  </si>
  <si>
    <t>RY7</t>
  </si>
  <si>
    <t>WIRRAL COMMUNITY HEALTH AND CARE NHS FOUNDATION TRUST</t>
  </si>
  <si>
    <t>Y02428</t>
  </si>
  <si>
    <t>PUTNOE WALK IN CENTRE</t>
  </si>
  <si>
    <t>Y02532</t>
  </si>
  <si>
    <t>MIRIAM MINOR EMERGENCY</t>
  </si>
  <si>
    <t>NL7</t>
  </si>
  <si>
    <t>ASSURA VERTIS URGENT CARE CENTRES (BIRMINGHAM)</t>
  </si>
  <si>
    <t>NQT5F</t>
  </si>
  <si>
    <t>SKELMERSDALE WALK IN CENTRE</t>
  </si>
  <si>
    <t>NQT5H</t>
  </si>
  <si>
    <t>PAULTON MEMORIAL HOSPITAL</t>
  </si>
  <si>
    <t>RDY</t>
  </si>
  <si>
    <t>DORSET HEALTHCARE UNIVERSITY NHS FOUNDATION TRUST</t>
  </si>
  <si>
    <t>RGP</t>
  </si>
  <si>
    <t>JAMES PAGET UNIVERSITY HOSPITALS NHS FOUNDATION TRUST</t>
  </si>
  <si>
    <t>RTR</t>
  </si>
  <si>
    <t>SOUTH TEES HOSPITALS NHS FOUNDATION TRUST</t>
  </si>
  <si>
    <t>RV9</t>
  </si>
  <si>
    <t>HUMBER TEACHING NHS FOUNDATION TRUST</t>
  </si>
  <si>
    <t>AAH</t>
  </si>
  <si>
    <t>TETBURY HOSPITAL TRUST LTD</t>
  </si>
  <si>
    <t>RQW</t>
  </si>
  <si>
    <t>THE PRINCESS ALEXANDRA HOSPITAL NHS TRUST</t>
  </si>
  <si>
    <t>RY5</t>
  </si>
  <si>
    <t>LINCOLNSHIRE COMMUNITY HEALTH SERVICES NHS TRUST</t>
  </si>
  <si>
    <t>RY8</t>
  </si>
  <si>
    <t>DERBYSHIRE COMMUNITY HEALTH SERVICES NHS FOUNDATION TRUST</t>
  </si>
  <si>
    <t>A5D4Q</t>
  </si>
  <si>
    <t>NEMS UTC</t>
  </si>
  <si>
    <t>NTP11</t>
  </si>
  <si>
    <t>PRACTICE PLUS GROUP HOSPITAL - SOUTHAMPTON</t>
  </si>
  <si>
    <t>R0A</t>
  </si>
  <si>
    <t>MANCHESTER UNIVERSITY NHS FOUNDATION TRUST</t>
  </si>
  <si>
    <t>R0B</t>
  </si>
  <si>
    <t>SOUTH TYNESIDE AND SUNDERLAND NHS FOUNDATION TRUST</t>
  </si>
  <si>
    <t>R0D</t>
  </si>
  <si>
    <t>UNIVERSITY HOSPITALS DORSET NHS FOUNDATION TRUST</t>
  </si>
  <si>
    <t>RA7</t>
  </si>
  <si>
    <t>UNIVERSITY HOSPITALS BRISTOL AND WESTON NHS FOUNDATION TRUST</t>
  </si>
  <si>
    <t>RBK</t>
  </si>
  <si>
    <t>WALSALL HEALTHCARE NHS TRUST</t>
  </si>
  <si>
    <t>RBS</t>
  </si>
  <si>
    <t>ALDER HEY CHILDREN'S NHS FOUNDATION TRUST</t>
  </si>
  <si>
    <t>RC9</t>
  </si>
  <si>
    <t>BEDFORDSHIRE HOSPITALS NHS FOUNDATION TRUST</t>
  </si>
  <si>
    <t>RCF</t>
  </si>
  <si>
    <t>AIREDALE NHS FOUNDATION TRUST</t>
  </si>
  <si>
    <t>RH8</t>
  </si>
  <si>
    <t>ROYAL DEVON UNIVERSITY HEALTHCARE NHS FOUNDATION TRUST</t>
  </si>
  <si>
    <t>RJL</t>
  </si>
  <si>
    <t>NORTHERN LINCOLNSHIRE AND GOOLE NHS FOUNDATION TRUST</t>
  </si>
  <si>
    <t>RL4</t>
  </si>
  <si>
    <t>THE ROYAL WOLVERHAMPTON NHS TRUST</t>
  </si>
  <si>
    <t>RMP</t>
  </si>
  <si>
    <t>TAMESIDE AND GLOSSOP INTEGRATED CARE NHS FOUNDATION TRUST</t>
  </si>
  <si>
    <t>RN3</t>
  </si>
  <si>
    <t>GREAT WESTERN HOSPITALS NHS FOUNDATION TRUST</t>
  </si>
  <si>
    <t>RNA</t>
  </si>
  <si>
    <t>THE DUDLEY GROUP NHS FOUNDATION TRUST</t>
  </si>
  <si>
    <t>RNQ</t>
  </si>
  <si>
    <t>KETTERING GENERAL HOSPITAL NHS FOUNDATION TRUST</t>
  </si>
  <si>
    <t>RWP</t>
  </si>
  <si>
    <t>WORCESTERSHIRE ACUTE HOSPITALS NHS TRUST</t>
  </si>
  <si>
    <t>RRV</t>
  </si>
  <si>
    <t>UNIVERSITY COLLEGE LONDON HOSPITALS NHS FOUNDATION TRUST</t>
  </si>
  <si>
    <t>RY4</t>
  </si>
  <si>
    <t>HERTFORDSHIRE COMMUNITY NHS TRUST</t>
  </si>
  <si>
    <t>RY2</t>
  </si>
  <si>
    <t>BRIDGEWATER COMMUNITY HEALTHCARE NHS FOUNDATION TRUST</t>
  </si>
  <si>
    <t>RAS</t>
  </si>
  <si>
    <t>THE HILLINGDON HOSPITALS NHS FOUNDATION TRUST</t>
  </si>
  <si>
    <t>RX1</t>
  </si>
  <si>
    <t>NOTTINGHAM UNIVERSITY HOSPITALS NHS TRUST</t>
  </si>
  <si>
    <t>RXK</t>
  </si>
  <si>
    <t>SANDWELL AND WEST BIRMINGHAM HOSPITALS NHS TRUST</t>
  </si>
  <si>
    <t>RXF</t>
  </si>
  <si>
    <t>MID YORKSHIRE TEACHING NHS TRUST</t>
  </si>
  <si>
    <t>ARN03</t>
  </si>
  <si>
    <t>LOCAL CARE DIRECT</t>
  </si>
  <si>
    <t>C82009</t>
  </si>
  <si>
    <t>MARKET HARBOROUGH MED.CTR</t>
  </si>
  <si>
    <t>L83087</t>
  </si>
  <si>
    <t>OKEHAMPTON MEDICAL CENTRE</t>
  </si>
  <si>
    <t>NLX</t>
  </si>
  <si>
    <t>SIRONA CARE &amp; HEALTH</t>
  </si>
  <si>
    <t>RAT</t>
  </si>
  <si>
    <t>NORTH EAST LONDON NHS FOUNDATION TRUST</t>
  </si>
  <si>
    <t>RBD</t>
  </si>
  <si>
    <t>DORSET COUNTY HOSPITAL NHS FOUNDATION TRUST</t>
  </si>
  <si>
    <t>RCU</t>
  </si>
  <si>
    <t>SHEFFIELD CHILDREN'S NHS FOUNDATION TRUST</t>
  </si>
  <si>
    <t>RGN</t>
  </si>
  <si>
    <t>NORTH WEST ANGLIA NHS FOUNDATION TRUST</t>
  </si>
  <si>
    <t>RGR</t>
  </si>
  <si>
    <t>WEST SUFFOLK NHS FOUNDATION TRUST</t>
  </si>
  <si>
    <t>AJN</t>
  </si>
  <si>
    <t>WORKINGTON HEALTH LIMITED</t>
  </si>
  <si>
    <t>RJC</t>
  </si>
  <si>
    <t>SOUTH WARWICKSHIRE UNIVERSITY NHS FOUNDATION TRUST</t>
  </si>
  <si>
    <t>RJ6</t>
  </si>
  <si>
    <t>CROYDON HEALTH SERVICES NHS TRUST</t>
  </si>
  <si>
    <t>RPC</t>
  </si>
  <si>
    <t>QUEEN VICTORIA HOSPITAL NHS FOUNDATION TRUST</t>
  </si>
  <si>
    <t>RPA</t>
  </si>
  <si>
    <t>MEDWAY NHS FOUNDATION TRUST</t>
  </si>
  <si>
    <t>RP6</t>
  </si>
  <si>
    <t>MOORFIELDS EYE HOSPITAL NHS FOUNDATION TRUST</t>
  </si>
  <si>
    <t>RWF</t>
  </si>
  <si>
    <t>MAIDSTONE AND TUNBRIDGE WELLS NHS TRUST</t>
  </si>
  <si>
    <t>RKE</t>
  </si>
  <si>
    <t>WHITTINGTON HEALTH NHS TRUST</t>
  </si>
  <si>
    <t>RK9</t>
  </si>
  <si>
    <t>UNIVERSITY HOSPITALS PLYMOUTH NHS TRUST</t>
  </si>
  <si>
    <t>RJZ</t>
  </si>
  <si>
    <t>KING'S COLLEGE HOSPITAL NHS FOUNDATION TRUST</t>
  </si>
  <si>
    <t>RNN</t>
  </si>
  <si>
    <t>NORTH CUMBRIA INTEGRATED CARE NHS FOUNDATION TRUST</t>
  </si>
  <si>
    <t>May-2025</t>
  </si>
  <si>
    <t>AQM01</t>
  </si>
  <si>
    <t>FAVERSHAM MEDICAL PRACTICE MIU</t>
  </si>
  <si>
    <t>G3P9C</t>
  </si>
  <si>
    <t>TROWBRIDGE MINOR INJURIES UNIT</t>
  </si>
  <si>
    <t>NQT1I</t>
  </si>
  <si>
    <t>CHIPPENHAM COMMUNITY HOSPITAL</t>
  </si>
  <si>
    <t>June-2025</t>
  </si>
  <si>
    <t>Summer</t>
  </si>
  <si>
    <t>July-2025</t>
  </si>
  <si>
    <t>Q2</t>
  </si>
  <si>
    <t>NEMS CBS (UTC)</t>
  </si>
  <si>
    <t>DJV01</t>
  </si>
  <si>
    <t>HERNE BAY HEALTH CARE LTD</t>
  </si>
  <si>
    <t>August-2025</t>
  </si>
  <si>
    <t>September-2025</t>
  </si>
  <si>
    <t>Autumn</t>
  </si>
  <si>
    <t>ROYAL SURREY NHS FOUNDATION TRUST</t>
  </si>
  <si>
    <t>EAST AND NORTH HERTFORDSHIRE TEACHING NHS TRUST</t>
  </si>
  <si>
    <t>October-2025</t>
  </si>
  <si>
    <t>Q3</t>
  </si>
  <si>
    <t>NVE43</t>
  </si>
  <si>
    <t>HASTINGS GP LED HEALTH CENTRE</t>
  </si>
  <si>
    <t>November-2025</t>
  </si>
  <si>
    <t>December-2025</t>
  </si>
  <si>
    <t>Winter</t>
  </si>
  <si>
    <t>January-2026</t>
  </si>
  <si>
    <t>Q4</t>
  </si>
  <si>
    <t>WRIGHTINGTON, WIGAN AND LEIGH TEACHING HOSPITALS NHS FOUNDATION TRUST</t>
  </si>
  <si>
    <t>February-2026</t>
  </si>
  <si>
    <t>March-2026</t>
  </si>
  <si>
    <t>NNJ10</t>
  </si>
  <si>
    <t>ENDERBY LEISURE CENTRE</t>
  </si>
  <si>
    <t>NNJ11</t>
  </si>
  <si>
    <t>LUTTERWORTH HOSPITAL</t>
  </si>
  <si>
    <t>Total attendance</t>
  </si>
  <si>
    <t>T1_Breach Rate</t>
  </si>
  <si>
    <t>Wait_12hr_Rate</t>
  </si>
  <si>
    <t>Row Labels</t>
  </si>
  <si>
    <t>Grand Total</t>
  </si>
  <si>
    <t>Average of T1_Breach Rate</t>
  </si>
  <si>
    <t>Target</t>
  </si>
  <si>
    <t>Sum of Wait_12hr_plus</t>
  </si>
  <si>
    <t>Sum of Total attendance</t>
  </si>
  <si>
    <t>Sum of 12hr_Wait_Rate</t>
  </si>
  <si>
    <t>Sum of Wait_Rate_%</t>
  </si>
  <si>
    <t>2025</t>
  </si>
  <si>
    <t>2026</t>
  </si>
  <si>
    <t>Sum of T1_Attendances</t>
  </si>
  <si>
    <t>Sum of Other_Attendances</t>
  </si>
  <si>
    <t>Sum of T1_Over4hrs</t>
  </si>
  <si>
    <t>Sum of Trust_Annual_Breach_Rate</t>
  </si>
  <si>
    <t>Month_Index</t>
  </si>
  <si>
    <t>Month_name</t>
  </si>
  <si>
    <t>Sum of Weighted_Breach_Rate</t>
  </si>
  <si>
    <t>Month</t>
  </si>
  <si>
    <t>T1_Att</t>
  </si>
  <si>
    <t xml:space="preserve"> Other_Att</t>
  </si>
  <si>
    <t xml:space="preserve"> Total_Att</t>
  </si>
  <si>
    <t>T1_Over4</t>
  </si>
  <si>
    <t xml:space="preserve"> Breach_Rate</t>
  </si>
  <si>
    <t xml:space="preserve"> 12hr_Rate</t>
  </si>
  <si>
    <t xml:space="preserve"> Target</t>
  </si>
  <si>
    <t>NORTH WEST</t>
  </si>
  <si>
    <t>SOUTH WEST</t>
  </si>
  <si>
    <t>MIDLANDS</t>
  </si>
  <si>
    <t>NORTH EAST AND YORKSHIRE</t>
  </si>
  <si>
    <t>EAST OF ENGLAND</t>
  </si>
  <si>
    <t>LONDON</t>
  </si>
  <si>
    <t>SOUTH EAST</t>
  </si>
  <si>
    <t>T_Att</t>
  </si>
  <si>
    <t>Sum of 12_hr_Rate</t>
  </si>
  <si>
    <t xml:space="preserve"> Season</t>
  </si>
  <si>
    <t>Sum of Breach_Rate</t>
  </si>
  <si>
    <t>Sum of T1_Att_k</t>
  </si>
  <si>
    <t>Sum of BreachRate</t>
  </si>
  <si>
    <t>T1_Att_k</t>
  </si>
  <si>
    <t>DESCRIPTIVE    .   DIAGNOSTIC   .    PREDICITIVE ANALYSIS   | Source: NHS England Official Statistics  |  Weighted Metrics</t>
  </si>
  <si>
    <t>TOTAL ATTENDANCES</t>
  </si>
  <si>
    <t>TYPE 1(EMERGENCY)</t>
  </si>
  <si>
    <t>4 HR BREACH RATE</t>
  </si>
  <si>
    <t xml:space="preserve">12 HOURS WAIT </t>
  </si>
  <si>
    <t>ACTIVE T1 TRUSTS</t>
  </si>
  <si>
    <t>Trusts with Type 1 A&amp;E activity</t>
  </si>
  <si>
    <t>Rate: 3.41% of T1 attendances</t>
  </si>
  <si>
    <t>Target: &lt;24% breach (76% seen)</t>
  </si>
  <si>
    <t>Major A&amp;E Departments</t>
  </si>
  <si>
    <t>All A&amp;E types · Full year</t>
  </si>
  <si>
    <t>📌  KEY ANALYTICAL INSIGHTS  —  Problems Solved &amp; Findings</t>
  </si>
  <si>
    <t>BP1 · DEMAND  ➜  16.7M T1 attendances. Peak: Jan 2026 (1.45M). Trough: Feb 2026 (1.27M).</t>
  </si>
  <si>
    <t>BP2 · BREACH  ➜  Avg breach 39.4% — well above 24% target. Jan 2026 peak: 42.9%.</t>
  </si>
  <si>
    <t>BP3 · WINTER  ➜  12-hr waits rise 64.5% in Winter vs Summer despite T1 att ↓2.3% — exit block.</t>
  </si>
  <si>
    <t>BP4 · REGION  ➜  North West (42.6%) worst. South East (36.9%) best. 5.7% gap between regions.</t>
  </si>
  <si>
    <t>BP5 · OUTLIERS  ➜  Calderdale: 16.6% breach with 192k T1 patients — high volume ≠ failure.</t>
  </si>
  <si>
    <t xml:space="preserve">📅 BP6 · Quarterly Performance: Breach Rate &amp; 12-hr Waits' </t>
  </si>
  <si>
    <t xml:space="preserve">🔵 BP5 · Trust Volume vs Breach Rate (Outlier Detection)' — </t>
  </si>
  <si>
    <t xml:space="preserve">🌦️ BP3 · Seasonal Breach Rate + 12-hr Wait Rate' </t>
  </si>
  <si>
    <t>🗺️ BP4 · Regional 4-hr Breach Rate (Sorted — Worst→Best)</t>
  </si>
  <si>
    <t xml:space="preserve">📈 BP1 &amp; BP2 · Monthly 4-hr Breach Rate vs 76% Target' </t>
  </si>
  <si>
    <t>📊 BP1 · Monthly Attendance Volume (T1 vs Other Types)</t>
  </si>
  <si>
    <t>✅  BUSINESS PROBLEMS SOLVED — Methodology · Findings · Recommendations</t>
  </si>
  <si>
    <t>#</t>
  </si>
  <si>
    <t>Problem</t>
  </si>
  <si>
    <t>Type</t>
  </si>
  <si>
    <t>Method</t>
  </si>
  <si>
    <t>Finding</t>
  </si>
  <si>
    <t>Recommendation</t>
  </si>
  <si>
    <t>What is overall A&amp;E demand?</t>
  </si>
  <si>
    <t>Descriptive</t>
  </si>
  <si>
    <t>Pivot: SUM T1 + Other att by month</t>
  </si>
  <si>
    <t>26.4M total; T1=63%; Peak Jan 2026</t>
  </si>
  <si>
    <t>Monitor Jan-Feb annually; maintain SDEC capacity</t>
  </si>
  <si>
    <t>Are we meeting 76% standard?</t>
  </si>
  <si>
    <t>Weighted breach = T1_Over4 / T1_Att</t>
  </si>
  <si>
    <t>NO. 39.4% breach rate (target 24%)</t>
  </si>
  <si>
    <t>NHS-wide investment in flow management needed</t>
  </si>
  <si>
    <t>Does winter cause more demand or more waits?</t>
  </si>
  <si>
    <t>Diagnostic</t>
  </si>
  <si>
    <t>Seasonal pivot: att vs 12hr rates</t>
  </si>
  <si>
    <t>T1 att ↓2.3% winter; 12-hr waits ↑64.5% — exit block</t>
  </si>
  <si>
    <t>Fund discharge/social care beds, not A&amp;E front door</t>
  </si>
  <si>
    <t>Which regions underperform?</t>
  </si>
  <si>
    <t>Regional pivot, sorted by breach rate</t>
  </si>
  <si>
    <t>NW (42.6%) worst; South East (36.9%) best</t>
  </si>
  <si>
    <t>Capacity audit for NW; replicate SE flow models</t>
  </si>
  <si>
    <t>Can high-volume trusts still perform?</t>
  </si>
  <si>
    <t>Scatter: volume vs breach rate</t>
  </si>
  <si>
    <t>YES. Calderdale 192k T1, only 16.6% breach</t>
  </si>
  <si>
    <t>Replicate Gold Standard trust protocols nationally</t>
  </si>
  <si>
    <t>Who are the worst trusts?</t>
  </si>
  <si>
    <t>Trust ranking + composite risk score</t>
  </si>
  <si>
    <t>Mid Cheshire 59.5%, Hull 57.1% = Critical</t>
  </si>
  <si>
    <t>Immediate NHSE improvement notices</t>
  </si>
  <si>
    <t>Will performance worsen?</t>
  </si>
  <si>
    <t>Predictive</t>
  </si>
  <si>
    <t>Linear regression on monthly trend</t>
  </si>
  <si>
    <t>Breach rate trending up; Jan-Feb 2026 peak 42.9%</t>
  </si>
  <si>
    <t>Pre-position winter surge plans by October</t>
  </si>
  <si>
    <t>NHS ENGLAND .  A&amp;E PERFORMANCE DASHBOARD .  April 2025 - March 2026</t>
  </si>
  <si>
    <t>Step</t>
  </si>
  <si>
    <t>Title</t>
  </si>
  <si>
    <t>What to Write</t>
  </si>
  <si>
    <t>Data Understanding</t>
  </si>
  <si>
    <t>Dataset: 2,385 rows × 17 columns covering 209 NHS trusts across 7 regions, Apr 2025–Mar 2026. Identified T1 (Type 1 Emergency) vs Other attendance types.</t>
  </si>
  <si>
    <t>Data Cleaning</t>
  </si>
  <si>
    <t>Standardised 12 monthly periods. Categorised months into 4 Seasons &amp; 4 Quarters. Filtered zero-attendance records for trust-level analysis.</t>
  </si>
  <si>
    <t>Weighted Aggregation</t>
  </si>
  <si>
    <t>CRITICAL: Used SUM(T1_Over4hrs) / SUM(T1_Attendances) for all breach rates — NOT AVERAGE(T1_Breach Rate). Avoids the Average of Averages trap.</t>
  </si>
  <si>
    <t>Descriptive Analysis</t>
  </si>
  <si>
    <t>KPIs: total attendances, T1 vs Other split, monthly demand profile, peak/trough ID, statistical distribution of trust metrics.</t>
  </si>
  <si>
    <t>Diagnostic Analysis</t>
  </si>
  <si>
    <t>Seasonal decomposition identifying exit block. Regional heatmap. Scatter plot for Gold Standard outlier ID. Correlation: volume vs breach.</t>
  </si>
  <si>
    <t>Predictive Analysis</t>
  </si>
  <si>
    <t>Linear regression on 12-month breach rate trend. 6-month forecast. Composite trust risk score (50% breach + 35% 12-hr + 15% volume).</t>
  </si>
  <si>
    <t>Visualisation</t>
  </si>
  <si>
    <t>Dashboard: no gridlines, NHS colour palette, KPI cards, 6 charts, 7-problem business question table.</t>
  </si>
  <si>
    <t>QC</t>
  </si>
  <si>
    <t>Quality Checks</t>
  </si>
  <si>
    <t>✅ Weighted metrics ✅ Zero formula errors ✅ Charts from clean data tab ✅ Consistent NHS colours ✅ 7 business problems answered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</si>
</sst>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_ ;_ * \-#,##0_ ;_ * &quot;-&quot;??_ ;_ @_ "/>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8"/>
      <color rgb="FFFFFFFF"/>
      <name val="Arial"/>
      <family val="2"/>
    </font>
    <font>
      <sz val="8"/>
      <color rgb="FF222222"/>
      <name val="Arial"/>
      <family val="2"/>
    </font>
    <font>
      <b/>
      <sz val="9"/>
      <color rgb="FFFFFFFF"/>
      <name val="Arial"/>
      <family val="2"/>
    </font>
    <font>
      <sz val="9"/>
      <color theme="1"/>
      <name val="Calibri"/>
      <family val="2"/>
      <scheme val="minor"/>
    </font>
    <font>
      <b/>
      <sz val="22"/>
      <color theme="1"/>
      <name val="Arial"/>
      <family val="2"/>
    </font>
    <font>
      <i/>
      <sz val="11"/>
      <color rgb="FF00B0F0"/>
      <name val="Arial"/>
      <family val="2"/>
    </font>
    <font>
      <b/>
      <sz val="11"/>
      <color theme="0"/>
      <name val="Calibri"/>
      <family val="2"/>
      <scheme val="minor"/>
    </font>
    <font>
      <sz val="11"/>
      <color theme="0"/>
      <name val="Calibri"/>
      <family val="2"/>
      <scheme val="minor"/>
    </font>
    <font>
      <b/>
      <i/>
      <sz val="22"/>
      <color theme="0"/>
      <name val="Arial"/>
      <family val="2"/>
    </font>
    <font>
      <b/>
      <i/>
      <sz val="22"/>
      <color theme="0"/>
      <name val="Calibri"/>
      <family val="2"/>
      <scheme val="minor"/>
    </font>
    <font>
      <b/>
      <sz val="9"/>
      <color rgb="FF0070C0"/>
      <name val="Arial"/>
      <family val="2"/>
    </font>
    <font>
      <b/>
      <sz val="18"/>
      <color theme="0"/>
      <name val="Arial"/>
      <family val="2"/>
    </font>
    <font>
      <sz val="8"/>
      <color theme="8" tint="-0.499984740745262"/>
      <name val="Arial"/>
      <family val="2"/>
    </font>
    <font>
      <sz val="8"/>
      <color theme="1"/>
      <name val="Arial"/>
      <family val="2"/>
    </font>
    <font>
      <b/>
      <sz val="11"/>
      <color theme="0"/>
      <name val="Arial"/>
      <family val="2"/>
    </font>
    <font>
      <b/>
      <sz val="12"/>
      <color rgb="FFFFFFFF"/>
      <name val="Arial"/>
      <family val="2"/>
    </font>
    <font>
      <sz val="10"/>
      <color rgb="FF222222"/>
      <name val="Arial"/>
      <family val="2"/>
    </font>
  </fonts>
  <fills count="29">
    <fill>
      <patternFill patternType="none"/>
    </fill>
    <fill>
      <patternFill patternType="gray125"/>
    </fill>
    <fill>
      <patternFill patternType="solid">
        <fgColor theme="4" tint="0.79998168889431442"/>
        <bgColor theme="4" tint="0.79998168889431442"/>
      </patternFill>
    </fill>
    <fill>
      <patternFill patternType="solid">
        <fgColor rgb="FF005EB8"/>
        <bgColor indexed="64"/>
      </patternFill>
    </fill>
    <fill>
      <patternFill patternType="solid">
        <fgColor rgb="FFEEF5FF"/>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002060"/>
        <bgColor indexed="64"/>
      </patternFill>
    </fill>
    <fill>
      <patternFill patternType="solid">
        <fgColor theme="5" tint="0.39997558519241921"/>
        <bgColor indexed="64"/>
      </patternFill>
    </fill>
    <fill>
      <patternFill patternType="solid">
        <fgColor rgb="FFFFC000"/>
        <bgColor indexed="64"/>
      </patternFill>
    </fill>
    <fill>
      <patternFill patternType="solid">
        <fgColor rgb="FF92D050"/>
        <bgColor indexed="64"/>
      </patternFill>
    </fill>
    <fill>
      <patternFill patternType="solid">
        <fgColor rgb="FFFF7C80"/>
        <bgColor indexed="64"/>
      </patternFill>
    </fill>
    <fill>
      <patternFill patternType="solid">
        <fgColor rgb="FF009999"/>
        <bgColor indexed="64"/>
      </patternFill>
    </fill>
    <fill>
      <patternFill patternType="solid">
        <fgColor theme="1" tint="0.149998474074526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6699FF"/>
        <bgColor indexed="64"/>
      </patternFill>
    </fill>
    <fill>
      <patternFill patternType="solid">
        <fgColor rgb="FFBC88CA"/>
        <bgColor indexed="64"/>
      </patternFill>
    </fill>
    <fill>
      <patternFill patternType="solid">
        <fgColor rgb="FFFF0000"/>
        <bgColor indexed="64"/>
      </patternFill>
    </fill>
    <fill>
      <patternFill patternType="solid">
        <fgColor theme="7"/>
        <bgColor indexed="64"/>
      </patternFill>
    </fill>
    <fill>
      <patternFill patternType="solid">
        <fgColor theme="9"/>
        <bgColor indexed="64"/>
      </patternFill>
    </fill>
    <fill>
      <patternFill patternType="solid">
        <fgColor rgb="FF00B0F0"/>
        <bgColor indexed="64"/>
      </patternFill>
    </fill>
    <fill>
      <patternFill patternType="solid">
        <fgColor rgb="FFCC66FF"/>
        <bgColor indexed="64"/>
      </patternFill>
    </fill>
    <fill>
      <patternFill patternType="solid">
        <fgColor theme="0" tint="-0.34998626667073579"/>
        <bgColor indexed="64"/>
      </patternFill>
    </fill>
    <fill>
      <patternFill patternType="solid">
        <fgColor rgb="FF0070C0"/>
        <bgColor indexed="64"/>
      </patternFill>
    </fill>
    <fill>
      <patternFill patternType="solid">
        <fgColor rgb="FF003087"/>
        <bgColor indexed="64"/>
      </patternFill>
    </fill>
    <fill>
      <patternFill patternType="solid">
        <fgColor theme="0"/>
        <bgColor indexed="64"/>
      </patternFill>
    </fill>
  </fills>
  <borders count="7">
    <border>
      <left/>
      <right/>
      <top/>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2">
    <xf numFmtId="0" fontId="0" fillId="0" borderId="0" xfId="0"/>
    <xf numFmtId="14" fontId="0" fillId="0" borderId="0" xfId="0" applyNumberFormat="1"/>
    <xf numFmtId="10"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0" fontId="2" fillId="2" borderId="1" xfId="0" applyFont="1" applyFill="1" applyBorder="1"/>
    <xf numFmtId="9" fontId="0" fillId="0" borderId="0" xfId="0" applyNumberFormat="1"/>
    <xf numFmtId="9" fontId="0" fillId="0" borderId="0" xfId="0" applyNumberFormat="1" applyAlignment="1">
      <alignment horizontal="center"/>
    </xf>
    <xf numFmtId="0" fontId="0" fillId="0" borderId="0" xfId="0" applyAlignment="1">
      <alignment horizontal="center"/>
    </xf>
    <xf numFmtId="9" fontId="0" fillId="0" borderId="0" xfId="1" applyFont="1"/>
    <xf numFmtId="164" fontId="0" fillId="0" borderId="0" xfId="0" applyNumberFormat="1"/>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17" fontId="4" fillId="4" borderId="3" xfId="0" applyNumberFormat="1" applyFont="1" applyFill="1" applyBorder="1" applyAlignment="1">
      <alignment horizontal="center" vertical="center" wrapText="1"/>
    </xf>
    <xf numFmtId="0" fontId="4" fillId="4" borderId="4" xfId="0" applyFont="1" applyFill="1" applyBorder="1" applyAlignment="1">
      <alignment horizontal="center" vertical="center" wrapText="1"/>
    </xf>
    <xf numFmtId="17" fontId="4" fillId="5" borderId="5" xfId="0" applyNumberFormat="1" applyFont="1" applyFill="1" applyBorder="1" applyAlignment="1">
      <alignment horizontal="center" vertical="center" wrapText="1"/>
    </xf>
    <xf numFmtId="0" fontId="4" fillId="5" borderId="6" xfId="0" applyFont="1" applyFill="1" applyBorder="1" applyAlignment="1">
      <alignment horizontal="center" vertical="center" wrapText="1"/>
    </xf>
    <xf numFmtId="17" fontId="4" fillId="4" borderId="5" xfId="0" applyNumberFormat="1" applyFont="1" applyFill="1" applyBorder="1" applyAlignment="1">
      <alignment horizontal="center" vertical="center" wrapText="1"/>
    </xf>
    <xf numFmtId="0" fontId="4" fillId="4" borderId="6" xfId="0" applyFont="1" applyFill="1" applyBorder="1" applyAlignment="1">
      <alignment horizontal="center" vertical="center" wrapText="1"/>
    </xf>
    <xf numFmtId="9" fontId="4" fillId="4" borderId="4" xfId="1" applyFont="1" applyFill="1" applyBorder="1" applyAlignment="1">
      <alignment horizontal="center" vertical="center" wrapText="1"/>
    </xf>
    <xf numFmtId="9" fontId="4" fillId="5" borderId="6" xfId="1" applyFont="1" applyFill="1" applyBorder="1" applyAlignment="1">
      <alignment horizontal="center" vertical="center" wrapText="1"/>
    </xf>
    <xf numFmtId="9" fontId="4" fillId="4" borderId="6" xfId="1" applyFont="1" applyFill="1" applyBorder="1" applyAlignment="1">
      <alignment horizontal="center" vertical="center" wrapText="1"/>
    </xf>
    <xf numFmtId="165" fontId="4" fillId="4" borderId="4" xfId="2" applyNumberFormat="1" applyFont="1" applyFill="1" applyBorder="1" applyAlignment="1">
      <alignment horizontal="center" vertical="center" wrapText="1"/>
    </xf>
    <xf numFmtId="165" fontId="4" fillId="5" borderId="6" xfId="2" applyNumberFormat="1" applyFont="1" applyFill="1" applyBorder="1" applyAlignment="1">
      <alignment horizontal="center" vertical="center" wrapText="1"/>
    </xf>
    <xf numFmtId="165" fontId="4" fillId="4" borderId="6" xfId="2" applyNumberFormat="1" applyFont="1" applyFill="1" applyBorder="1" applyAlignment="1">
      <alignment horizontal="center" vertical="center" wrapText="1"/>
    </xf>
    <xf numFmtId="0" fontId="4" fillId="4" borderId="5"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5" fillId="3" borderId="3" xfId="0" applyFont="1" applyFill="1" applyBorder="1" applyAlignment="1">
      <alignment horizontal="center" vertical="center" wrapText="1"/>
    </xf>
    <xf numFmtId="165" fontId="5" fillId="3" borderId="4" xfId="2" applyNumberFormat="1" applyFont="1" applyFill="1" applyBorder="1" applyAlignment="1">
      <alignment horizontal="center" vertical="center" wrapText="1"/>
    </xf>
    <xf numFmtId="0" fontId="5" fillId="3" borderId="4" xfId="0" applyFont="1" applyFill="1" applyBorder="1" applyAlignment="1">
      <alignment horizontal="center" vertical="center" wrapText="1"/>
    </xf>
    <xf numFmtId="0" fontId="6" fillId="0" borderId="0" xfId="0" applyFont="1"/>
    <xf numFmtId="0" fontId="3" fillId="3" borderId="3" xfId="0" applyFont="1" applyFill="1" applyBorder="1" applyAlignment="1">
      <alignment horizontal="center" wrapText="1"/>
    </xf>
    <xf numFmtId="0" fontId="3" fillId="3" borderId="4" xfId="0" applyFont="1" applyFill="1" applyBorder="1" applyAlignment="1">
      <alignment horizontal="center" wrapText="1"/>
    </xf>
    <xf numFmtId="0" fontId="4" fillId="4" borderId="5" xfId="0" applyFont="1" applyFill="1" applyBorder="1" applyAlignment="1">
      <alignment horizontal="center" wrapText="1"/>
    </xf>
    <xf numFmtId="0" fontId="4" fillId="4" borderId="6" xfId="0" applyFont="1" applyFill="1" applyBorder="1" applyAlignment="1">
      <alignment horizontal="center" wrapText="1"/>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10" fontId="2" fillId="2" borderId="2" xfId="0" applyNumberFormat="1" applyFont="1" applyFill="1" applyBorder="1"/>
    <xf numFmtId="0" fontId="2" fillId="2" borderId="2" xfId="0" applyFont="1" applyFill="1" applyBorder="1"/>
    <xf numFmtId="0" fontId="13" fillId="9" borderId="0" xfId="0" applyFont="1" applyFill="1" applyAlignment="1">
      <alignment horizontal="center" vertical="center"/>
    </xf>
    <xf numFmtId="3" fontId="14" fillId="9" borderId="0" xfId="0" applyNumberFormat="1" applyFont="1" applyFill="1" applyAlignment="1">
      <alignment horizontal="center" vertical="center"/>
    </xf>
    <xf numFmtId="0" fontId="15" fillId="9" borderId="0" xfId="0" applyFont="1" applyFill="1" applyAlignment="1">
      <alignment horizontal="center" vertical="center" wrapText="1"/>
    </xf>
    <xf numFmtId="0" fontId="13" fillId="10" borderId="0" xfId="0" applyFont="1" applyFill="1" applyAlignment="1">
      <alignment horizontal="center" vertical="center"/>
    </xf>
    <xf numFmtId="10" fontId="14" fillId="10" borderId="0" xfId="0" applyNumberFormat="1" applyFont="1" applyFill="1" applyAlignment="1">
      <alignment horizontal="center" vertical="center"/>
    </xf>
    <xf numFmtId="0" fontId="15" fillId="10" borderId="0" xfId="0" applyFont="1" applyFill="1" applyAlignment="1">
      <alignment horizontal="center"/>
    </xf>
    <xf numFmtId="0" fontId="13" fillId="11" borderId="0" xfId="0" applyFont="1" applyFill="1" applyAlignment="1">
      <alignment horizontal="center" vertical="center"/>
    </xf>
    <xf numFmtId="3" fontId="14" fillId="11" borderId="0" xfId="0" applyNumberFormat="1" applyFont="1" applyFill="1" applyAlignment="1">
      <alignment horizontal="center" vertical="center"/>
    </xf>
    <xf numFmtId="0" fontId="15" fillId="11" borderId="0" xfId="0" applyFont="1" applyFill="1" applyAlignment="1">
      <alignment horizontal="center" vertical="center" wrapText="1"/>
    </xf>
    <xf numFmtId="0" fontId="13" fillId="12" borderId="0" xfId="0" applyFont="1" applyFill="1" applyAlignment="1">
      <alignment horizontal="center" vertical="center"/>
    </xf>
    <xf numFmtId="3" fontId="14" fillId="12" borderId="0" xfId="0" applyNumberFormat="1" applyFont="1" applyFill="1" applyAlignment="1">
      <alignment horizontal="center" vertical="center"/>
    </xf>
    <xf numFmtId="0" fontId="15" fillId="12" borderId="0" xfId="0" applyFont="1" applyFill="1" applyAlignment="1">
      <alignment horizontal="center" vertical="center" wrapText="1"/>
    </xf>
    <xf numFmtId="0" fontId="13" fillId="13" borderId="0" xfId="0" applyFont="1" applyFill="1" applyAlignment="1">
      <alignment horizontal="center" vertical="center"/>
    </xf>
    <xf numFmtId="3" fontId="14" fillId="13" borderId="0" xfId="0" applyNumberFormat="1" applyFont="1" applyFill="1" applyAlignment="1">
      <alignment horizontal="center" vertical="center"/>
    </xf>
    <xf numFmtId="0" fontId="15" fillId="13" borderId="0" xfId="0" applyFont="1" applyFill="1" applyAlignment="1">
      <alignment horizontal="center"/>
    </xf>
    <xf numFmtId="0" fontId="4" fillId="15" borderId="0" xfId="0" applyFont="1" applyFill="1" applyAlignment="1">
      <alignment horizontal="left" vertical="top" wrapText="1"/>
    </xf>
    <xf numFmtId="0" fontId="4" fillId="16" borderId="0" xfId="0" applyFont="1" applyFill="1" applyAlignment="1">
      <alignment horizontal="left" vertical="top" wrapText="1"/>
    </xf>
    <xf numFmtId="0" fontId="16" fillId="17" borderId="0" xfId="0" applyFont="1" applyFill="1" applyAlignment="1">
      <alignment horizontal="left" vertical="top" wrapText="1"/>
    </xf>
    <xf numFmtId="0" fontId="4" fillId="18" borderId="3" xfId="0" applyFont="1" applyFill="1" applyBorder="1" applyAlignment="1">
      <alignment vertical="center" wrapText="1"/>
    </xf>
    <xf numFmtId="0" fontId="4" fillId="19" borderId="3" xfId="0" applyFont="1" applyFill="1" applyBorder="1" applyAlignment="1">
      <alignment vertical="center" wrapText="1"/>
    </xf>
    <xf numFmtId="0" fontId="10" fillId="24" borderId="0" xfId="0" quotePrefix="1" applyFont="1" applyFill="1" applyAlignment="1">
      <alignment horizontal="center"/>
    </xf>
    <xf numFmtId="0" fontId="10" fillId="24" borderId="0" xfId="0" applyFont="1" applyFill="1" applyAlignment="1">
      <alignment horizontal="center"/>
    </xf>
    <xf numFmtId="0" fontId="10" fillId="25" borderId="0" xfId="0" quotePrefix="1" applyFont="1" applyFill="1" applyAlignment="1">
      <alignment horizontal="center"/>
    </xf>
    <xf numFmtId="0" fontId="10" fillId="25" borderId="0" xfId="0" applyFont="1" applyFill="1" applyAlignment="1">
      <alignment horizontal="center"/>
    </xf>
    <xf numFmtId="0" fontId="9" fillId="20" borderId="0" xfId="0" quotePrefix="1" applyFont="1" applyFill="1" applyAlignment="1">
      <alignment horizontal="center"/>
    </xf>
    <xf numFmtId="0" fontId="9" fillId="21" borderId="0" xfId="0" quotePrefix="1" applyFont="1" applyFill="1" applyAlignment="1">
      <alignment horizontal="center" vertical="center"/>
    </xf>
    <xf numFmtId="0" fontId="9" fillId="21" borderId="0" xfId="0" applyFont="1" applyFill="1" applyAlignment="1">
      <alignment horizontal="center" vertical="center"/>
    </xf>
    <xf numFmtId="0" fontId="9" fillId="23" borderId="0" xfId="0" quotePrefix="1" applyFont="1" applyFill="1" applyAlignment="1">
      <alignment horizontal="center"/>
    </xf>
    <xf numFmtId="0" fontId="9" fillId="22" borderId="0" xfId="0" quotePrefix="1" applyFont="1" applyFill="1" applyAlignment="1">
      <alignment horizontal="center"/>
    </xf>
    <xf numFmtId="0" fontId="8" fillId="8" borderId="0" xfId="0" applyFont="1" applyFill="1" applyAlignment="1">
      <alignment horizontal="center"/>
    </xf>
    <xf numFmtId="0" fontId="17" fillId="26" borderId="0" xfId="0" applyFont="1" applyFill="1" applyAlignment="1">
      <alignment horizontal="center"/>
    </xf>
    <xf numFmtId="0" fontId="0" fillId="26" borderId="0" xfId="0" applyFill="1" applyAlignment="1">
      <alignment horizontal="center"/>
    </xf>
    <xf numFmtId="0" fontId="3" fillId="27" borderId="3" xfId="0" applyFont="1" applyFill="1" applyBorder="1" applyAlignment="1">
      <alignment horizontal="center" vertical="center" wrapText="1"/>
    </xf>
    <xf numFmtId="0" fontId="3" fillId="27" borderId="4" xfId="0" applyFont="1" applyFill="1" applyBorder="1" applyAlignment="1">
      <alignment horizontal="center" vertical="center" wrapText="1"/>
    </xf>
    <xf numFmtId="0" fontId="7" fillId="6" borderId="0" xfId="0" applyFont="1" applyFill="1" applyAlignment="1">
      <alignment vertical="center"/>
    </xf>
    <xf numFmtId="0" fontId="7" fillId="28" borderId="0" xfId="0" applyFont="1" applyFill="1" applyAlignment="1">
      <alignment vertical="center"/>
    </xf>
    <xf numFmtId="0" fontId="12" fillId="28" borderId="0" xfId="0" applyFont="1" applyFill="1" applyAlignment="1">
      <alignment horizontal="center"/>
    </xf>
    <xf numFmtId="0" fontId="0" fillId="28" borderId="0" xfId="0" applyFill="1" applyAlignment="1">
      <alignment horizontal="center"/>
    </xf>
    <xf numFmtId="0" fontId="10" fillId="28" borderId="0" xfId="0" applyFont="1" applyFill="1" applyAlignment="1">
      <alignment vertical="center"/>
    </xf>
    <xf numFmtId="0" fontId="10" fillId="14" borderId="0" xfId="0" applyFont="1" applyFill="1" applyAlignment="1">
      <alignment horizontal="center" vertical="center"/>
    </xf>
    <xf numFmtId="0" fontId="13" fillId="28" borderId="0" xfId="0" applyFont="1" applyFill="1" applyAlignment="1">
      <alignment vertical="center"/>
    </xf>
    <xf numFmtId="3" fontId="14" fillId="28" borderId="0" xfId="0" applyNumberFormat="1" applyFont="1" applyFill="1" applyAlignment="1">
      <alignment vertical="center"/>
    </xf>
    <xf numFmtId="0" fontId="15" fillId="28" borderId="0" xfId="0" applyFont="1" applyFill="1" applyAlignment="1"/>
    <xf numFmtId="0" fontId="8" fillId="28" borderId="0" xfId="0" applyFont="1" applyFill="1" applyAlignment="1"/>
    <xf numFmtId="0" fontId="11" fillId="28" borderId="0" xfId="0" applyFont="1" applyFill="1" applyAlignment="1"/>
    <xf numFmtId="0" fontId="11" fillId="7" borderId="0" xfId="0" applyFont="1" applyFill="1" applyAlignment="1">
      <alignment horizontal="center" vertical="center"/>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5" borderId="6" xfId="0" applyFont="1" applyFill="1" applyBorder="1" applyAlignment="1">
      <alignment horizontal="center" vertical="center" wrapText="1"/>
    </xf>
  </cellXfs>
  <cellStyles count="3">
    <cellStyle name="Comma" xfId="2" builtinId="3"/>
    <cellStyle name="Normal" xfId="0" builtinId="0"/>
    <cellStyle name="Percent" xfId="1" builtinId="5"/>
  </cellStyles>
  <dxfs count="26">
    <dxf>
      <font>
        <color rgb="FF006100"/>
      </font>
      <fill>
        <patternFill>
          <bgColor rgb="FFC6EFCE"/>
        </patternFill>
      </fill>
    </dxf>
    <dxf>
      <font>
        <color rgb="FF9C0006"/>
      </font>
      <fill>
        <patternFill>
          <bgColor rgb="FFFFC7CE"/>
        </patternFill>
      </fill>
    </dxf>
    <dxf>
      <numFmt numFmtId="0" formatCode="General"/>
    </dxf>
    <dxf>
      <numFmt numFmtId="14" formatCode="0.00%"/>
    </dxf>
    <dxf>
      <numFmt numFmtId="0" formatCode="General"/>
    </dxf>
    <dxf>
      <numFmt numFmtId="0" formatCode="General"/>
    </dxf>
    <dxf>
      <numFmt numFmtId="14" formatCode="0.00%"/>
    </dxf>
    <dxf>
      <numFmt numFmtId="19" formatCode="dd/mm/yyyy"/>
    </dxf>
    <dxf>
      <numFmt numFmtId="0" formatCode="General"/>
    </dxf>
    <dxf>
      <numFmt numFmtId="0" formatCode="General"/>
    </dxf>
    <dxf>
      <numFmt numFmtId="0" formatCode="General"/>
    </dxf>
    <dxf>
      <numFmt numFmtId="0" formatCode="General"/>
    </dxf>
    <dxf>
      <numFmt numFmtId="13" formatCode="0%"/>
    </dxf>
    <dxf>
      <numFmt numFmtId="13" formatCode="0%"/>
    </dxf>
    <dxf>
      <numFmt numFmtId="0" formatCode="General"/>
    </dxf>
    <dxf>
      <numFmt numFmtId="0" formatCode="General"/>
    </dxf>
    <dxf>
      <alignment horizontal="center"/>
    </dxf>
    <dxf>
      <alignment horizontal="center"/>
    </dxf>
    <dxf>
      <numFmt numFmtId="13" formatCode="0%"/>
    </dxf>
    <dxf>
      <numFmt numFmtId="13" formatCode="0%"/>
    </dxf>
    <dxf>
      <alignment horizontal="center"/>
    </dxf>
    <dxf>
      <alignment horizontal="center"/>
    </dxf>
    <dxf>
      <numFmt numFmtId="13" formatCode="0%"/>
    </dxf>
    <dxf>
      <numFmt numFmtId="13" formatCode="0%"/>
    </dxf>
    <dxf>
      <numFmt numFmtId="13" formatCode="0%"/>
    </dxf>
    <dxf>
      <numFmt numFmtId="13" formatCode="0%"/>
    </dxf>
  </dxfs>
  <tableStyles count="0" defaultTableStyle="TableStyleMedium2" defaultPivotStyle="PivotStyleLight16"/>
  <colors>
    <mruColors>
      <color rgb="FF009999"/>
      <color rgb="FFCC66FF"/>
      <color rgb="FFBC88CA"/>
      <color rgb="FF6699FF"/>
      <color rgb="FF6666FF"/>
      <color rgb="FFFF7C80"/>
      <color rgb="FF9BFB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[NHS_A&amp;E(AutoRecovered).xlsx]Sheet1!PivotTable2</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Sheet1!$G$3</c:f>
              <c:strCache>
                <c:ptCount val="1"/>
                <c:pt idx="0">
                  <c:v>Sum of Wait_12hr_plus</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Sheet1!$F$4:$F$11</c:f>
              <c:strCache>
                <c:ptCount val="7"/>
                <c:pt idx="0">
                  <c:v>NHS ENGLAND NORTH WEST</c:v>
                </c:pt>
                <c:pt idx="1">
                  <c:v>NHS ENGLAND MIDLANDS</c:v>
                </c:pt>
                <c:pt idx="2">
                  <c:v>NHS ENGLAND LONDON</c:v>
                </c:pt>
                <c:pt idx="3">
                  <c:v>NHS ENGLAND SOUTH WEST</c:v>
                </c:pt>
                <c:pt idx="4">
                  <c:v>NHS ENGLAND SOUTH EAST</c:v>
                </c:pt>
                <c:pt idx="5">
                  <c:v>NHS ENGLAND EAST OF ENGLAND</c:v>
                </c:pt>
                <c:pt idx="6">
                  <c:v>NHS ENGLAND NORTH EAST AND YORKSHIRE</c:v>
                </c:pt>
              </c:strCache>
            </c:strRef>
          </c:cat>
          <c:val>
            <c:numRef>
              <c:f>Sheet1!$G$4:$G$11</c:f>
              <c:numCache>
                <c:formatCode>General</c:formatCode>
                <c:ptCount val="7"/>
                <c:pt idx="0">
                  <c:v>35784</c:v>
                </c:pt>
                <c:pt idx="1">
                  <c:v>43571</c:v>
                </c:pt>
                <c:pt idx="2">
                  <c:v>29700</c:v>
                </c:pt>
                <c:pt idx="3">
                  <c:v>14275</c:v>
                </c:pt>
                <c:pt idx="4">
                  <c:v>22272</c:v>
                </c:pt>
                <c:pt idx="5">
                  <c:v>15500</c:v>
                </c:pt>
                <c:pt idx="6">
                  <c:v>15839</c:v>
                </c:pt>
              </c:numCache>
            </c:numRef>
          </c:val>
          <c:extLst>
            <c:ext xmlns:c16="http://schemas.microsoft.com/office/drawing/2014/chart" uri="{C3380CC4-5D6E-409C-BE32-E72D297353CC}">
              <c16:uniqueId val="{00000000-EB08-4D4C-921C-CF53F656FDD1}"/>
            </c:ext>
          </c:extLst>
        </c:ser>
        <c:ser>
          <c:idx val="1"/>
          <c:order val="1"/>
          <c:tx>
            <c:strRef>
              <c:f>Sheet1!$H$3</c:f>
              <c:strCache>
                <c:ptCount val="1"/>
                <c:pt idx="0">
                  <c:v>Sum of Total attendance</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Sheet1!$F$4:$F$11</c:f>
              <c:strCache>
                <c:ptCount val="7"/>
                <c:pt idx="0">
                  <c:v>NHS ENGLAND NORTH WEST</c:v>
                </c:pt>
                <c:pt idx="1">
                  <c:v>NHS ENGLAND MIDLANDS</c:v>
                </c:pt>
                <c:pt idx="2">
                  <c:v>NHS ENGLAND LONDON</c:v>
                </c:pt>
                <c:pt idx="3">
                  <c:v>NHS ENGLAND SOUTH WEST</c:v>
                </c:pt>
                <c:pt idx="4">
                  <c:v>NHS ENGLAND SOUTH EAST</c:v>
                </c:pt>
                <c:pt idx="5">
                  <c:v>NHS ENGLAND EAST OF ENGLAND</c:v>
                </c:pt>
                <c:pt idx="6">
                  <c:v>NHS ENGLAND NORTH EAST AND YORKSHIRE</c:v>
                </c:pt>
              </c:strCache>
            </c:strRef>
          </c:cat>
          <c:val>
            <c:numRef>
              <c:f>Sheet1!$H$4:$H$11</c:f>
              <c:numCache>
                <c:formatCode>General</c:formatCode>
                <c:ptCount val="7"/>
                <c:pt idx="0">
                  <c:v>896340</c:v>
                </c:pt>
                <c:pt idx="1">
                  <c:v>1151797</c:v>
                </c:pt>
                <c:pt idx="2">
                  <c:v>1143746</c:v>
                </c:pt>
                <c:pt idx="3">
                  <c:v>553597</c:v>
                </c:pt>
                <c:pt idx="4">
                  <c:v>957630</c:v>
                </c:pt>
                <c:pt idx="5">
                  <c:v>676495</c:v>
                </c:pt>
                <c:pt idx="6">
                  <c:v>995294</c:v>
                </c:pt>
              </c:numCache>
            </c:numRef>
          </c:val>
          <c:extLst>
            <c:ext xmlns:c16="http://schemas.microsoft.com/office/drawing/2014/chart" uri="{C3380CC4-5D6E-409C-BE32-E72D297353CC}">
              <c16:uniqueId val="{00000001-EB08-4D4C-921C-CF53F656FDD1}"/>
            </c:ext>
          </c:extLst>
        </c:ser>
        <c:ser>
          <c:idx val="2"/>
          <c:order val="2"/>
          <c:tx>
            <c:strRef>
              <c:f>Sheet1!$I$3</c:f>
              <c:strCache>
                <c:ptCount val="1"/>
                <c:pt idx="0">
                  <c:v>Sum of 12hr_Wait_Rate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Sheet1!$F$4:$F$11</c:f>
              <c:strCache>
                <c:ptCount val="7"/>
                <c:pt idx="0">
                  <c:v>NHS ENGLAND NORTH WEST</c:v>
                </c:pt>
                <c:pt idx="1">
                  <c:v>NHS ENGLAND MIDLANDS</c:v>
                </c:pt>
                <c:pt idx="2">
                  <c:v>NHS ENGLAND LONDON</c:v>
                </c:pt>
                <c:pt idx="3">
                  <c:v>NHS ENGLAND SOUTH WEST</c:v>
                </c:pt>
                <c:pt idx="4">
                  <c:v>NHS ENGLAND SOUTH EAST</c:v>
                </c:pt>
                <c:pt idx="5">
                  <c:v>NHS ENGLAND EAST OF ENGLAND</c:v>
                </c:pt>
                <c:pt idx="6">
                  <c:v>NHS ENGLAND NORTH EAST AND YORKSHIRE</c:v>
                </c:pt>
              </c:strCache>
            </c:strRef>
          </c:cat>
          <c:val>
            <c:numRef>
              <c:f>Sheet1!$I$4:$I$11</c:f>
              <c:numCache>
                <c:formatCode>0%</c:formatCode>
                <c:ptCount val="7"/>
                <c:pt idx="0">
                  <c:v>3.9922350893634113E-2</c:v>
                </c:pt>
                <c:pt idx="1">
                  <c:v>3.7828714608563838E-2</c:v>
                </c:pt>
                <c:pt idx="2">
                  <c:v>2.5967303929368933E-2</c:v>
                </c:pt>
                <c:pt idx="3">
                  <c:v>2.5785905631714044E-2</c:v>
                </c:pt>
                <c:pt idx="4">
                  <c:v>2.3257416747595627E-2</c:v>
                </c:pt>
                <c:pt idx="5">
                  <c:v>2.2912216646094944E-2</c:v>
                </c:pt>
                <c:pt idx="6">
                  <c:v>1.5913890769963447E-2</c:v>
                </c:pt>
              </c:numCache>
            </c:numRef>
          </c:val>
          <c:extLst>
            <c:ext xmlns:c16="http://schemas.microsoft.com/office/drawing/2014/chart" uri="{C3380CC4-5D6E-409C-BE32-E72D297353CC}">
              <c16:uniqueId val="{00000002-EB08-4D4C-921C-CF53F656FDD1}"/>
            </c:ext>
          </c:extLst>
        </c:ser>
        <c:dLbls>
          <c:showLegendKey val="0"/>
          <c:showVal val="1"/>
          <c:showCatName val="0"/>
          <c:showSerName val="0"/>
          <c:showPercent val="0"/>
          <c:showBubbleSize val="0"/>
        </c:dLbls>
        <c:gapWidth val="65"/>
        <c:shape val="box"/>
        <c:axId val="1379546687"/>
        <c:axId val="1379551487"/>
        <c:axId val="0"/>
      </c:bar3DChart>
      <c:catAx>
        <c:axId val="13795466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9551487"/>
        <c:crosses val="autoZero"/>
        <c:auto val="1"/>
        <c:lblAlgn val="ctr"/>
        <c:lblOffset val="100"/>
        <c:noMultiLvlLbl val="0"/>
      </c:catAx>
      <c:valAx>
        <c:axId val="13795514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95466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[NHS_A&amp;E(AutoRecovered).xlsx]Sheet1!PivotTable4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Sheet1!$C$31</c:f>
              <c:strCache>
                <c:ptCount val="1"/>
                <c:pt idx="0">
                  <c:v>Sum of T1_Attendances</c:v>
                </c:pt>
              </c:strCache>
            </c:strRef>
          </c:tx>
          <c:spPr>
            <a:solidFill>
              <a:schemeClr val="accent1"/>
            </a:solidFill>
            <a:ln>
              <a:noFill/>
            </a:ln>
            <a:effectLst/>
          </c:spPr>
          <c:cat>
            <c:strRef>
              <c:f>Sheet1!$B$32:$B$34</c:f>
              <c:strCache>
                <c:ptCount val="2"/>
                <c:pt idx="0">
                  <c:v>2025</c:v>
                </c:pt>
                <c:pt idx="1">
                  <c:v>2026</c:v>
                </c:pt>
              </c:strCache>
            </c:strRef>
          </c:cat>
          <c:val>
            <c:numRef>
              <c:f>Sheet1!$C$32:$C$34</c:f>
              <c:numCache>
                <c:formatCode>General</c:formatCode>
                <c:ptCount val="2"/>
                <c:pt idx="0">
                  <c:v>12615592</c:v>
                </c:pt>
                <c:pt idx="1">
                  <c:v>4128108</c:v>
                </c:pt>
              </c:numCache>
            </c:numRef>
          </c:val>
          <c:extLst>
            <c:ext xmlns:c16="http://schemas.microsoft.com/office/drawing/2014/chart" uri="{C3380CC4-5D6E-409C-BE32-E72D297353CC}">
              <c16:uniqueId val="{00000000-3114-4357-9DA9-D77AD57601A5}"/>
            </c:ext>
          </c:extLst>
        </c:ser>
        <c:ser>
          <c:idx val="1"/>
          <c:order val="1"/>
          <c:tx>
            <c:strRef>
              <c:f>Sheet1!$D$31</c:f>
              <c:strCache>
                <c:ptCount val="1"/>
                <c:pt idx="0">
                  <c:v>Sum of Other_Attendances</c:v>
                </c:pt>
              </c:strCache>
            </c:strRef>
          </c:tx>
          <c:spPr>
            <a:solidFill>
              <a:schemeClr val="accent2"/>
            </a:solidFill>
            <a:ln>
              <a:noFill/>
            </a:ln>
            <a:effectLst/>
          </c:spPr>
          <c:cat>
            <c:strRef>
              <c:f>Sheet1!$B$32:$B$34</c:f>
              <c:strCache>
                <c:ptCount val="2"/>
                <c:pt idx="0">
                  <c:v>2025</c:v>
                </c:pt>
                <c:pt idx="1">
                  <c:v>2026</c:v>
                </c:pt>
              </c:strCache>
            </c:strRef>
          </c:cat>
          <c:val>
            <c:numRef>
              <c:f>Sheet1!$D$32:$D$34</c:f>
              <c:numCache>
                <c:formatCode>General</c:formatCode>
                <c:ptCount val="2"/>
                <c:pt idx="0">
                  <c:v>7266879</c:v>
                </c:pt>
                <c:pt idx="1">
                  <c:v>2349961</c:v>
                </c:pt>
              </c:numCache>
            </c:numRef>
          </c:val>
          <c:extLst>
            <c:ext xmlns:c16="http://schemas.microsoft.com/office/drawing/2014/chart" uri="{C3380CC4-5D6E-409C-BE32-E72D297353CC}">
              <c16:uniqueId val="{00000001-3114-4357-9DA9-D77AD57601A5}"/>
            </c:ext>
          </c:extLst>
        </c:ser>
        <c:dLbls>
          <c:showLegendKey val="0"/>
          <c:showVal val="0"/>
          <c:showCatName val="0"/>
          <c:showSerName val="0"/>
          <c:showPercent val="0"/>
          <c:showBubbleSize val="0"/>
        </c:dLbls>
        <c:axId val="1831945567"/>
        <c:axId val="1831938847"/>
      </c:areaChart>
      <c:catAx>
        <c:axId val="183194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8847"/>
        <c:crosses val="autoZero"/>
        <c:auto val="1"/>
        <c:lblAlgn val="ctr"/>
        <c:lblOffset val="100"/>
        <c:noMultiLvlLbl val="0"/>
      </c:catAx>
      <c:valAx>
        <c:axId val="183193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556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[NHS_A&amp;E(AutoRecovered).xlsx]Sheet1!PivotTable5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Sheet1!$G$33</c:f>
              <c:strCache>
                <c:ptCount val="1"/>
                <c:pt idx="0">
                  <c:v>Sum of T1_Attendances</c:v>
                </c:pt>
              </c:strCache>
            </c:strRef>
          </c:tx>
          <c:spPr>
            <a:solidFill>
              <a:schemeClr val="accent1"/>
            </a:solidFill>
            <a:ln>
              <a:noFill/>
            </a:ln>
            <a:effectLst/>
          </c:spPr>
          <c:invertIfNegative val="0"/>
          <c:cat>
            <c:strRef>
              <c:f>Sheet1!$F$34:$F$158</c:f>
              <c:strCache>
                <c:ptCount val="124"/>
                <c:pt idx="0">
                  <c:v>AIREDALE NHS FOUNDATION TRUST</c:v>
                </c:pt>
                <c:pt idx="1">
                  <c:v>ALDER HEY CHILDREN'S NHS FOUNDATION TRUST</c:v>
                </c:pt>
                <c:pt idx="2">
                  <c:v>ASHFORD AND ST PETER'S HOSPITALS NHS FOUNDATION TRUST</c:v>
                </c:pt>
                <c:pt idx="3">
                  <c:v>BARKING, HAVERING AND REDBRIDGE UNIVERSITY HOSPITALS NHS TRUST</c:v>
                </c:pt>
                <c:pt idx="4">
                  <c:v>BARNSLEY HOSPITAL NHS FOUNDATION TRUST</c:v>
                </c:pt>
                <c:pt idx="5">
                  <c:v>BARTS HEALTH NHS TRUST</c:v>
                </c:pt>
                <c:pt idx="6">
                  <c:v>BEDFORDSHIRE HOSPITALS NHS FOUNDATION TRUST</c:v>
                </c:pt>
                <c:pt idx="7">
                  <c:v>BIRMINGHAM WOMEN'S AND CHILDREN'S NHS FOUNDATION TRUST</c:v>
                </c:pt>
                <c:pt idx="8">
                  <c:v>BLACKPOOL TEACHING HOSPITALS NHS FOUNDATION TRUST</c:v>
                </c:pt>
                <c:pt idx="9">
                  <c:v>BOLTON NHS FOUNDATION TRUST</c:v>
                </c:pt>
                <c:pt idx="10">
                  <c:v>BRADFORD TEACHING HOSPITALS NHS FOUNDATION TRUST</c:v>
                </c:pt>
                <c:pt idx="11">
                  <c:v>BUCKINGHAMSHIRE HEALTHCARE NHS TRUST</c:v>
                </c:pt>
                <c:pt idx="12">
                  <c:v>CALDERDALE AND HUDDERSFIELD NHS FOUNDATION TRUST</c:v>
                </c:pt>
                <c:pt idx="13">
                  <c:v>CAMBRIDGE UNIVERSITY HOSPITALS NHS FOUNDATION TRUST</c:v>
                </c:pt>
                <c:pt idx="14">
                  <c:v>CHELSEA AND WESTMINSTER HOSPITAL NHS FOUNDATION TRUST</c:v>
                </c:pt>
                <c:pt idx="15">
                  <c:v>CHESTERFIELD ROYAL HOSPITAL NHS FOUNDATION TRUST</c:v>
                </c:pt>
                <c:pt idx="16">
                  <c:v>COUNTESS OF CHESTER HOSPITAL NHS FOUNDATION TRUST</c:v>
                </c:pt>
                <c:pt idx="17">
                  <c:v>COUNTY DURHAM AND DARLINGTON NHS FOUNDATION TRUST</c:v>
                </c:pt>
                <c:pt idx="18">
                  <c:v>CROYDON HEALTH SERVICES NHS TRUST</c:v>
                </c:pt>
                <c:pt idx="19">
                  <c:v>DARTFORD AND GRAVESHAM NHS TRUST</c:v>
                </c:pt>
                <c:pt idx="20">
                  <c:v>DONCASTER AND BASSETLAW TEACHING HOSPITALS NHS FOUNDATION TRUST</c:v>
                </c:pt>
                <c:pt idx="21">
                  <c:v>DORSET COUNTY HOSPITAL NHS FOUNDATION TRUST</c:v>
                </c:pt>
                <c:pt idx="22">
                  <c:v>EAST AND NORTH HERTFORDSHIRE NHS TRUST</c:v>
                </c:pt>
                <c:pt idx="23">
                  <c:v>EAST AND NORTH HERTFORDSHIRE TEACHING NHS TRUST</c:v>
                </c:pt>
                <c:pt idx="24">
                  <c:v>EAST CHESHIRE NHS TRUST</c:v>
                </c:pt>
                <c:pt idx="25">
                  <c:v>EAST KENT HOSPITALS UNIVERSITY NHS FOUNDATION TRUST</c:v>
                </c:pt>
                <c:pt idx="26">
                  <c:v>EAST LANCASHIRE HOSPITALS NHS TRUST</c:v>
                </c:pt>
                <c:pt idx="27">
                  <c:v>EAST SUFFOLK AND NORTH ESSEX NHS FOUNDATION TRUST</c:v>
                </c:pt>
                <c:pt idx="28">
                  <c:v>EAST SUSSEX HEALTHCARE NHS TRUST</c:v>
                </c:pt>
                <c:pt idx="29">
                  <c:v>EPSOM AND ST HELIER UNIVERSITY HOSPITALS NHS TRUST</c:v>
                </c:pt>
                <c:pt idx="30">
                  <c:v>FRIMLEY HEALTH NHS FOUNDATION TRUST</c:v>
                </c:pt>
                <c:pt idx="31">
                  <c:v>GATESHEAD HEALTH NHS FOUNDATION TRUST</c:v>
                </c:pt>
                <c:pt idx="32">
                  <c:v>GEORGE ELIOT HOSPITAL NHS TRUST</c:v>
                </c:pt>
                <c:pt idx="33">
                  <c:v>GLOUCESTERSHIRE HOSPITALS NHS FOUNDATION TRUST</c:v>
                </c:pt>
                <c:pt idx="34">
                  <c:v>GREAT WESTERN HOSPITALS NHS FOUNDATION TRUST</c:v>
                </c:pt>
                <c:pt idx="35">
                  <c:v>GUY'S AND ST THOMAS' NHS FOUNDATION TRUST</c:v>
                </c:pt>
                <c:pt idx="36">
                  <c:v>HAMPSHIRE HOSPITALS NHS FOUNDATION TRUST</c:v>
                </c:pt>
                <c:pt idx="37">
                  <c:v>HARROGATE AND DISTRICT NHS FOUNDATION TRUST</c:v>
                </c:pt>
                <c:pt idx="38">
                  <c:v>HOMERTON HEALTHCARE NHS FOUNDATION TRUST</c:v>
                </c:pt>
                <c:pt idx="39">
                  <c:v>HULL UNIVERSITY TEACHING HOSPITALS NHS TRUST</c:v>
                </c:pt>
                <c:pt idx="40">
                  <c:v>IMPERIAL COLLEGE HEALTHCARE NHS TRUST</c:v>
                </c:pt>
                <c:pt idx="41">
                  <c:v>ISLE OF WIGHT NHS TRUST</c:v>
                </c:pt>
                <c:pt idx="42">
                  <c:v>JAMES PAGET UNIVERSITY HOSPITALS NHS FOUNDATION TRUST</c:v>
                </c:pt>
                <c:pt idx="43">
                  <c:v>KETTERING GENERAL HOSPITAL NHS FOUNDATION TRUST</c:v>
                </c:pt>
                <c:pt idx="44">
                  <c:v>KING'S COLLEGE HOSPITAL NHS FOUNDATION TRUST</c:v>
                </c:pt>
                <c:pt idx="45">
                  <c:v>KINGSTON AND RICHMOND NHS FOUNDATION TRUST</c:v>
                </c:pt>
                <c:pt idx="46">
                  <c:v>LANCASHIRE TEACHING HOSPITALS NHS FOUNDATION TRUST</c:v>
                </c:pt>
                <c:pt idx="47">
                  <c:v>LEEDS TEACHING HOSPITALS NHS TRUST</c:v>
                </c:pt>
                <c:pt idx="48">
                  <c:v>LEWISHAM AND GREENWICH NHS TRUST</c:v>
                </c:pt>
                <c:pt idx="49">
                  <c:v>LIVERPOOL UNIVERSITY HOSPITALS NHS FOUNDATION TRUST</c:v>
                </c:pt>
                <c:pt idx="50">
                  <c:v>LONDON NORTH WEST UNIVERSITY HEALTHCARE NHS TRUST</c:v>
                </c:pt>
                <c:pt idx="51">
                  <c:v>MAIDSTONE AND TUNBRIDGE WELLS NHS TRUST</c:v>
                </c:pt>
                <c:pt idx="52">
                  <c:v>MANCHESTER UNIVERSITY NHS FOUNDATION TRUST</c:v>
                </c:pt>
                <c:pt idx="53">
                  <c:v>MEDWAY NHS FOUNDATION TRUST</c:v>
                </c:pt>
                <c:pt idx="54">
                  <c:v>MERSEY AND WEST LANCASHIRE TEACHING HOSPITALS NHS TRUST</c:v>
                </c:pt>
                <c:pt idx="55">
                  <c:v>MID AND SOUTH ESSEX NHS FOUNDATION TRUST</c:v>
                </c:pt>
                <c:pt idx="56">
                  <c:v>MID CHESHIRE HOSPITALS NHS FOUNDATION TRUST</c:v>
                </c:pt>
                <c:pt idx="57">
                  <c:v>MID YORKSHIRE TEACHING NHS TRUST</c:v>
                </c:pt>
                <c:pt idx="58">
                  <c:v>MILTON KEYNES UNIVERSITY HOSPITAL NHS FOUNDATION TRUST</c:v>
                </c:pt>
                <c:pt idx="59">
                  <c:v>NORFOLK AND NORWICH UNIVERSITY HOSPITALS NHS FOUNDATION TRUST</c:v>
                </c:pt>
                <c:pt idx="60">
                  <c:v>NORTH BRISTOL NHS TRUST</c:v>
                </c:pt>
                <c:pt idx="61">
                  <c:v>NORTH CUMBRIA INTEGRATED CARE NHS FOUNDATION TRUST</c:v>
                </c:pt>
                <c:pt idx="62">
                  <c:v>NORTH TEES AND HARTLEPOOL NHS FOUNDATION TRUST</c:v>
                </c:pt>
                <c:pt idx="63">
                  <c:v>NORTH WEST ANGLIA NHS FOUNDATION TRUST</c:v>
                </c:pt>
                <c:pt idx="64">
                  <c:v>NORTHAMPTON GENERAL HOSPITAL NHS TRUST</c:v>
                </c:pt>
                <c:pt idx="65">
                  <c:v>NORTHERN CARE ALLIANCE NHS FOUNDATION TRUST</c:v>
                </c:pt>
                <c:pt idx="66">
                  <c:v>NORTHERN LINCOLNSHIRE AND GOOLE NHS FOUNDATION TRUST</c:v>
                </c:pt>
                <c:pt idx="67">
                  <c:v>NORTHUMBRIA HEALTHCARE NHS FOUNDATION TRUST</c:v>
                </c:pt>
                <c:pt idx="68">
                  <c:v>NOTTINGHAM UNIVERSITY HOSPITALS NHS TRUST</c:v>
                </c:pt>
                <c:pt idx="69">
                  <c:v>OXFORD UNIVERSITY HOSPITALS NHS FOUNDATION TRUST</c:v>
                </c:pt>
                <c:pt idx="70">
                  <c:v>PORTSMOUTH HOSPITALS UNIVERSITY NHS TRUST</c:v>
                </c:pt>
                <c:pt idx="71">
                  <c:v>ROYAL BERKSHIRE NHS FOUNDATION TRUST</c:v>
                </c:pt>
                <c:pt idx="72">
                  <c:v>ROYAL CORNWALL HOSPITALS NHS TRUST</c:v>
                </c:pt>
                <c:pt idx="73">
                  <c:v>ROYAL DEVON UNIVERSITY HEALTHCARE NHS FOUNDATION TRUST</c:v>
                </c:pt>
                <c:pt idx="74">
                  <c:v>ROYAL FREE LONDON NHS FOUNDATION TRUST</c:v>
                </c:pt>
                <c:pt idx="75">
                  <c:v>ROYAL SURREY COUNTY HOSPITAL NHS FOUNDATION TRUST</c:v>
                </c:pt>
                <c:pt idx="76">
                  <c:v>ROYAL SURREY NHS FOUNDATION TRUST</c:v>
                </c:pt>
                <c:pt idx="77">
                  <c:v>ROYAL UNITED HOSPITALS BATH NHS FOUNDATION TRUST</c:v>
                </c:pt>
                <c:pt idx="78">
                  <c:v>SALISBURY NHS FOUNDATION TRUST</c:v>
                </c:pt>
                <c:pt idx="79">
                  <c:v>SANDWELL AND WEST BIRMINGHAM HOSPITALS NHS TRUST</c:v>
                </c:pt>
                <c:pt idx="80">
                  <c:v>SHEFFIELD CHILDREN'S NHS FOUNDATION TRUST</c:v>
                </c:pt>
                <c:pt idx="81">
                  <c:v>SHEFFIELD TEACHING HOSPITALS NHS FOUNDATION TRUST</c:v>
                </c:pt>
                <c:pt idx="82">
                  <c:v>SHERWOOD FOREST HOSPITALS NHS FOUNDATION TRUST</c:v>
                </c:pt>
                <c:pt idx="83">
                  <c:v>SOMERSET NHS FOUNDATION TRUST</c:v>
                </c:pt>
                <c:pt idx="84">
                  <c:v>SOUTH TEES HOSPITALS NHS FOUNDATION TRUST</c:v>
                </c:pt>
                <c:pt idx="85">
                  <c:v>SOUTH TYNESIDE AND SUNDERLAND NHS FOUNDATION TRUST</c:v>
                </c:pt>
                <c:pt idx="86">
                  <c:v>SOUTH WARWICKSHIRE UNIVERSITY NHS FOUNDATION TRUST</c:v>
                </c:pt>
                <c:pt idx="87">
                  <c:v>ST GEORGE'S UNIVERSITY HOSPITALS NHS FOUNDATION TRUST</c:v>
                </c:pt>
                <c:pt idx="88">
                  <c:v>STOCKPORT NHS FOUNDATION TRUST</c:v>
                </c:pt>
                <c:pt idx="89">
                  <c:v>SURREY AND SUSSEX HEALTHCARE NHS TRUST</c:v>
                </c:pt>
                <c:pt idx="90">
                  <c:v>TAMESIDE AND GLOSSOP INTEGRATED CARE NHS FOUNDATION TRUST</c:v>
                </c:pt>
                <c:pt idx="91">
                  <c:v>THE DUDLEY GROUP NHS FOUNDATION TRUST</c:v>
                </c:pt>
                <c:pt idx="92">
                  <c:v>THE HILLINGDON HOSPITALS NHS FOUNDATION TRUST</c:v>
                </c:pt>
                <c:pt idx="93">
                  <c:v>THE NEWCASTLE UPON TYNE HOSPITALS NHS FOUNDATION TRUST</c:v>
                </c:pt>
                <c:pt idx="94">
                  <c:v>THE PRINCESS ALEXANDRA HOSPITAL NHS TRUST</c:v>
                </c:pt>
                <c:pt idx="95">
                  <c:v>THE QUEEN ELIZABETH HOSPITAL, KING'S LYNN, NHS FOUNDATION TRUST</c:v>
                </c:pt>
                <c:pt idx="96">
                  <c:v>THE ROTHERHAM NHS FOUNDATION TRUST</c:v>
                </c:pt>
                <c:pt idx="97">
                  <c:v>THE ROYAL WOLVERHAMPTON NHS TRUST</c:v>
                </c:pt>
                <c:pt idx="98">
                  <c:v>THE SHREWSBURY AND TELFORD HOSPITAL NHS TRUST</c:v>
                </c:pt>
                <c:pt idx="99">
                  <c:v>TORBAY AND SOUTH DEVON NHS FOUNDATION TRUST</c:v>
                </c:pt>
                <c:pt idx="100">
                  <c:v>UNITED LINCOLNSHIRE TEACHING HOSPITALS NHS TRUST</c:v>
                </c:pt>
                <c:pt idx="101">
                  <c:v>UNIVERSITY COLLEGE LONDON HOSPITALS NHS FOUNDATION TRUST</c:v>
                </c:pt>
                <c:pt idx="102">
                  <c:v>UNIVERSITY HOSPITAL SOUTHAMPTON NHS FOUNDATION TRUST</c:v>
                </c:pt>
                <c:pt idx="103">
                  <c:v>UNIVERSITY HOSPITALS BIRMINGHAM NHS FOUNDATION TRUST</c:v>
                </c:pt>
                <c:pt idx="104">
                  <c:v>UNIVERSITY HOSPITALS BRISTOL AND WESTON NHS FOUNDATION TRUST</c:v>
                </c:pt>
                <c:pt idx="105">
                  <c:v>UNIVERSITY HOSPITALS COVENTRY AND WARWICKSHIRE NHS TRUST</c:v>
                </c:pt>
                <c:pt idx="106">
                  <c:v>UNIVERSITY HOSPITALS DORSET NHS FOUNDATION TRUST</c:v>
                </c:pt>
                <c:pt idx="107">
                  <c:v>UNIVERSITY HOSPITALS OF DERBY AND BURTON NHS FOUNDATION TRUST</c:v>
                </c:pt>
                <c:pt idx="108">
                  <c:v>UNIVERSITY HOSPITALS OF LEICESTER NHS TRUST</c:v>
                </c:pt>
                <c:pt idx="109">
                  <c:v>UNIVERSITY HOSPITALS OF MORECAMBE BAY NHS FOUNDATION TRUST</c:v>
                </c:pt>
                <c:pt idx="110">
                  <c:v>UNIVERSITY HOSPITALS OF NORTH MIDLANDS NHS TRUST</c:v>
                </c:pt>
                <c:pt idx="111">
                  <c:v>UNIVERSITY HOSPITALS PLYMOUTH NHS TRUST</c:v>
                </c:pt>
                <c:pt idx="112">
                  <c:v>UNIVERSITY HOSPITALS SUSSEX NHS FOUNDATION TRUST</c:v>
                </c:pt>
                <c:pt idx="113">
                  <c:v>WALSALL HEALTHCARE NHS TRUST</c:v>
                </c:pt>
                <c:pt idx="114">
                  <c:v>WARRINGTON AND HALTON TEACHING HOSPITALS NHS FOUNDATION TRUST</c:v>
                </c:pt>
                <c:pt idx="115">
                  <c:v>WEST HERTFORDSHIRE TEACHING HOSPITALS NHS TRUST</c:v>
                </c:pt>
                <c:pt idx="116">
                  <c:v>WEST SUFFOLK NHS FOUNDATION TRUST</c:v>
                </c:pt>
                <c:pt idx="117">
                  <c:v>WHITTINGTON HEALTH NHS TRUST</c:v>
                </c:pt>
                <c:pt idx="118">
                  <c:v>WIRRAL UNIVERSITY TEACHING HOSPITAL NHS FOUNDATION TRUST</c:v>
                </c:pt>
                <c:pt idx="119">
                  <c:v>WORCESTERSHIRE ACUTE HOSPITALS NHS TRUST</c:v>
                </c:pt>
                <c:pt idx="120">
                  <c:v>WRIGHTINGTON, WIGAN AND LEIGH NHS FOUNDATION TRUST</c:v>
                </c:pt>
                <c:pt idx="121">
                  <c:v>WRIGHTINGTON, WIGAN AND LEIGH TEACHING HOSPITALS NHS FOUNDATION TRUST</c:v>
                </c:pt>
                <c:pt idx="122">
                  <c:v>WYE VALLEY NHS TRUST</c:v>
                </c:pt>
                <c:pt idx="123">
                  <c:v>YORK AND SCARBOROUGH TEACHING HOSPITALS NHS FOUNDATION TRUST</c:v>
                </c:pt>
              </c:strCache>
            </c:strRef>
          </c:cat>
          <c:val>
            <c:numRef>
              <c:f>Sheet1!$G$34:$G$158</c:f>
              <c:numCache>
                <c:formatCode>General</c:formatCode>
                <c:ptCount val="124"/>
                <c:pt idx="0">
                  <c:v>72277</c:v>
                </c:pt>
                <c:pt idx="1">
                  <c:v>70785</c:v>
                </c:pt>
                <c:pt idx="2">
                  <c:v>88158</c:v>
                </c:pt>
                <c:pt idx="3">
                  <c:v>161554</c:v>
                </c:pt>
                <c:pt idx="4">
                  <c:v>110603</c:v>
                </c:pt>
                <c:pt idx="5">
                  <c:v>305760</c:v>
                </c:pt>
                <c:pt idx="6">
                  <c:v>201877</c:v>
                </c:pt>
                <c:pt idx="7">
                  <c:v>57390</c:v>
                </c:pt>
                <c:pt idx="8">
                  <c:v>106388</c:v>
                </c:pt>
                <c:pt idx="9">
                  <c:v>98344</c:v>
                </c:pt>
                <c:pt idx="10">
                  <c:v>111776</c:v>
                </c:pt>
                <c:pt idx="11">
                  <c:v>120816</c:v>
                </c:pt>
                <c:pt idx="12">
                  <c:v>192172</c:v>
                </c:pt>
                <c:pt idx="13">
                  <c:v>130671</c:v>
                </c:pt>
                <c:pt idx="14">
                  <c:v>237084</c:v>
                </c:pt>
                <c:pt idx="15">
                  <c:v>76171</c:v>
                </c:pt>
                <c:pt idx="16">
                  <c:v>64462</c:v>
                </c:pt>
                <c:pt idx="17">
                  <c:v>154625</c:v>
                </c:pt>
                <c:pt idx="18">
                  <c:v>156286</c:v>
                </c:pt>
                <c:pt idx="19">
                  <c:v>136640</c:v>
                </c:pt>
                <c:pt idx="20">
                  <c:v>166412</c:v>
                </c:pt>
                <c:pt idx="21">
                  <c:v>54622</c:v>
                </c:pt>
                <c:pt idx="22">
                  <c:v>43314</c:v>
                </c:pt>
                <c:pt idx="23">
                  <c:v>64151</c:v>
                </c:pt>
                <c:pt idx="24">
                  <c:v>53202</c:v>
                </c:pt>
                <c:pt idx="25">
                  <c:v>155660</c:v>
                </c:pt>
                <c:pt idx="26">
                  <c:v>163072</c:v>
                </c:pt>
                <c:pt idx="27">
                  <c:v>138748</c:v>
                </c:pt>
                <c:pt idx="28">
                  <c:v>107317</c:v>
                </c:pt>
                <c:pt idx="29">
                  <c:v>132725</c:v>
                </c:pt>
                <c:pt idx="30">
                  <c:v>271749</c:v>
                </c:pt>
                <c:pt idx="31">
                  <c:v>70789</c:v>
                </c:pt>
                <c:pt idx="32">
                  <c:v>83605</c:v>
                </c:pt>
                <c:pt idx="33">
                  <c:v>160541</c:v>
                </c:pt>
                <c:pt idx="34">
                  <c:v>71163</c:v>
                </c:pt>
                <c:pt idx="35">
                  <c:v>122924</c:v>
                </c:pt>
                <c:pt idx="36">
                  <c:v>128090</c:v>
                </c:pt>
                <c:pt idx="37">
                  <c:v>62153</c:v>
                </c:pt>
                <c:pt idx="38">
                  <c:v>132768</c:v>
                </c:pt>
                <c:pt idx="39">
                  <c:v>116768</c:v>
                </c:pt>
                <c:pt idx="40">
                  <c:v>145309</c:v>
                </c:pt>
                <c:pt idx="41">
                  <c:v>50764</c:v>
                </c:pt>
                <c:pt idx="42">
                  <c:v>89217</c:v>
                </c:pt>
                <c:pt idx="43">
                  <c:v>122553</c:v>
                </c:pt>
                <c:pt idx="44">
                  <c:v>186678</c:v>
                </c:pt>
                <c:pt idx="45">
                  <c:v>83358</c:v>
                </c:pt>
                <c:pt idx="46">
                  <c:v>144196</c:v>
                </c:pt>
                <c:pt idx="47">
                  <c:v>213504</c:v>
                </c:pt>
                <c:pt idx="48">
                  <c:v>190385</c:v>
                </c:pt>
                <c:pt idx="49">
                  <c:v>192474</c:v>
                </c:pt>
                <c:pt idx="50">
                  <c:v>164066</c:v>
                </c:pt>
                <c:pt idx="51">
                  <c:v>224932</c:v>
                </c:pt>
                <c:pt idx="52">
                  <c:v>309660</c:v>
                </c:pt>
                <c:pt idx="53">
                  <c:v>114871</c:v>
                </c:pt>
                <c:pt idx="54">
                  <c:v>208546</c:v>
                </c:pt>
                <c:pt idx="55">
                  <c:v>343747</c:v>
                </c:pt>
                <c:pt idx="56">
                  <c:v>84933</c:v>
                </c:pt>
                <c:pt idx="57">
                  <c:v>198544</c:v>
                </c:pt>
                <c:pt idx="58">
                  <c:v>97109</c:v>
                </c:pt>
                <c:pt idx="59">
                  <c:v>152705</c:v>
                </c:pt>
                <c:pt idx="60">
                  <c:v>110606</c:v>
                </c:pt>
                <c:pt idx="61">
                  <c:v>106085</c:v>
                </c:pt>
                <c:pt idx="62">
                  <c:v>59209</c:v>
                </c:pt>
                <c:pt idx="63">
                  <c:v>179535</c:v>
                </c:pt>
                <c:pt idx="64">
                  <c:v>125498</c:v>
                </c:pt>
                <c:pt idx="65">
                  <c:v>313494</c:v>
                </c:pt>
                <c:pt idx="66">
                  <c:v>114803</c:v>
                </c:pt>
                <c:pt idx="67">
                  <c:v>123841</c:v>
                </c:pt>
                <c:pt idx="68">
                  <c:v>153351</c:v>
                </c:pt>
                <c:pt idx="69">
                  <c:v>147484</c:v>
                </c:pt>
                <c:pt idx="70">
                  <c:v>127358</c:v>
                </c:pt>
                <c:pt idx="71">
                  <c:v>132716</c:v>
                </c:pt>
                <c:pt idx="72">
                  <c:v>82361</c:v>
                </c:pt>
                <c:pt idx="73">
                  <c:v>153723</c:v>
                </c:pt>
                <c:pt idx="74">
                  <c:v>313776</c:v>
                </c:pt>
                <c:pt idx="75">
                  <c:v>33220</c:v>
                </c:pt>
                <c:pt idx="76">
                  <c:v>47241</c:v>
                </c:pt>
                <c:pt idx="77">
                  <c:v>107136</c:v>
                </c:pt>
                <c:pt idx="78">
                  <c:v>56530</c:v>
                </c:pt>
                <c:pt idx="79">
                  <c:v>136068</c:v>
                </c:pt>
                <c:pt idx="80">
                  <c:v>53216</c:v>
                </c:pt>
                <c:pt idx="81">
                  <c:v>106838</c:v>
                </c:pt>
                <c:pt idx="82">
                  <c:v>131388</c:v>
                </c:pt>
                <c:pt idx="83">
                  <c:v>147892</c:v>
                </c:pt>
                <c:pt idx="84">
                  <c:v>89015</c:v>
                </c:pt>
                <c:pt idx="85">
                  <c:v>134524</c:v>
                </c:pt>
                <c:pt idx="86">
                  <c:v>99705</c:v>
                </c:pt>
                <c:pt idx="87">
                  <c:v>103814</c:v>
                </c:pt>
                <c:pt idx="88">
                  <c:v>95448</c:v>
                </c:pt>
                <c:pt idx="89">
                  <c:v>127380</c:v>
                </c:pt>
                <c:pt idx="90">
                  <c:v>101711</c:v>
                </c:pt>
                <c:pt idx="91">
                  <c:v>119003</c:v>
                </c:pt>
                <c:pt idx="92">
                  <c:v>66118</c:v>
                </c:pt>
                <c:pt idx="93">
                  <c:v>146955</c:v>
                </c:pt>
                <c:pt idx="94">
                  <c:v>99401</c:v>
                </c:pt>
                <c:pt idx="95">
                  <c:v>79663</c:v>
                </c:pt>
                <c:pt idx="96">
                  <c:v>111229</c:v>
                </c:pt>
                <c:pt idx="97">
                  <c:v>142208</c:v>
                </c:pt>
                <c:pt idx="98">
                  <c:v>129655</c:v>
                </c:pt>
                <c:pt idx="99">
                  <c:v>79832</c:v>
                </c:pt>
                <c:pt idx="100">
                  <c:v>204323</c:v>
                </c:pt>
                <c:pt idx="101">
                  <c:v>159521</c:v>
                </c:pt>
                <c:pt idx="102">
                  <c:v>140531</c:v>
                </c:pt>
                <c:pt idx="103">
                  <c:v>414623</c:v>
                </c:pt>
                <c:pt idx="104">
                  <c:v>188807</c:v>
                </c:pt>
                <c:pt idx="105">
                  <c:v>149153</c:v>
                </c:pt>
                <c:pt idx="106">
                  <c:v>173162</c:v>
                </c:pt>
                <c:pt idx="107">
                  <c:v>225634</c:v>
                </c:pt>
                <c:pt idx="108">
                  <c:v>264994</c:v>
                </c:pt>
                <c:pt idx="109">
                  <c:v>108549</c:v>
                </c:pt>
                <c:pt idx="110">
                  <c:v>174149</c:v>
                </c:pt>
                <c:pt idx="111">
                  <c:v>107510</c:v>
                </c:pt>
                <c:pt idx="112">
                  <c:v>321536</c:v>
                </c:pt>
                <c:pt idx="113">
                  <c:v>114286</c:v>
                </c:pt>
                <c:pt idx="114">
                  <c:v>82707</c:v>
                </c:pt>
                <c:pt idx="115">
                  <c:v>100615</c:v>
                </c:pt>
                <c:pt idx="116">
                  <c:v>94569</c:v>
                </c:pt>
                <c:pt idx="117">
                  <c:v>107773</c:v>
                </c:pt>
                <c:pt idx="118">
                  <c:v>94474</c:v>
                </c:pt>
                <c:pt idx="119">
                  <c:v>165200</c:v>
                </c:pt>
                <c:pt idx="120">
                  <c:v>67550</c:v>
                </c:pt>
                <c:pt idx="121">
                  <c:v>20544</c:v>
                </c:pt>
                <c:pt idx="122">
                  <c:v>71325</c:v>
                </c:pt>
                <c:pt idx="123">
                  <c:v>131972</c:v>
                </c:pt>
              </c:numCache>
            </c:numRef>
          </c:val>
          <c:extLst>
            <c:ext xmlns:c16="http://schemas.microsoft.com/office/drawing/2014/chart" uri="{C3380CC4-5D6E-409C-BE32-E72D297353CC}">
              <c16:uniqueId val="{00000000-1B0F-4E2A-B69A-8A344DB3565E}"/>
            </c:ext>
          </c:extLst>
        </c:ser>
        <c:ser>
          <c:idx val="1"/>
          <c:order val="1"/>
          <c:tx>
            <c:strRef>
              <c:f>Sheet1!$H$33</c:f>
              <c:strCache>
                <c:ptCount val="1"/>
                <c:pt idx="0">
                  <c:v>Sum of T1_Over4hrs</c:v>
                </c:pt>
              </c:strCache>
            </c:strRef>
          </c:tx>
          <c:spPr>
            <a:solidFill>
              <a:schemeClr val="accent2"/>
            </a:solidFill>
            <a:ln>
              <a:noFill/>
            </a:ln>
            <a:effectLst/>
          </c:spPr>
          <c:invertIfNegative val="0"/>
          <c:cat>
            <c:strRef>
              <c:f>Sheet1!$F$34:$F$158</c:f>
              <c:strCache>
                <c:ptCount val="124"/>
                <c:pt idx="0">
                  <c:v>AIREDALE NHS FOUNDATION TRUST</c:v>
                </c:pt>
                <c:pt idx="1">
                  <c:v>ALDER HEY CHILDREN'S NHS FOUNDATION TRUST</c:v>
                </c:pt>
                <c:pt idx="2">
                  <c:v>ASHFORD AND ST PETER'S HOSPITALS NHS FOUNDATION TRUST</c:v>
                </c:pt>
                <c:pt idx="3">
                  <c:v>BARKING, HAVERING AND REDBRIDGE UNIVERSITY HOSPITALS NHS TRUST</c:v>
                </c:pt>
                <c:pt idx="4">
                  <c:v>BARNSLEY HOSPITAL NHS FOUNDATION TRUST</c:v>
                </c:pt>
                <c:pt idx="5">
                  <c:v>BARTS HEALTH NHS TRUST</c:v>
                </c:pt>
                <c:pt idx="6">
                  <c:v>BEDFORDSHIRE HOSPITALS NHS FOUNDATION TRUST</c:v>
                </c:pt>
                <c:pt idx="7">
                  <c:v>BIRMINGHAM WOMEN'S AND CHILDREN'S NHS FOUNDATION TRUST</c:v>
                </c:pt>
                <c:pt idx="8">
                  <c:v>BLACKPOOL TEACHING HOSPITALS NHS FOUNDATION TRUST</c:v>
                </c:pt>
                <c:pt idx="9">
                  <c:v>BOLTON NHS FOUNDATION TRUST</c:v>
                </c:pt>
                <c:pt idx="10">
                  <c:v>BRADFORD TEACHING HOSPITALS NHS FOUNDATION TRUST</c:v>
                </c:pt>
                <c:pt idx="11">
                  <c:v>BUCKINGHAMSHIRE HEALTHCARE NHS TRUST</c:v>
                </c:pt>
                <c:pt idx="12">
                  <c:v>CALDERDALE AND HUDDERSFIELD NHS FOUNDATION TRUST</c:v>
                </c:pt>
                <c:pt idx="13">
                  <c:v>CAMBRIDGE UNIVERSITY HOSPITALS NHS FOUNDATION TRUST</c:v>
                </c:pt>
                <c:pt idx="14">
                  <c:v>CHELSEA AND WESTMINSTER HOSPITAL NHS FOUNDATION TRUST</c:v>
                </c:pt>
                <c:pt idx="15">
                  <c:v>CHESTERFIELD ROYAL HOSPITAL NHS FOUNDATION TRUST</c:v>
                </c:pt>
                <c:pt idx="16">
                  <c:v>COUNTESS OF CHESTER HOSPITAL NHS FOUNDATION TRUST</c:v>
                </c:pt>
                <c:pt idx="17">
                  <c:v>COUNTY DURHAM AND DARLINGTON NHS FOUNDATION TRUST</c:v>
                </c:pt>
                <c:pt idx="18">
                  <c:v>CROYDON HEALTH SERVICES NHS TRUST</c:v>
                </c:pt>
                <c:pt idx="19">
                  <c:v>DARTFORD AND GRAVESHAM NHS TRUST</c:v>
                </c:pt>
                <c:pt idx="20">
                  <c:v>DONCASTER AND BASSETLAW TEACHING HOSPITALS NHS FOUNDATION TRUST</c:v>
                </c:pt>
                <c:pt idx="21">
                  <c:v>DORSET COUNTY HOSPITAL NHS FOUNDATION TRUST</c:v>
                </c:pt>
                <c:pt idx="22">
                  <c:v>EAST AND NORTH HERTFORDSHIRE NHS TRUST</c:v>
                </c:pt>
                <c:pt idx="23">
                  <c:v>EAST AND NORTH HERTFORDSHIRE TEACHING NHS TRUST</c:v>
                </c:pt>
                <c:pt idx="24">
                  <c:v>EAST CHESHIRE NHS TRUST</c:v>
                </c:pt>
                <c:pt idx="25">
                  <c:v>EAST KENT HOSPITALS UNIVERSITY NHS FOUNDATION TRUST</c:v>
                </c:pt>
                <c:pt idx="26">
                  <c:v>EAST LANCASHIRE HOSPITALS NHS TRUST</c:v>
                </c:pt>
                <c:pt idx="27">
                  <c:v>EAST SUFFOLK AND NORTH ESSEX NHS FOUNDATION TRUST</c:v>
                </c:pt>
                <c:pt idx="28">
                  <c:v>EAST SUSSEX HEALTHCARE NHS TRUST</c:v>
                </c:pt>
                <c:pt idx="29">
                  <c:v>EPSOM AND ST HELIER UNIVERSITY HOSPITALS NHS TRUST</c:v>
                </c:pt>
                <c:pt idx="30">
                  <c:v>FRIMLEY HEALTH NHS FOUNDATION TRUST</c:v>
                </c:pt>
                <c:pt idx="31">
                  <c:v>GATESHEAD HEALTH NHS FOUNDATION TRUST</c:v>
                </c:pt>
                <c:pt idx="32">
                  <c:v>GEORGE ELIOT HOSPITAL NHS TRUST</c:v>
                </c:pt>
                <c:pt idx="33">
                  <c:v>GLOUCESTERSHIRE HOSPITALS NHS FOUNDATION TRUST</c:v>
                </c:pt>
                <c:pt idx="34">
                  <c:v>GREAT WESTERN HOSPITALS NHS FOUNDATION TRUST</c:v>
                </c:pt>
                <c:pt idx="35">
                  <c:v>GUY'S AND ST THOMAS' NHS FOUNDATION TRUST</c:v>
                </c:pt>
                <c:pt idx="36">
                  <c:v>HAMPSHIRE HOSPITALS NHS FOUNDATION TRUST</c:v>
                </c:pt>
                <c:pt idx="37">
                  <c:v>HARROGATE AND DISTRICT NHS FOUNDATION TRUST</c:v>
                </c:pt>
                <c:pt idx="38">
                  <c:v>HOMERTON HEALTHCARE NHS FOUNDATION TRUST</c:v>
                </c:pt>
                <c:pt idx="39">
                  <c:v>HULL UNIVERSITY TEACHING HOSPITALS NHS TRUST</c:v>
                </c:pt>
                <c:pt idx="40">
                  <c:v>IMPERIAL COLLEGE HEALTHCARE NHS TRUST</c:v>
                </c:pt>
                <c:pt idx="41">
                  <c:v>ISLE OF WIGHT NHS TRUST</c:v>
                </c:pt>
                <c:pt idx="42">
                  <c:v>JAMES PAGET UNIVERSITY HOSPITALS NHS FOUNDATION TRUST</c:v>
                </c:pt>
                <c:pt idx="43">
                  <c:v>KETTERING GENERAL HOSPITAL NHS FOUNDATION TRUST</c:v>
                </c:pt>
                <c:pt idx="44">
                  <c:v>KING'S COLLEGE HOSPITAL NHS FOUNDATION TRUST</c:v>
                </c:pt>
                <c:pt idx="45">
                  <c:v>KINGSTON AND RICHMOND NHS FOUNDATION TRUST</c:v>
                </c:pt>
                <c:pt idx="46">
                  <c:v>LANCASHIRE TEACHING HOSPITALS NHS FOUNDATION TRUST</c:v>
                </c:pt>
                <c:pt idx="47">
                  <c:v>LEEDS TEACHING HOSPITALS NHS TRUST</c:v>
                </c:pt>
                <c:pt idx="48">
                  <c:v>LEWISHAM AND GREENWICH NHS TRUST</c:v>
                </c:pt>
                <c:pt idx="49">
                  <c:v>LIVERPOOL UNIVERSITY HOSPITALS NHS FOUNDATION TRUST</c:v>
                </c:pt>
                <c:pt idx="50">
                  <c:v>LONDON NORTH WEST UNIVERSITY HEALTHCARE NHS TRUST</c:v>
                </c:pt>
                <c:pt idx="51">
                  <c:v>MAIDSTONE AND TUNBRIDGE WELLS NHS TRUST</c:v>
                </c:pt>
                <c:pt idx="52">
                  <c:v>MANCHESTER UNIVERSITY NHS FOUNDATION TRUST</c:v>
                </c:pt>
                <c:pt idx="53">
                  <c:v>MEDWAY NHS FOUNDATION TRUST</c:v>
                </c:pt>
                <c:pt idx="54">
                  <c:v>MERSEY AND WEST LANCASHIRE TEACHING HOSPITALS NHS TRUST</c:v>
                </c:pt>
                <c:pt idx="55">
                  <c:v>MID AND SOUTH ESSEX NHS FOUNDATION TRUST</c:v>
                </c:pt>
                <c:pt idx="56">
                  <c:v>MID CHESHIRE HOSPITALS NHS FOUNDATION TRUST</c:v>
                </c:pt>
                <c:pt idx="57">
                  <c:v>MID YORKSHIRE TEACHING NHS TRUST</c:v>
                </c:pt>
                <c:pt idx="58">
                  <c:v>MILTON KEYNES UNIVERSITY HOSPITAL NHS FOUNDATION TRUST</c:v>
                </c:pt>
                <c:pt idx="59">
                  <c:v>NORFOLK AND NORWICH UNIVERSITY HOSPITALS NHS FOUNDATION TRUST</c:v>
                </c:pt>
                <c:pt idx="60">
                  <c:v>NORTH BRISTOL NHS TRUST</c:v>
                </c:pt>
                <c:pt idx="61">
                  <c:v>NORTH CUMBRIA INTEGRATED CARE NHS FOUNDATION TRUST</c:v>
                </c:pt>
                <c:pt idx="62">
                  <c:v>NORTH TEES AND HARTLEPOOL NHS FOUNDATION TRUST</c:v>
                </c:pt>
                <c:pt idx="63">
                  <c:v>NORTH WEST ANGLIA NHS FOUNDATION TRUST</c:v>
                </c:pt>
                <c:pt idx="64">
                  <c:v>NORTHAMPTON GENERAL HOSPITAL NHS TRUST</c:v>
                </c:pt>
                <c:pt idx="65">
                  <c:v>NORTHERN CARE ALLIANCE NHS FOUNDATION TRUST</c:v>
                </c:pt>
                <c:pt idx="66">
                  <c:v>NORTHERN LINCOLNSHIRE AND GOOLE NHS FOUNDATION TRUST</c:v>
                </c:pt>
                <c:pt idx="67">
                  <c:v>NORTHUMBRIA HEALTHCARE NHS FOUNDATION TRUST</c:v>
                </c:pt>
                <c:pt idx="68">
                  <c:v>NOTTINGHAM UNIVERSITY HOSPITALS NHS TRUST</c:v>
                </c:pt>
                <c:pt idx="69">
                  <c:v>OXFORD UNIVERSITY HOSPITALS NHS FOUNDATION TRUST</c:v>
                </c:pt>
                <c:pt idx="70">
                  <c:v>PORTSMOUTH HOSPITALS UNIVERSITY NHS TRUST</c:v>
                </c:pt>
                <c:pt idx="71">
                  <c:v>ROYAL BERKSHIRE NHS FOUNDATION TRUST</c:v>
                </c:pt>
                <c:pt idx="72">
                  <c:v>ROYAL CORNWALL HOSPITALS NHS TRUST</c:v>
                </c:pt>
                <c:pt idx="73">
                  <c:v>ROYAL DEVON UNIVERSITY HEALTHCARE NHS FOUNDATION TRUST</c:v>
                </c:pt>
                <c:pt idx="74">
                  <c:v>ROYAL FREE LONDON NHS FOUNDATION TRUST</c:v>
                </c:pt>
                <c:pt idx="75">
                  <c:v>ROYAL SURREY COUNTY HOSPITAL NHS FOUNDATION TRUST</c:v>
                </c:pt>
                <c:pt idx="76">
                  <c:v>ROYAL SURREY NHS FOUNDATION TRUST</c:v>
                </c:pt>
                <c:pt idx="77">
                  <c:v>ROYAL UNITED HOSPITALS BATH NHS FOUNDATION TRUST</c:v>
                </c:pt>
                <c:pt idx="78">
                  <c:v>SALISBURY NHS FOUNDATION TRUST</c:v>
                </c:pt>
                <c:pt idx="79">
                  <c:v>SANDWELL AND WEST BIRMINGHAM HOSPITALS NHS TRUST</c:v>
                </c:pt>
                <c:pt idx="80">
                  <c:v>SHEFFIELD CHILDREN'S NHS FOUNDATION TRUST</c:v>
                </c:pt>
                <c:pt idx="81">
                  <c:v>SHEFFIELD TEACHING HOSPITALS NHS FOUNDATION TRUST</c:v>
                </c:pt>
                <c:pt idx="82">
                  <c:v>SHERWOOD FOREST HOSPITALS NHS FOUNDATION TRUST</c:v>
                </c:pt>
                <c:pt idx="83">
                  <c:v>SOMERSET NHS FOUNDATION TRUST</c:v>
                </c:pt>
                <c:pt idx="84">
                  <c:v>SOUTH TEES HOSPITALS NHS FOUNDATION TRUST</c:v>
                </c:pt>
                <c:pt idx="85">
                  <c:v>SOUTH TYNESIDE AND SUNDERLAND NHS FOUNDATION TRUST</c:v>
                </c:pt>
                <c:pt idx="86">
                  <c:v>SOUTH WARWICKSHIRE UNIVERSITY NHS FOUNDATION TRUST</c:v>
                </c:pt>
                <c:pt idx="87">
                  <c:v>ST GEORGE'S UNIVERSITY HOSPITALS NHS FOUNDATION TRUST</c:v>
                </c:pt>
                <c:pt idx="88">
                  <c:v>STOCKPORT NHS FOUNDATION TRUST</c:v>
                </c:pt>
                <c:pt idx="89">
                  <c:v>SURREY AND SUSSEX HEALTHCARE NHS TRUST</c:v>
                </c:pt>
                <c:pt idx="90">
                  <c:v>TAMESIDE AND GLOSSOP INTEGRATED CARE NHS FOUNDATION TRUST</c:v>
                </c:pt>
                <c:pt idx="91">
                  <c:v>THE DUDLEY GROUP NHS FOUNDATION TRUST</c:v>
                </c:pt>
                <c:pt idx="92">
                  <c:v>THE HILLINGDON HOSPITALS NHS FOUNDATION TRUST</c:v>
                </c:pt>
                <c:pt idx="93">
                  <c:v>THE NEWCASTLE UPON TYNE HOSPITALS NHS FOUNDATION TRUST</c:v>
                </c:pt>
                <c:pt idx="94">
                  <c:v>THE PRINCESS ALEXANDRA HOSPITAL NHS TRUST</c:v>
                </c:pt>
                <c:pt idx="95">
                  <c:v>THE QUEEN ELIZABETH HOSPITAL, KING'S LYNN, NHS FOUNDATION TRUST</c:v>
                </c:pt>
                <c:pt idx="96">
                  <c:v>THE ROTHERHAM NHS FOUNDATION TRUST</c:v>
                </c:pt>
                <c:pt idx="97">
                  <c:v>THE ROYAL WOLVERHAMPTON NHS TRUST</c:v>
                </c:pt>
                <c:pt idx="98">
                  <c:v>THE SHREWSBURY AND TELFORD HOSPITAL NHS TRUST</c:v>
                </c:pt>
                <c:pt idx="99">
                  <c:v>TORBAY AND SOUTH DEVON NHS FOUNDATION TRUST</c:v>
                </c:pt>
                <c:pt idx="100">
                  <c:v>UNITED LINCOLNSHIRE TEACHING HOSPITALS NHS TRUST</c:v>
                </c:pt>
                <c:pt idx="101">
                  <c:v>UNIVERSITY COLLEGE LONDON HOSPITALS NHS FOUNDATION TRUST</c:v>
                </c:pt>
                <c:pt idx="102">
                  <c:v>UNIVERSITY HOSPITAL SOUTHAMPTON NHS FOUNDATION TRUST</c:v>
                </c:pt>
                <c:pt idx="103">
                  <c:v>UNIVERSITY HOSPITALS BIRMINGHAM NHS FOUNDATION TRUST</c:v>
                </c:pt>
                <c:pt idx="104">
                  <c:v>UNIVERSITY HOSPITALS BRISTOL AND WESTON NHS FOUNDATION TRUST</c:v>
                </c:pt>
                <c:pt idx="105">
                  <c:v>UNIVERSITY HOSPITALS COVENTRY AND WARWICKSHIRE NHS TRUST</c:v>
                </c:pt>
                <c:pt idx="106">
                  <c:v>UNIVERSITY HOSPITALS DORSET NHS FOUNDATION TRUST</c:v>
                </c:pt>
                <c:pt idx="107">
                  <c:v>UNIVERSITY HOSPITALS OF DERBY AND BURTON NHS FOUNDATION TRUST</c:v>
                </c:pt>
                <c:pt idx="108">
                  <c:v>UNIVERSITY HOSPITALS OF LEICESTER NHS TRUST</c:v>
                </c:pt>
                <c:pt idx="109">
                  <c:v>UNIVERSITY HOSPITALS OF MORECAMBE BAY NHS FOUNDATION TRUST</c:v>
                </c:pt>
                <c:pt idx="110">
                  <c:v>UNIVERSITY HOSPITALS OF NORTH MIDLANDS NHS TRUST</c:v>
                </c:pt>
                <c:pt idx="111">
                  <c:v>UNIVERSITY HOSPITALS PLYMOUTH NHS TRUST</c:v>
                </c:pt>
                <c:pt idx="112">
                  <c:v>UNIVERSITY HOSPITALS SUSSEX NHS FOUNDATION TRUST</c:v>
                </c:pt>
                <c:pt idx="113">
                  <c:v>WALSALL HEALTHCARE NHS TRUST</c:v>
                </c:pt>
                <c:pt idx="114">
                  <c:v>WARRINGTON AND HALTON TEACHING HOSPITALS NHS FOUNDATION TRUST</c:v>
                </c:pt>
                <c:pt idx="115">
                  <c:v>WEST HERTFORDSHIRE TEACHING HOSPITALS NHS TRUST</c:v>
                </c:pt>
                <c:pt idx="116">
                  <c:v>WEST SUFFOLK NHS FOUNDATION TRUST</c:v>
                </c:pt>
                <c:pt idx="117">
                  <c:v>WHITTINGTON HEALTH NHS TRUST</c:v>
                </c:pt>
                <c:pt idx="118">
                  <c:v>WIRRAL UNIVERSITY TEACHING HOSPITAL NHS FOUNDATION TRUST</c:v>
                </c:pt>
                <c:pt idx="119">
                  <c:v>WORCESTERSHIRE ACUTE HOSPITALS NHS TRUST</c:v>
                </c:pt>
                <c:pt idx="120">
                  <c:v>WRIGHTINGTON, WIGAN AND LEIGH NHS FOUNDATION TRUST</c:v>
                </c:pt>
                <c:pt idx="121">
                  <c:v>WRIGHTINGTON, WIGAN AND LEIGH TEACHING HOSPITALS NHS FOUNDATION TRUST</c:v>
                </c:pt>
                <c:pt idx="122">
                  <c:v>WYE VALLEY NHS TRUST</c:v>
                </c:pt>
                <c:pt idx="123">
                  <c:v>YORK AND SCARBOROUGH TEACHING HOSPITALS NHS FOUNDATION TRUST</c:v>
                </c:pt>
              </c:strCache>
            </c:strRef>
          </c:cat>
          <c:val>
            <c:numRef>
              <c:f>Sheet1!$H$34:$H$158</c:f>
              <c:numCache>
                <c:formatCode>General</c:formatCode>
                <c:ptCount val="124"/>
                <c:pt idx="0">
                  <c:v>27120</c:v>
                </c:pt>
                <c:pt idx="1">
                  <c:v>10471</c:v>
                </c:pt>
                <c:pt idx="2">
                  <c:v>43396</c:v>
                </c:pt>
                <c:pt idx="3">
                  <c:v>73758</c:v>
                </c:pt>
                <c:pt idx="4">
                  <c:v>31793</c:v>
                </c:pt>
                <c:pt idx="5">
                  <c:v>134677</c:v>
                </c:pt>
                <c:pt idx="6">
                  <c:v>76110</c:v>
                </c:pt>
                <c:pt idx="7">
                  <c:v>10923</c:v>
                </c:pt>
                <c:pt idx="8">
                  <c:v>49825</c:v>
                </c:pt>
                <c:pt idx="9">
                  <c:v>47735</c:v>
                </c:pt>
                <c:pt idx="10">
                  <c:v>27482</c:v>
                </c:pt>
                <c:pt idx="11">
                  <c:v>41867</c:v>
                </c:pt>
                <c:pt idx="12">
                  <c:v>31986</c:v>
                </c:pt>
                <c:pt idx="13">
                  <c:v>54957</c:v>
                </c:pt>
                <c:pt idx="14">
                  <c:v>66190</c:v>
                </c:pt>
                <c:pt idx="15">
                  <c:v>40146</c:v>
                </c:pt>
                <c:pt idx="16">
                  <c:v>32505</c:v>
                </c:pt>
                <c:pt idx="17">
                  <c:v>62475</c:v>
                </c:pt>
                <c:pt idx="18">
                  <c:v>53230</c:v>
                </c:pt>
                <c:pt idx="19">
                  <c:v>38124</c:v>
                </c:pt>
                <c:pt idx="20">
                  <c:v>59790</c:v>
                </c:pt>
                <c:pt idx="21">
                  <c:v>19480</c:v>
                </c:pt>
                <c:pt idx="22">
                  <c:v>20202</c:v>
                </c:pt>
                <c:pt idx="23">
                  <c:v>33024</c:v>
                </c:pt>
                <c:pt idx="24">
                  <c:v>28236</c:v>
                </c:pt>
                <c:pt idx="25">
                  <c:v>71738</c:v>
                </c:pt>
                <c:pt idx="26">
                  <c:v>55465</c:v>
                </c:pt>
                <c:pt idx="27">
                  <c:v>67125</c:v>
                </c:pt>
                <c:pt idx="28">
                  <c:v>44124</c:v>
                </c:pt>
                <c:pt idx="29">
                  <c:v>41449</c:v>
                </c:pt>
                <c:pt idx="30">
                  <c:v>111361</c:v>
                </c:pt>
                <c:pt idx="31">
                  <c:v>28361</c:v>
                </c:pt>
                <c:pt idx="32">
                  <c:v>24160</c:v>
                </c:pt>
                <c:pt idx="33">
                  <c:v>60767</c:v>
                </c:pt>
                <c:pt idx="34">
                  <c:v>36450</c:v>
                </c:pt>
                <c:pt idx="35">
                  <c:v>43585</c:v>
                </c:pt>
                <c:pt idx="36">
                  <c:v>58353</c:v>
                </c:pt>
                <c:pt idx="37">
                  <c:v>17853</c:v>
                </c:pt>
                <c:pt idx="38">
                  <c:v>24250</c:v>
                </c:pt>
                <c:pt idx="39">
                  <c:v>64781</c:v>
                </c:pt>
                <c:pt idx="40">
                  <c:v>61011</c:v>
                </c:pt>
                <c:pt idx="41">
                  <c:v>19102</c:v>
                </c:pt>
                <c:pt idx="42">
                  <c:v>32236</c:v>
                </c:pt>
                <c:pt idx="43">
                  <c:v>45586</c:v>
                </c:pt>
                <c:pt idx="44">
                  <c:v>80622</c:v>
                </c:pt>
                <c:pt idx="45">
                  <c:v>43876</c:v>
                </c:pt>
                <c:pt idx="46">
                  <c:v>53752</c:v>
                </c:pt>
                <c:pt idx="47">
                  <c:v>83189</c:v>
                </c:pt>
                <c:pt idx="48">
                  <c:v>93973</c:v>
                </c:pt>
                <c:pt idx="49">
                  <c:v>95050</c:v>
                </c:pt>
                <c:pt idx="50">
                  <c:v>78854</c:v>
                </c:pt>
                <c:pt idx="51">
                  <c:v>50115</c:v>
                </c:pt>
                <c:pt idx="52">
                  <c:v>124916</c:v>
                </c:pt>
                <c:pt idx="53">
                  <c:v>40916</c:v>
                </c:pt>
                <c:pt idx="54">
                  <c:v>78969</c:v>
                </c:pt>
                <c:pt idx="55">
                  <c:v>118279</c:v>
                </c:pt>
                <c:pt idx="56">
                  <c:v>47869</c:v>
                </c:pt>
                <c:pt idx="57">
                  <c:v>74289</c:v>
                </c:pt>
                <c:pt idx="58">
                  <c:v>38798</c:v>
                </c:pt>
                <c:pt idx="59">
                  <c:v>46748</c:v>
                </c:pt>
                <c:pt idx="60">
                  <c:v>40157</c:v>
                </c:pt>
                <c:pt idx="61">
                  <c:v>47707</c:v>
                </c:pt>
                <c:pt idx="62">
                  <c:v>31552</c:v>
                </c:pt>
                <c:pt idx="63">
                  <c:v>69736</c:v>
                </c:pt>
                <c:pt idx="64">
                  <c:v>50660</c:v>
                </c:pt>
                <c:pt idx="65">
                  <c:v>123579</c:v>
                </c:pt>
                <c:pt idx="66">
                  <c:v>59705</c:v>
                </c:pt>
                <c:pt idx="67">
                  <c:v>30218</c:v>
                </c:pt>
                <c:pt idx="68">
                  <c:v>85127</c:v>
                </c:pt>
                <c:pt idx="69">
                  <c:v>44933</c:v>
                </c:pt>
                <c:pt idx="70">
                  <c:v>48836</c:v>
                </c:pt>
                <c:pt idx="71">
                  <c:v>46822</c:v>
                </c:pt>
                <c:pt idx="72">
                  <c:v>40207</c:v>
                </c:pt>
                <c:pt idx="73">
                  <c:v>64847</c:v>
                </c:pt>
                <c:pt idx="74">
                  <c:v>105321</c:v>
                </c:pt>
                <c:pt idx="75">
                  <c:v>10178</c:v>
                </c:pt>
                <c:pt idx="76">
                  <c:v>16336</c:v>
                </c:pt>
                <c:pt idx="77">
                  <c:v>44929</c:v>
                </c:pt>
                <c:pt idx="78">
                  <c:v>23799</c:v>
                </c:pt>
                <c:pt idx="79">
                  <c:v>57463</c:v>
                </c:pt>
                <c:pt idx="80">
                  <c:v>4049</c:v>
                </c:pt>
                <c:pt idx="81">
                  <c:v>54302</c:v>
                </c:pt>
                <c:pt idx="82">
                  <c:v>50845</c:v>
                </c:pt>
                <c:pt idx="83">
                  <c:v>69701</c:v>
                </c:pt>
                <c:pt idx="84">
                  <c:v>44573</c:v>
                </c:pt>
                <c:pt idx="85">
                  <c:v>63032</c:v>
                </c:pt>
                <c:pt idx="86">
                  <c:v>26397</c:v>
                </c:pt>
                <c:pt idx="87">
                  <c:v>30807</c:v>
                </c:pt>
                <c:pt idx="88">
                  <c:v>38071</c:v>
                </c:pt>
                <c:pt idx="89">
                  <c:v>50172</c:v>
                </c:pt>
                <c:pt idx="90">
                  <c:v>50294</c:v>
                </c:pt>
                <c:pt idx="91">
                  <c:v>38496</c:v>
                </c:pt>
                <c:pt idx="92">
                  <c:v>30871</c:v>
                </c:pt>
                <c:pt idx="93">
                  <c:v>57771</c:v>
                </c:pt>
                <c:pt idx="94">
                  <c:v>32430</c:v>
                </c:pt>
                <c:pt idx="95">
                  <c:v>35202</c:v>
                </c:pt>
                <c:pt idx="96">
                  <c:v>34447</c:v>
                </c:pt>
                <c:pt idx="97">
                  <c:v>46126</c:v>
                </c:pt>
                <c:pt idx="98">
                  <c:v>72004</c:v>
                </c:pt>
                <c:pt idx="99">
                  <c:v>35830</c:v>
                </c:pt>
                <c:pt idx="100">
                  <c:v>81331</c:v>
                </c:pt>
                <c:pt idx="101">
                  <c:v>44923</c:v>
                </c:pt>
                <c:pt idx="102">
                  <c:v>53611</c:v>
                </c:pt>
                <c:pt idx="103">
                  <c:v>168412</c:v>
                </c:pt>
                <c:pt idx="104">
                  <c:v>67649</c:v>
                </c:pt>
                <c:pt idx="105">
                  <c:v>62008</c:v>
                </c:pt>
                <c:pt idx="106">
                  <c:v>71994</c:v>
                </c:pt>
                <c:pt idx="107">
                  <c:v>107355</c:v>
                </c:pt>
                <c:pt idx="108">
                  <c:v>105620</c:v>
                </c:pt>
                <c:pt idx="109">
                  <c:v>42912</c:v>
                </c:pt>
                <c:pt idx="110">
                  <c:v>91608</c:v>
                </c:pt>
                <c:pt idx="111">
                  <c:v>58793</c:v>
                </c:pt>
                <c:pt idx="112">
                  <c:v>124651</c:v>
                </c:pt>
                <c:pt idx="113">
                  <c:v>38399</c:v>
                </c:pt>
                <c:pt idx="114">
                  <c:v>42544</c:v>
                </c:pt>
                <c:pt idx="115">
                  <c:v>29834</c:v>
                </c:pt>
                <c:pt idx="116">
                  <c:v>28021</c:v>
                </c:pt>
                <c:pt idx="117">
                  <c:v>30575</c:v>
                </c:pt>
                <c:pt idx="118">
                  <c:v>50771</c:v>
                </c:pt>
                <c:pt idx="119">
                  <c:v>82519</c:v>
                </c:pt>
                <c:pt idx="120">
                  <c:v>30653</c:v>
                </c:pt>
                <c:pt idx="121">
                  <c:v>10785</c:v>
                </c:pt>
                <c:pt idx="122">
                  <c:v>30168</c:v>
                </c:pt>
                <c:pt idx="123">
                  <c:v>68086</c:v>
                </c:pt>
              </c:numCache>
            </c:numRef>
          </c:val>
          <c:extLst>
            <c:ext xmlns:c16="http://schemas.microsoft.com/office/drawing/2014/chart" uri="{C3380CC4-5D6E-409C-BE32-E72D297353CC}">
              <c16:uniqueId val="{00000001-1B0F-4E2A-B69A-8A344DB3565E}"/>
            </c:ext>
          </c:extLst>
        </c:ser>
        <c:ser>
          <c:idx val="2"/>
          <c:order val="2"/>
          <c:tx>
            <c:strRef>
              <c:f>Sheet1!$I$33</c:f>
              <c:strCache>
                <c:ptCount val="1"/>
                <c:pt idx="0">
                  <c:v>Sum of Trust_Annual_Breach_Rate</c:v>
                </c:pt>
              </c:strCache>
            </c:strRef>
          </c:tx>
          <c:spPr>
            <a:solidFill>
              <a:schemeClr val="accent3"/>
            </a:solidFill>
            <a:ln>
              <a:noFill/>
            </a:ln>
            <a:effectLst/>
          </c:spPr>
          <c:invertIfNegative val="0"/>
          <c:cat>
            <c:strRef>
              <c:f>Sheet1!$F$34:$F$158</c:f>
              <c:strCache>
                <c:ptCount val="124"/>
                <c:pt idx="0">
                  <c:v>AIREDALE NHS FOUNDATION TRUST</c:v>
                </c:pt>
                <c:pt idx="1">
                  <c:v>ALDER HEY CHILDREN'S NHS FOUNDATION TRUST</c:v>
                </c:pt>
                <c:pt idx="2">
                  <c:v>ASHFORD AND ST PETER'S HOSPITALS NHS FOUNDATION TRUST</c:v>
                </c:pt>
                <c:pt idx="3">
                  <c:v>BARKING, HAVERING AND REDBRIDGE UNIVERSITY HOSPITALS NHS TRUST</c:v>
                </c:pt>
                <c:pt idx="4">
                  <c:v>BARNSLEY HOSPITAL NHS FOUNDATION TRUST</c:v>
                </c:pt>
                <c:pt idx="5">
                  <c:v>BARTS HEALTH NHS TRUST</c:v>
                </c:pt>
                <c:pt idx="6">
                  <c:v>BEDFORDSHIRE HOSPITALS NHS FOUNDATION TRUST</c:v>
                </c:pt>
                <c:pt idx="7">
                  <c:v>BIRMINGHAM WOMEN'S AND CHILDREN'S NHS FOUNDATION TRUST</c:v>
                </c:pt>
                <c:pt idx="8">
                  <c:v>BLACKPOOL TEACHING HOSPITALS NHS FOUNDATION TRUST</c:v>
                </c:pt>
                <c:pt idx="9">
                  <c:v>BOLTON NHS FOUNDATION TRUST</c:v>
                </c:pt>
                <c:pt idx="10">
                  <c:v>BRADFORD TEACHING HOSPITALS NHS FOUNDATION TRUST</c:v>
                </c:pt>
                <c:pt idx="11">
                  <c:v>BUCKINGHAMSHIRE HEALTHCARE NHS TRUST</c:v>
                </c:pt>
                <c:pt idx="12">
                  <c:v>CALDERDALE AND HUDDERSFIELD NHS FOUNDATION TRUST</c:v>
                </c:pt>
                <c:pt idx="13">
                  <c:v>CAMBRIDGE UNIVERSITY HOSPITALS NHS FOUNDATION TRUST</c:v>
                </c:pt>
                <c:pt idx="14">
                  <c:v>CHELSEA AND WESTMINSTER HOSPITAL NHS FOUNDATION TRUST</c:v>
                </c:pt>
                <c:pt idx="15">
                  <c:v>CHESTERFIELD ROYAL HOSPITAL NHS FOUNDATION TRUST</c:v>
                </c:pt>
                <c:pt idx="16">
                  <c:v>COUNTESS OF CHESTER HOSPITAL NHS FOUNDATION TRUST</c:v>
                </c:pt>
                <c:pt idx="17">
                  <c:v>COUNTY DURHAM AND DARLINGTON NHS FOUNDATION TRUST</c:v>
                </c:pt>
                <c:pt idx="18">
                  <c:v>CROYDON HEALTH SERVICES NHS TRUST</c:v>
                </c:pt>
                <c:pt idx="19">
                  <c:v>DARTFORD AND GRAVESHAM NHS TRUST</c:v>
                </c:pt>
                <c:pt idx="20">
                  <c:v>DONCASTER AND BASSETLAW TEACHING HOSPITALS NHS FOUNDATION TRUST</c:v>
                </c:pt>
                <c:pt idx="21">
                  <c:v>DORSET COUNTY HOSPITAL NHS FOUNDATION TRUST</c:v>
                </c:pt>
                <c:pt idx="22">
                  <c:v>EAST AND NORTH HERTFORDSHIRE NHS TRUST</c:v>
                </c:pt>
                <c:pt idx="23">
                  <c:v>EAST AND NORTH HERTFORDSHIRE TEACHING NHS TRUST</c:v>
                </c:pt>
                <c:pt idx="24">
                  <c:v>EAST CHESHIRE NHS TRUST</c:v>
                </c:pt>
                <c:pt idx="25">
                  <c:v>EAST KENT HOSPITALS UNIVERSITY NHS FOUNDATION TRUST</c:v>
                </c:pt>
                <c:pt idx="26">
                  <c:v>EAST LANCASHIRE HOSPITALS NHS TRUST</c:v>
                </c:pt>
                <c:pt idx="27">
                  <c:v>EAST SUFFOLK AND NORTH ESSEX NHS FOUNDATION TRUST</c:v>
                </c:pt>
                <c:pt idx="28">
                  <c:v>EAST SUSSEX HEALTHCARE NHS TRUST</c:v>
                </c:pt>
                <c:pt idx="29">
                  <c:v>EPSOM AND ST HELIER UNIVERSITY HOSPITALS NHS TRUST</c:v>
                </c:pt>
                <c:pt idx="30">
                  <c:v>FRIMLEY HEALTH NHS FOUNDATION TRUST</c:v>
                </c:pt>
                <c:pt idx="31">
                  <c:v>GATESHEAD HEALTH NHS FOUNDATION TRUST</c:v>
                </c:pt>
                <c:pt idx="32">
                  <c:v>GEORGE ELIOT HOSPITAL NHS TRUST</c:v>
                </c:pt>
                <c:pt idx="33">
                  <c:v>GLOUCESTERSHIRE HOSPITALS NHS FOUNDATION TRUST</c:v>
                </c:pt>
                <c:pt idx="34">
                  <c:v>GREAT WESTERN HOSPITALS NHS FOUNDATION TRUST</c:v>
                </c:pt>
                <c:pt idx="35">
                  <c:v>GUY'S AND ST THOMAS' NHS FOUNDATION TRUST</c:v>
                </c:pt>
                <c:pt idx="36">
                  <c:v>HAMPSHIRE HOSPITALS NHS FOUNDATION TRUST</c:v>
                </c:pt>
                <c:pt idx="37">
                  <c:v>HARROGATE AND DISTRICT NHS FOUNDATION TRUST</c:v>
                </c:pt>
                <c:pt idx="38">
                  <c:v>HOMERTON HEALTHCARE NHS FOUNDATION TRUST</c:v>
                </c:pt>
                <c:pt idx="39">
                  <c:v>HULL UNIVERSITY TEACHING HOSPITALS NHS TRUST</c:v>
                </c:pt>
                <c:pt idx="40">
                  <c:v>IMPERIAL COLLEGE HEALTHCARE NHS TRUST</c:v>
                </c:pt>
                <c:pt idx="41">
                  <c:v>ISLE OF WIGHT NHS TRUST</c:v>
                </c:pt>
                <c:pt idx="42">
                  <c:v>JAMES PAGET UNIVERSITY HOSPITALS NHS FOUNDATION TRUST</c:v>
                </c:pt>
                <c:pt idx="43">
                  <c:v>KETTERING GENERAL HOSPITAL NHS FOUNDATION TRUST</c:v>
                </c:pt>
                <c:pt idx="44">
                  <c:v>KING'S COLLEGE HOSPITAL NHS FOUNDATION TRUST</c:v>
                </c:pt>
                <c:pt idx="45">
                  <c:v>KINGSTON AND RICHMOND NHS FOUNDATION TRUST</c:v>
                </c:pt>
                <c:pt idx="46">
                  <c:v>LANCASHIRE TEACHING HOSPITALS NHS FOUNDATION TRUST</c:v>
                </c:pt>
                <c:pt idx="47">
                  <c:v>LEEDS TEACHING HOSPITALS NHS TRUST</c:v>
                </c:pt>
                <c:pt idx="48">
                  <c:v>LEWISHAM AND GREENWICH NHS TRUST</c:v>
                </c:pt>
                <c:pt idx="49">
                  <c:v>LIVERPOOL UNIVERSITY HOSPITALS NHS FOUNDATION TRUST</c:v>
                </c:pt>
                <c:pt idx="50">
                  <c:v>LONDON NORTH WEST UNIVERSITY HEALTHCARE NHS TRUST</c:v>
                </c:pt>
                <c:pt idx="51">
                  <c:v>MAIDSTONE AND TUNBRIDGE WELLS NHS TRUST</c:v>
                </c:pt>
                <c:pt idx="52">
                  <c:v>MANCHESTER UNIVERSITY NHS FOUNDATION TRUST</c:v>
                </c:pt>
                <c:pt idx="53">
                  <c:v>MEDWAY NHS FOUNDATION TRUST</c:v>
                </c:pt>
                <c:pt idx="54">
                  <c:v>MERSEY AND WEST LANCASHIRE TEACHING HOSPITALS NHS TRUST</c:v>
                </c:pt>
                <c:pt idx="55">
                  <c:v>MID AND SOUTH ESSEX NHS FOUNDATION TRUST</c:v>
                </c:pt>
                <c:pt idx="56">
                  <c:v>MID CHESHIRE HOSPITALS NHS FOUNDATION TRUST</c:v>
                </c:pt>
                <c:pt idx="57">
                  <c:v>MID YORKSHIRE TEACHING NHS TRUST</c:v>
                </c:pt>
                <c:pt idx="58">
                  <c:v>MILTON KEYNES UNIVERSITY HOSPITAL NHS FOUNDATION TRUST</c:v>
                </c:pt>
                <c:pt idx="59">
                  <c:v>NORFOLK AND NORWICH UNIVERSITY HOSPITALS NHS FOUNDATION TRUST</c:v>
                </c:pt>
                <c:pt idx="60">
                  <c:v>NORTH BRISTOL NHS TRUST</c:v>
                </c:pt>
                <c:pt idx="61">
                  <c:v>NORTH CUMBRIA INTEGRATED CARE NHS FOUNDATION TRUST</c:v>
                </c:pt>
                <c:pt idx="62">
                  <c:v>NORTH TEES AND HARTLEPOOL NHS FOUNDATION TRUST</c:v>
                </c:pt>
                <c:pt idx="63">
                  <c:v>NORTH WEST ANGLIA NHS FOUNDATION TRUST</c:v>
                </c:pt>
                <c:pt idx="64">
                  <c:v>NORTHAMPTON GENERAL HOSPITAL NHS TRUST</c:v>
                </c:pt>
                <c:pt idx="65">
                  <c:v>NORTHERN CARE ALLIANCE NHS FOUNDATION TRUST</c:v>
                </c:pt>
                <c:pt idx="66">
                  <c:v>NORTHERN LINCOLNSHIRE AND GOOLE NHS FOUNDATION TRUST</c:v>
                </c:pt>
                <c:pt idx="67">
                  <c:v>NORTHUMBRIA HEALTHCARE NHS FOUNDATION TRUST</c:v>
                </c:pt>
                <c:pt idx="68">
                  <c:v>NOTTINGHAM UNIVERSITY HOSPITALS NHS TRUST</c:v>
                </c:pt>
                <c:pt idx="69">
                  <c:v>OXFORD UNIVERSITY HOSPITALS NHS FOUNDATION TRUST</c:v>
                </c:pt>
                <c:pt idx="70">
                  <c:v>PORTSMOUTH HOSPITALS UNIVERSITY NHS TRUST</c:v>
                </c:pt>
                <c:pt idx="71">
                  <c:v>ROYAL BERKSHIRE NHS FOUNDATION TRUST</c:v>
                </c:pt>
                <c:pt idx="72">
                  <c:v>ROYAL CORNWALL HOSPITALS NHS TRUST</c:v>
                </c:pt>
                <c:pt idx="73">
                  <c:v>ROYAL DEVON UNIVERSITY HEALTHCARE NHS FOUNDATION TRUST</c:v>
                </c:pt>
                <c:pt idx="74">
                  <c:v>ROYAL FREE LONDON NHS FOUNDATION TRUST</c:v>
                </c:pt>
                <c:pt idx="75">
                  <c:v>ROYAL SURREY COUNTY HOSPITAL NHS FOUNDATION TRUST</c:v>
                </c:pt>
                <c:pt idx="76">
                  <c:v>ROYAL SURREY NHS FOUNDATION TRUST</c:v>
                </c:pt>
                <c:pt idx="77">
                  <c:v>ROYAL UNITED HOSPITALS BATH NHS FOUNDATION TRUST</c:v>
                </c:pt>
                <c:pt idx="78">
                  <c:v>SALISBURY NHS FOUNDATION TRUST</c:v>
                </c:pt>
                <c:pt idx="79">
                  <c:v>SANDWELL AND WEST BIRMINGHAM HOSPITALS NHS TRUST</c:v>
                </c:pt>
                <c:pt idx="80">
                  <c:v>SHEFFIELD CHILDREN'S NHS FOUNDATION TRUST</c:v>
                </c:pt>
                <c:pt idx="81">
                  <c:v>SHEFFIELD TEACHING HOSPITALS NHS FOUNDATION TRUST</c:v>
                </c:pt>
                <c:pt idx="82">
                  <c:v>SHERWOOD FOREST HOSPITALS NHS FOUNDATION TRUST</c:v>
                </c:pt>
                <c:pt idx="83">
                  <c:v>SOMERSET NHS FOUNDATION TRUST</c:v>
                </c:pt>
                <c:pt idx="84">
                  <c:v>SOUTH TEES HOSPITALS NHS FOUNDATION TRUST</c:v>
                </c:pt>
                <c:pt idx="85">
                  <c:v>SOUTH TYNESIDE AND SUNDERLAND NHS FOUNDATION TRUST</c:v>
                </c:pt>
                <c:pt idx="86">
                  <c:v>SOUTH WARWICKSHIRE UNIVERSITY NHS FOUNDATION TRUST</c:v>
                </c:pt>
                <c:pt idx="87">
                  <c:v>ST GEORGE'S UNIVERSITY HOSPITALS NHS FOUNDATION TRUST</c:v>
                </c:pt>
                <c:pt idx="88">
                  <c:v>STOCKPORT NHS FOUNDATION TRUST</c:v>
                </c:pt>
                <c:pt idx="89">
                  <c:v>SURREY AND SUSSEX HEALTHCARE NHS TRUST</c:v>
                </c:pt>
                <c:pt idx="90">
                  <c:v>TAMESIDE AND GLOSSOP INTEGRATED CARE NHS FOUNDATION TRUST</c:v>
                </c:pt>
                <c:pt idx="91">
                  <c:v>THE DUDLEY GROUP NHS FOUNDATION TRUST</c:v>
                </c:pt>
                <c:pt idx="92">
                  <c:v>THE HILLINGDON HOSPITALS NHS FOUNDATION TRUST</c:v>
                </c:pt>
                <c:pt idx="93">
                  <c:v>THE NEWCASTLE UPON TYNE HOSPITALS NHS FOUNDATION TRUST</c:v>
                </c:pt>
                <c:pt idx="94">
                  <c:v>THE PRINCESS ALEXANDRA HOSPITAL NHS TRUST</c:v>
                </c:pt>
                <c:pt idx="95">
                  <c:v>THE QUEEN ELIZABETH HOSPITAL, KING'S LYNN, NHS FOUNDATION TRUST</c:v>
                </c:pt>
                <c:pt idx="96">
                  <c:v>THE ROTHERHAM NHS FOUNDATION TRUST</c:v>
                </c:pt>
                <c:pt idx="97">
                  <c:v>THE ROYAL WOLVERHAMPTON NHS TRUST</c:v>
                </c:pt>
                <c:pt idx="98">
                  <c:v>THE SHREWSBURY AND TELFORD HOSPITAL NHS TRUST</c:v>
                </c:pt>
                <c:pt idx="99">
                  <c:v>TORBAY AND SOUTH DEVON NHS FOUNDATION TRUST</c:v>
                </c:pt>
                <c:pt idx="100">
                  <c:v>UNITED LINCOLNSHIRE TEACHING HOSPITALS NHS TRUST</c:v>
                </c:pt>
                <c:pt idx="101">
                  <c:v>UNIVERSITY COLLEGE LONDON HOSPITALS NHS FOUNDATION TRUST</c:v>
                </c:pt>
                <c:pt idx="102">
                  <c:v>UNIVERSITY HOSPITAL SOUTHAMPTON NHS FOUNDATION TRUST</c:v>
                </c:pt>
                <c:pt idx="103">
                  <c:v>UNIVERSITY HOSPITALS BIRMINGHAM NHS FOUNDATION TRUST</c:v>
                </c:pt>
                <c:pt idx="104">
                  <c:v>UNIVERSITY HOSPITALS BRISTOL AND WESTON NHS FOUNDATION TRUST</c:v>
                </c:pt>
                <c:pt idx="105">
                  <c:v>UNIVERSITY HOSPITALS COVENTRY AND WARWICKSHIRE NHS TRUST</c:v>
                </c:pt>
                <c:pt idx="106">
                  <c:v>UNIVERSITY HOSPITALS DORSET NHS FOUNDATION TRUST</c:v>
                </c:pt>
                <c:pt idx="107">
                  <c:v>UNIVERSITY HOSPITALS OF DERBY AND BURTON NHS FOUNDATION TRUST</c:v>
                </c:pt>
                <c:pt idx="108">
                  <c:v>UNIVERSITY HOSPITALS OF LEICESTER NHS TRUST</c:v>
                </c:pt>
                <c:pt idx="109">
                  <c:v>UNIVERSITY HOSPITALS OF MORECAMBE BAY NHS FOUNDATION TRUST</c:v>
                </c:pt>
                <c:pt idx="110">
                  <c:v>UNIVERSITY HOSPITALS OF NORTH MIDLANDS NHS TRUST</c:v>
                </c:pt>
                <c:pt idx="111">
                  <c:v>UNIVERSITY HOSPITALS PLYMOUTH NHS TRUST</c:v>
                </c:pt>
                <c:pt idx="112">
                  <c:v>UNIVERSITY HOSPITALS SUSSEX NHS FOUNDATION TRUST</c:v>
                </c:pt>
                <c:pt idx="113">
                  <c:v>WALSALL HEALTHCARE NHS TRUST</c:v>
                </c:pt>
                <c:pt idx="114">
                  <c:v>WARRINGTON AND HALTON TEACHING HOSPITALS NHS FOUNDATION TRUST</c:v>
                </c:pt>
                <c:pt idx="115">
                  <c:v>WEST HERTFORDSHIRE TEACHING HOSPITALS NHS TRUST</c:v>
                </c:pt>
                <c:pt idx="116">
                  <c:v>WEST SUFFOLK NHS FOUNDATION TRUST</c:v>
                </c:pt>
                <c:pt idx="117">
                  <c:v>WHITTINGTON HEALTH NHS TRUST</c:v>
                </c:pt>
                <c:pt idx="118">
                  <c:v>WIRRAL UNIVERSITY TEACHING HOSPITAL NHS FOUNDATION TRUST</c:v>
                </c:pt>
                <c:pt idx="119">
                  <c:v>WORCESTERSHIRE ACUTE HOSPITALS NHS TRUST</c:v>
                </c:pt>
                <c:pt idx="120">
                  <c:v>WRIGHTINGTON, WIGAN AND LEIGH NHS FOUNDATION TRUST</c:v>
                </c:pt>
                <c:pt idx="121">
                  <c:v>WRIGHTINGTON, WIGAN AND LEIGH TEACHING HOSPITALS NHS FOUNDATION TRUST</c:v>
                </c:pt>
                <c:pt idx="122">
                  <c:v>WYE VALLEY NHS TRUST</c:v>
                </c:pt>
                <c:pt idx="123">
                  <c:v>YORK AND SCARBOROUGH TEACHING HOSPITALS NHS FOUNDATION TRUST</c:v>
                </c:pt>
              </c:strCache>
            </c:strRef>
          </c:cat>
          <c:val>
            <c:numRef>
              <c:f>Sheet1!$I$34:$I$158</c:f>
              <c:numCache>
                <c:formatCode>0%</c:formatCode>
                <c:ptCount val="124"/>
                <c:pt idx="0">
                  <c:v>0.37522310001798637</c:v>
                </c:pt>
                <c:pt idx="1">
                  <c:v>0.14792682065409338</c:v>
                </c:pt>
                <c:pt idx="2">
                  <c:v>0.49225254656412348</c:v>
                </c:pt>
                <c:pt idx="3">
                  <c:v>0.45655322678485211</c:v>
                </c:pt>
                <c:pt idx="4">
                  <c:v>0.28745151578166955</c:v>
                </c:pt>
                <c:pt idx="5">
                  <c:v>0.44046637885923601</c:v>
                </c:pt>
                <c:pt idx="6">
                  <c:v>0.37701174477528399</c:v>
                </c:pt>
                <c:pt idx="7">
                  <c:v>0.19032932566649241</c:v>
                </c:pt>
                <c:pt idx="8">
                  <c:v>0.46833289468737077</c:v>
                </c:pt>
                <c:pt idx="9">
                  <c:v>0.48538802570568618</c:v>
                </c:pt>
                <c:pt idx="10">
                  <c:v>0.24586673346693386</c:v>
                </c:pt>
                <c:pt idx="11">
                  <c:v>0.34653522712223545</c:v>
                </c:pt>
                <c:pt idx="12">
                  <c:v>0.16644464334034095</c:v>
                </c:pt>
                <c:pt idx="13">
                  <c:v>0.42057533806276831</c:v>
                </c:pt>
                <c:pt idx="14">
                  <c:v>0.27918374921968586</c:v>
                </c:pt>
                <c:pt idx="15">
                  <c:v>0.52705097740609941</c:v>
                </c:pt>
                <c:pt idx="16">
                  <c:v>0.50425056622506281</c:v>
                </c:pt>
                <c:pt idx="17">
                  <c:v>0.40404203718674214</c:v>
                </c:pt>
                <c:pt idx="18">
                  <c:v>0.3405935272513213</c:v>
                </c:pt>
                <c:pt idx="19">
                  <c:v>0.27901053864168618</c:v>
                </c:pt>
                <c:pt idx="20">
                  <c:v>0.35928899358219357</c:v>
                </c:pt>
                <c:pt idx="21">
                  <c:v>0.35663285855516091</c:v>
                </c:pt>
                <c:pt idx="22">
                  <c:v>0.46640808976312509</c:v>
                </c:pt>
                <c:pt idx="23">
                  <c:v>0.51478542813050454</c:v>
                </c:pt>
                <c:pt idx="24">
                  <c:v>0.53073192737115149</c:v>
                </c:pt>
                <c:pt idx="25">
                  <c:v>0.46086342027495825</c:v>
                </c:pt>
                <c:pt idx="26">
                  <c:v>0.34012583398744112</c:v>
                </c:pt>
                <c:pt idx="27">
                  <c:v>0.48379075734425003</c:v>
                </c:pt>
                <c:pt idx="28">
                  <c:v>0.41115573487891016</c:v>
                </c:pt>
                <c:pt idx="29">
                  <c:v>0.31229233377283855</c:v>
                </c:pt>
                <c:pt idx="30">
                  <c:v>0.40979359629658252</c:v>
                </c:pt>
                <c:pt idx="31">
                  <c:v>0.40064134258147455</c:v>
                </c:pt>
                <c:pt idx="32">
                  <c:v>0.28897793194186949</c:v>
                </c:pt>
                <c:pt idx="33">
                  <c:v>0.37851389987604411</c:v>
                </c:pt>
                <c:pt idx="34">
                  <c:v>0.51220437586948275</c:v>
                </c:pt>
                <c:pt idx="35">
                  <c:v>0.35456867658065144</c:v>
                </c:pt>
                <c:pt idx="36">
                  <c:v>0.4555624951206183</c:v>
                </c:pt>
                <c:pt idx="37">
                  <c:v>0.28724277186941899</c:v>
                </c:pt>
                <c:pt idx="38">
                  <c:v>0.18264943359845745</c:v>
                </c:pt>
                <c:pt idx="39">
                  <c:v>0.55478384488901067</c:v>
                </c:pt>
                <c:pt idx="40">
                  <c:v>0.41987075817740127</c:v>
                </c:pt>
                <c:pt idx="41">
                  <c:v>0.37629028445354978</c:v>
                </c:pt>
                <c:pt idx="42">
                  <c:v>0.36132127285158661</c:v>
                </c:pt>
                <c:pt idx="43">
                  <c:v>0.37196967842484474</c:v>
                </c:pt>
                <c:pt idx="44">
                  <c:v>0.43187735030373153</c:v>
                </c:pt>
                <c:pt idx="45">
                  <c:v>0.52635619856522464</c:v>
                </c:pt>
                <c:pt idx="46">
                  <c:v>0.37277039585009292</c:v>
                </c:pt>
                <c:pt idx="47">
                  <c:v>0.38963672811750599</c:v>
                </c:pt>
                <c:pt idx="48">
                  <c:v>0.49359455839483152</c:v>
                </c:pt>
                <c:pt idx="49">
                  <c:v>0.49383293327930006</c:v>
                </c:pt>
                <c:pt idx="50">
                  <c:v>0.48062365145734032</c:v>
                </c:pt>
                <c:pt idx="51">
                  <c:v>0.22280066864652429</c:v>
                </c:pt>
                <c:pt idx="52">
                  <c:v>0.40339727443002005</c:v>
                </c:pt>
                <c:pt idx="53">
                  <c:v>0.35619085757066621</c:v>
                </c:pt>
                <c:pt idx="54">
                  <c:v>0.37866465911597441</c:v>
                </c:pt>
                <c:pt idx="55">
                  <c:v>0.34408736658065381</c:v>
                </c:pt>
                <c:pt idx="56">
                  <c:v>0.56360896235856495</c:v>
                </c:pt>
                <c:pt idx="57">
                  <c:v>0.37416894995567734</c:v>
                </c:pt>
                <c:pt idx="58">
                  <c:v>0.39953042457444726</c:v>
                </c:pt>
                <c:pt idx="59">
                  <c:v>0.306132739595953</c:v>
                </c:pt>
                <c:pt idx="60">
                  <c:v>0.36306348661012966</c:v>
                </c:pt>
                <c:pt idx="61">
                  <c:v>0.44970542489513127</c:v>
                </c:pt>
                <c:pt idx="62">
                  <c:v>0.53289195899272068</c:v>
                </c:pt>
                <c:pt idx="63">
                  <c:v>0.3884256551647311</c:v>
                </c:pt>
                <c:pt idx="64">
                  <c:v>0.40367177166169976</c:v>
                </c:pt>
                <c:pt idx="65">
                  <c:v>0.39419893203697676</c:v>
                </c:pt>
                <c:pt idx="66">
                  <c:v>0.52006480666881527</c:v>
                </c:pt>
                <c:pt idx="67">
                  <c:v>0.24400642759667637</c:v>
                </c:pt>
                <c:pt idx="68">
                  <c:v>0.55511212838520774</c:v>
                </c:pt>
                <c:pt idx="69">
                  <c:v>0.30466355672479728</c:v>
                </c:pt>
                <c:pt idx="70">
                  <c:v>0.38345451404701708</c:v>
                </c:pt>
                <c:pt idx="71">
                  <c:v>0.35279845685523975</c:v>
                </c:pt>
                <c:pt idx="72">
                  <c:v>0.48818008523451634</c:v>
                </c:pt>
                <c:pt idx="73">
                  <c:v>0.42184318546996868</c:v>
                </c:pt>
                <c:pt idx="74">
                  <c:v>0.33565664677986845</c:v>
                </c:pt>
                <c:pt idx="75">
                  <c:v>0.30638169777242624</c:v>
                </c:pt>
                <c:pt idx="76">
                  <c:v>0.34580131665290742</c:v>
                </c:pt>
                <c:pt idx="77">
                  <c:v>0.41936417264038234</c:v>
                </c:pt>
                <c:pt idx="78">
                  <c:v>0.42099770033610473</c:v>
                </c:pt>
                <c:pt idx="79">
                  <c:v>0.42231090337184352</c:v>
                </c:pt>
                <c:pt idx="80">
                  <c:v>7.6086139506915215E-2</c:v>
                </c:pt>
                <c:pt idx="81">
                  <c:v>0.50826484958535356</c:v>
                </c:pt>
                <c:pt idx="82">
                  <c:v>0.38698359058665938</c:v>
                </c:pt>
                <c:pt idx="83">
                  <c:v>0.47129662185919452</c:v>
                </c:pt>
                <c:pt idx="84">
                  <c:v>0.50073583103971242</c:v>
                </c:pt>
                <c:pt idx="85">
                  <c:v>0.46855579673515507</c:v>
                </c:pt>
                <c:pt idx="86">
                  <c:v>0.26475101549571234</c:v>
                </c:pt>
                <c:pt idx="87">
                  <c:v>0.29675188317567958</c:v>
                </c:pt>
                <c:pt idx="88">
                  <c:v>0.39886639845779903</c:v>
                </c:pt>
                <c:pt idx="89">
                  <c:v>0.39387658973151202</c:v>
                </c:pt>
                <c:pt idx="90">
                  <c:v>0.49447945649929703</c:v>
                </c:pt>
                <c:pt idx="91">
                  <c:v>0.32348764316865963</c:v>
                </c:pt>
                <c:pt idx="92">
                  <c:v>0.4669076499591639</c:v>
                </c:pt>
                <c:pt idx="93">
                  <c:v>0.39312034296213128</c:v>
                </c:pt>
                <c:pt idx="94">
                  <c:v>0.32625426303558314</c:v>
                </c:pt>
                <c:pt idx="95">
                  <c:v>0.4418864466565407</c:v>
                </c:pt>
                <c:pt idx="96">
                  <c:v>0.30969441422650568</c:v>
                </c:pt>
                <c:pt idx="97">
                  <c:v>0.32435587308730873</c:v>
                </c:pt>
                <c:pt idx="98">
                  <c:v>0.5553507384983225</c:v>
                </c:pt>
                <c:pt idx="99">
                  <c:v>0.448817516785249</c:v>
                </c:pt>
                <c:pt idx="100">
                  <c:v>0.39805112493453992</c:v>
                </c:pt>
                <c:pt idx="101">
                  <c:v>0.28161182540229812</c:v>
                </c:pt>
                <c:pt idx="102">
                  <c:v>0.38148878183461299</c:v>
                </c:pt>
                <c:pt idx="103">
                  <c:v>0.40618103674904671</c:v>
                </c:pt>
                <c:pt idx="104">
                  <c:v>0.3582970970355972</c:v>
                </c:pt>
                <c:pt idx="105">
                  <c:v>0.41573417899740533</c:v>
                </c:pt>
                <c:pt idx="106">
                  <c:v>0.41576096372183274</c:v>
                </c:pt>
                <c:pt idx="107">
                  <c:v>0.47579265536222376</c:v>
                </c:pt>
                <c:pt idx="108">
                  <c:v>0.39857506207687721</c:v>
                </c:pt>
                <c:pt idx="109">
                  <c:v>0.39532377083160603</c:v>
                </c:pt>
                <c:pt idx="110">
                  <c:v>0.52603230566928316</c:v>
                </c:pt>
                <c:pt idx="111">
                  <c:v>0.54686075713887083</c:v>
                </c:pt>
                <c:pt idx="112">
                  <c:v>0.38767354199840764</c:v>
                </c:pt>
                <c:pt idx="113">
                  <c:v>0.33599041002397495</c:v>
                </c:pt>
                <c:pt idx="114">
                  <c:v>0.51439418670729198</c:v>
                </c:pt>
                <c:pt idx="115">
                  <c:v>0.29651642399244643</c:v>
                </c:pt>
                <c:pt idx="116">
                  <c:v>0.29630217090166966</c:v>
                </c:pt>
                <c:pt idx="117">
                  <c:v>0.2836981433197554</c:v>
                </c:pt>
                <c:pt idx="118">
                  <c:v>0.53740711730211488</c:v>
                </c:pt>
                <c:pt idx="119">
                  <c:v>0.4995096852300242</c:v>
                </c:pt>
                <c:pt idx="120">
                  <c:v>0.45378238341968913</c:v>
                </c:pt>
                <c:pt idx="121">
                  <c:v>0.52497079439252337</c:v>
                </c:pt>
                <c:pt idx="122">
                  <c:v>0.42296529968454261</c:v>
                </c:pt>
                <c:pt idx="123">
                  <c:v>0.51591246628072618</c:v>
                </c:pt>
              </c:numCache>
            </c:numRef>
          </c:val>
          <c:extLst>
            <c:ext xmlns:c16="http://schemas.microsoft.com/office/drawing/2014/chart" uri="{C3380CC4-5D6E-409C-BE32-E72D297353CC}">
              <c16:uniqueId val="{00000002-1B0F-4E2A-B69A-8A344DB3565E}"/>
            </c:ext>
          </c:extLst>
        </c:ser>
        <c:dLbls>
          <c:showLegendKey val="0"/>
          <c:showVal val="0"/>
          <c:showCatName val="0"/>
          <c:showSerName val="0"/>
          <c:showPercent val="0"/>
          <c:showBubbleSize val="0"/>
        </c:dLbls>
        <c:gapWidth val="182"/>
        <c:axId val="1831969567"/>
        <c:axId val="1831974367"/>
      </c:barChart>
      <c:catAx>
        <c:axId val="1831969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74367"/>
        <c:crosses val="autoZero"/>
        <c:auto val="1"/>
        <c:lblAlgn val="ctr"/>
        <c:lblOffset val="100"/>
        <c:noMultiLvlLbl val="0"/>
      </c:catAx>
      <c:valAx>
        <c:axId val="1831974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69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[NHS_A&amp;E(AutoRecovered).xlsx]Sheet2!PivotTable3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Total attendance</c:v>
                </c:pt>
              </c:strCache>
            </c:strRef>
          </c:tx>
          <c:spPr>
            <a:solidFill>
              <a:schemeClr val="accent1"/>
            </a:solidFill>
            <a:ln>
              <a:noFill/>
            </a:ln>
            <a:effectLst/>
          </c:spPr>
          <c:invertIfNegative val="0"/>
          <c:cat>
            <c:strRef>
              <c:f>Sheet2!$A$4:$A$8</c:f>
              <c:strCache>
                <c:ptCount val="4"/>
                <c:pt idx="0">
                  <c:v>Autumn</c:v>
                </c:pt>
                <c:pt idx="1">
                  <c:v>Spring</c:v>
                </c:pt>
                <c:pt idx="2">
                  <c:v>Summer</c:v>
                </c:pt>
                <c:pt idx="3">
                  <c:v>Winter</c:v>
                </c:pt>
              </c:strCache>
            </c:strRef>
          </c:cat>
          <c:val>
            <c:numRef>
              <c:f>Sheet2!$B$4:$B$8</c:f>
              <c:numCache>
                <c:formatCode>General</c:formatCode>
                <c:ptCount val="4"/>
                <c:pt idx="0">
                  <c:v>6650171</c:v>
                </c:pt>
                <c:pt idx="1">
                  <c:v>6715958</c:v>
                </c:pt>
                <c:pt idx="2">
                  <c:v>6619512</c:v>
                </c:pt>
                <c:pt idx="3">
                  <c:v>6374899</c:v>
                </c:pt>
              </c:numCache>
            </c:numRef>
          </c:val>
          <c:extLst>
            <c:ext xmlns:c16="http://schemas.microsoft.com/office/drawing/2014/chart" uri="{C3380CC4-5D6E-409C-BE32-E72D297353CC}">
              <c16:uniqueId val="{00000000-AA20-44E9-9534-F50D2D1C6B3D}"/>
            </c:ext>
          </c:extLst>
        </c:ser>
        <c:dLbls>
          <c:showLegendKey val="0"/>
          <c:showVal val="0"/>
          <c:showCatName val="0"/>
          <c:showSerName val="0"/>
          <c:showPercent val="0"/>
          <c:showBubbleSize val="0"/>
        </c:dLbls>
        <c:gapWidth val="219"/>
        <c:overlap val="-27"/>
        <c:axId val="1831934047"/>
        <c:axId val="1831935007"/>
      </c:barChart>
      <c:lineChart>
        <c:grouping val="standard"/>
        <c:varyColors val="0"/>
        <c:ser>
          <c:idx val="1"/>
          <c:order val="1"/>
          <c:tx>
            <c:strRef>
              <c:f>Sheet2!$C$3</c:f>
              <c:strCache>
                <c:ptCount val="1"/>
                <c:pt idx="0">
                  <c:v>Sum of Wait_12hr_plus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Sheet2!$A$4:$A$8</c:f>
              <c:strCache>
                <c:ptCount val="4"/>
                <c:pt idx="0">
                  <c:v>Autumn</c:v>
                </c:pt>
                <c:pt idx="1">
                  <c:v>Spring</c:v>
                </c:pt>
                <c:pt idx="2">
                  <c:v>Summer</c:v>
                </c:pt>
                <c:pt idx="3">
                  <c:v>Winter</c:v>
                </c:pt>
              </c:strCache>
            </c:strRef>
          </c:cat>
          <c:val>
            <c:numRef>
              <c:f>Sheet2!$C$4:$C$8</c:f>
              <c:numCache>
                <c:formatCode>General</c:formatCode>
                <c:ptCount val="4"/>
                <c:pt idx="0">
                  <c:v>149727</c:v>
                </c:pt>
                <c:pt idx="1">
                  <c:v>134204</c:v>
                </c:pt>
                <c:pt idx="2">
                  <c:v>110059</c:v>
                </c:pt>
                <c:pt idx="3">
                  <c:v>176941</c:v>
                </c:pt>
              </c:numCache>
            </c:numRef>
          </c:val>
          <c:smooth val="0"/>
          <c:extLst>
            <c:ext xmlns:c16="http://schemas.microsoft.com/office/drawing/2014/chart" uri="{C3380CC4-5D6E-409C-BE32-E72D297353CC}">
              <c16:uniqueId val="{00000001-AA20-44E9-9534-F50D2D1C6B3D}"/>
            </c:ext>
          </c:extLst>
        </c:ser>
        <c:dLbls>
          <c:showLegendKey val="0"/>
          <c:showVal val="0"/>
          <c:showCatName val="0"/>
          <c:showSerName val="0"/>
          <c:showPercent val="0"/>
          <c:showBubbleSize val="0"/>
        </c:dLbls>
        <c:marker val="1"/>
        <c:smooth val="0"/>
        <c:axId val="1831934047"/>
        <c:axId val="1831935007"/>
      </c:lineChart>
      <c:lineChart>
        <c:grouping val="standard"/>
        <c:varyColors val="0"/>
        <c:ser>
          <c:idx val="2"/>
          <c:order val="2"/>
          <c:tx>
            <c:strRef>
              <c:f>Sheet2!$D$3</c:f>
              <c:strCache>
                <c:ptCount val="1"/>
                <c:pt idx="0">
                  <c:v>Sum of Wait_Rate_%</c:v>
                </c:pt>
              </c:strCache>
            </c:strRef>
          </c:tx>
          <c:spPr>
            <a:ln w="28575" cap="rnd">
              <a:solidFill>
                <a:schemeClr val="accent3"/>
              </a:solidFill>
              <a:round/>
            </a:ln>
            <a:effectLst/>
          </c:spPr>
          <c:marker>
            <c:symbol val="none"/>
          </c:marker>
          <c:cat>
            <c:strRef>
              <c:f>Sheet2!$A$4:$A$8</c:f>
              <c:strCache>
                <c:ptCount val="4"/>
                <c:pt idx="0">
                  <c:v>Autumn</c:v>
                </c:pt>
                <c:pt idx="1">
                  <c:v>Spring</c:v>
                </c:pt>
                <c:pt idx="2">
                  <c:v>Summer</c:v>
                </c:pt>
                <c:pt idx="3">
                  <c:v>Winter</c:v>
                </c:pt>
              </c:strCache>
            </c:strRef>
          </c:cat>
          <c:val>
            <c:numRef>
              <c:f>Sheet2!$D$4:$D$8</c:f>
              <c:numCache>
                <c:formatCode>0%</c:formatCode>
                <c:ptCount val="4"/>
                <c:pt idx="0">
                  <c:v>2.2514759394908792E-2</c:v>
                </c:pt>
                <c:pt idx="1">
                  <c:v>1.9982852781390236E-2</c:v>
                </c:pt>
                <c:pt idx="2">
                  <c:v>1.6626452221855628E-2</c:v>
                </c:pt>
                <c:pt idx="3">
                  <c:v>2.7755890720778477E-2</c:v>
                </c:pt>
              </c:numCache>
            </c:numRef>
          </c:val>
          <c:smooth val="0"/>
          <c:extLst>
            <c:ext xmlns:c16="http://schemas.microsoft.com/office/drawing/2014/chart" uri="{C3380CC4-5D6E-409C-BE32-E72D297353CC}">
              <c16:uniqueId val="{00000002-AA20-44E9-9534-F50D2D1C6B3D}"/>
            </c:ext>
          </c:extLst>
        </c:ser>
        <c:dLbls>
          <c:showLegendKey val="0"/>
          <c:showVal val="0"/>
          <c:showCatName val="0"/>
          <c:showSerName val="0"/>
          <c:showPercent val="0"/>
          <c:showBubbleSize val="0"/>
        </c:dLbls>
        <c:marker val="1"/>
        <c:smooth val="0"/>
        <c:axId val="1831941727"/>
        <c:axId val="1831943647"/>
      </c:lineChart>
      <c:catAx>
        <c:axId val="183193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5007"/>
        <c:crosses val="autoZero"/>
        <c:auto val="1"/>
        <c:lblAlgn val="ctr"/>
        <c:lblOffset val="100"/>
        <c:noMultiLvlLbl val="0"/>
      </c:catAx>
      <c:valAx>
        <c:axId val="18319350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34047"/>
        <c:crosses val="autoZero"/>
        <c:crossBetween val="between"/>
      </c:valAx>
      <c:valAx>
        <c:axId val="18319436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941727"/>
        <c:crosses val="max"/>
        <c:crossBetween val="between"/>
      </c:valAx>
      <c:catAx>
        <c:axId val="1831941727"/>
        <c:scaling>
          <c:orientation val="minMax"/>
        </c:scaling>
        <c:delete val="1"/>
        <c:axPos val="b"/>
        <c:numFmt formatCode="General" sourceLinked="1"/>
        <c:majorTickMark val="out"/>
        <c:minorTickMark val="none"/>
        <c:tickLblPos val="nextTo"/>
        <c:crossAx val="183194364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4hr Breach Rate vs 76%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'CHART DATA'!$F$1</c:f>
              <c:strCache>
                <c:ptCount val="1"/>
                <c:pt idx="0">
                  <c:v> Breach_Rate</c:v>
                </c:pt>
              </c:strCache>
            </c:strRef>
          </c:tx>
          <c:spPr>
            <a:ln w="34925" cap="rnd">
              <a:solidFill>
                <a:srgbClr val="C00000">
                  <a:alpha val="97000"/>
                </a:srgbClr>
              </a:solidFill>
              <a:round/>
            </a:ln>
            <a:effectLst/>
          </c:spPr>
          <c:marker>
            <c:symbol val="circle"/>
            <c:size val="5"/>
            <c:spPr>
              <a:solidFill>
                <a:srgbClr val="C00000"/>
              </a:solidFill>
              <a:ln w="9525">
                <a:solidFill>
                  <a:schemeClr val="accent1"/>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DATA'!$F$2:$F$13</c:f>
              <c:numCache>
                <c:formatCode>0%</c:formatCode>
                <c:ptCount val="12"/>
                <c:pt idx="0">
                  <c:v>0.40210000000000001</c:v>
                </c:pt>
                <c:pt idx="1">
                  <c:v>0.39169999999999999</c:v>
                </c:pt>
                <c:pt idx="2">
                  <c:v>0.38650000000000001</c:v>
                </c:pt>
                <c:pt idx="3">
                  <c:v>0.373</c:v>
                </c:pt>
                <c:pt idx="4">
                  <c:v>0.38340000000000002</c:v>
                </c:pt>
                <c:pt idx="5">
                  <c:v>0.39229999999999998</c:v>
                </c:pt>
                <c:pt idx="6">
                  <c:v>0.40139999999999998</c:v>
                </c:pt>
                <c:pt idx="7">
                  <c:v>0.39929999999999999</c:v>
                </c:pt>
                <c:pt idx="8">
                  <c:v>0.40639999999999998</c:v>
                </c:pt>
                <c:pt idx="9">
                  <c:v>0.4294</c:v>
                </c:pt>
                <c:pt idx="10">
                  <c:v>0.4088</c:v>
                </c:pt>
                <c:pt idx="11">
                  <c:v>0.36120000000000002</c:v>
                </c:pt>
              </c:numCache>
            </c:numRef>
          </c:val>
          <c:smooth val="1"/>
          <c:extLst>
            <c:ext xmlns:c16="http://schemas.microsoft.com/office/drawing/2014/chart" uri="{C3380CC4-5D6E-409C-BE32-E72D297353CC}">
              <c16:uniqueId val="{00000000-EE07-4306-B219-CC14357CCE90}"/>
            </c:ext>
          </c:extLst>
        </c:ser>
        <c:ser>
          <c:idx val="1"/>
          <c:order val="1"/>
          <c:tx>
            <c:strRef>
              <c:f>'CHART DATA'!$G$1</c:f>
              <c:strCache>
                <c:ptCount val="1"/>
                <c:pt idx="0">
                  <c:v> 12hr_Rate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DATA'!$G$2:$G$13</c:f>
              <c:numCache>
                <c:formatCode>0%</c:formatCode>
                <c:ptCount val="12"/>
                <c:pt idx="0">
                  <c:v>3.3000000000000002E-2</c:v>
                </c:pt>
                <c:pt idx="1">
                  <c:v>3.0200000000000001E-2</c:v>
                </c:pt>
                <c:pt idx="2">
                  <c:v>2.7699999999999999E-2</c:v>
                </c:pt>
                <c:pt idx="3">
                  <c:v>2.47E-2</c:v>
                </c:pt>
                <c:pt idx="4">
                  <c:v>2.6599999999999999E-2</c:v>
                </c:pt>
                <c:pt idx="5">
                  <c:v>3.2300000000000002E-2</c:v>
                </c:pt>
                <c:pt idx="6">
                  <c:v>3.7499999999999999E-2</c:v>
                </c:pt>
                <c:pt idx="7">
                  <c:v>3.5700000000000003E-2</c:v>
                </c:pt>
                <c:pt idx="8">
                  <c:v>3.61E-2</c:v>
                </c:pt>
                <c:pt idx="9">
                  <c:v>5.0900000000000001E-2</c:v>
                </c:pt>
                <c:pt idx="10">
                  <c:v>4.2999999999999997E-2</c:v>
                </c:pt>
                <c:pt idx="11">
                  <c:v>3.2199999999999999E-2</c:v>
                </c:pt>
              </c:numCache>
            </c:numRef>
          </c:val>
          <c:smooth val="0"/>
          <c:extLst>
            <c:ext xmlns:c16="http://schemas.microsoft.com/office/drawing/2014/chart" uri="{C3380CC4-5D6E-409C-BE32-E72D297353CC}">
              <c16:uniqueId val="{00000001-EE07-4306-B219-CC14357CCE90}"/>
            </c:ext>
          </c:extLst>
        </c:ser>
        <c:ser>
          <c:idx val="2"/>
          <c:order val="2"/>
          <c:tx>
            <c:strRef>
              <c:f>'CHART DATA'!$H$1</c:f>
              <c:strCache>
                <c:ptCount val="1"/>
                <c:pt idx="0">
                  <c:v> Target</c:v>
                </c:pt>
              </c:strCache>
            </c:strRef>
          </c:tx>
          <c:spPr>
            <a:ln w="19050" cap="rnd">
              <a:solidFill>
                <a:srgbClr val="00B050"/>
              </a:solidFill>
              <a:prstDash val="dash"/>
              <a:round/>
            </a:ln>
            <a:effectLst/>
          </c:spPr>
          <c:marker>
            <c:symbol val="circle"/>
            <c:size val="5"/>
            <c:spPr>
              <a:solidFill>
                <a:schemeClr val="accent3"/>
              </a:solidFill>
              <a:ln w="9525">
                <a:solidFill>
                  <a:schemeClr val="accent3"/>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DATA'!$H$2:$H$13</c:f>
              <c:numCache>
                <c:formatCode>General</c:formatCode>
                <c:ptCount val="12"/>
                <c:pt idx="0">
                  <c:v>0.24</c:v>
                </c:pt>
                <c:pt idx="1">
                  <c:v>0.24</c:v>
                </c:pt>
                <c:pt idx="2">
                  <c:v>0.24</c:v>
                </c:pt>
                <c:pt idx="3">
                  <c:v>0.24</c:v>
                </c:pt>
                <c:pt idx="4">
                  <c:v>0.24</c:v>
                </c:pt>
                <c:pt idx="5">
                  <c:v>0.24</c:v>
                </c:pt>
                <c:pt idx="6">
                  <c:v>0.24</c:v>
                </c:pt>
                <c:pt idx="7">
                  <c:v>0.24</c:v>
                </c:pt>
                <c:pt idx="8">
                  <c:v>0.24</c:v>
                </c:pt>
                <c:pt idx="9">
                  <c:v>0.24</c:v>
                </c:pt>
                <c:pt idx="10">
                  <c:v>0.24</c:v>
                </c:pt>
                <c:pt idx="11">
                  <c:v>0.24</c:v>
                </c:pt>
              </c:numCache>
            </c:numRef>
          </c:val>
          <c:smooth val="0"/>
          <c:extLst>
            <c:ext xmlns:c16="http://schemas.microsoft.com/office/drawing/2014/chart" uri="{C3380CC4-5D6E-409C-BE32-E72D297353CC}">
              <c16:uniqueId val="{00000002-EE07-4306-B219-CC14357CCE90}"/>
            </c:ext>
          </c:extLst>
        </c:ser>
        <c:dLbls>
          <c:showLegendKey val="0"/>
          <c:showVal val="0"/>
          <c:showCatName val="0"/>
          <c:showSerName val="0"/>
          <c:showPercent val="0"/>
          <c:showBubbleSize val="0"/>
        </c:dLbls>
        <c:marker val="1"/>
        <c:smooth val="0"/>
        <c:axId val="1935348336"/>
        <c:axId val="1935348816"/>
      </c:lineChart>
      <c:dateAx>
        <c:axId val="19353483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8816"/>
        <c:crosses val="autoZero"/>
        <c:auto val="1"/>
        <c:lblOffset val="100"/>
        <c:baseTimeUnit val="months"/>
      </c:dateAx>
      <c:valAx>
        <c:axId val="1935348816"/>
        <c:scaling>
          <c:orientation val="minMax"/>
          <c:min val="0.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833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4hr Breach Rate vs 76% Target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'CHART DATA'!$F$1</c:f>
              <c:strCache>
                <c:ptCount val="1"/>
                <c:pt idx="0">
                  <c:v> Breach_Rate</c:v>
                </c:pt>
              </c:strCache>
            </c:strRef>
          </c:tx>
          <c:spPr>
            <a:ln w="34925" cap="rnd">
              <a:solidFill>
                <a:srgbClr val="C00000">
                  <a:alpha val="97000"/>
                </a:srgbClr>
              </a:solidFill>
              <a:round/>
            </a:ln>
            <a:effectLst/>
          </c:spPr>
          <c:marker>
            <c:symbol val="circle"/>
            <c:size val="5"/>
            <c:spPr>
              <a:solidFill>
                <a:srgbClr val="C00000"/>
              </a:solidFill>
              <a:ln w="9525">
                <a:solidFill>
                  <a:schemeClr val="accent1"/>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DATA'!$F$2:$F$13</c:f>
              <c:numCache>
                <c:formatCode>0%</c:formatCode>
                <c:ptCount val="12"/>
                <c:pt idx="0">
                  <c:v>0.40210000000000001</c:v>
                </c:pt>
                <c:pt idx="1">
                  <c:v>0.39169999999999999</c:v>
                </c:pt>
                <c:pt idx="2">
                  <c:v>0.38650000000000001</c:v>
                </c:pt>
                <c:pt idx="3">
                  <c:v>0.373</c:v>
                </c:pt>
                <c:pt idx="4">
                  <c:v>0.38340000000000002</c:v>
                </c:pt>
                <c:pt idx="5">
                  <c:v>0.39229999999999998</c:v>
                </c:pt>
                <c:pt idx="6">
                  <c:v>0.40139999999999998</c:v>
                </c:pt>
                <c:pt idx="7">
                  <c:v>0.39929999999999999</c:v>
                </c:pt>
                <c:pt idx="8">
                  <c:v>0.40639999999999998</c:v>
                </c:pt>
                <c:pt idx="9">
                  <c:v>0.4294</c:v>
                </c:pt>
                <c:pt idx="10">
                  <c:v>0.4088</c:v>
                </c:pt>
                <c:pt idx="11">
                  <c:v>0.36120000000000002</c:v>
                </c:pt>
              </c:numCache>
            </c:numRef>
          </c:val>
          <c:smooth val="1"/>
          <c:extLst>
            <c:ext xmlns:c16="http://schemas.microsoft.com/office/drawing/2014/chart" uri="{C3380CC4-5D6E-409C-BE32-E72D297353CC}">
              <c16:uniqueId val="{00000000-E2C8-401C-A337-0D6DEC268104}"/>
            </c:ext>
          </c:extLst>
        </c:ser>
        <c:ser>
          <c:idx val="1"/>
          <c:order val="1"/>
          <c:tx>
            <c:strRef>
              <c:f>'CHART DATA'!$G$1</c:f>
              <c:strCache>
                <c:ptCount val="1"/>
                <c:pt idx="0">
                  <c:v> 12hr_Rate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DATA'!$G$2:$G$13</c:f>
              <c:numCache>
                <c:formatCode>0%</c:formatCode>
                <c:ptCount val="12"/>
                <c:pt idx="0">
                  <c:v>3.3000000000000002E-2</c:v>
                </c:pt>
                <c:pt idx="1">
                  <c:v>3.0200000000000001E-2</c:v>
                </c:pt>
                <c:pt idx="2">
                  <c:v>2.7699999999999999E-2</c:v>
                </c:pt>
                <c:pt idx="3">
                  <c:v>2.47E-2</c:v>
                </c:pt>
                <c:pt idx="4">
                  <c:v>2.6599999999999999E-2</c:v>
                </c:pt>
                <c:pt idx="5">
                  <c:v>3.2300000000000002E-2</c:v>
                </c:pt>
                <c:pt idx="6">
                  <c:v>3.7499999999999999E-2</c:v>
                </c:pt>
                <c:pt idx="7">
                  <c:v>3.5700000000000003E-2</c:v>
                </c:pt>
                <c:pt idx="8">
                  <c:v>3.61E-2</c:v>
                </c:pt>
                <c:pt idx="9">
                  <c:v>5.0900000000000001E-2</c:v>
                </c:pt>
                <c:pt idx="10">
                  <c:v>4.2999999999999997E-2</c:v>
                </c:pt>
                <c:pt idx="11">
                  <c:v>3.2199999999999999E-2</c:v>
                </c:pt>
              </c:numCache>
            </c:numRef>
          </c:val>
          <c:smooth val="0"/>
          <c:extLst>
            <c:ext xmlns:c16="http://schemas.microsoft.com/office/drawing/2014/chart" uri="{C3380CC4-5D6E-409C-BE32-E72D297353CC}">
              <c16:uniqueId val="{00000001-E2C8-401C-A337-0D6DEC268104}"/>
            </c:ext>
          </c:extLst>
        </c:ser>
        <c:ser>
          <c:idx val="2"/>
          <c:order val="2"/>
          <c:tx>
            <c:strRef>
              <c:f>'CHART DATA'!$H$1</c:f>
              <c:strCache>
                <c:ptCount val="1"/>
                <c:pt idx="0">
                  <c:v> Target</c:v>
                </c:pt>
              </c:strCache>
            </c:strRef>
          </c:tx>
          <c:spPr>
            <a:ln w="19050" cap="rnd">
              <a:solidFill>
                <a:srgbClr val="00B050"/>
              </a:solidFill>
              <a:prstDash val="dash"/>
              <a:round/>
            </a:ln>
            <a:effectLst/>
          </c:spPr>
          <c:marker>
            <c:symbol val="circle"/>
            <c:size val="5"/>
            <c:spPr>
              <a:solidFill>
                <a:schemeClr val="accent3"/>
              </a:solidFill>
              <a:ln w="9525">
                <a:solidFill>
                  <a:schemeClr val="accent3"/>
                </a:solidFill>
              </a:ln>
              <a:effectLst/>
            </c:spPr>
          </c:marker>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DATA'!$H$2:$H$13</c:f>
              <c:numCache>
                <c:formatCode>General</c:formatCode>
                <c:ptCount val="12"/>
                <c:pt idx="0">
                  <c:v>0.24</c:v>
                </c:pt>
                <c:pt idx="1">
                  <c:v>0.24</c:v>
                </c:pt>
                <c:pt idx="2">
                  <c:v>0.24</c:v>
                </c:pt>
                <c:pt idx="3">
                  <c:v>0.24</c:v>
                </c:pt>
                <c:pt idx="4">
                  <c:v>0.24</c:v>
                </c:pt>
                <c:pt idx="5">
                  <c:v>0.24</c:v>
                </c:pt>
                <c:pt idx="6">
                  <c:v>0.24</c:v>
                </c:pt>
                <c:pt idx="7">
                  <c:v>0.24</c:v>
                </c:pt>
                <c:pt idx="8">
                  <c:v>0.24</c:v>
                </c:pt>
                <c:pt idx="9">
                  <c:v>0.24</c:v>
                </c:pt>
                <c:pt idx="10">
                  <c:v>0.24</c:v>
                </c:pt>
                <c:pt idx="11">
                  <c:v>0.24</c:v>
                </c:pt>
              </c:numCache>
            </c:numRef>
          </c:val>
          <c:smooth val="0"/>
          <c:extLst>
            <c:ext xmlns:c16="http://schemas.microsoft.com/office/drawing/2014/chart" uri="{C3380CC4-5D6E-409C-BE32-E72D297353CC}">
              <c16:uniqueId val="{00000002-E2C8-401C-A337-0D6DEC268104}"/>
            </c:ext>
          </c:extLst>
        </c:ser>
        <c:dLbls>
          <c:showLegendKey val="0"/>
          <c:showVal val="0"/>
          <c:showCatName val="0"/>
          <c:showSerName val="0"/>
          <c:showPercent val="0"/>
          <c:showBubbleSize val="0"/>
        </c:dLbls>
        <c:marker val="1"/>
        <c:smooth val="0"/>
        <c:axId val="1935348336"/>
        <c:axId val="1935348816"/>
      </c:lineChart>
      <c:dateAx>
        <c:axId val="19353483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8816"/>
        <c:crosses val="autoZero"/>
        <c:auto val="1"/>
        <c:lblOffset val="100"/>
        <c:baseTimeUnit val="months"/>
      </c:dateAx>
      <c:valAx>
        <c:axId val="1935348816"/>
        <c:scaling>
          <c:orientation val="minMax"/>
          <c:min val="0.2"/>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4833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Regional 4hr Breach_Rate - Worst to Best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715266841644794E-2"/>
          <c:y val="0.17171296296296298"/>
          <c:w val="0.89458355205599305"/>
          <c:h val="0.72088764946048411"/>
        </c:manualLayout>
      </c:layout>
      <c:barChart>
        <c:barDir val="bar"/>
        <c:grouping val="clustered"/>
        <c:varyColors val="0"/>
        <c:ser>
          <c:idx val="0"/>
          <c:order val="0"/>
          <c:tx>
            <c:strRef>
              <c:f>'CHART DATA'!$K$1</c:f>
              <c:strCache>
                <c:ptCount val="1"/>
                <c:pt idx="0">
                  <c:v> Breach_Rate</c:v>
                </c:pt>
              </c:strCache>
            </c:strRef>
          </c:tx>
          <c:spPr>
            <a:solidFill>
              <a:srgbClr val="C0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DATA'!$J$2:$J$8</c:f>
              <c:strCache>
                <c:ptCount val="7"/>
                <c:pt idx="0">
                  <c:v>NORTH WEST</c:v>
                </c:pt>
                <c:pt idx="1">
                  <c:v>SOUTH WEST</c:v>
                </c:pt>
                <c:pt idx="2">
                  <c:v>MIDLANDS</c:v>
                </c:pt>
                <c:pt idx="3">
                  <c:v>NORTH EAST AND YORKSHIRE</c:v>
                </c:pt>
                <c:pt idx="4">
                  <c:v>EAST OF ENGLAND</c:v>
                </c:pt>
                <c:pt idx="5">
                  <c:v>LONDON</c:v>
                </c:pt>
                <c:pt idx="6">
                  <c:v>SOUTH EAST</c:v>
                </c:pt>
              </c:strCache>
            </c:strRef>
          </c:cat>
          <c:val>
            <c:numRef>
              <c:f>'CHART DATA'!$K$2:$K$8</c:f>
              <c:numCache>
                <c:formatCode>General</c:formatCode>
                <c:ptCount val="7"/>
                <c:pt idx="0">
                  <c:v>0.42609999999999998</c:v>
                </c:pt>
                <c:pt idx="1">
                  <c:v>0.42480000000000001</c:v>
                </c:pt>
                <c:pt idx="2">
                  <c:v>0.41620000000000001</c:v>
                </c:pt>
                <c:pt idx="3">
                  <c:v>0.3795</c:v>
                </c:pt>
                <c:pt idx="4">
                  <c:v>0.37609999999999999</c:v>
                </c:pt>
                <c:pt idx="5">
                  <c:v>0.37469999999999998</c:v>
                </c:pt>
                <c:pt idx="6">
                  <c:v>0.36930000000000002</c:v>
                </c:pt>
              </c:numCache>
            </c:numRef>
          </c:val>
          <c:extLst>
            <c:ext xmlns:c16="http://schemas.microsoft.com/office/drawing/2014/chart" uri="{C3380CC4-5D6E-409C-BE32-E72D297353CC}">
              <c16:uniqueId val="{00000000-7BB9-4FF9-AE19-8075B2B01F4E}"/>
            </c:ext>
          </c:extLst>
        </c:ser>
        <c:dLbls>
          <c:showLegendKey val="0"/>
          <c:showVal val="0"/>
          <c:showCatName val="0"/>
          <c:showSerName val="0"/>
          <c:showPercent val="0"/>
          <c:showBubbleSize val="0"/>
        </c:dLbls>
        <c:gapWidth val="56"/>
        <c:axId val="966987200"/>
        <c:axId val="966988160"/>
      </c:barChart>
      <c:catAx>
        <c:axId val="966987200"/>
        <c:scaling>
          <c:orientation val="minMax"/>
        </c:scaling>
        <c:delete val="1"/>
        <c:axPos val="l"/>
        <c:numFmt formatCode="General" sourceLinked="1"/>
        <c:majorTickMark val="none"/>
        <c:minorTickMark val="none"/>
        <c:tickLblPos val="nextTo"/>
        <c:crossAx val="966988160"/>
        <c:crosses val="autoZero"/>
        <c:auto val="1"/>
        <c:lblAlgn val="ctr"/>
        <c:lblOffset val="100"/>
        <c:noMultiLvlLbl val="0"/>
      </c:catAx>
      <c:valAx>
        <c:axId val="966988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9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T1 vs Other Attendance  Volume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'CHART DATA'!$B$1</c:f>
              <c:strCache>
                <c:ptCount val="1"/>
                <c:pt idx="0">
                  <c:v> T1_Att </c:v>
                </c:pt>
              </c:strCache>
            </c:strRef>
          </c:tx>
          <c:spPr>
            <a:solidFill>
              <a:schemeClr val="accent1"/>
            </a:solidFill>
            <a:ln>
              <a:noFill/>
            </a:ln>
            <a:effectLst/>
          </c:spPr>
          <c:invertIfNegative val="0"/>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DATA'!$B$2:$B$13</c:f>
              <c:numCache>
                <c:formatCode>_ * #,##0_ ;_ * \-#,##0_ ;_ * "-"??_ ;_ @_ </c:formatCode>
                <c:ptCount val="12"/>
                <c:pt idx="0">
                  <c:v>1354959</c:v>
                </c:pt>
                <c:pt idx="1">
                  <c:v>1419306</c:v>
                </c:pt>
                <c:pt idx="2">
                  <c:v>1395330</c:v>
                </c:pt>
                <c:pt idx="3">
                  <c:v>1433180</c:v>
                </c:pt>
                <c:pt idx="4">
                  <c:v>1351631</c:v>
                </c:pt>
                <c:pt idx="5">
                  <c:v>1385429</c:v>
                </c:pt>
                <c:pt idx="6">
                  <c:v>1449480</c:v>
                </c:pt>
                <c:pt idx="7">
                  <c:v>1418397</c:v>
                </c:pt>
                <c:pt idx="8">
                  <c:v>1407880</c:v>
                </c:pt>
                <c:pt idx="9">
                  <c:v>1405298</c:v>
                </c:pt>
                <c:pt idx="10">
                  <c:v>1271830</c:v>
                </c:pt>
                <c:pt idx="11">
                  <c:v>1450980</c:v>
                </c:pt>
              </c:numCache>
            </c:numRef>
          </c:val>
          <c:extLst>
            <c:ext xmlns:c16="http://schemas.microsoft.com/office/drawing/2014/chart" uri="{C3380CC4-5D6E-409C-BE32-E72D297353CC}">
              <c16:uniqueId val="{00000000-B6B9-4DEB-9536-EAF5A5496584}"/>
            </c:ext>
          </c:extLst>
        </c:ser>
        <c:ser>
          <c:idx val="1"/>
          <c:order val="1"/>
          <c:tx>
            <c:strRef>
              <c:f>'CHART DATA'!$C$1</c:f>
              <c:strCache>
                <c:ptCount val="1"/>
                <c:pt idx="0">
                  <c:v> Other_Att</c:v>
                </c:pt>
              </c:strCache>
            </c:strRef>
          </c:tx>
          <c:spPr>
            <a:solidFill>
              <a:schemeClr val="accent1">
                <a:lumMod val="40000"/>
                <a:lumOff val="60000"/>
              </a:schemeClr>
            </a:solidFill>
            <a:ln>
              <a:noFill/>
            </a:ln>
            <a:effectLst/>
          </c:spPr>
          <c:invertIfNegative val="0"/>
          <c:cat>
            <c:numRef>
              <c:f>'CHART DATA'!$A$2:$A$13</c:f>
              <c:numCache>
                <c:formatCode>mmm\-yy</c:formatCode>
                <c:ptCount val="12"/>
                <c:pt idx="0">
                  <c:v>45748</c:v>
                </c:pt>
                <c:pt idx="1">
                  <c:v>45778</c:v>
                </c:pt>
                <c:pt idx="2">
                  <c:v>45809</c:v>
                </c:pt>
                <c:pt idx="3">
                  <c:v>45839</c:v>
                </c:pt>
                <c:pt idx="4">
                  <c:v>45870</c:v>
                </c:pt>
                <c:pt idx="5">
                  <c:v>45901</c:v>
                </c:pt>
                <c:pt idx="6">
                  <c:v>45931</c:v>
                </c:pt>
                <c:pt idx="7">
                  <c:v>45962</c:v>
                </c:pt>
                <c:pt idx="8">
                  <c:v>45992</c:v>
                </c:pt>
                <c:pt idx="9">
                  <c:v>46023</c:v>
                </c:pt>
                <c:pt idx="10">
                  <c:v>46054</c:v>
                </c:pt>
                <c:pt idx="11">
                  <c:v>46082</c:v>
                </c:pt>
              </c:numCache>
            </c:numRef>
          </c:cat>
          <c:val>
            <c:numRef>
              <c:f>'CHART DATA'!$C$2:$C$13</c:f>
              <c:numCache>
                <c:formatCode>General</c:formatCode>
                <c:ptCount val="12"/>
                <c:pt idx="0">
                  <c:v>805616</c:v>
                </c:pt>
                <c:pt idx="1">
                  <c:v>839622</c:v>
                </c:pt>
                <c:pt idx="2">
                  <c:v>821993</c:v>
                </c:pt>
                <c:pt idx="3">
                  <c:v>834765</c:v>
                </c:pt>
                <c:pt idx="4">
                  <c:v>782613</c:v>
                </c:pt>
                <c:pt idx="5">
                  <c:v>791957</c:v>
                </c:pt>
                <c:pt idx="6">
                  <c:v>810555</c:v>
                </c:pt>
                <c:pt idx="7">
                  <c:v>794353</c:v>
                </c:pt>
                <c:pt idx="8">
                  <c:v>785405</c:v>
                </c:pt>
                <c:pt idx="9">
                  <c:v>780500</c:v>
                </c:pt>
                <c:pt idx="10">
                  <c:v>723986</c:v>
                </c:pt>
                <c:pt idx="11">
                  <c:v>845475</c:v>
                </c:pt>
              </c:numCache>
            </c:numRef>
          </c:val>
          <c:extLst>
            <c:ext xmlns:c16="http://schemas.microsoft.com/office/drawing/2014/chart" uri="{C3380CC4-5D6E-409C-BE32-E72D297353CC}">
              <c16:uniqueId val="{00000001-B6B9-4DEB-9536-EAF5A5496584}"/>
            </c:ext>
          </c:extLst>
        </c:ser>
        <c:dLbls>
          <c:showLegendKey val="0"/>
          <c:showVal val="0"/>
          <c:showCatName val="0"/>
          <c:showSerName val="0"/>
          <c:showPercent val="0"/>
          <c:showBubbleSize val="0"/>
        </c:dLbls>
        <c:gapWidth val="150"/>
        <c:overlap val="100"/>
        <c:axId val="1035665616"/>
        <c:axId val="1035668496"/>
      </c:barChart>
      <c:dateAx>
        <c:axId val="103566561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68496"/>
        <c:crosses val="autoZero"/>
        <c:auto val="1"/>
        <c:lblOffset val="100"/>
        <c:baseTimeUnit val="months"/>
      </c:dateAx>
      <c:valAx>
        <c:axId val="103566849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5665616"/>
        <c:crosses val="autoZero"/>
        <c:crossBetween val="between"/>
      </c:valAx>
      <c:spPr>
        <a:noFill/>
        <a:ln>
          <a:solidFill>
            <a:schemeClr val="accent1">
              <a:lumMod val="75000"/>
            </a:schemeClr>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Trust Volume vs Breach Rate(identify</a:t>
            </a:r>
            <a:r>
              <a:rPr lang="en-US" baseline="0"/>
              <a:t> outliers</a:t>
            </a:r>
            <a:r>
              <a:rPr lang="en-US"/>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38112586672934"/>
          <c:y val="0.14528037383177572"/>
          <c:w val="0.82833529204371836"/>
          <c:h val="0.64722753697843838"/>
        </c:manualLayout>
      </c:layout>
      <c:scatterChart>
        <c:scatterStyle val="lineMarker"/>
        <c:varyColors val="0"/>
        <c:ser>
          <c:idx val="0"/>
          <c:order val="0"/>
          <c:tx>
            <c:strRef>
              <c:f>'CHART DATA'!$E$59</c:f>
              <c:strCache>
                <c:ptCount val="1"/>
                <c:pt idx="0">
                  <c:v>T1_Att_k</c:v>
                </c:pt>
              </c:strCache>
            </c:strRef>
          </c:tx>
          <c:spPr>
            <a:ln w="25400" cap="rnd">
              <a:noFill/>
              <a:round/>
            </a:ln>
            <a:effectLst/>
          </c:spPr>
          <c:marker>
            <c:symbol val="circle"/>
            <c:size val="5"/>
            <c:spPr>
              <a:solidFill>
                <a:schemeClr val="accent1"/>
              </a:solidFill>
              <a:ln w="9525">
                <a:solidFill>
                  <a:schemeClr val="accent1"/>
                </a:solidFill>
              </a:ln>
              <a:effectLst/>
            </c:spPr>
          </c:marker>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E71-45D4-916E-DF5CC3041BEE}"/>
                </c:ext>
              </c:extLst>
            </c:dLbl>
            <c:dLbl>
              <c:idx val="1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71-45D4-916E-DF5CC3041BEE}"/>
                </c:ext>
              </c:extLst>
            </c:dLbl>
            <c:dLbl>
              <c:idx val="5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71-45D4-916E-DF5CC3041BEE}"/>
                </c:ext>
              </c:extLst>
            </c:dLbl>
            <c:dLbl>
              <c:idx val="8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71-45D4-916E-DF5CC3041BEE}"/>
                </c:ext>
              </c:extLst>
            </c:dLbl>
            <c:dLbl>
              <c:idx val="11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E71-45D4-916E-DF5CC3041BEE}"/>
                </c:ext>
              </c:extLst>
            </c:dLbl>
            <c:dLbl>
              <c:idx val="1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71-45D4-916E-DF5CC3041B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'CHART DATA'!$E$60:$E$184</c:f>
              <c:numCache>
                <c:formatCode>General</c:formatCode>
                <c:ptCount val="125"/>
                <c:pt idx="0">
                  <c:v>72.277000000000001</c:v>
                </c:pt>
                <c:pt idx="1">
                  <c:v>70.784999999999997</c:v>
                </c:pt>
                <c:pt idx="2">
                  <c:v>88.158000000000001</c:v>
                </c:pt>
                <c:pt idx="3">
                  <c:v>161.554</c:v>
                </c:pt>
                <c:pt idx="4">
                  <c:v>110.60299999999999</c:v>
                </c:pt>
                <c:pt idx="5">
                  <c:v>305.76</c:v>
                </c:pt>
                <c:pt idx="6">
                  <c:v>201.87700000000001</c:v>
                </c:pt>
                <c:pt idx="7">
                  <c:v>57.39</c:v>
                </c:pt>
                <c:pt idx="8">
                  <c:v>106.38800000000001</c:v>
                </c:pt>
                <c:pt idx="9">
                  <c:v>98.343999999999994</c:v>
                </c:pt>
                <c:pt idx="10">
                  <c:v>111.776</c:v>
                </c:pt>
                <c:pt idx="11">
                  <c:v>120.816</c:v>
                </c:pt>
                <c:pt idx="12">
                  <c:v>192.172</c:v>
                </c:pt>
                <c:pt idx="13">
                  <c:v>130.67099999999999</c:v>
                </c:pt>
                <c:pt idx="14">
                  <c:v>237.084</c:v>
                </c:pt>
                <c:pt idx="15">
                  <c:v>76.171000000000006</c:v>
                </c:pt>
                <c:pt idx="16">
                  <c:v>64.462000000000003</c:v>
                </c:pt>
                <c:pt idx="17">
                  <c:v>154.625</c:v>
                </c:pt>
                <c:pt idx="18">
                  <c:v>156.286</c:v>
                </c:pt>
                <c:pt idx="19">
                  <c:v>136.63999999999999</c:v>
                </c:pt>
                <c:pt idx="20">
                  <c:v>166.41200000000001</c:v>
                </c:pt>
                <c:pt idx="21">
                  <c:v>54.622</c:v>
                </c:pt>
                <c:pt idx="22">
                  <c:v>43.314</c:v>
                </c:pt>
                <c:pt idx="23">
                  <c:v>64.150999999999996</c:v>
                </c:pt>
                <c:pt idx="24">
                  <c:v>53.201999999999998</c:v>
                </c:pt>
                <c:pt idx="25">
                  <c:v>155.66</c:v>
                </c:pt>
                <c:pt idx="26">
                  <c:v>163.072</c:v>
                </c:pt>
                <c:pt idx="27">
                  <c:v>138.74799999999999</c:v>
                </c:pt>
                <c:pt idx="28">
                  <c:v>107.31699999999999</c:v>
                </c:pt>
                <c:pt idx="29">
                  <c:v>132.72499999999999</c:v>
                </c:pt>
                <c:pt idx="30">
                  <c:v>271.74900000000002</c:v>
                </c:pt>
                <c:pt idx="31">
                  <c:v>70.789000000000001</c:v>
                </c:pt>
                <c:pt idx="32">
                  <c:v>83.605000000000004</c:v>
                </c:pt>
                <c:pt idx="33">
                  <c:v>160.541</c:v>
                </c:pt>
                <c:pt idx="34">
                  <c:v>71.162999999999997</c:v>
                </c:pt>
                <c:pt idx="35">
                  <c:v>122.92400000000001</c:v>
                </c:pt>
                <c:pt idx="36">
                  <c:v>128.09</c:v>
                </c:pt>
                <c:pt idx="37">
                  <c:v>62.152999999999999</c:v>
                </c:pt>
                <c:pt idx="38">
                  <c:v>132.768</c:v>
                </c:pt>
                <c:pt idx="39">
                  <c:v>116.768</c:v>
                </c:pt>
                <c:pt idx="40">
                  <c:v>145.309</c:v>
                </c:pt>
                <c:pt idx="41">
                  <c:v>50.764000000000003</c:v>
                </c:pt>
                <c:pt idx="42">
                  <c:v>89.216999999999999</c:v>
                </c:pt>
                <c:pt idx="43">
                  <c:v>122.553</c:v>
                </c:pt>
                <c:pt idx="44">
                  <c:v>186.678</c:v>
                </c:pt>
                <c:pt idx="45">
                  <c:v>83.358000000000004</c:v>
                </c:pt>
                <c:pt idx="46">
                  <c:v>144.196</c:v>
                </c:pt>
                <c:pt idx="47">
                  <c:v>213.50399999999999</c:v>
                </c:pt>
                <c:pt idx="48">
                  <c:v>190.38499999999999</c:v>
                </c:pt>
                <c:pt idx="49">
                  <c:v>192.47399999999999</c:v>
                </c:pt>
                <c:pt idx="50">
                  <c:v>164.066</c:v>
                </c:pt>
                <c:pt idx="51">
                  <c:v>224.93199999999999</c:v>
                </c:pt>
                <c:pt idx="52">
                  <c:v>309.66000000000003</c:v>
                </c:pt>
                <c:pt idx="53">
                  <c:v>114.871</c:v>
                </c:pt>
                <c:pt idx="54">
                  <c:v>208.54599999999999</c:v>
                </c:pt>
                <c:pt idx="55">
                  <c:v>343.74700000000001</c:v>
                </c:pt>
                <c:pt idx="56">
                  <c:v>84.933000000000007</c:v>
                </c:pt>
                <c:pt idx="57">
                  <c:v>198.54400000000001</c:v>
                </c:pt>
                <c:pt idx="58">
                  <c:v>97.108999999999995</c:v>
                </c:pt>
                <c:pt idx="59">
                  <c:v>152.70500000000001</c:v>
                </c:pt>
                <c:pt idx="60">
                  <c:v>110.60599999999999</c:v>
                </c:pt>
                <c:pt idx="61">
                  <c:v>106.08499999999999</c:v>
                </c:pt>
                <c:pt idx="62">
                  <c:v>59.209000000000003</c:v>
                </c:pt>
                <c:pt idx="63">
                  <c:v>179.535</c:v>
                </c:pt>
                <c:pt idx="64">
                  <c:v>125.498</c:v>
                </c:pt>
                <c:pt idx="65">
                  <c:v>313.49400000000003</c:v>
                </c:pt>
                <c:pt idx="66">
                  <c:v>114.803</c:v>
                </c:pt>
                <c:pt idx="67">
                  <c:v>123.84099999999999</c:v>
                </c:pt>
                <c:pt idx="68">
                  <c:v>153.351</c:v>
                </c:pt>
                <c:pt idx="69">
                  <c:v>147.48400000000001</c:v>
                </c:pt>
                <c:pt idx="70">
                  <c:v>127.358</c:v>
                </c:pt>
                <c:pt idx="71">
                  <c:v>132.71600000000001</c:v>
                </c:pt>
                <c:pt idx="72">
                  <c:v>82.361000000000004</c:v>
                </c:pt>
                <c:pt idx="73">
                  <c:v>153.72300000000001</c:v>
                </c:pt>
                <c:pt idx="74">
                  <c:v>313.77600000000001</c:v>
                </c:pt>
                <c:pt idx="75">
                  <c:v>33.22</c:v>
                </c:pt>
                <c:pt idx="76">
                  <c:v>47.241</c:v>
                </c:pt>
                <c:pt idx="77">
                  <c:v>107.136</c:v>
                </c:pt>
                <c:pt idx="78">
                  <c:v>56.53</c:v>
                </c:pt>
                <c:pt idx="79">
                  <c:v>136.06800000000001</c:v>
                </c:pt>
                <c:pt idx="80">
                  <c:v>53.216000000000001</c:v>
                </c:pt>
                <c:pt idx="81">
                  <c:v>106.83799999999999</c:v>
                </c:pt>
                <c:pt idx="82">
                  <c:v>131.38800000000001</c:v>
                </c:pt>
                <c:pt idx="83">
                  <c:v>147.892</c:v>
                </c:pt>
                <c:pt idx="84">
                  <c:v>89.015000000000001</c:v>
                </c:pt>
                <c:pt idx="85">
                  <c:v>134.524</c:v>
                </c:pt>
                <c:pt idx="86">
                  <c:v>99.704999999999998</c:v>
                </c:pt>
                <c:pt idx="87">
                  <c:v>103.81399999999999</c:v>
                </c:pt>
                <c:pt idx="88">
                  <c:v>95.447999999999993</c:v>
                </c:pt>
                <c:pt idx="89">
                  <c:v>127.38</c:v>
                </c:pt>
                <c:pt idx="90">
                  <c:v>101.711</c:v>
                </c:pt>
                <c:pt idx="91">
                  <c:v>119.003</c:v>
                </c:pt>
                <c:pt idx="92">
                  <c:v>66.117999999999995</c:v>
                </c:pt>
                <c:pt idx="93">
                  <c:v>146.95500000000001</c:v>
                </c:pt>
                <c:pt idx="94">
                  <c:v>99.400999999999996</c:v>
                </c:pt>
                <c:pt idx="95">
                  <c:v>79.662999999999997</c:v>
                </c:pt>
                <c:pt idx="96">
                  <c:v>111.229</c:v>
                </c:pt>
                <c:pt idx="97">
                  <c:v>142.208</c:v>
                </c:pt>
                <c:pt idx="98">
                  <c:v>129.655</c:v>
                </c:pt>
                <c:pt idx="99">
                  <c:v>79.831999999999994</c:v>
                </c:pt>
                <c:pt idx="100">
                  <c:v>204.32300000000001</c:v>
                </c:pt>
                <c:pt idx="101">
                  <c:v>159.52099999999999</c:v>
                </c:pt>
                <c:pt idx="102">
                  <c:v>140.53100000000001</c:v>
                </c:pt>
                <c:pt idx="103">
                  <c:v>414.62299999999999</c:v>
                </c:pt>
                <c:pt idx="104">
                  <c:v>188.80699999999999</c:v>
                </c:pt>
                <c:pt idx="105">
                  <c:v>149.15299999999999</c:v>
                </c:pt>
                <c:pt idx="106">
                  <c:v>173.16200000000001</c:v>
                </c:pt>
                <c:pt idx="107">
                  <c:v>225.63399999999999</c:v>
                </c:pt>
                <c:pt idx="108">
                  <c:v>264.99400000000003</c:v>
                </c:pt>
                <c:pt idx="109">
                  <c:v>108.54900000000001</c:v>
                </c:pt>
                <c:pt idx="110">
                  <c:v>174.149</c:v>
                </c:pt>
                <c:pt idx="111">
                  <c:v>107.51</c:v>
                </c:pt>
                <c:pt idx="112">
                  <c:v>321.536</c:v>
                </c:pt>
                <c:pt idx="113">
                  <c:v>114.286</c:v>
                </c:pt>
                <c:pt idx="114">
                  <c:v>82.706999999999994</c:v>
                </c:pt>
                <c:pt idx="115">
                  <c:v>100.61499999999999</c:v>
                </c:pt>
                <c:pt idx="116">
                  <c:v>94.569000000000003</c:v>
                </c:pt>
                <c:pt idx="117">
                  <c:v>107.773</c:v>
                </c:pt>
                <c:pt idx="118">
                  <c:v>94.474000000000004</c:v>
                </c:pt>
                <c:pt idx="119">
                  <c:v>165.2</c:v>
                </c:pt>
                <c:pt idx="120">
                  <c:v>67.55</c:v>
                </c:pt>
                <c:pt idx="121">
                  <c:v>20.544</c:v>
                </c:pt>
                <c:pt idx="122">
                  <c:v>71.325000000000003</c:v>
                </c:pt>
                <c:pt idx="123">
                  <c:v>131.97200000000001</c:v>
                </c:pt>
                <c:pt idx="124">
                  <c:v>16743.7</c:v>
                </c:pt>
              </c:numCache>
            </c:numRef>
          </c:xVal>
          <c:yVal>
            <c:numRef>
              <c:f>'CHART DATA'!$D$60:$D$184</c:f>
              <c:numCache>
                <c:formatCode>0%</c:formatCode>
                <c:ptCount val="125"/>
                <c:pt idx="0">
                  <c:v>0.37522310001798637</c:v>
                </c:pt>
                <c:pt idx="1">
                  <c:v>0.14792682065409338</c:v>
                </c:pt>
                <c:pt idx="2">
                  <c:v>0.49225254656412348</c:v>
                </c:pt>
                <c:pt idx="3">
                  <c:v>0.45655322678485211</c:v>
                </c:pt>
                <c:pt idx="4">
                  <c:v>0.28745151578166955</c:v>
                </c:pt>
                <c:pt idx="5">
                  <c:v>0.44046637885923601</c:v>
                </c:pt>
                <c:pt idx="6">
                  <c:v>0.37701174477528399</c:v>
                </c:pt>
                <c:pt idx="7">
                  <c:v>0.19032932566649241</c:v>
                </c:pt>
                <c:pt idx="8">
                  <c:v>0.46833289468737077</c:v>
                </c:pt>
                <c:pt idx="9">
                  <c:v>0.48538802570568618</c:v>
                </c:pt>
                <c:pt idx="10">
                  <c:v>0.24586673346693386</c:v>
                </c:pt>
                <c:pt idx="11">
                  <c:v>0.34653522712223545</c:v>
                </c:pt>
                <c:pt idx="12">
                  <c:v>0.16644464334034095</c:v>
                </c:pt>
                <c:pt idx="13">
                  <c:v>0.42057533806276831</c:v>
                </c:pt>
                <c:pt idx="14">
                  <c:v>0.27918374921968586</c:v>
                </c:pt>
                <c:pt idx="15">
                  <c:v>0.52705097740609941</c:v>
                </c:pt>
                <c:pt idx="16">
                  <c:v>0.50425056622506281</c:v>
                </c:pt>
                <c:pt idx="17">
                  <c:v>0.40404203718674214</c:v>
                </c:pt>
                <c:pt idx="18">
                  <c:v>0.3405935272513213</c:v>
                </c:pt>
                <c:pt idx="19">
                  <c:v>0.27901053864168618</c:v>
                </c:pt>
                <c:pt idx="20">
                  <c:v>0.35928899358219357</c:v>
                </c:pt>
                <c:pt idx="21">
                  <c:v>0.35663285855516091</c:v>
                </c:pt>
                <c:pt idx="22">
                  <c:v>0.46640808976312509</c:v>
                </c:pt>
                <c:pt idx="23">
                  <c:v>0.51478542813050454</c:v>
                </c:pt>
                <c:pt idx="24">
                  <c:v>0.53073192737115149</c:v>
                </c:pt>
                <c:pt idx="25">
                  <c:v>0.46086342027495825</c:v>
                </c:pt>
                <c:pt idx="26">
                  <c:v>0.34012583398744112</c:v>
                </c:pt>
                <c:pt idx="27">
                  <c:v>0.48379075734425003</c:v>
                </c:pt>
                <c:pt idx="28">
                  <c:v>0.41115573487891016</c:v>
                </c:pt>
                <c:pt idx="29">
                  <c:v>0.31229233377283855</c:v>
                </c:pt>
                <c:pt idx="30">
                  <c:v>0.40979359629658252</c:v>
                </c:pt>
                <c:pt idx="31">
                  <c:v>0.40064134258147455</c:v>
                </c:pt>
                <c:pt idx="32">
                  <c:v>0.28897793194186949</c:v>
                </c:pt>
                <c:pt idx="33">
                  <c:v>0.37851389987604411</c:v>
                </c:pt>
                <c:pt idx="34">
                  <c:v>0.51220437586948275</c:v>
                </c:pt>
                <c:pt idx="35">
                  <c:v>0.35456867658065144</c:v>
                </c:pt>
                <c:pt idx="36">
                  <c:v>0.4555624951206183</c:v>
                </c:pt>
                <c:pt idx="37">
                  <c:v>0.28724277186941899</c:v>
                </c:pt>
                <c:pt idx="38">
                  <c:v>0.18264943359845745</c:v>
                </c:pt>
                <c:pt idx="39">
                  <c:v>0.55478384488901067</c:v>
                </c:pt>
                <c:pt idx="40">
                  <c:v>0.41987075817740127</c:v>
                </c:pt>
                <c:pt idx="41">
                  <c:v>0.37629028445354978</c:v>
                </c:pt>
                <c:pt idx="42">
                  <c:v>0.36132127285158661</c:v>
                </c:pt>
                <c:pt idx="43">
                  <c:v>0.37196967842484474</c:v>
                </c:pt>
                <c:pt idx="44">
                  <c:v>0.43187735030373153</c:v>
                </c:pt>
                <c:pt idx="45">
                  <c:v>0.52635619856522464</c:v>
                </c:pt>
                <c:pt idx="46">
                  <c:v>0.37277039585009292</c:v>
                </c:pt>
                <c:pt idx="47">
                  <c:v>0.38963672811750599</c:v>
                </c:pt>
                <c:pt idx="48">
                  <c:v>0.49359455839483152</c:v>
                </c:pt>
                <c:pt idx="49">
                  <c:v>0.49383293327930006</c:v>
                </c:pt>
                <c:pt idx="50">
                  <c:v>0.48062365145734032</c:v>
                </c:pt>
                <c:pt idx="51">
                  <c:v>0.22280066864652429</c:v>
                </c:pt>
                <c:pt idx="52">
                  <c:v>0.40339727443002005</c:v>
                </c:pt>
                <c:pt idx="53">
                  <c:v>0.35619085757066621</c:v>
                </c:pt>
                <c:pt idx="54">
                  <c:v>0.37866465911597441</c:v>
                </c:pt>
                <c:pt idx="55">
                  <c:v>0.34408736658065381</c:v>
                </c:pt>
                <c:pt idx="56">
                  <c:v>0.56360896235856495</c:v>
                </c:pt>
                <c:pt idx="57">
                  <c:v>0.37416894995567734</c:v>
                </c:pt>
                <c:pt idx="58">
                  <c:v>0.39953042457444726</c:v>
                </c:pt>
                <c:pt idx="59">
                  <c:v>0.306132739595953</c:v>
                </c:pt>
                <c:pt idx="60">
                  <c:v>0.36306348661012966</c:v>
                </c:pt>
                <c:pt idx="61">
                  <c:v>0.44970542489513127</c:v>
                </c:pt>
                <c:pt idx="62">
                  <c:v>0.53289195899272068</c:v>
                </c:pt>
                <c:pt idx="63">
                  <c:v>0.3884256551647311</c:v>
                </c:pt>
                <c:pt idx="64">
                  <c:v>0.40367177166169976</c:v>
                </c:pt>
                <c:pt idx="65">
                  <c:v>0.39419893203697676</c:v>
                </c:pt>
                <c:pt idx="66">
                  <c:v>0.52006480666881527</c:v>
                </c:pt>
                <c:pt idx="67">
                  <c:v>0.24400642759667637</c:v>
                </c:pt>
                <c:pt idx="68">
                  <c:v>0.55511212838520774</c:v>
                </c:pt>
                <c:pt idx="69">
                  <c:v>0.30466355672479728</c:v>
                </c:pt>
                <c:pt idx="70">
                  <c:v>0.38345451404701708</c:v>
                </c:pt>
                <c:pt idx="71">
                  <c:v>0.35279845685523975</c:v>
                </c:pt>
                <c:pt idx="72">
                  <c:v>0.48818008523451634</c:v>
                </c:pt>
                <c:pt idx="73">
                  <c:v>0.42184318546996868</c:v>
                </c:pt>
                <c:pt idx="74">
                  <c:v>0.33565664677986845</c:v>
                </c:pt>
                <c:pt idx="75">
                  <c:v>0.30638169777242624</c:v>
                </c:pt>
                <c:pt idx="76">
                  <c:v>0.34580131665290742</c:v>
                </c:pt>
                <c:pt idx="77">
                  <c:v>0.41936417264038234</c:v>
                </c:pt>
                <c:pt idx="78">
                  <c:v>0.42099770033610473</c:v>
                </c:pt>
                <c:pt idx="79">
                  <c:v>0.42231090337184352</c:v>
                </c:pt>
                <c:pt idx="80">
                  <c:v>7.6086139506915215E-2</c:v>
                </c:pt>
                <c:pt idx="81">
                  <c:v>0.50826484958535356</c:v>
                </c:pt>
                <c:pt idx="82">
                  <c:v>0.38698359058665938</c:v>
                </c:pt>
                <c:pt idx="83">
                  <c:v>0.47129662185919452</c:v>
                </c:pt>
                <c:pt idx="84">
                  <c:v>0.50073583103971242</c:v>
                </c:pt>
                <c:pt idx="85">
                  <c:v>0.46855579673515507</c:v>
                </c:pt>
                <c:pt idx="86">
                  <c:v>0.26475101549571234</c:v>
                </c:pt>
                <c:pt idx="87">
                  <c:v>0.29675188317567958</c:v>
                </c:pt>
                <c:pt idx="88">
                  <c:v>0.39886639845779903</c:v>
                </c:pt>
                <c:pt idx="89">
                  <c:v>0.39387658973151202</c:v>
                </c:pt>
                <c:pt idx="90">
                  <c:v>0.49447945649929703</c:v>
                </c:pt>
                <c:pt idx="91">
                  <c:v>0.32348764316865963</c:v>
                </c:pt>
                <c:pt idx="92">
                  <c:v>0.4669076499591639</c:v>
                </c:pt>
                <c:pt idx="93">
                  <c:v>0.39312034296213128</c:v>
                </c:pt>
                <c:pt idx="94">
                  <c:v>0.32625426303558314</c:v>
                </c:pt>
                <c:pt idx="95">
                  <c:v>0.4418864466565407</c:v>
                </c:pt>
                <c:pt idx="96">
                  <c:v>0.30969441422650568</c:v>
                </c:pt>
                <c:pt idx="97">
                  <c:v>0.32435587308730873</c:v>
                </c:pt>
                <c:pt idx="98">
                  <c:v>0.5553507384983225</c:v>
                </c:pt>
                <c:pt idx="99">
                  <c:v>0.448817516785249</c:v>
                </c:pt>
                <c:pt idx="100">
                  <c:v>0.39805112493453992</c:v>
                </c:pt>
                <c:pt idx="101">
                  <c:v>0.28161182540229812</c:v>
                </c:pt>
                <c:pt idx="102">
                  <c:v>0.38148878183461299</c:v>
                </c:pt>
                <c:pt idx="103">
                  <c:v>0.40618103674904671</c:v>
                </c:pt>
                <c:pt idx="104">
                  <c:v>0.3582970970355972</c:v>
                </c:pt>
                <c:pt idx="105">
                  <c:v>0.41573417899740533</c:v>
                </c:pt>
                <c:pt idx="106">
                  <c:v>0.41576096372183274</c:v>
                </c:pt>
                <c:pt idx="107">
                  <c:v>0.47579265536222376</c:v>
                </c:pt>
                <c:pt idx="108">
                  <c:v>0.39857506207687721</c:v>
                </c:pt>
                <c:pt idx="109">
                  <c:v>0.39532377083160603</c:v>
                </c:pt>
                <c:pt idx="110">
                  <c:v>0.52603230566928316</c:v>
                </c:pt>
                <c:pt idx="111">
                  <c:v>0.54686075713887083</c:v>
                </c:pt>
                <c:pt idx="112">
                  <c:v>0.38767354199840764</c:v>
                </c:pt>
                <c:pt idx="113">
                  <c:v>0.33599041002397495</c:v>
                </c:pt>
                <c:pt idx="114">
                  <c:v>0.51439418670729198</c:v>
                </c:pt>
                <c:pt idx="115">
                  <c:v>0.29651642399244643</c:v>
                </c:pt>
                <c:pt idx="116">
                  <c:v>0.29630217090166966</c:v>
                </c:pt>
                <c:pt idx="117">
                  <c:v>0.2836981433197554</c:v>
                </c:pt>
                <c:pt idx="118">
                  <c:v>0.53740711730211488</c:v>
                </c:pt>
                <c:pt idx="119">
                  <c:v>0.4995096852300242</c:v>
                </c:pt>
                <c:pt idx="120">
                  <c:v>0.45378238341968913</c:v>
                </c:pt>
                <c:pt idx="121">
                  <c:v>0.52497079439252337</c:v>
                </c:pt>
                <c:pt idx="122">
                  <c:v>0.42296529968454261</c:v>
                </c:pt>
                <c:pt idx="123">
                  <c:v>0.51591246628072618</c:v>
                </c:pt>
                <c:pt idx="124">
                  <c:v>0.39443062166665671</c:v>
                </c:pt>
              </c:numCache>
            </c:numRef>
          </c:yVal>
          <c:smooth val="0"/>
          <c:extLst>
            <c:ext xmlns:c16="http://schemas.microsoft.com/office/drawing/2014/chart" uri="{C3380CC4-5D6E-409C-BE32-E72D297353CC}">
              <c16:uniqueId val="{00000006-9E71-45D4-916E-DF5CC3041BEE}"/>
            </c:ext>
          </c:extLst>
        </c:ser>
        <c:dLbls>
          <c:showLegendKey val="0"/>
          <c:showVal val="0"/>
          <c:showCatName val="0"/>
          <c:showSerName val="0"/>
          <c:showPercent val="0"/>
          <c:showBubbleSize val="0"/>
        </c:dLbls>
        <c:axId val="1935335856"/>
        <c:axId val="1935334896"/>
      </c:scatterChart>
      <c:valAx>
        <c:axId val="193533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Annual T1_Attendances(1000s)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34896"/>
        <c:crosses val="autoZero"/>
        <c:crossBetween val="midCat"/>
      </c:valAx>
      <c:valAx>
        <c:axId val="1935334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4hr</a:t>
                </a:r>
                <a:r>
                  <a:rPr lang="en-IN" baseline="0"/>
                  <a:t> Breach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5335856"/>
        <c:crosses val="autoZero"/>
        <c:crossBetween val="midCat"/>
      </c:valAx>
      <c:spPr>
        <a:noFill/>
        <a:ln>
          <a:solidFill>
            <a:schemeClr val="accent1">
              <a:alpha val="94000"/>
            </a:schemeClr>
          </a:solidFill>
        </a:ln>
        <a:effectLst>
          <a:softEdge rad="5715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Seasonal Breach Rate &amp; 12hr</a:t>
            </a:r>
            <a:r>
              <a:rPr lang="en-IN" baseline="0"/>
              <a:t> Wait Rate Comparison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'CHART DATA'!$B$16</c:f>
              <c:strCache>
                <c:ptCount val="1"/>
                <c:pt idx="0">
                  <c:v> Breach_Rate</c:v>
                </c:pt>
              </c:strCache>
            </c:strRef>
          </c:tx>
          <c:spPr>
            <a:solidFill>
              <a:schemeClr val="accent4"/>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DATA'!$A$17:$A$20</c:f>
              <c:strCache>
                <c:ptCount val="4"/>
                <c:pt idx="0">
                  <c:v>Winter</c:v>
                </c:pt>
                <c:pt idx="1">
                  <c:v>Autumn</c:v>
                </c:pt>
                <c:pt idx="2">
                  <c:v>Spring</c:v>
                </c:pt>
                <c:pt idx="3">
                  <c:v>Summer</c:v>
                </c:pt>
              </c:strCache>
            </c:strRef>
          </c:cat>
          <c:val>
            <c:numRef>
              <c:f>'CHART DATA'!$B$17:$B$20</c:f>
              <c:numCache>
                <c:formatCode>General</c:formatCode>
                <c:ptCount val="4"/>
                <c:pt idx="0">
                  <c:v>0.41510000000000002</c:v>
                </c:pt>
                <c:pt idx="1">
                  <c:v>0.3977</c:v>
                </c:pt>
                <c:pt idx="2">
                  <c:v>0.3846</c:v>
                </c:pt>
                <c:pt idx="3">
                  <c:v>0.38090000000000002</c:v>
                </c:pt>
              </c:numCache>
            </c:numRef>
          </c:val>
          <c:extLst>
            <c:ext xmlns:c16="http://schemas.microsoft.com/office/drawing/2014/chart" uri="{C3380CC4-5D6E-409C-BE32-E72D297353CC}">
              <c16:uniqueId val="{00000000-BA72-470E-AEB7-42999EF66115}"/>
            </c:ext>
          </c:extLst>
        </c:ser>
        <c:ser>
          <c:idx val="1"/>
          <c:order val="1"/>
          <c:tx>
            <c:strRef>
              <c:f>'CHART DATA'!$D$16</c:f>
              <c:strCache>
                <c:ptCount val="1"/>
                <c:pt idx="0">
                  <c:v> 12hr_Rate</c:v>
                </c:pt>
              </c:strCache>
            </c:strRef>
          </c:tx>
          <c:spPr>
            <a:solidFill>
              <a:srgbClr val="C0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 DATA'!$A$17:$A$20</c:f>
              <c:strCache>
                <c:ptCount val="4"/>
                <c:pt idx="0">
                  <c:v>Winter</c:v>
                </c:pt>
                <c:pt idx="1">
                  <c:v>Autumn</c:v>
                </c:pt>
                <c:pt idx="2">
                  <c:v>Spring</c:v>
                </c:pt>
                <c:pt idx="3">
                  <c:v>Summer</c:v>
                </c:pt>
              </c:strCache>
            </c:strRef>
          </c:cat>
          <c:val>
            <c:numRef>
              <c:f>'CHART DATA'!$D$17:$D$20</c:f>
              <c:numCache>
                <c:formatCode>General</c:formatCode>
                <c:ptCount val="4"/>
                <c:pt idx="0">
                  <c:v>4.3299999999999998E-2</c:v>
                </c:pt>
                <c:pt idx="1">
                  <c:v>3.5200000000000002E-2</c:v>
                </c:pt>
                <c:pt idx="2">
                  <c:v>3.1800000000000002E-2</c:v>
                </c:pt>
                <c:pt idx="3">
                  <c:v>2.63E-2</c:v>
                </c:pt>
              </c:numCache>
            </c:numRef>
          </c:val>
          <c:extLst>
            <c:ext xmlns:c16="http://schemas.microsoft.com/office/drawing/2014/chart" uri="{C3380CC4-5D6E-409C-BE32-E72D297353CC}">
              <c16:uniqueId val="{00000001-BA72-470E-AEB7-42999EF66115}"/>
            </c:ext>
          </c:extLst>
        </c:ser>
        <c:dLbls>
          <c:showLegendKey val="0"/>
          <c:showVal val="0"/>
          <c:showCatName val="0"/>
          <c:showSerName val="0"/>
          <c:showPercent val="0"/>
          <c:showBubbleSize val="0"/>
        </c:dLbls>
        <c:gapWidth val="219"/>
        <c:overlap val="-27"/>
        <c:axId val="964751360"/>
        <c:axId val="964751840"/>
      </c:barChart>
      <c:catAx>
        <c:axId val="9647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51840"/>
        <c:crosses val="autoZero"/>
        <c:auto val="1"/>
        <c:lblAlgn val="ctr"/>
        <c:lblOffset val="100"/>
        <c:noMultiLvlLbl val="0"/>
      </c:catAx>
      <c:valAx>
        <c:axId val="9647518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513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Quaterly Performance:</a:t>
            </a:r>
            <a:r>
              <a:rPr lang="en-IN" baseline="0"/>
              <a:t> Breach rate &amp; 12hr wait comparison </a:t>
            </a:r>
            <a:endParaRPr lang="en-IN"/>
          </a:p>
        </c:rich>
      </c:tx>
      <c:layout>
        <c:manualLayout>
          <c:xMode val="edge"/>
          <c:yMode val="edge"/>
          <c:x val="0.14506233595800525"/>
          <c:y val="5.09259259259259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'CHART DATA'!$G$16</c:f>
              <c:strCache>
                <c:ptCount val="1"/>
                <c:pt idx="0">
                  <c:v> Breach_Rate</c:v>
                </c:pt>
              </c:strCache>
            </c:strRef>
          </c:tx>
          <c:spPr>
            <a:solidFill>
              <a:srgbClr val="00B050"/>
            </a:solidFill>
            <a:ln>
              <a:noFill/>
            </a:ln>
            <a:effectLst/>
          </c:spPr>
          <c:invertIfNegative val="0"/>
          <c:cat>
            <c:strRef>
              <c:f>'CHART DATA'!$F$17:$F$20</c:f>
              <c:strCache>
                <c:ptCount val="4"/>
                <c:pt idx="0">
                  <c:v>Q1</c:v>
                </c:pt>
                <c:pt idx="1">
                  <c:v>Q2</c:v>
                </c:pt>
                <c:pt idx="2">
                  <c:v>Q3</c:v>
                </c:pt>
                <c:pt idx="3">
                  <c:v>Q4</c:v>
                </c:pt>
              </c:strCache>
            </c:strRef>
          </c:cat>
          <c:val>
            <c:numRef>
              <c:f>'CHART DATA'!$G$17:$G$20</c:f>
              <c:numCache>
                <c:formatCode>General</c:formatCode>
                <c:ptCount val="4"/>
                <c:pt idx="0">
                  <c:v>0.39340000000000003</c:v>
                </c:pt>
                <c:pt idx="1">
                  <c:v>0.38279999999999997</c:v>
                </c:pt>
                <c:pt idx="2">
                  <c:v>0.40239999999999998</c:v>
                </c:pt>
                <c:pt idx="3">
                  <c:v>0.39910000000000001</c:v>
                </c:pt>
              </c:numCache>
            </c:numRef>
          </c:val>
          <c:extLst>
            <c:ext xmlns:c16="http://schemas.microsoft.com/office/drawing/2014/chart" uri="{C3380CC4-5D6E-409C-BE32-E72D297353CC}">
              <c16:uniqueId val="{00000000-6DFF-46FB-9537-CFD4F3E5CEF1}"/>
            </c:ext>
          </c:extLst>
        </c:ser>
        <c:ser>
          <c:idx val="1"/>
          <c:order val="1"/>
          <c:tx>
            <c:strRef>
              <c:f>'CHART DATA'!$H$16</c:f>
              <c:strCache>
                <c:ptCount val="1"/>
                <c:pt idx="0">
                  <c:v> 12hr_Rate</c:v>
                </c:pt>
              </c:strCache>
            </c:strRef>
          </c:tx>
          <c:spPr>
            <a:solidFill>
              <a:srgbClr val="9BFB99"/>
            </a:solidFill>
            <a:ln>
              <a:noFill/>
            </a:ln>
            <a:effectLst/>
          </c:spPr>
          <c:invertIfNegative val="0"/>
          <c:cat>
            <c:strRef>
              <c:f>'CHART DATA'!$F$17:$F$20</c:f>
              <c:strCache>
                <c:ptCount val="4"/>
                <c:pt idx="0">
                  <c:v>Q1</c:v>
                </c:pt>
                <c:pt idx="1">
                  <c:v>Q2</c:v>
                </c:pt>
                <c:pt idx="2">
                  <c:v>Q3</c:v>
                </c:pt>
                <c:pt idx="3">
                  <c:v>Q4</c:v>
                </c:pt>
              </c:strCache>
            </c:strRef>
          </c:cat>
          <c:val>
            <c:numRef>
              <c:f>'CHART DATA'!$H$17:$H$20</c:f>
              <c:numCache>
                <c:formatCode>General</c:formatCode>
                <c:ptCount val="4"/>
                <c:pt idx="0">
                  <c:v>3.0300000000000001E-2</c:v>
                </c:pt>
                <c:pt idx="1">
                  <c:v>2.7799999999999998E-2</c:v>
                </c:pt>
                <c:pt idx="2">
                  <c:v>3.6400000000000002E-2</c:v>
                </c:pt>
                <c:pt idx="3">
                  <c:v>4.19E-2</c:v>
                </c:pt>
              </c:numCache>
            </c:numRef>
          </c:val>
          <c:extLst>
            <c:ext xmlns:c16="http://schemas.microsoft.com/office/drawing/2014/chart" uri="{C3380CC4-5D6E-409C-BE32-E72D297353CC}">
              <c16:uniqueId val="{00000001-6DFF-46FB-9537-CFD4F3E5CEF1}"/>
            </c:ext>
          </c:extLst>
        </c:ser>
        <c:dLbls>
          <c:showLegendKey val="0"/>
          <c:showVal val="0"/>
          <c:showCatName val="0"/>
          <c:showSerName val="0"/>
          <c:showPercent val="0"/>
          <c:showBubbleSize val="0"/>
        </c:dLbls>
        <c:gapWidth val="219"/>
        <c:overlap val="-27"/>
        <c:axId val="1117597776"/>
        <c:axId val="1117598736"/>
      </c:barChart>
      <c:catAx>
        <c:axId val="111759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98736"/>
        <c:crosses val="autoZero"/>
        <c:auto val="1"/>
        <c:lblAlgn val="ctr"/>
        <c:lblOffset val="100"/>
        <c:noMultiLvlLbl val="0"/>
      </c:catAx>
      <c:valAx>
        <c:axId val="11175987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597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457200"/>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8</xdr:col>
      <xdr:colOff>184150</xdr:colOff>
      <xdr:row>11</xdr:row>
      <xdr:rowOff>139700</xdr:rowOff>
    </xdr:from>
    <xdr:to>
      <xdr:col>8</xdr:col>
      <xdr:colOff>2012950</xdr:colOff>
      <xdr:row>20</xdr:row>
      <xdr:rowOff>107949</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823FF82D-D60C-7441-D766-7EECC8519C7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569950" y="2165350"/>
              <a:ext cx="1828800" cy="1625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12</xdr:row>
      <xdr:rowOff>88900</xdr:rowOff>
    </xdr:from>
    <xdr:to>
      <xdr:col>7</xdr:col>
      <xdr:colOff>180975</xdr:colOff>
      <xdr:row>27</xdr:row>
      <xdr:rowOff>69850</xdr:rowOff>
    </xdr:to>
    <xdr:graphicFrame macro="">
      <xdr:nvGraphicFramePr>
        <xdr:cNvPr id="3" name="Chart 2">
          <a:extLst>
            <a:ext uri="{FF2B5EF4-FFF2-40B4-BE49-F238E27FC236}">
              <a16:creationId xmlns:a16="http://schemas.microsoft.com/office/drawing/2014/main" id="{D8D611D6-ACA6-62FB-334E-00D4AB3C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771525</xdr:colOff>
      <xdr:row>35</xdr:row>
      <xdr:rowOff>0</xdr:rowOff>
    </xdr:from>
    <xdr:to>
      <xdr:col>4</xdr:col>
      <xdr:colOff>339725</xdr:colOff>
      <xdr:row>49</xdr:row>
      <xdr:rowOff>165100</xdr:rowOff>
    </xdr:to>
    <xdr:graphicFrame macro="">
      <xdr:nvGraphicFramePr>
        <xdr:cNvPr id="4" name="Chart 3">
          <a:extLst>
            <a:ext uri="{FF2B5EF4-FFF2-40B4-BE49-F238E27FC236}">
              <a16:creationId xmlns:a16="http://schemas.microsoft.com/office/drawing/2014/main" id="{AC630580-D275-AF4D-4810-3C5D8302D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3584575</xdr:colOff>
      <xdr:row>29</xdr:row>
      <xdr:rowOff>165100</xdr:rowOff>
    </xdr:from>
    <xdr:to>
      <xdr:col>8</xdr:col>
      <xdr:colOff>384175</xdr:colOff>
      <xdr:row>44</xdr:row>
      <xdr:rowOff>171450</xdr:rowOff>
    </xdr:to>
    <xdr:graphicFrame macro="">
      <xdr:nvGraphicFramePr>
        <xdr:cNvPr id="5" name="Chart 4">
          <a:extLst>
            <a:ext uri="{FF2B5EF4-FFF2-40B4-BE49-F238E27FC236}">
              <a16:creationId xmlns:a16="http://schemas.microsoft.com/office/drawing/2014/main" id="{1AEA666E-B242-3251-1DBD-5B52C8F1F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1323975</xdr:colOff>
      <xdr:row>9</xdr:row>
      <xdr:rowOff>88900</xdr:rowOff>
    </xdr:from>
    <xdr:to>
      <xdr:col>6</xdr:col>
      <xdr:colOff>434975</xdr:colOff>
      <xdr:row>24</xdr:row>
      <xdr:rowOff>69850</xdr:rowOff>
    </xdr:to>
    <xdr:graphicFrame macro="">
      <xdr:nvGraphicFramePr>
        <xdr:cNvPr id="2" name="Chart 1">
          <a:extLst>
            <a:ext uri="{FF2B5EF4-FFF2-40B4-BE49-F238E27FC236}">
              <a16:creationId xmlns:a16="http://schemas.microsoft.com/office/drawing/2014/main" id="{35C952B3-4669-2AF0-2C1F-D00C02A91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234949</xdr:colOff>
      <xdr:row>9</xdr:row>
      <xdr:rowOff>107950</xdr:rowOff>
    </xdr:from>
    <xdr:to>
      <xdr:col>16</xdr:col>
      <xdr:colOff>409574</xdr:colOff>
      <xdr:row>24</xdr:row>
      <xdr:rowOff>139700</xdr:rowOff>
    </xdr:to>
    <xdr:graphicFrame macro="">
      <xdr:nvGraphicFramePr>
        <xdr:cNvPr id="2" name="Chart 1">
          <a:extLst>
            <a:ext uri="{FF2B5EF4-FFF2-40B4-BE49-F238E27FC236}">
              <a16:creationId xmlns:a16="http://schemas.microsoft.com/office/drawing/2014/main" id="{0C7A46FC-93C0-2F49-715C-A6B0B1ABC5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14</xdr:row>
      <xdr:rowOff>6350</xdr:rowOff>
    </xdr:from>
    <xdr:to>
      <xdr:col>4</xdr:col>
      <xdr:colOff>1212850</xdr:colOff>
      <xdr:row>30</xdr:row>
      <xdr:rowOff>12700</xdr:rowOff>
    </xdr:to>
    <xdr:graphicFrame macro="">
      <xdr:nvGraphicFramePr>
        <xdr:cNvPr id="2" name="Chart 1">
          <a:extLst>
            <a:ext uri="{FF2B5EF4-FFF2-40B4-BE49-F238E27FC236}">
              <a16:creationId xmlns:a16="http://schemas.microsoft.com/office/drawing/2014/main" id="{79A1BFCD-E63C-4F26-8EDD-9CCA7CF1B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31</xdr:row>
      <xdr:rowOff>133350</xdr:rowOff>
    </xdr:from>
    <xdr:to>
      <xdr:col>4</xdr:col>
      <xdr:colOff>1263651</xdr:colOff>
      <xdr:row>46</xdr:row>
      <xdr:rowOff>114300</xdr:rowOff>
    </xdr:to>
    <xdr:graphicFrame macro="">
      <xdr:nvGraphicFramePr>
        <xdr:cNvPr id="3" name="Chart 3">
          <a:extLst>
            <a:ext uri="{FF2B5EF4-FFF2-40B4-BE49-F238E27FC236}">
              <a16:creationId xmlns:a16="http://schemas.microsoft.com/office/drawing/2014/main" id="{15A5EDBF-48B0-CF10-9BB5-81950EA1AC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1479550</xdr:colOff>
      <xdr:row>14</xdr:row>
      <xdr:rowOff>57150</xdr:rowOff>
    </xdr:from>
    <xdr:to>
      <xdr:col>7</xdr:col>
      <xdr:colOff>44450</xdr:colOff>
      <xdr:row>28</xdr:row>
      <xdr:rowOff>146050</xdr:rowOff>
    </xdr:to>
    <xdr:graphicFrame macro="">
      <xdr:nvGraphicFramePr>
        <xdr:cNvPr id="4" name="Chart 2">
          <a:extLst>
            <a:ext uri="{FF2B5EF4-FFF2-40B4-BE49-F238E27FC236}">
              <a16:creationId xmlns:a16="http://schemas.microsoft.com/office/drawing/2014/main" id="{9774C14A-FD25-4443-CC05-128DBF63F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114300</xdr:colOff>
      <xdr:row>49</xdr:row>
      <xdr:rowOff>76200</xdr:rowOff>
    </xdr:from>
    <xdr:to>
      <xdr:col>4</xdr:col>
      <xdr:colOff>1143000</xdr:colOff>
      <xdr:row>64</xdr:row>
      <xdr:rowOff>31750</xdr:rowOff>
    </xdr:to>
    <xdr:graphicFrame macro="">
      <xdr:nvGraphicFramePr>
        <xdr:cNvPr id="5" name="Chart 6">
          <a:extLst>
            <a:ext uri="{FF2B5EF4-FFF2-40B4-BE49-F238E27FC236}">
              <a16:creationId xmlns:a16="http://schemas.microsoft.com/office/drawing/2014/main" id="{F7E96CB3-9985-267F-F227-304DA434D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1543050</xdr:colOff>
      <xdr:row>31</xdr:row>
      <xdr:rowOff>120650</xdr:rowOff>
    </xdr:from>
    <xdr:to>
      <xdr:col>6</xdr:col>
      <xdr:colOff>2425700</xdr:colOff>
      <xdr:row>46</xdr:row>
      <xdr:rowOff>101600</xdr:rowOff>
    </xdr:to>
    <xdr:graphicFrame macro="">
      <xdr:nvGraphicFramePr>
        <xdr:cNvPr id="6" name="Chart 4">
          <a:extLst>
            <a:ext uri="{FF2B5EF4-FFF2-40B4-BE49-F238E27FC236}">
              <a16:creationId xmlns:a16="http://schemas.microsoft.com/office/drawing/2014/main" id="{A65FE1C4-6B34-893B-AF70-194F68FC4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1549400</xdr:colOff>
      <xdr:row>48</xdr:row>
      <xdr:rowOff>152400</xdr:rowOff>
    </xdr:from>
    <xdr:to>
      <xdr:col>6</xdr:col>
      <xdr:colOff>2457450</xdr:colOff>
      <xdr:row>64</xdr:row>
      <xdr:rowOff>38100</xdr:rowOff>
    </xdr:to>
    <xdr:graphicFrame macro="">
      <xdr:nvGraphicFramePr>
        <xdr:cNvPr id="7" name="Chart 7">
          <a:extLst>
            <a:ext uri="{FF2B5EF4-FFF2-40B4-BE49-F238E27FC236}">
              <a16:creationId xmlns:a16="http://schemas.microsoft.com/office/drawing/2014/main" id="{12D403B4-BBEF-11B2-FC34-FD352F693F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Singh" refreshedDate="46140.857720138891" createdVersion="8" refreshedVersion="8" minRefreshableVersion="3" recordCount="2386" xr:uid="{26570228-1512-445A-93DC-5F36FB55F1DE}">
  <cacheSource type="worksheet">
    <worksheetSource ref="A1:Q1048576" sheet="NHS_A&amp;E"/>
  </cacheSource>
  <cacheFields count="18">
    <cacheField name="Period" numFmtId="0">
      <sharedItems containsBlank="1" count="13">
        <s v="April-2025"/>
        <s v="May-2025"/>
        <s v="June-2025"/>
        <s v="July-2025"/>
        <s v="August-2025"/>
        <s v="September-2025"/>
        <s v="October-2025"/>
        <s v="November-2025"/>
        <s v="December-2025"/>
        <s v="January-2026"/>
        <s v="February-2026"/>
        <s v="March-2026"/>
        <m/>
      </sharedItems>
    </cacheField>
    <cacheField name="Org_Code" numFmtId="0">
      <sharedItems containsBlank="1"/>
    </cacheField>
    <cacheField name="Region" numFmtId="0">
      <sharedItems containsBlank="1" count="8">
        <s v="NHS ENGLAND SOUTH EAST"/>
        <s v="NHS ENGLAND SOUTH WEST"/>
        <s v="NHS ENGLAND EAST OF ENGLAND"/>
        <s v="NHS ENGLAND NORTH WEST"/>
        <s v="NHS ENGLAND LONDON"/>
        <s v="NHS ENGLAND MIDLANDS"/>
        <s v="NHS ENGLAND NORTH EAST AND YORKSHIRE"/>
        <m/>
      </sharedItems>
    </cacheField>
    <cacheField name="Trust_Name" numFmtId="0">
      <sharedItems containsBlank="1"/>
    </cacheField>
    <cacheField name="T1_Attendances" numFmtId="0">
      <sharedItems containsString="0" containsBlank="1" containsNumber="1" containsInteger="1" minValue="0" maxValue="36434"/>
    </cacheField>
    <cacheField name="Other_Attendances" numFmtId="0">
      <sharedItems containsString="0" containsBlank="1" containsNumber="1" containsInteger="1" minValue="0" maxValue="19100"/>
    </cacheField>
    <cacheField name="T1_Over4hrs" numFmtId="0">
      <sharedItems containsString="0" containsBlank="1" containsNumber="1" containsInteger="1" minValue="0" maxValue="14957"/>
    </cacheField>
    <cacheField name="Others_Over4hrs" numFmtId="0">
      <sharedItems containsString="0" containsBlank="1" containsNumber="1" containsInteger="1" minValue="0" maxValue="2314"/>
    </cacheField>
    <cacheField name="Wait_4to12hr" numFmtId="0">
      <sharedItems containsString="0" containsBlank="1" containsNumber="1" containsInteger="1" minValue="0" maxValue="4363"/>
    </cacheField>
    <cacheField name="Wait_12hr_plus" numFmtId="0">
      <sharedItems containsString="0" containsBlank="1" containsNumber="1" containsInteger="1" minValue="0" maxValue="2508"/>
    </cacheField>
    <cacheField name="Month_Date" numFmtId="14">
      <sharedItems containsNonDate="0" containsDate="1" containsString="0" containsBlank="1" minDate="2025-04-01T00:00:00" maxDate="2026-03-02T00:00:00"/>
    </cacheField>
    <cacheField name="Quarter" numFmtId="0">
      <sharedItems containsBlank="1"/>
    </cacheField>
    <cacheField name="Season" numFmtId="0">
      <sharedItems containsBlank="1" count="5">
        <s v="Spring"/>
        <s v="Summer"/>
        <s v="Autumn"/>
        <s v="Winter"/>
        <m/>
      </sharedItems>
    </cacheField>
    <cacheField name="T1_Breach Rate" numFmtId="0">
      <sharedItems containsString="0" containsBlank="1" containsNumber="1" minValue="0" maxValue="0.72876114244133161"/>
    </cacheField>
    <cacheField name="Total attendance" numFmtId="0">
      <sharedItems containsString="0" containsBlank="1" containsNumber="1" containsInteger="1" minValue="0" maxValue="45392"/>
    </cacheField>
    <cacheField name="Month_Number" numFmtId="0">
      <sharedItems containsString="0" containsBlank="1" containsNumber="1" containsInteger="1" minValue="1" maxValue="12"/>
    </cacheField>
    <cacheField name="Wait_12hr_Rate" numFmtId="10">
      <sharedItems containsString="0" containsBlank="1" containsNumber="1" minValue="0" maxValue="0.16126025354213275"/>
    </cacheField>
    <cacheField name="12hr_Wait_Rate" numFmtId="0" formula="Wait_12hr_plus/'Total attendance'" databaseField="0"/>
  </cacheFields>
  <extLst>
    <ext xmlns:x14="http://schemas.microsoft.com/office/spreadsheetml/2009/9/main" uri="{725AE2AE-9491-48be-B2B4-4EB974FC3084}">
      <x14:pivotCacheDefinition pivotCacheId="967487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l Singh" refreshedDate="46146.814009027781" createdVersion="8" refreshedVersion="8" minRefreshableVersion="3" recordCount="2385" xr:uid="{92197F2E-D8AE-477D-A666-9BD3C8D1CE6C}">
  <cacheSource type="worksheet">
    <worksheetSource name="NHS_A_E"/>
  </cacheSource>
  <cacheFields count="30">
    <cacheField name="Period" numFmtId="0">
      <sharedItems count="12">
        <s v="April-2025"/>
        <s v="May-2025"/>
        <s v="June-2025"/>
        <s v="July-2025"/>
        <s v="August-2025"/>
        <s v="September-2025"/>
        <s v="October-2025"/>
        <s v="November-2025"/>
        <s v="December-2025"/>
        <s v="January-2026"/>
        <s v="February-2026"/>
        <s v="March-2026"/>
      </sharedItems>
    </cacheField>
    <cacheField name="Org_Code" numFmtId="0">
      <sharedItems/>
    </cacheField>
    <cacheField name="Region" numFmtId="0">
      <sharedItems count="7">
        <s v="NHS ENGLAND SOUTH EAST"/>
        <s v="NHS ENGLAND SOUTH WEST"/>
        <s v="NHS ENGLAND EAST OF ENGLAND"/>
        <s v="NHS ENGLAND NORTH WEST"/>
        <s v="NHS ENGLAND LONDON"/>
        <s v="NHS ENGLAND MIDLANDS"/>
        <s v="NHS ENGLAND NORTH EAST AND YORKSHIRE"/>
      </sharedItems>
    </cacheField>
    <cacheField name="Trust_Name" numFmtId="0">
      <sharedItems count="209">
        <s v="FIRST COMMUNITY HEALTH AND CARE CIC"/>
        <s v="ROYAL UNITED HOSPITALS BATH NHS FOUNDATION TRUST"/>
        <s v="EAST SUFFOLK AND NORTH ESSEX NHS FOUNDATION TRUST"/>
        <s v="SUSSEX COMMUNITY NHS FOUNDATION TRUST"/>
        <s v="ROYAL CORNWALL HOSPITALS NHS TRUST"/>
        <s v="LIVERPOOL UNIVERSITY HOSPITALS NHS FOUNDATION TRUST"/>
        <s v="THE WALTON CENTRE NHS FOUNDATION TRUST"/>
        <s v="BARKING, HAVERING AND REDBRIDGE UNIVERSITY HOSPITALS NHS TRUST"/>
        <s v="LEWISHAM AND GREENWICH NHS TRUST"/>
        <s v="UNIVERSITY HOSPITALS OF NORTH MIDLANDS NHS TRUST"/>
        <s v="SHERWOOD FOREST HOSPITALS NHS FOUNDATION TRUST"/>
        <s v="UNIVERSITY HOSPITALS COVENTRY AND WARWICKSHIRE NHS TRUST"/>
        <s v="THE ROBERT JONES AND AGNES HUNT ORTHOPAEDIC HOSPITAL NHS FOUNDATION TRUST"/>
        <s v="GEORGE ELIOT HOSPITAL NHS TRUST"/>
        <s v="DARTFORD AND GRAVESHAM NHS TRUST"/>
        <s v="NORTHAMPTON GENERAL HOSPITAL NHS TRUST"/>
        <s v="OXFORD HEALTH NHS FOUNDATION TRUST"/>
        <s v="SALISBURY NHS FOUNDATION TRUST"/>
        <s v="BIRMINGHAM WOMEN'S AND CHILDREN'S NHS FOUNDATION TRUST"/>
        <s v="CHELSEA AND WESTMINSTER HOSPITAL NHS FOUNDATION TRUST"/>
        <s v="LEEDS TEACHING HOSPITALS NHS TRUST"/>
        <s v="WRIGHTINGTON, WIGAN AND LEIGH NHS FOUNDATION TRUST"/>
        <s v="THE CHRISTIE NHS FOUNDATION TRUST"/>
        <s v="GLOUCESTERSHIRE HOSPITALS NHS FOUNDATION TRUST"/>
        <s v="ROYAL NATIONAL ORTHOPAEDIC HOSPITAL NHS TRUST"/>
        <s v="ISLE OF WIGHT NHS TRUST"/>
        <s v="BRANSHOLME HEALTH CENTRE"/>
        <s v="BRIDLINGTON HOSPITAL"/>
        <s v="EAST RIDING COMMUNITY HOSPITAL"/>
        <s v="GOOLE &amp; DISTRICT HOSPITAL"/>
        <s v="LONDON NORTH WEST UNIVERSITY HEALTHCARE NHS TRUST"/>
        <s v="BRADFORD TEACHING HOSPITALS NHS FOUNDATION TRUST"/>
        <s v="MID AND SOUTH ESSEX NHS FOUNDATION TRUST"/>
        <s v="ROYAL FREE LONDON NHS FOUNDATION TRUST"/>
        <s v="MERSEY AND WEST LANCASHIRE TEACHING HOSPITALS NHS TRUST"/>
        <s v="YORK AND SCARBOROUGH TEACHING HOSPITALS NHS FOUNDATION TRUST"/>
        <s v="MILTON KEYNES UNIVERSITY HOSPITAL NHS FOUNDATION TRUST"/>
        <s v="FRIMLEY HEALTH NHS FOUNDATION TRUST"/>
        <s v="LIVERPOOL WOMEN'S NHS FOUNDATION TRUST"/>
        <s v="THE ROTHERHAM NHS FOUNDATION TRUST"/>
        <s v="SOMERSET NHS FOUNDATION TRUST"/>
        <s v="UNIVERSITY HOSPITAL SOUTHAMPTON NHS FOUNDATION TRUST"/>
        <s v="SHEFFIELD TEACHING HOSPITALS NHS FOUNDATION TRUST"/>
        <s v="GUY'S AND ST THOMAS' NHS FOUNDATION TRUST"/>
        <s v="SLEAFORD MEDICAL GROUP"/>
        <s v="NOTTINGHAM CITYCARE PARTNERSHIP"/>
        <s v="SHROPSHIRE COMMUNITY HEALTH NHS TRUST"/>
        <s v="ROYAL SURREY COUNTY HOSPITAL NHS FOUNDATION TRUST"/>
        <s v="BUCKINGHAMSHIRE HEALTHCARE NHS TRUST"/>
        <s v="ASHFORD AND ST PETER'S HOSPITALS NHS FOUNDATION TRUST"/>
        <s v="EAST KENT HOSPITALS UNIVERSITY NHS FOUNDATION TRUST"/>
        <s v="CENTRAL LONDON COMMUNITY HEALTHCARE NHS TRUST"/>
        <s v="BRIGHTON STATION HEALTH CENTRE"/>
        <s v="DONCASTER AND BASSETLAW TEACHING HOSPITALS NHS FOUNDATION TRUST"/>
        <s v="UNIVERSITY HOSPITALS OF DERBY AND BURTON NHS FOUNDATION TRUST"/>
        <s v="BERKSHIRE HEALTHCARE NHS FOUNDATION TRUST"/>
        <s v="LOUGHBOROUGH URGENT CARE CENTRE"/>
        <s v="LLR EA - THE MERLYN VAZ HEALTH &amp; SOCIAL CARE CENTRE"/>
        <s v="MARKET HARBOROUGH"/>
        <s v="MELTON MOWBRAY"/>
        <s v="OADBY"/>
        <s v="OAKHAM"/>
        <s v="DHU HEALTH CARE C.I.C"/>
        <s v="PORTSMOUTH HOSPITALS UNIVERSITY NHS TRUST"/>
        <s v="NORTHERN CARE ALLIANCE NHS FOUNDATION TRUST"/>
        <s v="LANCASHIRE TEACHING HOSPITALS NHS FOUNDATION TRUST"/>
        <s v="ROYAL BERKSHIRE NHS FOUNDATION TRUST"/>
        <s v="UNIVERSITY HOSPITALS BIRMINGHAM NHS FOUNDATION TRUST"/>
        <s v="CHESTERFIELD ROYAL HOSPITAL NHS FOUNDATION TRUST"/>
        <s v="MID CHESHIRE HOSPITALS NHS FOUNDATION TRUST"/>
        <s v="BECKENHAM BEACON UCC"/>
        <s v="THE NEWCASTLE UPON TYNE HOSPITALS NHS FOUNDATION TRUST"/>
        <s v="BOLTON NHS FOUNDATION TRUST"/>
        <s v="NORTH BRISTOL NHS TRUST"/>
        <s v="EPSOM AND ST HELIER UNIVERSITY HOSPITALS NHS TRUST"/>
        <s v="NORFOLK AND NORWICH UNIVERSITY HOSPITALS NHS FOUNDATION TRUST"/>
        <s v="NORTH TEES AND HARTLEPOOL NHS FOUNDATION TRUST"/>
        <s v="HULL UNIVERSITY TEACHING HOSPITALS NHS TRUST"/>
        <s v="UNITED LINCOLNSHIRE TEACHING HOSPITALS NHS TRUST"/>
        <s v="UNIVERSITY HOSPITALS OF LEICESTER NHS TRUST"/>
        <s v="WEST HERTFORDSHIRE TEACHING HOSPITALS NHS TRUST"/>
        <s v="EAST AND NORTH HERTFORDSHIRE NHS TRUST"/>
        <s v="STOCKPORT NHS FOUNDATION TRUST"/>
        <s v="WARRINGTON AND HALTON TEACHING HOSPITALS NHS FOUNDATION TRUST"/>
        <s v="EAST SUSSEX HEALTHCARE NHS TRUST"/>
        <s v="SOUTH WEST YORKSHIRE PARTNERSHIP NHS FOUNDATION TRUST"/>
        <s v="BLACKPOOL TEACHING HOSPITALS NHS FOUNDATION TRUST"/>
        <s v="COUNTY DURHAM AND DARLINGTON NHS FOUNDATION TRUST"/>
        <s v="THE SHREWSBURY AND TELFORD HOSPITAL NHS TRUST"/>
        <s v="SOUTH WESTERN AMBULANCE SERVICE NHS FOUNDATION TRUST"/>
        <s v="COVENTRY AND WARWICKSHIRE PARTNERSHIP NHS TRUST"/>
        <s v="IMPERIAL COLLEGE HEALTHCARE NHS TRUST"/>
        <s v="UNIVERSITY HOSPITALS SUSSEX NHS FOUNDATION TRUST"/>
        <s v="BARTS HEALTH NHS TRUST"/>
        <s v="WIRRAL UNIVERSITY TEACHING HOSPITAL NHS FOUNDATION TRUST"/>
        <s v="CAMBRIDGE UNIVERSITY HOSPITALS NHS FOUNDATION TRUST"/>
        <s v="ST GEORGE'S UNIVERSITY HOSPITALS NHS FOUNDATION TRUST"/>
        <s v="HAMPSHIRE HOSPITALS NHS FOUNDATION TRUST"/>
        <s v="UNIVERSITY HOSPITALS OF MORECAMBE BAY NHS FOUNDATION TRUST"/>
        <s v="NORTHUMBRIA HEALTHCARE NHS FOUNDATION TRUST"/>
        <s v="OXFORD UNIVERSITY HOSPITALS NHS FOUNDATION TRUST"/>
        <s v="READING URGENT CARE CENTRE"/>
        <s v="ROSSENDALE MIU &amp; OOH"/>
        <s v="THE QUEEN ELIZABETH HOSPITAL, KING'S LYNN, NHS FOUNDATION TRUST"/>
        <s v="BARNSLEY HOSPITAL NHS FOUNDATION TRUST"/>
        <s v="COUNTESS OF CHESTER HOSPITAL NHS FOUNDATION TRUST"/>
        <s v="HOMERTON HEALTHCARE NHS FOUNDATION TRUST"/>
        <s v="EAST LANCASHIRE HOSPITALS NHS TRUST"/>
        <s v="THE PINN UNREGISTERED WIC"/>
        <s v="BADGER LTD"/>
        <s v="HERTS URGENT CARE (ASCOTS LANE)"/>
        <s v="STATION PLAZA HEALTH CENTRE"/>
        <s v="PRACTICE PLUS GROUP SURGICAL CENTRE - ST MARYS PORTSMOUTH"/>
        <s v="TORBAY AND SOUTH DEVON NHS FOUNDATION TRUST"/>
        <s v="KINGSTON AND RICHMOND NHS FOUNDATION TRUST"/>
        <s v="GATESHEAD HEALTH NHS FOUNDATION TRUST"/>
        <s v="EAST BERKS PRIMARY CARE OOH(WAM)"/>
        <s v="URGENT CARE CENTRE (QMS)"/>
        <s v="ERDINGTON GP HEALTH &amp; WELLBEING WIC"/>
        <s v="WHITSTABLE MEDICAL PRACTICE"/>
        <s v="BARKING HOSPITAL UTC"/>
        <s v="HAROLD WOOD POLYCLINIC UTC"/>
        <s v="KENT COMMUNITY HEALTH NHS FOUNDATION TRUST"/>
        <s v="WYE VALLEY NHS TRUST"/>
        <s v="MERSEY CARE NHS FOUNDATION TRUST"/>
        <s v="EAST CHESHIRE NHS TRUST"/>
        <s v="GLOUCESTERSHIRE HEALTH AND CARE NHS FOUNDATION TRUST"/>
        <s v="ASHFORD WALK-IN-CENTRE"/>
        <s v="WOKING WALK IN CENTRE"/>
        <s v="SOUTH BIRMINGHAM GP WALK IN CENTRE"/>
        <s v="PHL LYMINGTON UTC"/>
        <s v="LATHAM HOUSE MEDICAL PRACTICE"/>
        <s v="SUMMERFIELD URGENT CARE CENTRE"/>
        <s v="LIVERPOOL HEART AND CHEST HOSPITAL NHS FOUNDATION TRUST"/>
        <s v="HARROGATE AND DISTRICT NHS FOUNDATION TRUST"/>
        <s v="CORNWALL PARTNERSHIP NHS FOUNDATION TRUST"/>
        <s v="SURREY AND SUSSEX HEALTHCARE NHS TRUST"/>
        <s v="HAMPSHIRE AND ISLE OF WIGHT HEALTHCARE NHS FOUNDATION TRUST"/>
        <s v="CALDERDALE AND HUDDERSFIELD NHS FOUNDATION TRUST"/>
        <s v="WIRRAL COMMUNITY HEALTH AND CARE NHS FOUNDATION TRUST"/>
        <s v="PUTNOE WALK IN CENTRE"/>
        <s v="MIRIAM MINOR EMERGENCY"/>
        <s v="ASSURA VERTIS URGENT CARE CENTRES (BIRMINGHAM)"/>
        <s v="SKELMERSDALE WALK IN CENTRE"/>
        <s v="PAULTON MEMORIAL HOSPITAL"/>
        <s v="DORSET HEALTHCARE UNIVERSITY NHS FOUNDATION TRUST"/>
        <s v="JAMES PAGET UNIVERSITY HOSPITALS NHS FOUNDATION TRUST"/>
        <s v="SOUTH TEES HOSPITALS NHS FOUNDATION TRUST"/>
        <s v="HUMBER TEACHING NHS FOUNDATION TRUST"/>
        <s v="TETBURY HOSPITAL TRUST LTD"/>
        <s v="THE PRINCESS ALEXANDRA HOSPITAL NHS TRUST"/>
        <s v="LINCOLNSHIRE COMMUNITY HEALTH SERVICES NHS TRUST"/>
        <s v="DERBYSHIRE COMMUNITY HEALTH SERVICES NHS FOUNDATION TRUST"/>
        <s v="NEMS UTC"/>
        <s v="PRACTICE PLUS GROUP HOSPITAL - SOUTHAMPTON"/>
        <s v="MANCHESTER UNIVERSITY NHS FOUNDATION TRUST"/>
        <s v="SOUTH TYNESIDE AND SUNDERLAND NHS FOUNDATION TRUST"/>
        <s v="UNIVERSITY HOSPITALS DORSET NHS FOUNDATION TRUST"/>
        <s v="UNIVERSITY HOSPITALS BRISTOL AND WESTON NHS FOUNDATION TRUST"/>
        <s v="WALSALL HEALTHCARE NHS TRUST"/>
        <s v="ALDER HEY CHILDREN'S NHS FOUNDATION TRUST"/>
        <s v="BEDFORDSHIRE HOSPITALS NHS FOUNDATION TRUST"/>
        <s v="AIREDALE NHS FOUNDATION TRUST"/>
        <s v="ROYAL DEVON UNIVERSITY HEALTHCARE NHS FOUNDATION TRUST"/>
        <s v="NORTHERN LINCOLNSHIRE AND GOOLE NHS FOUNDATION TRUST"/>
        <s v="THE ROYAL WOLVERHAMPTON NHS TRUST"/>
        <s v="TAMESIDE AND GLOSSOP INTEGRATED CARE NHS FOUNDATION TRUST"/>
        <s v="GREAT WESTERN HOSPITALS NHS FOUNDATION TRUST"/>
        <s v="THE DUDLEY GROUP NHS FOUNDATION TRUST"/>
        <s v="KETTERING GENERAL HOSPITAL NHS FOUNDATION TRUST"/>
        <s v="WORCESTERSHIRE ACUTE HOSPITALS NHS TRUST"/>
        <s v="UNIVERSITY COLLEGE LONDON HOSPITALS NHS FOUNDATION TRUST"/>
        <s v="HERTFORDSHIRE COMMUNITY NHS TRUST"/>
        <s v="BRIDGEWATER COMMUNITY HEALTHCARE NHS FOUNDATION TRUST"/>
        <s v="THE HILLINGDON HOSPITALS NHS FOUNDATION TRUST"/>
        <s v="NOTTINGHAM UNIVERSITY HOSPITALS NHS TRUST"/>
        <s v="SANDWELL AND WEST BIRMINGHAM HOSPITALS NHS TRUST"/>
        <s v="MID YORKSHIRE TEACHING NHS TRUST"/>
        <s v="LOCAL CARE DIRECT"/>
        <s v="MARKET HARBOROUGH MED.CTR"/>
        <s v="OKEHAMPTON MEDICAL CENTRE"/>
        <s v="SIRONA CARE &amp; HEALTH"/>
        <s v="NORTH EAST LONDON NHS FOUNDATION TRUST"/>
        <s v="DORSET COUNTY HOSPITAL NHS FOUNDATION TRUST"/>
        <s v="SHEFFIELD CHILDREN'S NHS FOUNDATION TRUST"/>
        <s v="NORTH WEST ANGLIA NHS FOUNDATION TRUST"/>
        <s v="WEST SUFFOLK NHS FOUNDATION TRUST"/>
        <s v="WORKINGTON HEALTH LIMITED"/>
        <s v="SOUTH WARWICKSHIRE UNIVERSITY NHS FOUNDATION TRUST"/>
        <s v="CROYDON HEALTH SERVICES NHS TRUST"/>
        <s v="QUEEN VICTORIA HOSPITAL NHS FOUNDATION TRUST"/>
        <s v="MEDWAY NHS FOUNDATION TRUST"/>
        <s v="MOORFIELDS EYE HOSPITAL NHS FOUNDATION TRUST"/>
        <s v="MAIDSTONE AND TUNBRIDGE WELLS NHS TRUST"/>
        <s v="WHITTINGTON HEALTH NHS TRUST"/>
        <s v="UNIVERSITY HOSPITALS PLYMOUTH NHS TRUST"/>
        <s v="KING'S COLLEGE HOSPITAL NHS FOUNDATION TRUST"/>
        <s v="NORTH CUMBRIA INTEGRATED CARE NHS FOUNDATION TRUST"/>
        <s v="FAVERSHAM MEDICAL PRACTICE MIU"/>
        <s v="TROWBRIDGE MINOR INJURIES UNIT"/>
        <s v="CHIPPENHAM COMMUNITY HOSPITAL"/>
        <s v="NEMS CBS (UTC)"/>
        <s v="HERNE BAY HEALTH CARE LTD"/>
        <s v="ROYAL SURREY NHS FOUNDATION TRUST"/>
        <s v="EAST AND NORTH HERTFORDSHIRE TEACHING NHS TRUST"/>
        <s v="HASTINGS GP LED HEALTH CENTRE"/>
        <s v="WRIGHTINGTON, WIGAN AND LEIGH TEACHING HOSPITALS NHS FOUNDATION TRUST"/>
        <s v="ENDERBY LEISURE CENTRE"/>
        <s v="LUTTERWORTH HOSPITAL"/>
      </sharedItems>
    </cacheField>
    <cacheField name="T1_Attendances" numFmtId="0">
      <sharedItems containsSemiMixedTypes="0" containsString="0" containsNumber="1" containsInteger="1" minValue="0" maxValue="36434"/>
    </cacheField>
    <cacheField name="Other_Attendances" numFmtId="0">
      <sharedItems containsSemiMixedTypes="0" containsString="0" containsNumber="1" containsInteger="1" minValue="0" maxValue="19100"/>
    </cacheField>
    <cacheField name="T1_Over4hrs" numFmtId="0">
      <sharedItems containsSemiMixedTypes="0" containsString="0" containsNumber="1" containsInteger="1" minValue="0" maxValue="14957"/>
    </cacheField>
    <cacheField name="Others_Over4hrs" numFmtId="0">
      <sharedItems containsSemiMixedTypes="0" containsString="0" containsNumber="1" containsInteger="1" minValue="0" maxValue="2314"/>
    </cacheField>
    <cacheField name="Wait_4to12hr" numFmtId="0">
      <sharedItems containsSemiMixedTypes="0" containsString="0" containsNumber="1" containsInteger="1" minValue="0" maxValue="4363"/>
    </cacheField>
    <cacheField name="Wait_12hr_plus" numFmtId="0">
      <sharedItems containsSemiMixedTypes="0" containsString="0" containsNumber="1" containsInteger="1" minValue="0" maxValue="2508"/>
    </cacheField>
    <cacheField name="Month_Date" numFmtId="14">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fieldGroup par="21"/>
    </cacheField>
    <cacheField name="Quarter" numFmtId="0">
      <sharedItems count="4">
        <s v="Q1"/>
        <s v="Q2"/>
        <s v="Q3"/>
        <s v="Q4"/>
      </sharedItems>
    </cacheField>
    <cacheField name="Season" numFmtId="0">
      <sharedItems count="4">
        <s v="Spring"/>
        <s v="Summer"/>
        <s v="Autumn"/>
        <s v="Winter"/>
      </sharedItems>
    </cacheField>
    <cacheField name="T1_Breach Rate" numFmtId="10">
      <sharedItems containsSemiMixedTypes="0" containsString="0" containsNumber="1" minValue="0" maxValue="0.72876114244133161"/>
    </cacheField>
    <cacheField name="Total attendance" numFmtId="0">
      <sharedItems containsSemiMixedTypes="0" containsString="0" containsNumber="1" containsInteger="1" minValue="0" maxValue="45392"/>
    </cacheField>
    <cacheField name="Month_Index" numFmtId="0">
      <sharedItems containsSemiMixedTypes="0" containsString="0" containsNumber="1" containsInteger="1" minValue="1" maxValue="12"/>
    </cacheField>
    <cacheField name="Wait_12hr_Rate" numFmtId="10">
      <sharedItems containsSemiMixedTypes="0" containsString="0" containsNumber="1" minValue="0" maxValue="0.16126025354213275"/>
    </cacheField>
    <cacheField name="Month_name" numFmtId="0">
      <sharedItems/>
    </cacheField>
    <cacheField name="Wait_Rate_%" numFmtId="0" formula="Wait_12hr_plus/'Total attendance'" databaseField="0"/>
    <cacheField name="Months (Month_Date)" numFmtId="0" databaseField="0">
      <fieldGroup base="10">
        <rangePr groupBy="months" startDate="2025-04-01T00:00:00" endDate="2026-03-02T00:00:00"/>
        <groupItems count="14">
          <s v="&lt;01-04-2025"/>
          <s v="Jan"/>
          <s v="Feb"/>
          <s v="Mar"/>
          <s v="Apr"/>
          <s v="May"/>
          <s v="Jun"/>
          <s v="Jul"/>
          <s v="Aug"/>
          <s v="Sep"/>
          <s v="Oct"/>
          <s v="Nov"/>
          <s v="Dec"/>
          <s v="&gt;02-03-2026"/>
        </groupItems>
      </fieldGroup>
    </cacheField>
    <cacheField name="Quarters (Month_Date)" numFmtId="0" databaseField="0">
      <fieldGroup base="10">
        <rangePr groupBy="quarters" startDate="2025-04-01T00:00:00" endDate="2026-03-02T00:00:00"/>
        <groupItems count="6">
          <s v="&lt;01-04-2025"/>
          <s v="Qtr1"/>
          <s v="Qtr2"/>
          <s v="Qtr3"/>
          <s v="Qtr4"/>
          <s v="&gt;02-03-2026"/>
        </groupItems>
      </fieldGroup>
    </cacheField>
    <cacheField name="Years (Month_Date)" numFmtId="0" databaseField="0">
      <fieldGroup base="10">
        <rangePr groupBy="years" startDate="2025-04-01T00:00:00" endDate="2026-03-02T00:00:00"/>
        <groupItems count="4">
          <s v="&lt;01-04-2025"/>
          <s v="2025"/>
          <s v="2026"/>
          <s v="&gt;02-03-2026"/>
        </groupItems>
      </fieldGroup>
    </cacheField>
    <cacheField name="Trust_Annual_Breach_Rate" numFmtId="0" formula="T1_Over4hrs/T1_Attendances" databaseField="0"/>
    <cacheField name="Weighted_Breach_Rate" numFmtId="0" formula="T1_Over4hrs/T1_Attendances" databaseField="0"/>
    <cacheField name="12_hr_Rate" numFmtId="0" formula="Wait_12hr_plus/T1_Attendances" databaseField="0"/>
    <cacheField name="Breach rate" numFmtId="0" formula="T1_Over4hrs/T1_Attendances" databaseField="0"/>
    <cacheField name="T1_Att (thousands)" numFmtId="0" formula="T1_Attendances/1000" databaseField="0"/>
    <cacheField name="Breach_Rate" numFmtId="0" formula="T1_Attendances/T1_Over4hrs" databaseField="0"/>
    <cacheField name="T1_Att_k" numFmtId="0" formula="T1_Attendances/1000" databaseField="0"/>
    <cacheField name="BreachRate" numFmtId="0" formula="T1_Over4hrs/T1_Attendance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6">
  <r>
    <x v="0"/>
    <s v="NDJ"/>
    <x v="0"/>
    <s v="FIRST COMMUNITY HEALTH AND CARE CIC"/>
    <n v="0"/>
    <n v="2350"/>
    <n v="0"/>
    <n v="0"/>
    <n v="0"/>
    <n v="0"/>
    <d v="2025-04-01T00:00:00"/>
    <s v="Q1"/>
    <x v="0"/>
    <n v="0"/>
    <n v="2350"/>
    <n v="1"/>
    <n v="0"/>
  </r>
  <r>
    <x v="0"/>
    <s v="RD1"/>
    <x v="1"/>
    <s v="ROYAL UNITED HOSPITALS BATH NHS FOUNDATION TRUST"/>
    <n v="8660"/>
    <n v="0"/>
    <n v="3622"/>
    <n v="0"/>
    <n v="778"/>
    <n v="120"/>
    <d v="2025-04-01T00:00:00"/>
    <s v="Q1"/>
    <x v="0"/>
    <n v="0.4182448036951501"/>
    <n v="8660"/>
    <n v="1"/>
    <n v="1.3856812933025405E-2"/>
  </r>
  <r>
    <x v="0"/>
    <s v="RDE"/>
    <x v="2"/>
    <s v="EAST SUFFOLK AND NORTH ESSEX NHS FOUNDATION TRUST"/>
    <n v="11291"/>
    <n v="13576"/>
    <n v="5453"/>
    <n v="329"/>
    <n v="1139"/>
    <n v="589"/>
    <d v="2025-04-01T00:00:00"/>
    <s v="Q1"/>
    <x v="0"/>
    <n v="0.48295102293862369"/>
    <n v="24867"/>
    <n v="1"/>
    <n v="5.2165441502081307E-2"/>
  </r>
  <r>
    <x v="0"/>
    <s v="RDR"/>
    <x v="0"/>
    <s v="SUSSEX COMMUNITY NHS FOUNDATION TRUST"/>
    <n v="0"/>
    <n v="11779"/>
    <n v="0"/>
    <n v="132"/>
    <n v="0"/>
    <n v="0"/>
    <d v="2025-04-01T00:00:00"/>
    <s v="Q1"/>
    <x v="0"/>
    <n v="0"/>
    <n v="11779"/>
    <n v="1"/>
    <n v="0"/>
  </r>
  <r>
    <x v="0"/>
    <s v="REF"/>
    <x v="1"/>
    <s v="ROYAL CORNWALL HOSPITALS NHS TRUST"/>
    <n v="6767"/>
    <n v="12428"/>
    <n v="3415"/>
    <n v="567"/>
    <n v="777"/>
    <n v="457"/>
    <d v="2025-04-01T00:00:00"/>
    <s v="Q1"/>
    <x v="0"/>
    <n v="0.50465494310625092"/>
    <n v="19195"/>
    <n v="1"/>
    <n v="6.7533619033545142E-2"/>
  </r>
  <r>
    <x v="0"/>
    <s v="REM"/>
    <x v="3"/>
    <s v="LIVERPOOL UNIVERSITY HOSPITALS NHS FOUNDATION TRUST"/>
    <n v="15728"/>
    <n v="7763"/>
    <n v="8092"/>
    <n v="173"/>
    <n v="1799"/>
    <n v="818"/>
    <d v="2025-04-01T00:00:00"/>
    <s v="Q1"/>
    <x v="0"/>
    <n v="0.51449643947100709"/>
    <n v="23491"/>
    <n v="1"/>
    <n v="5.2009155645981686E-2"/>
  </r>
  <r>
    <x v="0"/>
    <s v="RET"/>
    <x v="3"/>
    <s v="THE WALTON CENTRE NHS FOUNDATION TRUST"/>
    <n v="0"/>
    <n v="0"/>
    <n v="0"/>
    <n v="0"/>
    <n v="0"/>
    <n v="0"/>
    <d v="2025-04-01T00:00:00"/>
    <s v="Q1"/>
    <x v="0"/>
    <n v="0"/>
    <n v="0"/>
    <n v="1"/>
    <n v="0"/>
  </r>
  <r>
    <x v="0"/>
    <s v="RF4"/>
    <x v="4"/>
    <s v="BARKING, HAVERING AND REDBRIDGE UNIVERSITY HOSPITALS NHS TRUST"/>
    <n v="13402"/>
    <n v="14066"/>
    <n v="5899"/>
    <n v="197"/>
    <n v="713"/>
    <n v="795"/>
    <d v="2025-04-01T00:00:00"/>
    <s v="Q1"/>
    <x v="0"/>
    <n v="0.4401581853454708"/>
    <n v="27468"/>
    <n v="1"/>
    <n v="5.9319504551559467E-2"/>
  </r>
  <r>
    <x v="0"/>
    <s v="RJ2"/>
    <x v="4"/>
    <s v="LEWISHAM AND GREENWICH NHS TRUST"/>
    <n v="15481"/>
    <n v="9128"/>
    <n v="8235"/>
    <n v="265"/>
    <n v="1279"/>
    <n v="778"/>
    <d v="2025-04-01T00:00:00"/>
    <s v="Q1"/>
    <x v="0"/>
    <n v="0.53194238098314062"/>
    <n v="24609"/>
    <n v="1"/>
    <n v="5.0255151476002839E-2"/>
  </r>
  <r>
    <x v="0"/>
    <s v="RJE"/>
    <x v="5"/>
    <s v="UNIVERSITY HOSPITALS OF NORTH MIDLANDS NHS TRUST"/>
    <n v="13944"/>
    <n v="8487"/>
    <n v="7686"/>
    <n v="239"/>
    <n v="1119"/>
    <n v="930"/>
    <d v="2025-04-01T00:00:00"/>
    <s v="Q1"/>
    <x v="0"/>
    <n v="0.5512048192771084"/>
    <n v="22431"/>
    <n v="1"/>
    <n v="6.6695352839931152E-2"/>
  </r>
  <r>
    <x v="0"/>
    <s v="RK5"/>
    <x v="5"/>
    <s v="SHERWOOD FOREST HOSPITALS NHS FOUNDATION TRUST"/>
    <n v="10304"/>
    <n v="5724"/>
    <n v="3312"/>
    <n v="306"/>
    <n v="476"/>
    <n v="105"/>
    <d v="2025-04-01T00:00:00"/>
    <s v="Q1"/>
    <x v="0"/>
    <n v="0.32142857142857145"/>
    <n v="16028"/>
    <n v="1"/>
    <n v="1.0190217391304348E-2"/>
  </r>
  <r>
    <x v="0"/>
    <s v="RKB"/>
    <x v="5"/>
    <s v="UNIVERSITY HOSPITALS COVENTRY AND WARWICKSHIRE NHS TRUST"/>
    <n v="11718"/>
    <n v="6014"/>
    <n v="4898"/>
    <n v="175"/>
    <n v="70"/>
    <n v="29"/>
    <d v="2025-04-01T00:00:00"/>
    <s v="Q1"/>
    <x v="0"/>
    <n v="0.41798941798941797"/>
    <n v="17732"/>
    <n v="1"/>
    <n v="2.4748250554702169E-3"/>
  </r>
  <r>
    <x v="0"/>
    <s v="RL1"/>
    <x v="5"/>
    <s v="THE ROBERT JONES AND AGNES HUNT ORTHOPAEDIC HOSPITAL NHS FOUNDATION TRUST"/>
    <n v="0"/>
    <n v="0"/>
    <n v="0"/>
    <n v="0"/>
    <n v="0"/>
    <n v="0"/>
    <d v="2025-04-01T00:00:00"/>
    <s v="Q1"/>
    <x v="0"/>
    <n v="0"/>
    <n v="0"/>
    <n v="1"/>
    <n v="0"/>
  </r>
  <r>
    <x v="0"/>
    <s v="RLT"/>
    <x v="5"/>
    <s v="GEORGE ELIOT HOSPITAL NHS TRUST"/>
    <n v="6867"/>
    <n v="1611"/>
    <n v="2312"/>
    <n v="23"/>
    <n v="401"/>
    <n v="307"/>
    <d v="2025-04-01T00:00:00"/>
    <s v="Q1"/>
    <x v="0"/>
    <n v="0.3366826853065385"/>
    <n v="8478"/>
    <n v="1"/>
    <n v="4.4706567642347456E-2"/>
  </r>
  <r>
    <x v="0"/>
    <s v="RN7"/>
    <x v="0"/>
    <s v="DARTFORD AND GRAVESHAM NHS TRUST"/>
    <n v="11082"/>
    <n v="4063"/>
    <n v="3911"/>
    <n v="22"/>
    <n v="458"/>
    <n v="525"/>
    <d v="2025-04-01T00:00:00"/>
    <s v="Q1"/>
    <x v="0"/>
    <n v="0.35291463634722975"/>
    <n v="15145"/>
    <n v="1"/>
    <n v="4.7374120194910663E-2"/>
  </r>
  <r>
    <x v="0"/>
    <s v="RNS"/>
    <x v="5"/>
    <s v="NORTHAMPTON GENERAL HOSPITAL NHS TRUST"/>
    <n v="9964"/>
    <n v="2168"/>
    <n v="4211"/>
    <n v="88"/>
    <n v="712"/>
    <n v="667"/>
    <d v="2025-04-01T00:00:00"/>
    <s v="Q1"/>
    <x v="0"/>
    <n v="0.42262143717382578"/>
    <n v="12132"/>
    <n v="1"/>
    <n v="6.6940987555198714E-2"/>
  </r>
  <r>
    <x v="0"/>
    <s v="RNU"/>
    <x v="0"/>
    <s v="OXFORD HEALTH NHS FOUNDATION TRUST"/>
    <n v="0"/>
    <n v="4227"/>
    <n v="0"/>
    <n v="292"/>
    <n v="0"/>
    <n v="0"/>
    <d v="2025-04-01T00:00:00"/>
    <s v="Q1"/>
    <x v="0"/>
    <n v="0"/>
    <n v="4227"/>
    <n v="1"/>
    <n v="0"/>
  </r>
  <r>
    <x v="0"/>
    <s v="RNZ"/>
    <x v="1"/>
    <s v="SALISBURY NHS FOUNDATION TRUST"/>
    <n v="4720"/>
    <n v="1878"/>
    <n v="2075"/>
    <n v="0"/>
    <n v="477"/>
    <n v="57"/>
    <d v="2025-04-01T00:00:00"/>
    <s v="Q1"/>
    <x v="0"/>
    <n v="0.4396186440677966"/>
    <n v="6598"/>
    <n v="1"/>
    <n v="1.2076271186440678E-2"/>
  </r>
  <r>
    <x v="0"/>
    <s v="RQ3"/>
    <x v="5"/>
    <s v="BIRMINGHAM WOMEN'S AND CHILDREN'S NHS FOUNDATION TRUST"/>
    <n v="4837"/>
    <n v="0"/>
    <n v="479"/>
    <n v="0"/>
    <n v="1"/>
    <n v="1"/>
    <d v="2025-04-01T00:00:00"/>
    <s v="Q1"/>
    <x v="0"/>
    <n v="9.9028323340913785E-2"/>
    <n v="4837"/>
    <n v="1"/>
    <n v="2.0673971469919371E-4"/>
  </r>
  <r>
    <x v="0"/>
    <s v="RQM"/>
    <x v="4"/>
    <s v="CHELSEA AND WESTMINSTER HOSPITAL NHS FOUNDATION TRUST"/>
    <n v="18876"/>
    <n v="6084"/>
    <n v="4578"/>
    <n v="75"/>
    <n v="572"/>
    <n v="49"/>
    <d v="2025-04-01T00:00:00"/>
    <s v="Q1"/>
    <x v="0"/>
    <n v="0.24253019707565163"/>
    <n v="24960"/>
    <n v="1"/>
    <n v="2.5958889595253231E-3"/>
  </r>
  <r>
    <x v="0"/>
    <s v="RR8"/>
    <x v="6"/>
    <s v="LEEDS TEACHING HOSPITALS NHS TRUST"/>
    <n v="17114"/>
    <n v="12040"/>
    <n v="6974"/>
    <n v="234"/>
    <n v="1740"/>
    <n v="275"/>
    <d v="2025-04-01T00:00:00"/>
    <s v="Q1"/>
    <x v="0"/>
    <n v="0.40750262942620075"/>
    <n v="29154"/>
    <n v="1"/>
    <n v="1.6068715671380157E-2"/>
  </r>
  <r>
    <x v="0"/>
    <s v="RRF"/>
    <x v="3"/>
    <s v="WRIGHTINGTON, WIGAN AND LEIGH NHS FOUNDATION TRUST"/>
    <n v="6430"/>
    <n v="5708"/>
    <n v="3394"/>
    <n v="75"/>
    <n v="1095"/>
    <n v="444"/>
    <d v="2025-04-01T00:00:00"/>
    <s v="Q1"/>
    <x v="0"/>
    <n v="0.5278382581648523"/>
    <n v="12138"/>
    <n v="1"/>
    <n v="6.9051321928460335E-2"/>
  </r>
  <r>
    <x v="0"/>
    <s v="RBV"/>
    <x v="3"/>
    <s v="THE CHRISTIE NHS FOUNDATION TRUST"/>
    <n v="0"/>
    <n v="0"/>
    <n v="0"/>
    <n v="0"/>
    <n v="0"/>
    <n v="0"/>
    <d v="2025-04-01T00:00:00"/>
    <s v="Q1"/>
    <x v="0"/>
    <n v="0"/>
    <n v="0"/>
    <n v="1"/>
    <n v="0"/>
  </r>
  <r>
    <x v="0"/>
    <s v="RTE"/>
    <x v="1"/>
    <s v="GLOUCESTERSHIRE HOSPITALS NHS FOUNDATION TRUST"/>
    <n v="13095"/>
    <n v="0"/>
    <n v="5171"/>
    <n v="0"/>
    <n v="412"/>
    <n v="461"/>
    <d v="2025-04-01T00:00:00"/>
    <s v="Q1"/>
    <x v="0"/>
    <n v="0.39488354333715159"/>
    <n v="13095"/>
    <n v="1"/>
    <n v="3.5204276441389841E-2"/>
  </r>
  <r>
    <x v="0"/>
    <s v="RAN"/>
    <x v="4"/>
    <s v="ROYAL NATIONAL ORTHOPAEDIC HOSPITAL NHS TRUST"/>
    <n v="0"/>
    <n v="0"/>
    <n v="0"/>
    <n v="0"/>
    <n v="0"/>
    <n v="0"/>
    <d v="2025-04-01T00:00:00"/>
    <s v="Q1"/>
    <x v="0"/>
    <n v="0"/>
    <n v="0"/>
    <n v="1"/>
    <n v="0"/>
  </r>
  <r>
    <x v="0"/>
    <s v="R1F"/>
    <x v="0"/>
    <s v="ISLE OF WIGHT NHS TRUST"/>
    <n v="4279"/>
    <n v="1558"/>
    <n v="1845"/>
    <n v="0"/>
    <n v="317"/>
    <n v="132"/>
    <d v="2025-04-01T00:00:00"/>
    <s v="Q1"/>
    <x v="0"/>
    <n v="0.43117550829633094"/>
    <n v="5837"/>
    <n v="1"/>
    <n v="3.0848329048843187E-2"/>
  </r>
  <r>
    <x v="0"/>
    <s v="NNF09"/>
    <x v="6"/>
    <s v="BRANSHOLME HEALTH CENTRE"/>
    <n v="0"/>
    <n v="3556"/>
    <n v="0"/>
    <n v="584"/>
    <n v="0"/>
    <n v="0"/>
    <d v="2025-04-01T00:00:00"/>
    <s v="Q1"/>
    <x v="0"/>
    <n v="0"/>
    <n v="3556"/>
    <n v="1"/>
    <n v="0"/>
  </r>
  <r>
    <x v="0"/>
    <s v="NNF16"/>
    <x v="6"/>
    <s v="BRIDLINGTON HOSPITAL"/>
    <n v="0"/>
    <n v="1586"/>
    <n v="0"/>
    <n v="61"/>
    <n v="0"/>
    <n v="0"/>
    <d v="2025-04-01T00:00:00"/>
    <s v="Q1"/>
    <x v="0"/>
    <n v="0"/>
    <n v="1586"/>
    <n v="1"/>
    <n v="0"/>
  </r>
  <r>
    <x v="0"/>
    <s v="NNF94"/>
    <x v="6"/>
    <s v="EAST RIDING COMMUNITY HOSPITAL"/>
    <n v="0"/>
    <n v="3043"/>
    <n v="0"/>
    <n v="231"/>
    <n v="0"/>
    <n v="0"/>
    <d v="2025-04-01T00:00:00"/>
    <s v="Q1"/>
    <x v="0"/>
    <n v="0"/>
    <n v="3043"/>
    <n v="1"/>
    <n v="0"/>
  </r>
  <r>
    <x v="0"/>
    <s v="NNFA7"/>
    <x v="6"/>
    <s v="GOOLE &amp; DISTRICT HOSPITAL"/>
    <n v="0"/>
    <n v="1675"/>
    <n v="0"/>
    <n v="7"/>
    <n v="0"/>
    <n v="0"/>
    <d v="2025-04-01T00:00:00"/>
    <s v="Q1"/>
    <x v="0"/>
    <n v="0"/>
    <n v="1675"/>
    <n v="1"/>
    <n v="0"/>
  </r>
  <r>
    <x v="0"/>
    <s v="R1K"/>
    <x v="4"/>
    <s v="LONDON NORTH WEST UNIVERSITY HEALTHCARE NHS TRUST"/>
    <n v="13592"/>
    <n v="14950"/>
    <n v="6467"/>
    <n v="195"/>
    <n v="666"/>
    <n v="385"/>
    <d v="2025-04-01T00:00:00"/>
    <s v="Q1"/>
    <x v="0"/>
    <n v="0.47579458505002942"/>
    <n v="28542"/>
    <n v="1"/>
    <n v="2.8325485579752795E-2"/>
  </r>
  <r>
    <x v="0"/>
    <s v="RAE"/>
    <x v="6"/>
    <s v="BRADFORD TEACHING HOSPITALS NHS FOUNDATION TRUST"/>
    <n v="8991"/>
    <n v="3331"/>
    <n v="2270"/>
    <n v="0"/>
    <n v="648"/>
    <n v="71"/>
    <d v="2025-04-01T00:00:00"/>
    <s v="Q1"/>
    <x v="0"/>
    <n v="0.25247469691914137"/>
    <n v="12322"/>
    <n v="1"/>
    <n v="7.8967856745634519E-3"/>
  </r>
  <r>
    <x v="0"/>
    <s v="RAJ"/>
    <x v="2"/>
    <s v="MID AND SOUTH ESSEX NHS FOUNDATION TRUST"/>
    <n v="29676"/>
    <n v="3801"/>
    <n v="10890"/>
    <n v="181"/>
    <n v="2531"/>
    <n v="640"/>
    <d v="2025-04-01T00:00:00"/>
    <s v="Q1"/>
    <x v="0"/>
    <n v="0.36696320258794984"/>
    <n v="33477"/>
    <n v="1"/>
    <n v="2.1566248820595768E-2"/>
  </r>
  <r>
    <x v="0"/>
    <s v="RAL"/>
    <x v="4"/>
    <s v="ROYAL FREE LONDON NHS FOUNDATION TRUST"/>
    <n v="24636"/>
    <n v="15931"/>
    <n v="9696"/>
    <n v="997"/>
    <n v="1192"/>
    <n v="1792"/>
    <d v="2025-04-01T00:00:00"/>
    <s v="Q1"/>
    <x v="0"/>
    <n v="0.39357038480272771"/>
    <n v="40567"/>
    <n v="1"/>
    <n v="7.2739081019646046E-2"/>
  </r>
  <r>
    <x v="0"/>
    <s v="RBN"/>
    <x v="3"/>
    <s v="MERSEY AND WEST LANCASHIRE TEACHING HOSPITALS NHS TRUST"/>
    <n v="16848"/>
    <n v="7163"/>
    <n v="5987"/>
    <n v="140"/>
    <n v="490"/>
    <n v="349"/>
    <d v="2025-04-01T00:00:00"/>
    <s v="Q1"/>
    <x v="0"/>
    <n v="0.35535375118708451"/>
    <n v="24011"/>
    <n v="1"/>
    <n v="2.0714624881291548E-2"/>
  </r>
  <r>
    <x v="0"/>
    <s v="RCB"/>
    <x v="6"/>
    <s v="YORK AND SCARBOROUGH TEACHING HOSPITALS NHS FOUNDATION TRUST"/>
    <n v="10390"/>
    <n v="6987"/>
    <n v="6046"/>
    <n v="384"/>
    <n v="852"/>
    <n v="628"/>
    <d v="2025-04-01T00:00:00"/>
    <s v="Q1"/>
    <x v="0"/>
    <n v="0.58190567853705488"/>
    <n v="17377"/>
    <n v="1"/>
    <n v="6.0442733397497596E-2"/>
  </r>
  <r>
    <x v="0"/>
    <s v="RD8"/>
    <x v="2"/>
    <s v="MILTON KEYNES UNIVERSITY HOSPITAL NHS FOUNDATION TRUST"/>
    <n v="7762"/>
    <n v="4994"/>
    <n v="2374"/>
    <n v="71"/>
    <n v="478"/>
    <n v="0"/>
    <d v="2025-04-01T00:00:00"/>
    <s v="Q1"/>
    <x v="0"/>
    <n v="0.30584900798763204"/>
    <n v="12756"/>
    <n v="1"/>
    <n v="0"/>
  </r>
  <r>
    <x v="0"/>
    <s v="RDU"/>
    <x v="0"/>
    <s v="FRIMLEY HEALTH NHS FOUNDATION TRUST"/>
    <n v="21751"/>
    <n v="11461"/>
    <n v="9653"/>
    <n v="300"/>
    <n v="1563"/>
    <n v="129"/>
    <d v="2025-04-01T00:00:00"/>
    <s v="Q1"/>
    <x v="0"/>
    <n v="0.4437956875545952"/>
    <n v="33212"/>
    <n v="1"/>
    <n v="5.9307618040549863E-3"/>
  </r>
  <r>
    <x v="0"/>
    <s v="REP"/>
    <x v="3"/>
    <s v="LIVERPOOL WOMEN'S NHS FOUNDATION TRUST"/>
    <n v="0"/>
    <n v="0"/>
    <n v="0"/>
    <n v="0"/>
    <n v="0"/>
    <n v="0"/>
    <d v="2025-04-01T00:00:00"/>
    <s v="Q1"/>
    <x v="0"/>
    <n v="0"/>
    <n v="0"/>
    <n v="1"/>
    <n v="0"/>
  </r>
  <r>
    <x v="0"/>
    <s v="RFR"/>
    <x v="6"/>
    <s v="THE ROTHERHAM NHS FOUNDATION TRUST"/>
    <n v="8977"/>
    <n v="0"/>
    <n v="2806"/>
    <n v="0"/>
    <n v="525"/>
    <n v="3"/>
    <d v="2025-04-01T00:00:00"/>
    <s v="Q1"/>
    <x v="0"/>
    <n v="0.3125765846051019"/>
    <n v="8977"/>
    <n v="1"/>
    <n v="3.3418736771750028E-4"/>
  </r>
  <r>
    <x v="0"/>
    <s v="RH5"/>
    <x v="1"/>
    <s v="SOMERSET NHS FOUNDATION TRUST"/>
    <n v="12443"/>
    <n v="9709"/>
    <n v="6110"/>
    <n v="246"/>
    <n v="676"/>
    <n v="175"/>
    <d v="2025-04-01T00:00:00"/>
    <s v="Q1"/>
    <x v="0"/>
    <n v="0.49103913847142971"/>
    <n v="22152"/>
    <n v="1"/>
    <n v="1.4064132443944386E-2"/>
  </r>
  <r>
    <x v="0"/>
    <s v="RHM"/>
    <x v="0"/>
    <s v="UNIVERSITY HOSPITAL SOUTHAMPTON NHS FOUNDATION TRUST"/>
    <n v="11577"/>
    <n v="0"/>
    <n v="4553"/>
    <n v="0"/>
    <n v="628"/>
    <n v="10"/>
    <d v="2025-04-01T00:00:00"/>
    <s v="Q1"/>
    <x v="0"/>
    <n v="0.39327977887190119"/>
    <n v="11577"/>
    <n v="1"/>
    <n v="8.6378163600241858E-4"/>
  </r>
  <r>
    <x v="0"/>
    <s v="RHQ"/>
    <x v="6"/>
    <s v="SHEFFIELD TEACHING HOSPITALS NHS FOUNDATION TRUST"/>
    <n v="8806"/>
    <n v="6881"/>
    <n v="4677"/>
    <n v="289"/>
    <n v="1157"/>
    <n v="4"/>
    <d v="2025-04-01T00:00:00"/>
    <s v="Q1"/>
    <x v="0"/>
    <n v="0.53111514876220756"/>
    <n v="15687"/>
    <n v="1"/>
    <n v="4.5423574835339541E-4"/>
  </r>
  <r>
    <x v="0"/>
    <s v="RJ1"/>
    <x v="4"/>
    <s v="GUY'S AND ST THOMAS' NHS FOUNDATION TRUST"/>
    <n v="9921"/>
    <n v="6810"/>
    <n v="3744"/>
    <n v="182"/>
    <n v="98"/>
    <n v="64"/>
    <d v="2025-04-01T00:00:00"/>
    <s v="Q1"/>
    <x v="0"/>
    <n v="0.37738131236770489"/>
    <n v="16731"/>
    <n v="1"/>
    <n v="6.4509626045761515E-3"/>
  </r>
  <r>
    <x v="0"/>
    <s v="C83023"/>
    <x v="5"/>
    <s v="SLEAFORD MEDICAL GROUP"/>
    <n v="0"/>
    <n v="480"/>
    <n v="0"/>
    <n v="0"/>
    <n v="0"/>
    <n v="0"/>
    <d v="2025-04-01T00:00:00"/>
    <s v="Q1"/>
    <x v="0"/>
    <n v="0"/>
    <n v="480"/>
    <n v="1"/>
    <n v="0"/>
  </r>
  <r>
    <x v="0"/>
    <s v="NR3"/>
    <x v="5"/>
    <s v="NOTTINGHAM CITYCARE PARTNERSHIP"/>
    <n v="0"/>
    <n v="4992"/>
    <n v="0"/>
    <n v="580"/>
    <n v="0"/>
    <n v="0"/>
    <d v="2025-04-01T00:00:00"/>
    <s v="Q1"/>
    <x v="0"/>
    <n v="0"/>
    <n v="4992"/>
    <n v="1"/>
    <n v="0"/>
  </r>
  <r>
    <x v="0"/>
    <s v="R1D"/>
    <x v="5"/>
    <s v="SHROPSHIRE COMMUNITY HEALTH NHS TRUST"/>
    <n v="0"/>
    <n v="3041"/>
    <n v="0"/>
    <n v="5"/>
    <n v="0"/>
    <n v="0"/>
    <d v="2025-04-01T00:00:00"/>
    <s v="Q1"/>
    <x v="0"/>
    <n v="0"/>
    <n v="3041"/>
    <n v="1"/>
    <n v="0"/>
  </r>
  <r>
    <x v="0"/>
    <s v="RA2"/>
    <x v="0"/>
    <s v="ROYAL SURREY COUNTY HOSPITAL NHS FOUNDATION TRUST"/>
    <n v="6632"/>
    <n v="1551"/>
    <n v="2022"/>
    <n v="0"/>
    <n v="261"/>
    <n v="1"/>
    <d v="2025-04-01T00:00:00"/>
    <s v="Q1"/>
    <x v="0"/>
    <n v="0.30488540410132692"/>
    <n v="8183"/>
    <n v="1"/>
    <n v="1.5078407720144752E-4"/>
  </r>
  <r>
    <x v="0"/>
    <s v="RXQ"/>
    <x v="0"/>
    <s v="BUCKINGHAMSHIRE HEALTHCARE NHS TRUST"/>
    <n v="10175"/>
    <n v="3428"/>
    <n v="2970"/>
    <n v="64"/>
    <n v="245"/>
    <n v="212"/>
    <d v="2025-04-01T00:00:00"/>
    <s v="Q1"/>
    <x v="0"/>
    <n v="0.29189189189189191"/>
    <n v="13603"/>
    <n v="1"/>
    <n v="2.0835380835380835E-2"/>
  </r>
  <r>
    <x v="0"/>
    <s v="RTK"/>
    <x v="0"/>
    <s v="ASHFORD AND ST PETER'S HOSPITALS NHS FOUNDATION TRUST"/>
    <n v="6744"/>
    <n v="8207"/>
    <n v="3640"/>
    <n v="149"/>
    <n v="548"/>
    <n v="183"/>
    <d v="2025-04-01T00:00:00"/>
    <s v="Q1"/>
    <x v="0"/>
    <n v="0.53973902728351131"/>
    <n v="14951"/>
    <n v="1"/>
    <n v="2.7135231316725978E-2"/>
  </r>
  <r>
    <x v="0"/>
    <s v="RVV"/>
    <x v="0"/>
    <s v="EAST KENT HOSPITALS UNIVERSITY NHS FOUNDATION TRUST"/>
    <n v="12301"/>
    <n v="12385"/>
    <n v="5640"/>
    <n v="243"/>
    <n v="449"/>
    <n v="1256"/>
    <d v="2025-04-01T00:00:00"/>
    <s v="Q1"/>
    <x v="0"/>
    <n v="0.45849930899926833"/>
    <n v="24686"/>
    <n v="1"/>
    <n v="0.10210551987643281"/>
  </r>
  <r>
    <x v="0"/>
    <s v="RYX"/>
    <x v="4"/>
    <s v="CENTRAL LONDON COMMUNITY HEALTHCARE NHS TRUST"/>
    <n v="0"/>
    <n v="12442"/>
    <n v="0"/>
    <n v="375"/>
    <n v="0"/>
    <n v="0"/>
    <d v="2025-04-01T00:00:00"/>
    <s v="Q1"/>
    <x v="0"/>
    <n v="0"/>
    <n v="12442"/>
    <n v="1"/>
    <n v="0"/>
  </r>
  <r>
    <x v="0"/>
    <s v="Y02676"/>
    <x v="0"/>
    <s v="BRIGHTON STATION HEALTH CENTRE"/>
    <n v="0"/>
    <n v="2001"/>
    <n v="0"/>
    <n v="0"/>
    <n v="0"/>
    <n v="0"/>
    <d v="2025-04-01T00:00:00"/>
    <s v="Q1"/>
    <x v="0"/>
    <n v="0"/>
    <n v="2001"/>
    <n v="1"/>
    <n v="0"/>
  </r>
  <r>
    <x v="0"/>
    <s v="RP5"/>
    <x v="6"/>
    <s v="DONCASTER AND BASSETLAW TEACHING HOSPITALS NHS FOUNDATION TRUST"/>
    <n v="13769"/>
    <n v="4221"/>
    <n v="4725"/>
    <n v="33"/>
    <n v="1050"/>
    <n v="65"/>
    <d v="2025-04-01T00:00:00"/>
    <s v="Q1"/>
    <x v="0"/>
    <n v="0.3431621759023894"/>
    <n v="17990"/>
    <n v="1"/>
    <n v="4.7207495097683202E-3"/>
  </r>
  <r>
    <x v="0"/>
    <s v="RTG"/>
    <x v="5"/>
    <s v="UNIVERSITY HOSPITALS OF DERBY AND BURTON NHS FOUNDATION TRUST"/>
    <n v="18237"/>
    <n v="9226"/>
    <n v="8556"/>
    <n v="10"/>
    <n v="1219"/>
    <n v="386"/>
    <d v="2025-04-01T00:00:00"/>
    <s v="Q1"/>
    <x v="0"/>
    <n v="0.46915611120250039"/>
    <n v="27463"/>
    <n v="1"/>
    <n v="2.1165761912595272E-2"/>
  </r>
  <r>
    <x v="0"/>
    <s v="RWX"/>
    <x v="0"/>
    <s v="BERKSHIRE HEALTHCARE NHS FOUNDATION TRUST"/>
    <n v="0"/>
    <n v="1472"/>
    <n v="0"/>
    <n v="10"/>
    <n v="0"/>
    <n v="0"/>
    <d v="2025-04-01T00:00:00"/>
    <s v="Q1"/>
    <x v="0"/>
    <n v="0"/>
    <n v="1472"/>
    <n v="1"/>
    <n v="0"/>
  </r>
  <r>
    <x v="0"/>
    <s v="NNJ07"/>
    <x v="5"/>
    <s v="LOUGHBOROUGH URGENT CARE CENTRE"/>
    <n v="0"/>
    <n v="5168"/>
    <n v="0"/>
    <n v="24"/>
    <n v="0"/>
    <n v="0"/>
    <d v="2025-04-01T00:00:00"/>
    <s v="Q1"/>
    <x v="0"/>
    <n v="0"/>
    <n v="5168"/>
    <n v="1"/>
    <n v="0"/>
  </r>
  <r>
    <x v="0"/>
    <s v="NNJ0H"/>
    <x v="5"/>
    <s v="LLR EA - THE MERLYN VAZ HEALTH &amp; SOCIAL CARE CENTRE"/>
    <n v="0"/>
    <n v="164"/>
    <n v="0"/>
    <n v="0"/>
    <n v="0"/>
    <n v="0"/>
    <d v="2025-04-01T00:00:00"/>
    <s v="Q1"/>
    <x v="0"/>
    <n v="0"/>
    <n v="164"/>
    <n v="1"/>
    <n v="0"/>
  </r>
  <r>
    <x v="0"/>
    <s v="NNJ12"/>
    <x v="5"/>
    <s v="MARKET HARBOROUGH"/>
    <n v="0"/>
    <n v="112"/>
    <n v="0"/>
    <n v="0"/>
    <n v="0"/>
    <n v="0"/>
    <d v="2025-04-01T00:00:00"/>
    <s v="Q1"/>
    <x v="0"/>
    <n v="0"/>
    <n v="112"/>
    <n v="1"/>
    <n v="0"/>
  </r>
  <r>
    <x v="0"/>
    <s v="NNJ13"/>
    <x v="5"/>
    <s v="MELTON MOWBRAY"/>
    <n v="0"/>
    <n v="64"/>
    <n v="0"/>
    <n v="0"/>
    <n v="0"/>
    <n v="0"/>
    <d v="2025-04-01T00:00:00"/>
    <s v="Q1"/>
    <x v="0"/>
    <n v="0"/>
    <n v="64"/>
    <n v="1"/>
    <n v="0"/>
  </r>
  <r>
    <x v="0"/>
    <s v="NNJ14"/>
    <x v="5"/>
    <s v="OADBY"/>
    <n v="0"/>
    <n v="561"/>
    <n v="0"/>
    <n v="0"/>
    <n v="0"/>
    <n v="0"/>
    <d v="2025-04-01T00:00:00"/>
    <s v="Q1"/>
    <x v="0"/>
    <n v="0"/>
    <n v="561"/>
    <n v="1"/>
    <n v="0"/>
  </r>
  <r>
    <x v="0"/>
    <s v="NNJ15"/>
    <x v="5"/>
    <s v="OAKHAM"/>
    <n v="0"/>
    <n v="75"/>
    <n v="0"/>
    <n v="0"/>
    <n v="0"/>
    <n v="0"/>
    <d v="2025-04-01T00:00:00"/>
    <s v="Q1"/>
    <x v="0"/>
    <n v="0"/>
    <n v="75"/>
    <n v="1"/>
    <n v="0"/>
  </r>
  <r>
    <x v="0"/>
    <s v="NNJ"/>
    <x v="5"/>
    <s v="DHU HEALTH CARE C.I.C"/>
    <n v="0"/>
    <n v="1994"/>
    <n v="0"/>
    <n v="0"/>
    <n v="0"/>
    <n v="0"/>
    <d v="2025-04-01T00:00:00"/>
    <s v="Q1"/>
    <x v="0"/>
    <n v="0"/>
    <n v="1994"/>
    <n v="1"/>
    <n v="0"/>
  </r>
  <r>
    <x v="0"/>
    <s v="RHU"/>
    <x v="0"/>
    <s v="PORTSMOUTH HOSPITALS UNIVERSITY NHS TRUST"/>
    <n v="9902"/>
    <n v="3041"/>
    <n v="4250"/>
    <n v="170"/>
    <n v="1009"/>
    <n v="503"/>
    <d v="2025-04-01T00:00:00"/>
    <s v="Q1"/>
    <x v="0"/>
    <n v="0.42920622096546152"/>
    <n v="12943"/>
    <n v="1"/>
    <n v="5.0797818622500504E-2"/>
  </r>
  <r>
    <x v="0"/>
    <s v="RM3"/>
    <x v="3"/>
    <s v="NORTHERN CARE ALLIANCE NHS FOUNDATION TRUST"/>
    <n v="25192"/>
    <n v="8446"/>
    <n v="10385"/>
    <n v="403"/>
    <n v="1013"/>
    <n v="1222"/>
    <d v="2025-04-01T00:00:00"/>
    <s v="Q1"/>
    <x v="0"/>
    <n v="0.41223404255319152"/>
    <n v="33638"/>
    <n v="1"/>
    <n v="4.8507462686567165E-2"/>
  </r>
  <r>
    <x v="0"/>
    <s v="RXN"/>
    <x v="3"/>
    <s v="LANCASHIRE TEACHING HOSPITALS NHS FOUNDATION TRUST"/>
    <n v="11684"/>
    <n v="3459"/>
    <n v="4328"/>
    <n v="194"/>
    <n v="948"/>
    <n v="435"/>
    <d v="2025-04-01T00:00:00"/>
    <s v="Q1"/>
    <x v="0"/>
    <n v="0.37042108866826429"/>
    <n v="15143"/>
    <n v="1"/>
    <n v="3.7230400547757614E-2"/>
  </r>
  <r>
    <x v="0"/>
    <s v="RHW"/>
    <x v="0"/>
    <s v="ROYAL BERKSHIRE NHS FOUNDATION TRUST"/>
    <n v="10298"/>
    <n v="2087"/>
    <n v="4206"/>
    <n v="0"/>
    <n v="672"/>
    <n v="25"/>
    <d v="2025-04-01T00:00:00"/>
    <s v="Q1"/>
    <x v="0"/>
    <n v="0.40842882113031659"/>
    <n v="12385"/>
    <n v="1"/>
    <n v="2.4276558555059234E-3"/>
  </r>
  <r>
    <x v="0"/>
    <s v="RRK"/>
    <x v="5"/>
    <s v="UNIVERSITY HOSPITALS BIRMINGHAM NHS FOUNDATION TRUST"/>
    <n v="34366"/>
    <n v="1862"/>
    <n v="14652"/>
    <n v="87"/>
    <n v="2801"/>
    <n v="2096"/>
    <d v="2025-04-01T00:00:00"/>
    <s v="Q1"/>
    <x v="0"/>
    <n v="0.42635162660769366"/>
    <n v="36228"/>
    <n v="1"/>
    <n v="6.0990513879997675E-2"/>
  </r>
  <r>
    <x v="0"/>
    <s v="RFS"/>
    <x v="5"/>
    <s v="CHESTERFIELD ROYAL HOSPITAL NHS FOUNDATION TRUST"/>
    <n v="6703"/>
    <n v="6382"/>
    <n v="3410"/>
    <n v="376"/>
    <n v="873"/>
    <n v="139"/>
    <d v="2025-04-01T00:00:00"/>
    <s v="Q1"/>
    <x v="0"/>
    <n v="0.50872743547665222"/>
    <n v="13085"/>
    <n v="1"/>
    <n v="2.0736983440250635E-2"/>
  </r>
  <r>
    <x v="0"/>
    <s v="RBT"/>
    <x v="3"/>
    <s v="MID CHESHIRE HOSPITALS NHS FOUNDATION TRUST"/>
    <n v="6945"/>
    <n v="2890"/>
    <n v="4074"/>
    <n v="53"/>
    <n v="594"/>
    <n v="492"/>
    <d v="2025-04-01T00:00:00"/>
    <s v="Q1"/>
    <x v="0"/>
    <n v="0.58660907127429807"/>
    <n v="9835"/>
    <n v="1"/>
    <n v="7.0842332613390929E-2"/>
  </r>
  <r>
    <x v="0"/>
    <s v="AD913"/>
    <x v="4"/>
    <s v="BECKENHAM BEACON UCC"/>
    <n v="0"/>
    <n v="3736"/>
    <n v="0"/>
    <n v="49"/>
    <n v="0"/>
    <n v="0"/>
    <d v="2025-04-01T00:00:00"/>
    <s v="Q1"/>
    <x v="0"/>
    <n v="0"/>
    <n v="3736"/>
    <n v="1"/>
    <n v="0"/>
  </r>
  <r>
    <x v="0"/>
    <s v="RTD"/>
    <x v="6"/>
    <s v="THE NEWCASTLE UPON TYNE HOSPITALS NHS FOUNDATION TRUST"/>
    <n v="11926"/>
    <n v="6352"/>
    <n v="4751"/>
    <n v="0"/>
    <n v="738"/>
    <n v="85"/>
    <d v="2025-04-01T00:00:00"/>
    <s v="Q1"/>
    <x v="0"/>
    <n v="0.39837330202917992"/>
    <n v="18278"/>
    <n v="1"/>
    <n v="7.1272849236961259E-3"/>
  </r>
  <r>
    <x v="0"/>
    <s v="RMC"/>
    <x v="3"/>
    <s v="BOLTON NHS FOUNDATION TRUST"/>
    <n v="7889"/>
    <n v="3897"/>
    <n v="3771"/>
    <n v="210"/>
    <n v="551"/>
    <n v="488"/>
    <d v="2025-04-01T00:00:00"/>
    <s v="Q1"/>
    <x v="0"/>
    <n v="0.47800735200912664"/>
    <n v="11786"/>
    <n v="1"/>
    <n v="6.1858283686145266E-2"/>
  </r>
  <r>
    <x v="0"/>
    <s v="RVJ"/>
    <x v="1"/>
    <s v="NORTH BRISTOL NHS TRUST"/>
    <n v="8866"/>
    <n v="0"/>
    <n v="3494"/>
    <n v="0"/>
    <n v="606"/>
    <n v="299"/>
    <d v="2025-04-01T00:00:00"/>
    <s v="Q1"/>
    <x v="0"/>
    <n v="0.39408978118655535"/>
    <n v="8866"/>
    <n v="1"/>
    <n v="3.3724340175953077E-2"/>
  </r>
  <r>
    <x v="0"/>
    <s v="RVR"/>
    <x v="4"/>
    <s v="EPSOM AND ST HELIER UNIVERSITY HOSPITALS NHS TRUST"/>
    <n v="10804"/>
    <n v="1568"/>
    <n v="3246"/>
    <n v="123"/>
    <n v="266"/>
    <n v="700"/>
    <d v="2025-04-01T00:00:00"/>
    <s v="Q1"/>
    <x v="0"/>
    <n v="0.30044427989633471"/>
    <n v="12372"/>
    <n v="1"/>
    <n v="6.4790818215475748E-2"/>
  </r>
  <r>
    <x v="0"/>
    <s v="RM1"/>
    <x v="2"/>
    <s v="NORFOLK AND NORWICH UNIVERSITY HOSPITALS NHS FOUNDATION TRUST"/>
    <n v="12259"/>
    <n v="8063"/>
    <n v="4018"/>
    <n v="5"/>
    <n v="994"/>
    <n v="246"/>
    <d v="2025-04-01T00:00:00"/>
    <s v="Q1"/>
    <x v="0"/>
    <n v="0.32775919732441472"/>
    <n v="20322"/>
    <n v="1"/>
    <n v="2.0066889632107024E-2"/>
  </r>
  <r>
    <x v="0"/>
    <s v="RVW"/>
    <x v="6"/>
    <s v="NORTH TEES AND HARTLEPOOL NHS FOUNDATION TRUST"/>
    <n v="5058"/>
    <n v="11581"/>
    <n v="2734"/>
    <n v="47"/>
    <n v="196"/>
    <n v="10"/>
    <d v="2025-04-01T00:00:00"/>
    <s v="Q1"/>
    <x v="0"/>
    <n v="0.54052985369711348"/>
    <n v="16639"/>
    <n v="1"/>
    <n v="1.9770660340055358E-3"/>
  </r>
  <r>
    <x v="0"/>
    <s v="RWA"/>
    <x v="6"/>
    <s v="HULL UNIVERSITY TEACHING HOSPITALS NHS TRUST"/>
    <n v="9122"/>
    <n v="4645"/>
    <n v="5265"/>
    <n v="745"/>
    <n v="1037"/>
    <n v="506"/>
    <d v="2025-04-01T00:00:00"/>
    <s v="Q1"/>
    <x v="0"/>
    <n v="0.5771760578820434"/>
    <n v="13767"/>
    <n v="1"/>
    <n v="5.5470291602718699E-2"/>
  </r>
  <r>
    <x v="0"/>
    <s v="RWD"/>
    <x v="5"/>
    <s v="UNITED LINCOLNSHIRE TEACHING HOSPITALS NHS TRUST"/>
    <n v="16201"/>
    <n v="3803"/>
    <n v="5913"/>
    <n v="487"/>
    <n v="998"/>
    <n v="969"/>
    <d v="2025-04-01T00:00:00"/>
    <s v="Q1"/>
    <x v="0"/>
    <n v="0.36497747052651069"/>
    <n v="20004"/>
    <n v="1"/>
    <n v="5.9811122770199371E-2"/>
  </r>
  <r>
    <x v="0"/>
    <s v="RWE"/>
    <x v="5"/>
    <s v="UNIVERSITY HOSPITALS OF LEICESTER NHS TRUST"/>
    <n v="21293"/>
    <n v="0"/>
    <n v="9211"/>
    <n v="0"/>
    <n v="1390"/>
    <n v="724"/>
    <d v="2025-04-01T00:00:00"/>
    <s v="Q1"/>
    <x v="0"/>
    <n v="0.43258347813835535"/>
    <n v="21293"/>
    <n v="1"/>
    <n v="3.4001784624054857E-2"/>
  </r>
  <r>
    <x v="0"/>
    <s v="RWG"/>
    <x v="2"/>
    <s v="WEST HERTFORDSHIRE TEACHING HOSPITALS NHS TRUST"/>
    <n v="8283"/>
    <n v="7118"/>
    <n v="2522"/>
    <n v="15"/>
    <n v="699"/>
    <n v="30"/>
    <d v="2025-04-01T00:00:00"/>
    <s v="Q1"/>
    <x v="0"/>
    <n v="0.30447905348303755"/>
    <n v="15401"/>
    <n v="1"/>
    <n v="3.621876131836291E-3"/>
  </r>
  <r>
    <x v="0"/>
    <s v="RWH"/>
    <x v="2"/>
    <s v="EAST AND NORTH HERTFORDSHIRE NHS TRUST"/>
    <n v="8663"/>
    <n v="8440"/>
    <n v="4563"/>
    <n v="32"/>
    <n v="127"/>
    <n v="116"/>
    <d v="2025-04-01T00:00:00"/>
    <s v="Q1"/>
    <x v="0"/>
    <n v="0.52672284428027238"/>
    <n v="17103"/>
    <n v="1"/>
    <n v="1.3390280503289853E-2"/>
  </r>
  <r>
    <x v="0"/>
    <s v="RWJ"/>
    <x v="3"/>
    <s v="STOCKPORT NHS FOUNDATION TRUST"/>
    <n v="7518"/>
    <n v="1027"/>
    <n v="3016"/>
    <n v="63"/>
    <n v="645"/>
    <n v="364"/>
    <d v="2025-04-01T00:00:00"/>
    <s v="Q1"/>
    <x v="0"/>
    <n v="0.40117052407555198"/>
    <n v="8545"/>
    <n v="1"/>
    <n v="4.8417132216014895E-2"/>
  </r>
  <r>
    <x v="0"/>
    <s v="RWW"/>
    <x v="3"/>
    <s v="WARRINGTON AND HALTON TEACHING HOSPITALS NHS FOUNDATION TRUST"/>
    <n v="6929"/>
    <n v="3240"/>
    <n v="3541"/>
    <n v="86"/>
    <n v="762"/>
    <n v="663"/>
    <d v="2025-04-01T00:00:00"/>
    <s v="Q1"/>
    <x v="0"/>
    <n v="0.51104055419252414"/>
    <n v="10169"/>
    <n v="1"/>
    <n v="9.5684803001876179E-2"/>
  </r>
  <r>
    <x v="0"/>
    <s v="RXC"/>
    <x v="0"/>
    <s v="EAST SUSSEX HEALTHCARE NHS TRUST"/>
    <n v="7497"/>
    <n v="2991"/>
    <n v="3155"/>
    <n v="66"/>
    <n v="191"/>
    <n v="7"/>
    <d v="2025-04-01T00:00:00"/>
    <s v="Q1"/>
    <x v="0"/>
    <n v="0.42083500066693347"/>
    <n v="10488"/>
    <n v="1"/>
    <n v="9.3370681605975728E-4"/>
  </r>
  <r>
    <x v="0"/>
    <s v="RXG"/>
    <x v="6"/>
    <s v="SOUTH WEST YORKSHIRE PARTNERSHIP NHS FOUNDATION TRUST"/>
    <n v="0"/>
    <n v="0"/>
    <n v="0"/>
    <n v="0"/>
    <n v="0"/>
    <n v="0"/>
    <d v="2025-04-01T00:00:00"/>
    <s v="Q1"/>
    <x v="0"/>
    <n v="0"/>
    <n v="0"/>
    <n v="1"/>
    <n v="0"/>
  </r>
  <r>
    <x v="0"/>
    <s v="RXL"/>
    <x v="3"/>
    <s v="BLACKPOOL TEACHING HOSPITALS NHS FOUNDATION TRUST"/>
    <n v="8750"/>
    <n v="10410"/>
    <n v="4228"/>
    <n v="53"/>
    <n v="473"/>
    <n v="539"/>
    <d v="2025-04-01T00:00:00"/>
    <s v="Q1"/>
    <x v="0"/>
    <n v="0.48320000000000002"/>
    <n v="19160"/>
    <n v="1"/>
    <n v="6.1600000000000002E-2"/>
  </r>
  <r>
    <x v="0"/>
    <s v="RXP"/>
    <x v="6"/>
    <s v="COUNTY DURHAM AND DARLINGTON NHS FOUNDATION TRUST"/>
    <n v="12948"/>
    <n v="4225"/>
    <n v="5194"/>
    <n v="0"/>
    <n v="1927"/>
    <n v="12"/>
    <d v="2025-04-01T00:00:00"/>
    <s v="Q1"/>
    <x v="0"/>
    <n v="0.40114303367315418"/>
    <n v="17173"/>
    <n v="1"/>
    <n v="9.2678405931417981E-4"/>
  </r>
  <r>
    <x v="0"/>
    <s v="RXW"/>
    <x v="5"/>
    <s v="THE SHREWSBURY AND TELFORD HOSPITAL NHS TRUST"/>
    <n v="10930"/>
    <n v="2321"/>
    <n v="6438"/>
    <n v="589"/>
    <n v="327"/>
    <n v="1362"/>
    <d v="2025-04-01T00:00:00"/>
    <s v="Q1"/>
    <x v="0"/>
    <n v="0.58902104300091496"/>
    <n v="13251"/>
    <n v="1"/>
    <n v="0.12461116193961573"/>
  </r>
  <r>
    <x v="0"/>
    <s v="RYF"/>
    <x v="1"/>
    <s v="SOUTH WESTERN AMBULANCE SERVICE NHS FOUNDATION TRUST"/>
    <n v="0"/>
    <n v="1900"/>
    <n v="0"/>
    <n v="25"/>
    <n v="0"/>
    <n v="0"/>
    <d v="2025-04-01T00:00:00"/>
    <s v="Q1"/>
    <x v="0"/>
    <n v="0"/>
    <n v="1900"/>
    <n v="1"/>
    <n v="0"/>
  </r>
  <r>
    <x v="0"/>
    <s v="RYG"/>
    <x v="5"/>
    <s v="COVENTRY AND WARWICKSHIRE PARTNERSHIP NHS TRUST"/>
    <n v="0"/>
    <n v="0"/>
    <n v="0"/>
    <n v="0"/>
    <n v="0"/>
    <n v="0"/>
    <d v="2025-04-01T00:00:00"/>
    <s v="Q1"/>
    <x v="0"/>
    <n v="0"/>
    <n v="0"/>
    <n v="1"/>
    <n v="0"/>
  </r>
  <r>
    <x v="0"/>
    <s v="RYJ"/>
    <x v="4"/>
    <s v="IMPERIAL COLLEGE HEALTHCARE NHS TRUST"/>
    <n v="11832"/>
    <n v="6919"/>
    <n v="5046"/>
    <n v="654"/>
    <n v="680"/>
    <n v="390"/>
    <d v="2025-04-01T00:00:00"/>
    <s v="Q1"/>
    <x v="0"/>
    <n v="0.4264705882352941"/>
    <n v="18751"/>
    <n v="1"/>
    <n v="3.2961460446247468E-2"/>
  </r>
  <r>
    <x v="0"/>
    <s v="RYR"/>
    <x v="0"/>
    <s v="UNIVERSITY HOSPITALS SUSSEX NHS FOUNDATION TRUST"/>
    <n v="25328"/>
    <n v="2041"/>
    <n v="9316"/>
    <n v="269"/>
    <n v="832"/>
    <n v="723"/>
    <d v="2025-04-01T00:00:00"/>
    <s v="Q1"/>
    <x v="0"/>
    <n v="0.36781427668982941"/>
    <n v="27369"/>
    <n v="1"/>
    <n v="2.8545483259633606E-2"/>
  </r>
  <r>
    <x v="0"/>
    <s v="R1H"/>
    <x v="4"/>
    <s v="BARTS HEALTH NHS TRUST"/>
    <n v="25265"/>
    <n v="18255"/>
    <n v="11668"/>
    <n v="1609"/>
    <n v="1215"/>
    <n v="1148"/>
    <d v="2025-04-01T00:00:00"/>
    <s v="Q1"/>
    <x v="0"/>
    <n v="0.46182465861864241"/>
    <n v="43520"/>
    <n v="1"/>
    <n v="4.5438353453394024E-2"/>
  </r>
  <r>
    <x v="0"/>
    <s v="RBL"/>
    <x v="3"/>
    <s v="WIRRAL UNIVERSITY TEACHING HOSPITAL NHS FOUNDATION TRUST"/>
    <n v="7388"/>
    <n v="2994"/>
    <n v="3758"/>
    <n v="128"/>
    <n v="469"/>
    <n v="783"/>
    <d v="2025-04-01T00:00:00"/>
    <s v="Q1"/>
    <x v="0"/>
    <n v="0.50866269626421223"/>
    <n v="10382"/>
    <n v="1"/>
    <n v="0.10598267460747157"/>
  </r>
  <r>
    <x v="0"/>
    <s v="RGT"/>
    <x v="2"/>
    <s v="CAMBRIDGE UNIVERSITY HOSPITALS NHS FOUNDATION TRUST"/>
    <n v="10171"/>
    <n v="5676"/>
    <n v="4127"/>
    <n v="94"/>
    <n v="498"/>
    <n v="242"/>
    <d v="2025-04-01T00:00:00"/>
    <s v="Q1"/>
    <x v="0"/>
    <n v="0.40576147871399076"/>
    <n v="15847"/>
    <n v="1"/>
    <n v="2.3793137351292893E-2"/>
  </r>
  <r>
    <x v="0"/>
    <s v="RJ7"/>
    <x v="4"/>
    <s v="ST GEORGE'S UNIVERSITY HOSPITALS NHS FOUNDATION TRUST"/>
    <n v="8495"/>
    <n v="3443"/>
    <n v="1972"/>
    <n v="0"/>
    <n v="397"/>
    <n v="834"/>
    <d v="2025-04-01T00:00:00"/>
    <s v="Q1"/>
    <x v="0"/>
    <n v="0.23213655091230134"/>
    <n v="11938"/>
    <n v="1"/>
    <n v="9.8175397292525016E-2"/>
  </r>
  <r>
    <x v="0"/>
    <s v="RN5"/>
    <x v="0"/>
    <s v="HAMPSHIRE HOSPITALS NHS FOUNDATION TRUST"/>
    <n v="10837"/>
    <n v="3296"/>
    <n v="4897"/>
    <n v="103"/>
    <n v="261"/>
    <n v="54"/>
    <d v="2025-04-01T00:00:00"/>
    <s v="Q1"/>
    <x v="0"/>
    <n v="0.45187782596659593"/>
    <n v="14133"/>
    <n v="1"/>
    <n v="4.9829288548491283E-3"/>
  </r>
  <r>
    <x v="0"/>
    <s v="RTX"/>
    <x v="3"/>
    <s v="UNIVERSITY HOSPITALS OF MORECAMBE BAY NHS FOUNDATION TRUST"/>
    <n v="9021"/>
    <n v="2983"/>
    <n v="3380"/>
    <n v="60"/>
    <n v="658"/>
    <n v="443"/>
    <d v="2025-04-01T00:00:00"/>
    <s v="Q1"/>
    <x v="0"/>
    <n v="0.37468129919077708"/>
    <n v="12004"/>
    <n v="1"/>
    <n v="4.9107637734175813E-2"/>
  </r>
  <r>
    <x v="0"/>
    <s v="RTF"/>
    <x v="6"/>
    <s v="NORTHUMBRIA HEALTHCARE NHS FOUNDATION TRUST"/>
    <n v="9960"/>
    <n v="13376"/>
    <n v="2557"/>
    <n v="9"/>
    <n v="61"/>
    <n v="0"/>
    <d v="2025-04-01T00:00:00"/>
    <s v="Q1"/>
    <x v="0"/>
    <n v="0.25672690763052208"/>
    <n v="23336"/>
    <n v="1"/>
    <n v="0"/>
  </r>
  <r>
    <x v="0"/>
    <s v="RTH"/>
    <x v="0"/>
    <s v="OXFORD UNIVERSITY HOSPITALS NHS FOUNDATION TRUST"/>
    <n v="12200"/>
    <n v="3436"/>
    <n v="4243"/>
    <n v="2"/>
    <n v="650"/>
    <n v="0"/>
    <d v="2025-04-01T00:00:00"/>
    <s v="Q1"/>
    <x v="0"/>
    <n v="0.34778688524590162"/>
    <n v="15636"/>
    <n v="1"/>
    <n v="0"/>
  </r>
  <r>
    <x v="0"/>
    <s v="Y07709"/>
    <x v="0"/>
    <s v="READING URGENT CARE CENTRE"/>
    <n v="0"/>
    <n v="2244"/>
    <n v="0"/>
    <n v="0"/>
    <n v="0"/>
    <n v="0"/>
    <d v="2025-04-01T00:00:00"/>
    <s v="Q1"/>
    <x v="0"/>
    <n v="0"/>
    <n v="2244"/>
    <n v="1"/>
    <n v="0"/>
  </r>
  <r>
    <x v="0"/>
    <s v="NV693"/>
    <x v="3"/>
    <s v="ROSSENDALE MIU &amp; OOH"/>
    <n v="0"/>
    <n v="1108"/>
    <n v="0"/>
    <n v="0"/>
    <n v="0"/>
    <n v="0"/>
    <d v="2025-04-01T00:00:00"/>
    <s v="Q1"/>
    <x v="0"/>
    <n v="0"/>
    <n v="1108"/>
    <n v="1"/>
    <n v="0"/>
  </r>
  <r>
    <x v="0"/>
    <s v="RCX"/>
    <x v="2"/>
    <s v="THE QUEEN ELIZABETH HOSPITAL, KING'S LYNN, NHS FOUNDATION TRUST"/>
    <n v="6646"/>
    <n v="1170"/>
    <n v="3021"/>
    <n v="0"/>
    <n v="772"/>
    <n v="111"/>
    <d v="2025-04-01T00:00:00"/>
    <s v="Q1"/>
    <x v="0"/>
    <n v="0.45455913331327114"/>
    <n v="7816"/>
    <n v="1"/>
    <n v="1.6701775504062592E-2"/>
  </r>
  <r>
    <x v="0"/>
    <s v="RFF"/>
    <x v="6"/>
    <s v="BARNSLEY HOSPITAL NHS FOUNDATION TRUST"/>
    <n v="8877"/>
    <n v="0"/>
    <n v="2936"/>
    <n v="0"/>
    <n v="439"/>
    <n v="5"/>
    <d v="2025-04-01T00:00:00"/>
    <s v="Q1"/>
    <x v="0"/>
    <n v="0.33074236791708911"/>
    <n v="8877"/>
    <n v="1"/>
    <n v="5.6325335135744053E-4"/>
  </r>
  <r>
    <x v="0"/>
    <s v="RJR"/>
    <x v="3"/>
    <s v="COUNTESS OF CHESTER HOSPITAL NHS FOUNDATION TRUST"/>
    <n v="5079"/>
    <n v="2376"/>
    <n v="2712"/>
    <n v="262"/>
    <n v="234"/>
    <n v="709"/>
    <d v="2025-04-01T00:00:00"/>
    <s v="Q1"/>
    <x v="0"/>
    <n v="0.53396337861783816"/>
    <n v="7455"/>
    <n v="1"/>
    <n v="0.13959440834810002"/>
  </r>
  <r>
    <x v="0"/>
    <s v="RQX"/>
    <x v="4"/>
    <s v="HOMERTON HEALTHCARE NHS FOUNDATION TRUST"/>
    <n v="10777"/>
    <n v="0"/>
    <n v="1940"/>
    <n v="0"/>
    <n v="198"/>
    <n v="24"/>
    <d v="2025-04-01T00:00:00"/>
    <s v="Q1"/>
    <x v="0"/>
    <n v="0.18001299062818965"/>
    <n v="10777"/>
    <n v="1"/>
    <n v="2.2269648325136866E-3"/>
  </r>
  <r>
    <x v="0"/>
    <s v="RXR"/>
    <x v="3"/>
    <s v="EAST LANCASHIRE HOSPITALS NHS TRUST"/>
    <n v="13049"/>
    <n v="10635"/>
    <n v="4198"/>
    <n v="439"/>
    <n v="643"/>
    <n v="814"/>
    <d v="2025-04-01T00:00:00"/>
    <s v="Q1"/>
    <x v="0"/>
    <n v="0.3217104758985363"/>
    <n v="23684"/>
    <n v="1"/>
    <n v="6.2380259023679975E-2"/>
  </r>
  <r>
    <x v="0"/>
    <s v="Y03218"/>
    <x v="4"/>
    <s v="THE PINN UNREGISTERED WIC"/>
    <n v="0"/>
    <n v="889"/>
    <n v="0"/>
    <n v="0"/>
    <n v="0"/>
    <n v="0"/>
    <d v="2025-04-01T00:00:00"/>
    <s v="Q1"/>
    <x v="0"/>
    <n v="0"/>
    <n v="889"/>
    <n v="1"/>
    <n v="0"/>
  </r>
  <r>
    <x v="0"/>
    <s v="8J094"/>
    <x v="5"/>
    <s v="BADGER LTD"/>
    <n v="0"/>
    <n v="0"/>
    <n v="0"/>
    <n v="0"/>
    <n v="0"/>
    <n v="0"/>
    <d v="2025-04-01T00:00:00"/>
    <s v="Q1"/>
    <x v="0"/>
    <n v="0"/>
    <n v="0"/>
    <n v="1"/>
    <n v="0"/>
  </r>
  <r>
    <x v="0"/>
    <s v="DT301"/>
    <x v="2"/>
    <s v="HERTS URGENT CARE (ASCOTS LANE)"/>
    <n v="0"/>
    <n v="2137"/>
    <n v="0"/>
    <n v="83"/>
    <n v="0"/>
    <n v="0"/>
    <d v="2025-04-01T00:00:00"/>
    <s v="Q1"/>
    <x v="0"/>
    <n v="0"/>
    <n v="2137"/>
    <n v="1"/>
    <n v="0"/>
  </r>
  <r>
    <x v="0"/>
    <s v="NQT51"/>
    <x v="0"/>
    <s v="STATION PLAZA HEALTH CENTRE"/>
    <n v="0"/>
    <n v="1209"/>
    <n v="0"/>
    <n v="0"/>
    <n v="0"/>
    <n v="0"/>
    <d v="2025-04-01T00:00:00"/>
    <s v="Q1"/>
    <x v="0"/>
    <n v="0"/>
    <n v="1209"/>
    <n v="1"/>
    <n v="0"/>
  </r>
  <r>
    <x v="0"/>
    <s v="NTPAD"/>
    <x v="0"/>
    <s v="PRACTICE PLUS GROUP SURGICAL CENTRE - ST MARYS PORTSMOUTH"/>
    <n v="0"/>
    <n v="5249"/>
    <n v="0"/>
    <n v="207"/>
    <n v="0"/>
    <n v="0"/>
    <d v="2025-04-01T00:00:00"/>
    <s v="Q1"/>
    <x v="0"/>
    <n v="0"/>
    <n v="5249"/>
    <n v="1"/>
    <n v="0"/>
  </r>
  <r>
    <x v="0"/>
    <s v="RA9"/>
    <x v="1"/>
    <s v="TORBAY AND SOUTH DEVON NHS FOUNDATION TRUST"/>
    <n v="6336"/>
    <n v="3247"/>
    <n v="2613"/>
    <n v="15"/>
    <n v="202"/>
    <n v="23"/>
    <d v="2025-04-01T00:00:00"/>
    <s v="Q1"/>
    <x v="0"/>
    <n v="0.41240530303030304"/>
    <n v="9583"/>
    <n v="1"/>
    <n v="3.630050505050505E-3"/>
  </r>
  <r>
    <x v="0"/>
    <s v="RAX"/>
    <x v="4"/>
    <s v="KINGSTON AND RICHMOND NHS FOUNDATION TRUST"/>
    <n v="6646"/>
    <n v="8505"/>
    <n v="3351"/>
    <n v="257"/>
    <n v="135"/>
    <n v="504"/>
    <d v="2025-04-01T00:00:00"/>
    <s v="Q1"/>
    <x v="0"/>
    <n v="0.50421306048751124"/>
    <n v="15151"/>
    <n v="1"/>
    <n v="7.5835088775203133E-2"/>
  </r>
  <r>
    <x v="0"/>
    <s v="RR7"/>
    <x v="6"/>
    <s v="GATESHEAD HEALTH NHS FOUNDATION TRUST"/>
    <n v="5888"/>
    <n v="3944"/>
    <n v="2646"/>
    <n v="50"/>
    <n v="796"/>
    <n v="0"/>
    <d v="2025-04-01T00:00:00"/>
    <s v="Q1"/>
    <x v="0"/>
    <n v="0.44938858695652173"/>
    <n v="9832"/>
    <n v="1"/>
    <n v="0"/>
  </r>
  <r>
    <x v="0"/>
    <s v="Y00751"/>
    <x v="0"/>
    <s v="EAST BERKS PRIMARY CARE OOH(WAM)"/>
    <n v="0"/>
    <n v="0"/>
    <n v="0"/>
    <n v="0"/>
    <n v="0"/>
    <n v="0"/>
    <d v="2025-04-01T00:00:00"/>
    <s v="Q1"/>
    <x v="0"/>
    <n v="0"/>
    <n v="0"/>
    <n v="1"/>
    <n v="0"/>
  </r>
  <r>
    <x v="0"/>
    <s v="Y02147"/>
    <x v="4"/>
    <s v="URGENT CARE CENTRE (QMS)"/>
    <n v="0"/>
    <n v="7961"/>
    <n v="0"/>
    <n v="133"/>
    <n v="0"/>
    <n v="0"/>
    <d v="2025-04-01T00:00:00"/>
    <s v="Q1"/>
    <x v="0"/>
    <n v="0"/>
    <n v="7961"/>
    <n v="1"/>
    <n v="0"/>
  </r>
  <r>
    <x v="0"/>
    <s v="Y03007"/>
    <x v="5"/>
    <s v="ERDINGTON GP HEALTH &amp; WELLBEING WIC"/>
    <n v="0"/>
    <n v="0"/>
    <n v="0"/>
    <n v="0"/>
    <n v="0"/>
    <n v="0"/>
    <d v="2025-04-01T00:00:00"/>
    <s v="Q1"/>
    <x v="0"/>
    <n v="0"/>
    <n v="0"/>
    <n v="1"/>
    <n v="0"/>
  </r>
  <r>
    <x v="0"/>
    <s v="ACH01"/>
    <x v="0"/>
    <s v="WHITSTABLE MEDICAL PRACTICE"/>
    <n v="0"/>
    <n v="4951"/>
    <n v="0"/>
    <n v="0"/>
    <n v="0"/>
    <n v="0"/>
    <d v="2025-04-01T00:00:00"/>
    <s v="Q1"/>
    <x v="0"/>
    <n v="0"/>
    <n v="4951"/>
    <n v="1"/>
    <n v="0"/>
  </r>
  <r>
    <x v="0"/>
    <s v="G0Q0L"/>
    <x v="4"/>
    <s v="BARKING HOSPITAL UTC"/>
    <n v="0"/>
    <n v="2768"/>
    <n v="0"/>
    <n v="13"/>
    <n v="0"/>
    <n v="0"/>
    <d v="2025-04-01T00:00:00"/>
    <s v="Q1"/>
    <x v="0"/>
    <n v="0"/>
    <n v="2768"/>
    <n v="1"/>
    <n v="0"/>
  </r>
  <r>
    <x v="0"/>
    <s v="K6K0R"/>
    <x v="4"/>
    <s v="HAROLD WOOD POLYCLINIC UTC"/>
    <n v="0"/>
    <n v="2491"/>
    <n v="0"/>
    <n v="10"/>
    <n v="0"/>
    <n v="0"/>
    <d v="2025-04-01T00:00:00"/>
    <s v="Q1"/>
    <x v="0"/>
    <n v="0"/>
    <n v="2491"/>
    <n v="1"/>
    <n v="0"/>
  </r>
  <r>
    <x v="0"/>
    <s v="RYY"/>
    <x v="0"/>
    <s v="KENT COMMUNITY HEALTH NHS FOUNDATION TRUST"/>
    <n v="0"/>
    <n v="9195"/>
    <n v="0"/>
    <n v="31"/>
    <n v="0"/>
    <n v="0"/>
    <d v="2025-04-01T00:00:00"/>
    <s v="Q1"/>
    <x v="0"/>
    <n v="0"/>
    <n v="9195"/>
    <n v="1"/>
    <n v="0"/>
  </r>
  <r>
    <x v="0"/>
    <s v="RLQ"/>
    <x v="5"/>
    <s v="WYE VALLEY NHS TRUST"/>
    <n v="5878"/>
    <n v="114"/>
    <n v="3041"/>
    <n v="0"/>
    <n v="429"/>
    <n v="277"/>
    <d v="2025-04-01T00:00:00"/>
    <s v="Q1"/>
    <x v="0"/>
    <n v="0.51735284110241575"/>
    <n v="5992"/>
    <n v="1"/>
    <n v="4.712487240558013E-2"/>
  </r>
  <r>
    <x v="0"/>
    <s v="RW4"/>
    <x v="3"/>
    <s v="MERSEY CARE NHS FOUNDATION TRUST"/>
    <n v="0"/>
    <n v="13070"/>
    <n v="0"/>
    <n v="194"/>
    <n v="0"/>
    <n v="0"/>
    <d v="2025-04-01T00:00:00"/>
    <s v="Q1"/>
    <x v="0"/>
    <n v="0"/>
    <n v="13070"/>
    <n v="1"/>
    <n v="0"/>
  </r>
  <r>
    <x v="0"/>
    <s v="RJN"/>
    <x v="3"/>
    <s v="EAST CHESHIRE NHS TRUST"/>
    <n v="4406"/>
    <n v="0"/>
    <n v="2314"/>
    <n v="0"/>
    <n v="163"/>
    <n v="278"/>
    <d v="2025-04-01T00:00:00"/>
    <s v="Q1"/>
    <x v="0"/>
    <n v="0.52519291874716301"/>
    <n v="4406"/>
    <n v="1"/>
    <n v="6.3095778483885617E-2"/>
  </r>
  <r>
    <x v="0"/>
    <s v="RTQ"/>
    <x v="1"/>
    <s v="GLOUCESTERSHIRE HEALTH AND CARE NHS FOUNDATION TRUST"/>
    <n v="0"/>
    <n v="8409"/>
    <n v="0"/>
    <n v="170"/>
    <n v="0"/>
    <n v="0"/>
    <d v="2025-04-01T00:00:00"/>
    <s v="Q1"/>
    <x v="0"/>
    <n v="0"/>
    <n v="8409"/>
    <n v="1"/>
    <n v="0"/>
  </r>
  <r>
    <x v="0"/>
    <s v="NTV0B"/>
    <x v="0"/>
    <s v="ASHFORD WALK-IN-CENTRE"/>
    <n v="0"/>
    <n v="2333"/>
    <n v="0"/>
    <n v="49"/>
    <n v="0"/>
    <n v="0"/>
    <d v="2025-04-01T00:00:00"/>
    <s v="Q1"/>
    <x v="0"/>
    <n v="0"/>
    <n v="2333"/>
    <n v="1"/>
    <n v="0"/>
  </r>
  <r>
    <x v="0"/>
    <s v="NTV0W"/>
    <x v="0"/>
    <s v="WOKING WALK IN CENTRE"/>
    <n v="0"/>
    <n v="2528"/>
    <n v="0"/>
    <n v="58"/>
    <n v="0"/>
    <n v="0"/>
    <d v="2025-04-01T00:00:00"/>
    <s v="Q1"/>
    <x v="0"/>
    <n v="0"/>
    <n v="2528"/>
    <n v="1"/>
    <n v="0"/>
  </r>
  <r>
    <x v="0"/>
    <s v="Y02615"/>
    <x v="5"/>
    <s v="SOUTH BIRMINGHAM GP WALK IN CENTRE"/>
    <n v="0"/>
    <n v="6628"/>
    <n v="0"/>
    <n v="0"/>
    <n v="0"/>
    <n v="0"/>
    <d v="2025-04-01T00:00:00"/>
    <s v="Q1"/>
    <x v="0"/>
    <n v="0"/>
    <n v="6628"/>
    <n v="1"/>
    <n v="0"/>
  </r>
  <r>
    <x v="0"/>
    <s v="AQN04"/>
    <x v="0"/>
    <s v="PHL LYMINGTON UTC"/>
    <n v="0"/>
    <n v="3297"/>
    <n v="0"/>
    <n v="42"/>
    <n v="0"/>
    <n v="0"/>
    <d v="2025-04-01T00:00:00"/>
    <s v="Q1"/>
    <x v="0"/>
    <n v="0"/>
    <n v="3297"/>
    <n v="1"/>
    <n v="0"/>
  </r>
  <r>
    <x v="0"/>
    <s v="C82038"/>
    <x v="5"/>
    <s v="LATHAM HOUSE MEDICAL PRACTICE"/>
    <n v="0"/>
    <n v="338"/>
    <n v="0"/>
    <n v="0"/>
    <n v="0"/>
    <n v="0"/>
    <d v="2025-04-01T00:00:00"/>
    <s v="Q1"/>
    <x v="0"/>
    <n v="0"/>
    <n v="338"/>
    <n v="1"/>
    <n v="0"/>
  </r>
  <r>
    <x v="0"/>
    <s v="NQTE4"/>
    <x v="5"/>
    <s v="SUMMERFIELD URGENT CARE CENTRE"/>
    <n v="0"/>
    <n v="3055"/>
    <n v="0"/>
    <n v="0"/>
    <n v="0"/>
    <n v="0"/>
    <d v="2025-04-01T00:00:00"/>
    <s v="Q1"/>
    <x v="0"/>
    <n v="0"/>
    <n v="3055"/>
    <n v="1"/>
    <n v="0"/>
  </r>
  <r>
    <x v="0"/>
    <s v="RBQ"/>
    <x v="3"/>
    <s v="LIVERPOOL HEART AND CHEST HOSPITAL NHS FOUNDATION TRUST"/>
    <n v="0"/>
    <n v="0"/>
    <n v="0"/>
    <n v="0"/>
    <n v="0"/>
    <n v="0"/>
    <d v="2025-04-01T00:00:00"/>
    <s v="Q1"/>
    <x v="0"/>
    <n v="0"/>
    <n v="0"/>
    <n v="1"/>
    <n v="0"/>
  </r>
  <r>
    <x v="0"/>
    <s v="RCD"/>
    <x v="6"/>
    <s v="HARROGATE AND DISTRICT NHS FOUNDATION TRUST"/>
    <n v="4918"/>
    <n v="969"/>
    <n v="1081"/>
    <n v="1"/>
    <n v="185"/>
    <n v="2"/>
    <d v="2025-04-01T00:00:00"/>
    <s v="Q1"/>
    <x v="0"/>
    <n v="0.21980479869865799"/>
    <n v="5887"/>
    <n v="1"/>
    <n v="4.0666937779585197E-4"/>
  </r>
  <r>
    <x v="0"/>
    <s v="RJ8"/>
    <x v="1"/>
    <s v="CORNWALL PARTNERSHIP NHS FOUNDATION TRUST"/>
    <n v="0"/>
    <n v="0"/>
    <n v="0"/>
    <n v="0"/>
    <n v="0"/>
    <n v="0"/>
    <d v="2025-04-01T00:00:00"/>
    <s v="Q1"/>
    <x v="0"/>
    <n v="0"/>
    <n v="0"/>
    <n v="1"/>
    <n v="0"/>
  </r>
  <r>
    <x v="0"/>
    <s v="RTP"/>
    <x v="0"/>
    <s v="SURREY AND SUSSEX HEALTHCARE NHS TRUST"/>
    <n v="10067"/>
    <n v="0"/>
    <n v="3783"/>
    <n v="0"/>
    <n v="507"/>
    <n v="609"/>
    <d v="2025-04-01T00:00:00"/>
    <s v="Q1"/>
    <x v="0"/>
    <n v="0.37578225886560046"/>
    <n v="10067"/>
    <n v="1"/>
    <n v="6.0494685606436872E-2"/>
  </r>
  <r>
    <x v="0"/>
    <s v="RW1"/>
    <x v="0"/>
    <s v="HAMPSHIRE AND ISLE OF WIGHT HEALTHCARE NHS FOUNDATION TRUST"/>
    <n v="0"/>
    <n v="2866"/>
    <n v="0"/>
    <n v="70"/>
    <n v="0"/>
    <n v="0"/>
    <d v="2025-04-01T00:00:00"/>
    <s v="Q1"/>
    <x v="0"/>
    <n v="0"/>
    <n v="2866"/>
    <n v="1"/>
    <n v="0"/>
  </r>
  <r>
    <x v="0"/>
    <s v="RWY"/>
    <x v="6"/>
    <s v="CALDERDALE AND HUDDERSFIELD NHS FOUNDATION TRUST"/>
    <n v="15871"/>
    <n v="0"/>
    <n v="2746"/>
    <n v="0"/>
    <n v="944"/>
    <n v="24"/>
    <d v="2025-04-01T00:00:00"/>
    <s v="Q1"/>
    <x v="0"/>
    <n v="0.17301997353663914"/>
    <n v="15871"/>
    <n v="1"/>
    <n v="1.5121920483901455E-3"/>
  </r>
  <r>
    <x v="0"/>
    <s v="RY7"/>
    <x v="3"/>
    <s v="WIRRAL COMMUNITY HEALTH AND CARE NHS FOUNDATION TRUST"/>
    <n v="0"/>
    <n v="4134"/>
    <n v="0"/>
    <n v="265"/>
    <n v="0"/>
    <n v="0"/>
    <d v="2025-04-01T00:00:00"/>
    <s v="Q1"/>
    <x v="0"/>
    <n v="0"/>
    <n v="4134"/>
    <n v="1"/>
    <n v="0"/>
  </r>
  <r>
    <x v="0"/>
    <s v="Y02428"/>
    <x v="2"/>
    <s v="PUTNOE WALK IN CENTRE"/>
    <n v="0"/>
    <n v="2729"/>
    <n v="0"/>
    <n v="0"/>
    <n v="0"/>
    <n v="0"/>
    <d v="2025-04-01T00:00:00"/>
    <s v="Q1"/>
    <x v="0"/>
    <n v="0"/>
    <n v="2729"/>
    <n v="1"/>
    <n v="0"/>
  </r>
  <r>
    <x v="0"/>
    <s v="Y02532"/>
    <x v="3"/>
    <s v="MIRIAM MINOR EMERGENCY"/>
    <n v="0"/>
    <n v="1583"/>
    <n v="0"/>
    <n v="0"/>
    <n v="0"/>
    <n v="0"/>
    <d v="2025-04-01T00:00:00"/>
    <s v="Q1"/>
    <x v="0"/>
    <n v="0"/>
    <n v="1583"/>
    <n v="1"/>
    <n v="0"/>
  </r>
  <r>
    <x v="0"/>
    <s v="NL7"/>
    <x v="5"/>
    <s v="ASSURA VERTIS URGENT CARE CENTRES (BIRMINGHAM)"/>
    <n v="0"/>
    <n v="3148"/>
    <n v="0"/>
    <n v="0"/>
    <n v="0"/>
    <n v="0"/>
    <d v="2025-04-01T00:00:00"/>
    <s v="Q1"/>
    <x v="0"/>
    <n v="0"/>
    <n v="3148"/>
    <n v="1"/>
    <n v="0"/>
  </r>
  <r>
    <x v="0"/>
    <s v="NQT5F"/>
    <x v="3"/>
    <s v="SKELMERSDALE WALK IN CENTRE"/>
    <n v="0"/>
    <n v="1730"/>
    <n v="0"/>
    <n v="6"/>
    <n v="0"/>
    <n v="0"/>
    <d v="2025-04-01T00:00:00"/>
    <s v="Q1"/>
    <x v="0"/>
    <n v="0"/>
    <n v="1730"/>
    <n v="1"/>
    <n v="0"/>
  </r>
  <r>
    <x v="0"/>
    <s v="NQT5H"/>
    <x v="1"/>
    <s v="PAULTON MEMORIAL HOSPITAL"/>
    <n v="0"/>
    <n v="913"/>
    <n v="0"/>
    <n v="5"/>
    <n v="0"/>
    <n v="0"/>
    <d v="2025-04-01T00:00:00"/>
    <s v="Q1"/>
    <x v="0"/>
    <n v="0"/>
    <n v="913"/>
    <n v="1"/>
    <n v="0"/>
  </r>
  <r>
    <x v="0"/>
    <s v="RDY"/>
    <x v="1"/>
    <s v="DORSET HEALTHCARE UNIVERSITY NHS FOUNDATION TRUST"/>
    <n v="0"/>
    <n v="0"/>
    <n v="0"/>
    <n v="0"/>
    <n v="0"/>
    <n v="0"/>
    <d v="2025-04-01T00:00:00"/>
    <s v="Q1"/>
    <x v="0"/>
    <n v="0"/>
    <n v="0"/>
    <n v="1"/>
    <n v="0"/>
  </r>
  <r>
    <x v="0"/>
    <s v="RGP"/>
    <x v="2"/>
    <s v="JAMES PAGET UNIVERSITY HOSPITALS NHS FOUNDATION TRUST"/>
    <n v="7431"/>
    <n v="1387"/>
    <n v="3244"/>
    <n v="0"/>
    <n v="615"/>
    <n v="344"/>
    <d v="2025-04-01T00:00:00"/>
    <s v="Q1"/>
    <x v="0"/>
    <n v="0.43654958955726014"/>
    <n v="8818"/>
    <n v="1"/>
    <n v="4.629255820212623E-2"/>
  </r>
  <r>
    <x v="0"/>
    <s v="RTR"/>
    <x v="6"/>
    <s v="SOUTH TEES HOSPITALS NHS FOUNDATION TRUST"/>
    <n v="7386"/>
    <n v="9340"/>
    <n v="3650"/>
    <n v="556"/>
    <n v="318"/>
    <n v="13"/>
    <d v="2025-04-01T00:00:00"/>
    <s v="Q1"/>
    <x v="0"/>
    <n v="0.49417817492553479"/>
    <n v="16726"/>
    <n v="1"/>
    <n v="1.760086650419713E-3"/>
  </r>
  <r>
    <x v="0"/>
    <s v="RV9"/>
    <x v="6"/>
    <s v="HUMBER TEACHING NHS FOUNDATION TRUST"/>
    <n v="0"/>
    <n v="1134"/>
    <n v="0"/>
    <n v="0"/>
    <n v="0"/>
    <n v="0"/>
    <d v="2025-04-01T00:00:00"/>
    <s v="Q1"/>
    <x v="0"/>
    <n v="0"/>
    <n v="1134"/>
    <n v="1"/>
    <n v="0"/>
  </r>
  <r>
    <x v="0"/>
    <s v="AAH"/>
    <x v="1"/>
    <s v="TETBURY HOSPITAL TRUST LTD"/>
    <n v="0"/>
    <n v="536"/>
    <n v="0"/>
    <n v="0"/>
    <n v="0"/>
    <n v="0"/>
    <d v="2025-04-01T00:00:00"/>
    <s v="Q1"/>
    <x v="0"/>
    <n v="0"/>
    <n v="536"/>
    <n v="1"/>
    <n v="0"/>
  </r>
  <r>
    <x v="0"/>
    <s v="RQW"/>
    <x v="2"/>
    <s v="THE PRINCESS ALEXANDRA HOSPITAL NHS TRUST"/>
    <n v="7467"/>
    <n v="1919"/>
    <n v="3194"/>
    <n v="0"/>
    <n v="379"/>
    <n v="87"/>
    <d v="2025-04-01T00:00:00"/>
    <s v="Q1"/>
    <x v="0"/>
    <n v="0.42774876121601713"/>
    <n v="9386"/>
    <n v="1"/>
    <n v="1.1651265568501407E-2"/>
  </r>
  <r>
    <x v="0"/>
    <s v="RY5"/>
    <x v="5"/>
    <s v="LINCOLNSHIRE COMMUNITY HEALTH SERVICES NHS TRUST"/>
    <n v="0"/>
    <n v="8540"/>
    <n v="0"/>
    <n v="187"/>
    <n v="0"/>
    <n v="0"/>
    <d v="2025-04-01T00:00:00"/>
    <s v="Q1"/>
    <x v="0"/>
    <n v="0"/>
    <n v="8540"/>
    <n v="1"/>
    <n v="0"/>
  </r>
  <r>
    <x v="0"/>
    <s v="RY8"/>
    <x v="5"/>
    <s v="DERBYSHIRE COMMUNITY HEALTH SERVICES NHS FOUNDATION TRUST"/>
    <n v="0"/>
    <n v="8013"/>
    <n v="0"/>
    <n v="168"/>
    <n v="0"/>
    <n v="0"/>
    <d v="2025-04-01T00:00:00"/>
    <s v="Q1"/>
    <x v="0"/>
    <n v="0"/>
    <n v="8013"/>
    <n v="1"/>
    <n v="0"/>
  </r>
  <r>
    <x v="0"/>
    <s v="A5D4Q"/>
    <x v="5"/>
    <s v="NEMS UTC"/>
    <n v="0"/>
    <n v="3399"/>
    <n v="0"/>
    <n v="777"/>
    <n v="0"/>
    <n v="0"/>
    <d v="2025-04-01T00:00:00"/>
    <s v="Q1"/>
    <x v="0"/>
    <n v="0"/>
    <n v="3399"/>
    <n v="1"/>
    <n v="0"/>
  </r>
  <r>
    <x v="0"/>
    <s v="NTP11"/>
    <x v="0"/>
    <s v="PRACTICE PLUS GROUP HOSPITAL - SOUTHAMPTON"/>
    <n v="0"/>
    <n v="5503"/>
    <n v="0"/>
    <n v="54"/>
    <n v="0"/>
    <n v="0"/>
    <d v="2025-04-01T00:00:00"/>
    <s v="Q1"/>
    <x v="0"/>
    <n v="0"/>
    <n v="5503"/>
    <n v="1"/>
    <n v="0"/>
  </r>
  <r>
    <x v="0"/>
    <s v="R0A"/>
    <x v="3"/>
    <s v="MANCHESTER UNIVERSITY NHS FOUNDATION TRUST"/>
    <n v="24296"/>
    <n v="11474"/>
    <n v="10628"/>
    <n v="633"/>
    <n v="3597"/>
    <n v="101"/>
    <d v="2025-04-01T00:00:00"/>
    <s v="Q1"/>
    <x v="0"/>
    <n v="0.43743826144221271"/>
    <n v="35770"/>
    <n v="1"/>
    <n v="4.1570628910108662E-3"/>
  </r>
  <r>
    <x v="0"/>
    <s v="R0B"/>
    <x v="6"/>
    <s v="SOUTH TYNESIDE AND SUNDERLAND NHS FOUNDATION TRUST"/>
    <n v="11042"/>
    <n v="6082"/>
    <n v="5342"/>
    <n v="161"/>
    <n v="814"/>
    <n v="15"/>
    <d v="2025-04-01T00:00:00"/>
    <s v="Q1"/>
    <x v="0"/>
    <n v="0.48378916862887156"/>
    <n v="17124"/>
    <n v="1"/>
    <n v="1.3584495562398117E-3"/>
  </r>
  <r>
    <x v="0"/>
    <s v="R0D"/>
    <x v="1"/>
    <s v="UNIVERSITY HOSPITALS DORSET NHS FOUNDATION TRUST"/>
    <n v="13652"/>
    <n v="5432"/>
    <n v="5603"/>
    <n v="0"/>
    <n v="902"/>
    <n v="185"/>
    <d v="2025-04-01T00:00:00"/>
    <s v="Q1"/>
    <x v="0"/>
    <n v="0.41041605625549371"/>
    <n v="19084"/>
    <n v="1"/>
    <n v="1.3551128039847642E-2"/>
  </r>
  <r>
    <x v="0"/>
    <s v="RA7"/>
    <x v="1"/>
    <s v="UNIVERSITY HOSPITALS BRISTOL AND WESTON NHS FOUNDATION TRUST"/>
    <n v="14960"/>
    <n v="0"/>
    <n v="5377"/>
    <n v="0"/>
    <n v="1107"/>
    <n v="486"/>
    <d v="2025-04-01T00:00:00"/>
    <s v="Q1"/>
    <x v="0"/>
    <n v="0.35942513368983958"/>
    <n v="14960"/>
    <n v="1"/>
    <n v="3.248663101604278E-2"/>
  </r>
  <r>
    <x v="0"/>
    <s v="RBK"/>
    <x v="5"/>
    <s v="WALSALL HEALTHCARE NHS TRUST"/>
    <n v="9005"/>
    <n v="4288"/>
    <n v="3149"/>
    <n v="101"/>
    <n v="987"/>
    <n v="238"/>
    <d v="2025-04-01T00:00:00"/>
    <s v="Q1"/>
    <x v="0"/>
    <n v="0.34969461410327596"/>
    <n v="13293"/>
    <n v="1"/>
    <n v="2.6429761243753472E-2"/>
  </r>
  <r>
    <x v="0"/>
    <s v="RBS"/>
    <x v="3"/>
    <s v="ALDER HEY CHILDREN'S NHS FOUNDATION TRUST"/>
    <n v="5674"/>
    <n v="0"/>
    <n v="804"/>
    <n v="0"/>
    <n v="1"/>
    <n v="0"/>
    <d v="2025-04-01T00:00:00"/>
    <s v="Q1"/>
    <x v="0"/>
    <n v="0.14169897779344379"/>
    <n v="5674"/>
    <n v="1"/>
    <n v="0"/>
  </r>
  <r>
    <x v="0"/>
    <s v="RC9"/>
    <x v="2"/>
    <s v="BEDFORDSHIRE HOSPITALS NHS FOUNDATION TRUST"/>
    <n v="16149"/>
    <n v="7907"/>
    <n v="6626"/>
    <n v="0"/>
    <n v="80"/>
    <n v="4"/>
    <d v="2025-04-01T00:00:00"/>
    <s v="Q1"/>
    <x v="0"/>
    <n v="0.41030404359403061"/>
    <n v="24056"/>
    <n v="1"/>
    <n v="2.4769335562573535E-4"/>
  </r>
  <r>
    <x v="0"/>
    <s v="RCF"/>
    <x v="6"/>
    <s v="AIREDALE NHS FOUNDATION TRUST"/>
    <n v="5994"/>
    <n v="0"/>
    <n v="2246"/>
    <n v="0"/>
    <n v="381"/>
    <n v="116"/>
    <d v="2025-04-01T00:00:00"/>
    <s v="Q1"/>
    <x v="0"/>
    <n v="0.37470804137470803"/>
    <n v="5994"/>
    <n v="1"/>
    <n v="1.9352686019352687E-2"/>
  </r>
  <r>
    <x v="0"/>
    <s v="RH8"/>
    <x v="1"/>
    <s v="ROYAL DEVON UNIVERSITY HEALTHCARE NHS FOUNDATION TRUST"/>
    <n v="12301"/>
    <n v="4080"/>
    <n v="4983"/>
    <n v="6"/>
    <n v="932"/>
    <n v="214"/>
    <d v="2025-04-01T00:00:00"/>
    <s v="Q1"/>
    <x v="0"/>
    <n v="0.40508901715307699"/>
    <n v="16381"/>
    <n v="1"/>
    <n v="1.739695959678075E-2"/>
  </r>
  <r>
    <x v="0"/>
    <s v="RJL"/>
    <x v="6"/>
    <s v="NORTHERN LINCOLNSHIRE AND GOOLE NHS FOUNDATION TRUST"/>
    <n v="9087"/>
    <n v="7047"/>
    <n v="4947"/>
    <n v="82"/>
    <n v="654"/>
    <n v="800"/>
    <d v="2025-04-01T00:00:00"/>
    <s v="Q1"/>
    <x v="0"/>
    <n v="0.54440409376031695"/>
    <n v="16134"/>
    <n v="1"/>
    <n v="8.8037856278199628E-2"/>
  </r>
  <r>
    <x v="0"/>
    <s v="RL4"/>
    <x v="5"/>
    <s v="THE ROYAL WOLVERHAMPTON NHS TRUST"/>
    <n v="12293"/>
    <n v="8309"/>
    <n v="3523"/>
    <n v="192"/>
    <n v="989"/>
    <n v="244"/>
    <d v="2025-04-01T00:00:00"/>
    <s v="Q1"/>
    <x v="0"/>
    <n v="0.28658586187261043"/>
    <n v="20602"/>
    <n v="1"/>
    <n v="1.984869437891483E-2"/>
  </r>
  <r>
    <x v="0"/>
    <s v="RMP"/>
    <x v="3"/>
    <s v="TAMESIDE AND GLOSSOP INTEGRATED CARE NHS FOUNDATION TRUST"/>
    <n v="8544"/>
    <n v="2878"/>
    <n v="3997"/>
    <n v="17"/>
    <n v="574"/>
    <n v="368"/>
    <d v="2025-04-01T00:00:00"/>
    <s v="Q1"/>
    <x v="0"/>
    <n v="0.46781367041198502"/>
    <n v="11422"/>
    <n v="1"/>
    <n v="4.307116104868914E-2"/>
  </r>
  <r>
    <x v="0"/>
    <s v="RN3"/>
    <x v="1"/>
    <s v="GREAT WESTERN HOSPITALS NHS FOUNDATION TRUST"/>
    <n v="5552"/>
    <n v="5481"/>
    <n v="2911"/>
    <n v="443"/>
    <n v="540"/>
    <n v="342"/>
    <d v="2025-04-01T00:00:00"/>
    <s v="Q1"/>
    <x v="0"/>
    <n v="0.52431556195965423"/>
    <n v="11033"/>
    <n v="1"/>
    <n v="6.1599423631123917E-2"/>
  </r>
  <r>
    <x v="0"/>
    <s v="RNA"/>
    <x v="5"/>
    <s v="THE DUDLEY GROUP NHS FOUNDATION TRUST"/>
    <n v="9578"/>
    <n v="4106"/>
    <n v="3362"/>
    <n v="120"/>
    <n v="1921"/>
    <n v="145"/>
    <d v="2025-04-01T00:00:00"/>
    <s v="Q1"/>
    <x v="0"/>
    <n v="0.35101273752349132"/>
    <n v="13684"/>
    <n v="1"/>
    <n v="1.5138859887241595E-2"/>
  </r>
  <r>
    <x v="0"/>
    <s v="RNQ"/>
    <x v="5"/>
    <s v="KETTERING GENERAL HOSPITAL NHS FOUNDATION TRUST"/>
    <n v="9774"/>
    <n v="8433"/>
    <n v="3753"/>
    <n v="125"/>
    <n v="562"/>
    <n v="815"/>
    <d v="2025-04-01T00:00:00"/>
    <s v="Q1"/>
    <x v="0"/>
    <n v="0.38397790055248621"/>
    <n v="18207"/>
    <n v="1"/>
    <n v="8.3384489461837533E-2"/>
  </r>
  <r>
    <x v="0"/>
    <s v="RWP"/>
    <x v="5"/>
    <s v="WORCESTERSHIRE ACUTE HOSPITALS NHS TRUST"/>
    <n v="13649"/>
    <n v="5858"/>
    <n v="7557"/>
    <n v="66"/>
    <n v="793"/>
    <n v="880"/>
    <d v="2025-04-01T00:00:00"/>
    <s v="Q1"/>
    <x v="0"/>
    <n v="0.55366693530661582"/>
    <n v="19507"/>
    <n v="1"/>
    <n v="6.4473587808630675E-2"/>
  </r>
  <r>
    <x v="0"/>
    <s v="RRV"/>
    <x v="4"/>
    <s v="UNIVERSITY COLLEGE LONDON HOSPITALS NHS FOUNDATION TRUST"/>
    <n v="12998"/>
    <n v="0"/>
    <n v="3829"/>
    <n v="0"/>
    <n v="427"/>
    <n v="126"/>
    <d v="2025-04-01T00:00:00"/>
    <s v="Q1"/>
    <x v="0"/>
    <n v="0.29458378212032621"/>
    <n v="12998"/>
    <n v="1"/>
    <n v="9.6937990460070778E-3"/>
  </r>
  <r>
    <x v="0"/>
    <s v="RY4"/>
    <x v="2"/>
    <s v="HERTFORDSHIRE COMMUNITY NHS TRUST"/>
    <n v="0"/>
    <n v="1182"/>
    <n v="0"/>
    <n v="37"/>
    <n v="0"/>
    <n v="0"/>
    <d v="2025-04-01T00:00:00"/>
    <s v="Q1"/>
    <x v="0"/>
    <n v="0"/>
    <n v="1182"/>
    <n v="1"/>
    <n v="0"/>
  </r>
  <r>
    <x v="0"/>
    <s v="RY2"/>
    <x v="3"/>
    <s v="BRIDGEWATER COMMUNITY HEALTHCARE NHS FOUNDATION TRUST"/>
    <n v="0"/>
    <n v="3003"/>
    <n v="0"/>
    <n v="178"/>
    <n v="0"/>
    <n v="0"/>
    <d v="2025-04-01T00:00:00"/>
    <s v="Q1"/>
    <x v="0"/>
    <n v="0"/>
    <n v="3003"/>
    <n v="1"/>
    <n v="0"/>
  </r>
  <r>
    <x v="0"/>
    <s v="RAS"/>
    <x v="4"/>
    <s v="THE HILLINGDON HOSPITALS NHS FOUNDATION TRUST"/>
    <n v="5926"/>
    <n v="6844"/>
    <n v="3174"/>
    <n v="49"/>
    <n v="583"/>
    <n v="78"/>
    <d v="2025-04-01T00:00:00"/>
    <s v="Q1"/>
    <x v="0"/>
    <n v="0.53560580492743837"/>
    <n v="12770"/>
    <n v="1"/>
    <n v="1.3162335470806615E-2"/>
  </r>
  <r>
    <x v="0"/>
    <s v="RX1"/>
    <x v="5"/>
    <s v="NOTTINGHAM UNIVERSITY HOSPITALS NHS TRUST"/>
    <n v="12371"/>
    <n v="542"/>
    <n v="6491"/>
    <n v="123"/>
    <n v="254"/>
    <n v="581"/>
    <d v="2025-04-01T00:00:00"/>
    <s v="Q1"/>
    <x v="0"/>
    <n v="0.5246948508608843"/>
    <n v="12913"/>
    <n v="1"/>
    <n v="4.6964675450650716E-2"/>
  </r>
  <r>
    <x v="0"/>
    <s v="RXK"/>
    <x v="5"/>
    <s v="SANDWELL AND WEST BIRMINGHAM HOSPITALS NHS TRUST"/>
    <n v="10840"/>
    <n v="8329"/>
    <n v="4504"/>
    <n v="146"/>
    <n v="808"/>
    <n v="270"/>
    <d v="2025-04-01T00:00:00"/>
    <s v="Q1"/>
    <x v="0"/>
    <n v="0.41549815498154979"/>
    <n v="19169"/>
    <n v="1"/>
    <n v="2.4907749077490774E-2"/>
  </r>
  <r>
    <x v="0"/>
    <s v="RXF"/>
    <x v="6"/>
    <s v="MID YORKSHIRE TEACHING NHS TRUST"/>
    <n v="16584"/>
    <n v="5751"/>
    <n v="6218"/>
    <n v="340"/>
    <n v="2070"/>
    <n v="311"/>
    <d v="2025-04-01T00:00:00"/>
    <s v="Q1"/>
    <x v="0"/>
    <n v="0.37493970091654605"/>
    <n v="22335"/>
    <n v="1"/>
    <n v="1.8753014954172698E-2"/>
  </r>
  <r>
    <x v="0"/>
    <s v="ARN03"/>
    <x v="6"/>
    <s v="LOCAL CARE DIRECT"/>
    <n v="0"/>
    <n v="2226"/>
    <n v="0"/>
    <n v="9"/>
    <n v="0"/>
    <n v="0"/>
    <d v="2025-04-01T00:00:00"/>
    <s v="Q1"/>
    <x v="0"/>
    <n v="0"/>
    <n v="2226"/>
    <n v="1"/>
    <n v="0"/>
  </r>
  <r>
    <x v="0"/>
    <s v="C82009"/>
    <x v="5"/>
    <s v="MARKET HARBOROUGH MED.CTR"/>
    <n v="0"/>
    <n v="266"/>
    <n v="0"/>
    <n v="0"/>
    <n v="0"/>
    <n v="0"/>
    <d v="2025-04-01T00:00:00"/>
    <s v="Q1"/>
    <x v="0"/>
    <n v="0"/>
    <n v="266"/>
    <n v="1"/>
    <n v="0"/>
  </r>
  <r>
    <x v="0"/>
    <s v="L83087"/>
    <x v="1"/>
    <s v="OKEHAMPTON MEDICAL CENTRE"/>
    <n v="0"/>
    <n v="77"/>
    <n v="0"/>
    <n v="0"/>
    <n v="0"/>
    <n v="0"/>
    <d v="2025-04-01T00:00:00"/>
    <s v="Q1"/>
    <x v="0"/>
    <n v="0"/>
    <n v="77"/>
    <n v="1"/>
    <n v="0"/>
  </r>
  <r>
    <x v="0"/>
    <s v="NLX"/>
    <x v="1"/>
    <s v="SIRONA CARE &amp; HEALTH"/>
    <n v="0"/>
    <n v="8692"/>
    <n v="0"/>
    <n v="328"/>
    <n v="0"/>
    <n v="0"/>
    <d v="2025-04-01T00:00:00"/>
    <s v="Q1"/>
    <x v="0"/>
    <n v="0"/>
    <n v="8692"/>
    <n v="1"/>
    <n v="0"/>
  </r>
  <r>
    <x v="0"/>
    <s v="RAT"/>
    <x v="4"/>
    <s v="NORTH EAST LONDON NHS FOUNDATION TRUST"/>
    <n v="0"/>
    <n v="1730"/>
    <n v="0"/>
    <n v="63"/>
    <n v="0"/>
    <n v="0"/>
    <d v="2025-04-01T00:00:00"/>
    <s v="Q1"/>
    <x v="0"/>
    <n v="0"/>
    <n v="1730"/>
    <n v="1"/>
    <n v="0"/>
  </r>
  <r>
    <x v="0"/>
    <s v="RBD"/>
    <x v="1"/>
    <s v="DORSET COUNTY HOSPITAL NHS FOUNDATION TRUST"/>
    <n v="4319"/>
    <n v="0"/>
    <n v="1549"/>
    <n v="0"/>
    <n v="201"/>
    <n v="25"/>
    <d v="2025-04-01T00:00:00"/>
    <s v="Q1"/>
    <x v="0"/>
    <n v="0.35864783514702475"/>
    <n v="4319"/>
    <n v="1"/>
    <n v="5.788376939106275E-3"/>
  </r>
  <r>
    <x v="0"/>
    <s v="RCU"/>
    <x v="6"/>
    <s v="SHEFFIELD CHILDREN'S NHS FOUNDATION TRUST"/>
    <n v="4162"/>
    <n v="351"/>
    <n v="299"/>
    <n v="0"/>
    <n v="7"/>
    <n v="0"/>
    <d v="2025-04-01T00:00:00"/>
    <s v="Q1"/>
    <x v="0"/>
    <n v="7.1840461316674681E-2"/>
    <n v="4513"/>
    <n v="1"/>
    <n v="0"/>
  </r>
  <r>
    <x v="0"/>
    <s v="RGN"/>
    <x v="2"/>
    <s v="NORTH WEST ANGLIA NHS FOUNDATION TRUST"/>
    <n v="14259"/>
    <n v="4206"/>
    <n v="5836"/>
    <n v="85"/>
    <n v="576"/>
    <n v="767"/>
    <d v="2025-04-01T00:00:00"/>
    <s v="Q1"/>
    <x v="0"/>
    <n v="0.40928536362998807"/>
    <n v="18465"/>
    <n v="1"/>
    <n v="5.3790588400308578E-2"/>
  </r>
  <r>
    <x v="0"/>
    <s v="RGR"/>
    <x v="2"/>
    <s v="WEST SUFFOLK NHS FOUNDATION TRUST"/>
    <n v="7602"/>
    <n v="724"/>
    <n v="1570"/>
    <n v="0"/>
    <n v="285"/>
    <n v="118"/>
    <d v="2025-04-01T00:00:00"/>
    <s v="Q1"/>
    <x v="0"/>
    <n v="0.20652459878979215"/>
    <n v="8326"/>
    <n v="1"/>
    <n v="1.5522230991844252E-2"/>
  </r>
  <r>
    <x v="0"/>
    <s v="AJN"/>
    <x v="6"/>
    <s v="WORKINGTON HEALTH LIMITED"/>
    <n v="0"/>
    <n v="361"/>
    <n v="0"/>
    <n v="0"/>
    <n v="0"/>
    <n v="0"/>
    <d v="2025-04-01T00:00:00"/>
    <s v="Q1"/>
    <x v="0"/>
    <n v="0"/>
    <n v="361"/>
    <n v="1"/>
    <n v="0"/>
  </r>
  <r>
    <x v="0"/>
    <s v="RJC"/>
    <x v="5"/>
    <s v="SOUTH WARWICKSHIRE UNIVERSITY NHS FOUNDATION TRUST"/>
    <n v="7824"/>
    <n v="441"/>
    <n v="2271"/>
    <n v="0"/>
    <n v="397"/>
    <n v="35"/>
    <d v="2025-04-01T00:00:00"/>
    <s v="Q1"/>
    <x v="0"/>
    <n v="0.29026073619631904"/>
    <n v="8265"/>
    <n v="1"/>
    <n v="4.4734151329243353E-3"/>
  </r>
  <r>
    <x v="0"/>
    <s v="RJ6"/>
    <x v="4"/>
    <s v="CROYDON HEALTH SERVICES NHS TRUST"/>
    <n v="12685"/>
    <n v="4850"/>
    <n v="3660"/>
    <n v="0"/>
    <n v="295"/>
    <n v="538"/>
    <d v="2025-04-01T00:00:00"/>
    <s v="Q1"/>
    <x v="0"/>
    <n v="0.28852975955853372"/>
    <n v="17535"/>
    <n v="1"/>
    <n v="4.2412297989751678E-2"/>
  </r>
  <r>
    <x v="0"/>
    <s v="RPC"/>
    <x v="0"/>
    <s v="QUEEN VICTORIA HOSPITAL NHS FOUNDATION TRUST"/>
    <n v="0"/>
    <n v="1450"/>
    <n v="0"/>
    <n v="15"/>
    <n v="0"/>
    <n v="0"/>
    <d v="2025-04-01T00:00:00"/>
    <s v="Q1"/>
    <x v="0"/>
    <n v="0"/>
    <n v="1450"/>
    <n v="1"/>
    <n v="0"/>
  </r>
  <r>
    <x v="0"/>
    <s v="RPA"/>
    <x v="0"/>
    <s v="MEDWAY NHS FOUNDATION TRUST"/>
    <n v="8901"/>
    <n v="6431"/>
    <n v="2989"/>
    <n v="693"/>
    <n v="419"/>
    <n v="412"/>
    <d v="2025-04-01T00:00:00"/>
    <s v="Q1"/>
    <x v="0"/>
    <n v="0.33580496573418717"/>
    <n v="15332"/>
    <n v="1"/>
    <n v="4.6286934052353665E-2"/>
  </r>
  <r>
    <x v="0"/>
    <s v="RP6"/>
    <x v="4"/>
    <s v="MOORFIELDS EYE HOSPITAL NHS FOUNDATION TRUST"/>
    <n v="0"/>
    <n v="0"/>
    <n v="0"/>
    <n v="0"/>
    <n v="0"/>
    <n v="0"/>
    <d v="2025-04-01T00:00:00"/>
    <s v="Q1"/>
    <x v="0"/>
    <n v="0"/>
    <n v="0"/>
    <n v="1"/>
    <n v="0"/>
  </r>
  <r>
    <x v="0"/>
    <s v="RWF"/>
    <x v="0"/>
    <s v="MAIDSTONE AND TUNBRIDGE WELLS NHS TRUST"/>
    <n v="17983"/>
    <n v="2285"/>
    <n v="3733"/>
    <n v="14"/>
    <n v="926"/>
    <n v="185"/>
    <d v="2025-04-01T00:00:00"/>
    <s v="Q1"/>
    <x v="0"/>
    <n v="0.20758494133348163"/>
    <n v="20268"/>
    <n v="1"/>
    <n v="1.0287493744091642E-2"/>
  </r>
  <r>
    <x v="0"/>
    <s v="RKE"/>
    <x v="4"/>
    <s v="WHITTINGTON HEALTH NHS TRUST"/>
    <n v="8831"/>
    <n v="0"/>
    <n v="2619"/>
    <n v="0"/>
    <n v="243"/>
    <n v="222"/>
    <d v="2025-04-01T00:00:00"/>
    <s v="Q1"/>
    <x v="0"/>
    <n v="0.29656890499377192"/>
    <n v="8831"/>
    <n v="1"/>
    <n v="2.5138715887215491E-2"/>
  </r>
  <r>
    <x v="0"/>
    <s v="RK9"/>
    <x v="1"/>
    <s v="UNIVERSITY HOSPITALS PLYMOUTH NHS TRUST"/>
    <n v="9037"/>
    <n v="5353"/>
    <n v="4695"/>
    <n v="99"/>
    <n v="506"/>
    <n v="583"/>
    <d v="2025-04-01T00:00:00"/>
    <s v="Q1"/>
    <x v="0"/>
    <n v="0.51953081774925303"/>
    <n v="14390"/>
    <n v="1"/>
    <n v="6.4512559477702777E-2"/>
  </r>
  <r>
    <x v="0"/>
    <s v="RJZ"/>
    <x v="4"/>
    <s v="KING'S COLLEGE HOSPITAL NHS FOUNDATION TRUST"/>
    <n v="15261"/>
    <n v="9200"/>
    <n v="6420"/>
    <n v="464"/>
    <n v="1693"/>
    <n v="583"/>
    <d v="2025-04-01T00:00:00"/>
    <s v="Q1"/>
    <x v="0"/>
    <n v="0.42068016512679379"/>
    <n v="24461"/>
    <n v="1"/>
    <n v="3.8201952689863053E-2"/>
  </r>
  <r>
    <x v="0"/>
    <s v="RNN"/>
    <x v="6"/>
    <s v="NORTH CUMBRIA INTEGRATED CARE NHS FOUNDATION TRUST"/>
    <n v="8794"/>
    <n v="2236"/>
    <n v="3968"/>
    <n v="30"/>
    <n v="556"/>
    <n v="496"/>
    <d v="2025-04-01T00:00:00"/>
    <s v="Q1"/>
    <x v="0"/>
    <n v="0.45121673868546736"/>
    <n v="11030"/>
    <n v="1"/>
    <n v="5.6402092335683419E-2"/>
  </r>
  <r>
    <x v="1"/>
    <s v="RBS"/>
    <x v="3"/>
    <s v="ALDER HEY CHILDREN'S NHS FOUNDATION TRUST"/>
    <n v="6141"/>
    <n v="0"/>
    <n v="833"/>
    <n v="0"/>
    <n v="0"/>
    <n v="0"/>
    <d v="2025-05-01T00:00:00"/>
    <s v="Q1"/>
    <x v="0"/>
    <n v="0.13564566031590947"/>
    <n v="6141"/>
    <n v="2"/>
    <n v="0"/>
  </r>
  <r>
    <x v="1"/>
    <s v="RQW"/>
    <x v="2"/>
    <s v="THE PRINCESS ALEXANDRA HOSPITAL NHS TRUST"/>
    <n v="8572"/>
    <n v="2012"/>
    <n v="3928"/>
    <n v="0"/>
    <n v="463"/>
    <n v="125"/>
    <d v="2025-05-01T00:00:00"/>
    <s v="Q1"/>
    <x v="0"/>
    <n v="0.45823611759216054"/>
    <n v="10584"/>
    <n v="2"/>
    <n v="1.4582361175921606E-2"/>
  </r>
  <r>
    <x v="1"/>
    <s v="RP6"/>
    <x v="4"/>
    <s v="MOORFIELDS EYE HOSPITAL NHS FOUNDATION TRUST"/>
    <n v="0"/>
    <n v="0"/>
    <n v="0"/>
    <n v="0"/>
    <n v="0"/>
    <n v="0"/>
    <d v="2025-05-01T00:00:00"/>
    <s v="Q1"/>
    <x v="0"/>
    <n v="0"/>
    <n v="0"/>
    <n v="2"/>
    <n v="0"/>
  </r>
  <r>
    <x v="1"/>
    <s v="RL4"/>
    <x v="5"/>
    <s v="THE ROYAL WOLVERHAMPTON NHS TRUST"/>
    <n v="12857"/>
    <n v="7821"/>
    <n v="3564"/>
    <n v="394"/>
    <n v="1012"/>
    <n v="383"/>
    <d v="2025-05-01T00:00:00"/>
    <s v="Q1"/>
    <x v="0"/>
    <n v="0.27720308003422262"/>
    <n v="20678"/>
    <n v="2"/>
    <n v="2.9789219880220891E-2"/>
  </r>
  <r>
    <x v="1"/>
    <s v="RJL"/>
    <x v="6"/>
    <s v="NORTHERN LINCOLNSHIRE AND GOOLE NHS FOUNDATION TRUST"/>
    <n v="9285"/>
    <n v="7632"/>
    <n v="5091"/>
    <n v="86"/>
    <n v="740"/>
    <n v="796"/>
    <d v="2025-05-01T00:00:00"/>
    <s v="Q1"/>
    <x v="0"/>
    <n v="0.54830371567043623"/>
    <n v="16917"/>
    <n v="2"/>
    <n v="8.5729671513193328E-2"/>
  </r>
  <r>
    <x v="1"/>
    <s v="RJE"/>
    <x v="5"/>
    <s v="UNIVERSITY HOSPITALS OF NORTH MIDLANDS NHS TRUST"/>
    <n v="14521"/>
    <n v="9125"/>
    <n v="7254"/>
    <n v="61"/>
    <n v="1020"/>
    <n v="857"/>
    <d v="2025-05-01T00:00:00"/>
    <s v="Q1"/>
    <x v="0"/>
    <n v="0.49955237242614148"/>
    <n v="23646"/>
    <n v="2"/>
    <n v="5.9017973968734934E-2"/>
  </r>
  <r>
    <x v="1"/>
    <s v="RJC"/>
    <x v="5"/>
    <s v="SOUTH WARWICKSHIRE UNIVERSITY NHS FOUNDATION TRUST"/>
    <n v="8577"/>
    <n v="404"/>
    <n v="2589"/>
    <n v="0"/>
    <n v="374"/>
    <n v="76"/>
    <d v="2025-05-01T00:00:00"/>
    <s v="Q1"/>
    <x v="0"/>
    <n v="0.3018537950332284"/>
    <n v="8981"/>
    <n v="2"/>
    <n v="8.8609070770665731E-3"/>
  </r>
  <r>
    <x v="1"/>
    <s v="RW4"/>
    <x v="3"/>
    <s v="MERSEY CARE NHS FOUNDATION TRUST"/>
    <n v="0"/>
    <n v="13831"/>
    <n v="0"/>
    <n v="132"/>
    <n v="0"/>
    <n v="0"/>
    <d v="2025-05-01T00:00:00"/>
    <s v="Q1"/>
    <x v="0"/>
    <n v="0"/>
    <n v="13831"/>
    <n v="2"/>
    <n v="0"/>
  </r>
  <r>
    <x v="1"/>
    <s v="REF"/>
    <x v="1"/>
    <s v="ROYAL CORNWALL HOSPITALS NHS TRUST"/>
    <n v="7244"/>
    <n v="13592"/>
    <n v="3689"/>
    <n v="828"/>
    <n v="612"/>
    <n v="487"/>
    <d v="2025-05-01T00:00:00"/>
    <s v="Q1"/>
    <x v="0"/>
    <n v="0.50924903368304808"/>
    <n v="20836"/>
    <n v="2"/>
    <n v="6.7228050800662617E-2"/>
  </r>
  <r>
    <x v="1"/>
    <s v="RBD"/>
    <x v="1"/>
    <s v="DORSET COUNTY HOSPITAL NHS FOUNDATION TRUST"/>
    <n v="4522"/>
    <n v="0"/>
    <n v="1479"/>
    <n v="0"/>
    <n v="231"/>
    <n v="23"/>
    <d v="2025-05-01T00:00:00"/>
    <s v="Q1"/>
    <x v="0"/>
    <n v="0.32706766917293234"/>
    <n v="4522"/>
    <n v="2"/>
    <n v="5.0862450243255196E-3"/>
  </r>
  <r>
    <x v="1"/>
    <s v="RY7"/>
    <x v="3"/>
    <s v="WIRRAL COMMUNITY HEALTH AND CARE NHS FOUNDATION TRUST"/>
    <n v="0"/>
    <n v="4576"/>
    <n v="0"/>
    <n v="307"/>
    <n v="0"/>
    <n v="0"/>
    <d v="2025-05-01T00:00:00"/>
    <s v="Q1"/>
    <x v="0"/>
    <n v="0"/>
    <n v="4576"/>
    <n v="2"/>
    <n v="0"/>
  </r>
  <r>
    <x v="1"/>
    <s v="R0A"/>
    <x v="3"/>
    <s v="MANCHESTER UNIVERSITY NHS FOUNDATION TRUST"/>
    <n v="25682"/>
    <n v="12283"/>
    <n v="10832"/>
    <n v="660"/>
    <n v="2893"/>
    <n v="106"/>
    <d v="2025-05-01T00:00:00"/>
    <s v="Q1"/>
    <x v="0"/>
    <n v="0.42177400513978663"/>
    <n v="37965"/>
    <n v="2"/>
    <n v="4.1274044077564053E-3"/>
  </r>
  <r>
    <x v="1"/>
    <s v="NLX"/>
    <x v="1"/>
    <s v="SIRONA CARE &amp; HEALTH"/>
    <n v="0"/>
    <n v="9490"/>
    <n v="0"/>
    <n v="504"/>
    <n v="0"/>
    <n v="0"/>
    <d v="2025-05-01T00:00:00"/>
    <s v="Q1"/>
    <x v="0"/>
    <n v="0"/>
    <n v="9490"/>
    <n v="2"/>
    <n v="0"/>
  </r>
  <r>
    <x v="1"/>
    <s v="AJN"/>
    <x v="6"/>
    <s v="WORKINGTON HEALTH LIMITED"/>
    <n v="0"/>
    <n v="442"/>
    <n v="0"/>
    <n v="0"/>
    <n v="0"/>
    <n v="0"/>
    <d v="2025-05-01T00:00:00"/>
    <s v="Q1"/>
    <x v="0"/>
    <n v="0"/>
    <n v="442"/>
    <n v="2"/>
    <n v="0"/>
  </r>
  <r>
    <x v="1"/>
    <s v="RWP"/>
    <x v="5"/>
    <s v="WORCESTERSHIRE ACUTE HOSPITALS NHS TRUST"/>
    <n v="13949"/>
    <n v="6564"/>
    <n v="7070"/>
    <n v="96"/>
    <n v="693"/>
    <n v="819"/>
    <d v="2025-05-01T00:00:00"/>
    <s v="Q1"/>
    <x v="0"/>
    <n v="0.50684636891533441"/>
    <n v="20513"/>
    <n v="2"/>
    <n v="5.8713886300093193E-2"/>
  </r>
  <r>
    <x v="1"/>
    <s v="RTK"/>
    <x v="0"/>
    <s v="ASHFORD AND ST PETER'S HOSPITALS NHS FOUNDATION TRUST"/>
    <n v="7315"/>
    <n v="3197"/>
    <n v="3562"/>
    <n v="33"/>
    <n v="636"/>
    <n v="145"/>
    <d v="2025-05-01T00:00:00"/>
    <s v="Q1"/>
    <x v="0"/>
    <n v="0.48694463431305535"/>
    <n v="10512"/>
    <n v="2"/>
    <n v="1.9822282980177717E-2"/>
  </r>
  <r>
    <x v="1"/>
    <s v="RHW"/>
    <x v="0"/>
    <s v="ROYAL BERKSHIRE NHS FOUNDATION TRUST"/>
    <n v="12073"/>
    <n v="1713"/>
    <n v="4572"/>
    <n v="0"/>
    <n v="584"/>
    <n v="31"/>
    <d v="2025-05-01T00:00:00"/>
    <s v="Q1"/>
    <x v="0"/>
    <n v="0.37869626439161763"/>
    <n v="13786"/>
    <n v="2"/>
    <n v="2.5677130787708107E-3"/>
  </r>
  <r>
    <x v="1"/>
    <s v="RFR"/>
    <x v="6"/>
    <s v="THE ROTHERHAM NHS FOUNDATION TRUST"/>
    <n v="9248"/>
    <n v="0"/>
    <n v="2903"/>
    <n v="0"/>
    <n v="357"/>
    <n v="1"/>
    <d v="2025-05-01T00:00:00"/>
    <s v="Q1"/>
    <x v="0"/>
    <n v="0.31390570934256057"/>
    <n v="9248"/>
    <n v="2"/>
    <n v="1.0813148788927336E-4"/>
  </r>
  <r>
    <x v="1"/>
    <s v="RDU"/>
    <x v="0"/>
    <s v="FRIMLEY HEALTH NHS FOUNDATION TRUST"/>
    <n v="23038"/>
    <n v="12588"/>
    <n v="9511"/>
    <n v="453"/>
    <n v="1843"/>
    <n v="323"/>
    <d v="2025-05-01T00:00:00"/>
    <s v="Q1"/>
    <x v="0"/>
    <n v="0.412839656220158"/>
    <n v="35626"/>
    <n v="2"/>
    <n v="1.4020314263390919E-2"/>
  </r>
  <r>
    <x v="1"/>
    <s v="RAE"/>
    <x v="6"/>
    <s v="BRADFORD TEACHING HOSPITALS NHS FOUNDATION TRUST"/>
    <n v="9416"/>
    <n v="3475"/>
    <n v="2417"/>
    <n v="0"/>
    <n v="719"/>
    <n v="49"/>
    <d v="2025-05-01T00:00:00"/>
    <s v="Q1"/>
    <x v="0"/>
    <n v="0.25669073916737467"/>
    <n v="12891"/>
    <n v="2"/>
    <n v="5.2039082412914193E-3"/>
  </r>
  <r>
    <x v="1"/>
    <s v="RWA"/>
    <x v="6"/>
    <s v="HULL UNIVERSITY TEACHING HOSPITALS NHS TRUST"/>
    <n v="9636"/>
    <n v="4518"/>
    <n v="5515"/>
    <n v="685"/>
    <n v="1035"/>
    <n v="467"/>
    <d v="2025-05-01T00:00:00"/>
    <s v="Q1"/>
    <x v="0"/>
    <n v="0.57233291822332921"/>
    <n v="14154"/>
    <n v="2"/>
    <n v="4.8464092984640932E-2"/>
  </r>
  <r>
    <x v="1"/>
    <s v="RAS"/>
    <x v="4"/>
    <s v="THE HILLINGDON HOSPITALS NHS FOUNDATION TRUST"/>
    <n v="6146"/>
    <n v="7001"/>
    <n v="2946"/>
    <n v="74"/>
    <n v="482"/>
    <n v="58"/>
    <d v="2025-05-01T00:00:00"/>
    <s v="Q1"/>
    <x v="0"/>
    <n v="0.4793361535958347"/>
    <n v="13147"/>
    <n v="2"/>
    <n v="9.4370322160754957E-3"/>
  </r>
  <r>
    <x v="1"/>
    <s v="RY5"/>
    <x v="5"/>
    <s v="LINCOLNSHIRE COMMUNITY HEALTH SERVICES NHS TRUST"/>
    <n v="0"/>
    <n v="8967"/>
    <n v="0"/>
    <n v="214"/>
    <n v="0"/>
    <n v="0"/>
    <d v="2025-05-01T00:00:00"/>
    <s v="Q1"/>
    <x v="0"/>
    <n v="0"/>
    <n v="8967"/>
    <n v="2"/>
    <n v="0"/>
  </r>
  <r>
    <x v="1"/>
    <s v="RP5"/>
    <x v="6"/>
    <s v="DONCASTER AND BASSETLAW TEACHING HOSPITALS NHS FOUNDATION TRUST"/>
    <n v="13955"/>
    <n v="4362"/>
    <n v="4718"/>
    <n v="46"/>
    <n v="1100"/>
    <n v="113"/>
    <d v="2025-05-01T00:00:00"/>
    <s v="Q1"/>
    <x v="0"/>
    <n v="0.33808670727337869"/>
    <n v="18317"/>
    <n v="2"/>
    <n v="8.0974561089215327E-3"/>
  </r>
  <r>
    <x v="1"/>
    <s v="AD913"/>
    <x v="4"/>
    <s v="BECKENHAM BEACON UCC"/>
    <n v="0"/>
    <n v="3726"/>
    <n v="0"/>
    <n v="20"/>
    <n v="0"/>
    <n v="0"/>
    <d v="2025-05-01T00:00:00"/>
    <s v="Q1"/>
    <x v="0"/>
    <n v="0"/>
    <n v="3726"/>
    <n v="2"/>
    <n v="0"/>
  </r>
  <r>
    <x v="1"/>
    <s v="R1F"/>
    <x v="0"/>
    <s v="ISLE OF WIGHT NHS TRUST"/>
    <n v="4389"/>
    <n v="1654"/>
    <n v="1709"/>
    <n v="0"/>
    <n v="268"/>
    <n v="96"/>
    <d v="2025-05-01T00:00:00"/>
    <s v="Q1"/>
    <x v="0"/>
    <n v="0.38938254727728411"/>
    <n v="6043"/>
    <n v="2"/>
    <n v="2.1872863978127138E-2"/>
  </r>
  <r>
    <x v="1"/>
    <s v="RNQ"/>
    <x v="5"/>
    <s v="KETTERING GENERAL HOSPITAL NHS FOUNDATION TRUST"/>
    <n v="10011"/>
    <n v="8406"/>
    <n v="3732"/>
    <n v="133"/>
    <n v="639"/>
    <n v="788"/>
    <d v="2025-05-01T00:00:00"/>
    <s v="Q1"/>
    <x v="0"/>
    <n v="0.37278993107581659"/>
    <n v="18417"/>
    <n v="2"/>
    <n v="7.8713415243232443E-2"/>
  </r>
  <r>
    <x v="1"/>
    <s v="RNA"/>
    <x v="5"/>
    <s v="THE DUDLEY GROUP NHS FOUNDATION TRUST"/>
    <n v="10164"/>
    <n v="4027"/>
    <n v="3043"/>
    <n v="65"/>
    <n v="1888"/>
    <n v="144"/>
    <d v="2025-05-01T00:00:00"/>
    <s v="Q1"/>
    <x v="0"/>
    <n v="0.2993900039354585"/>
    <n v="14191"/>
    <n v="2"/>
    <n v="1.4167650531286895E-2"/>
  </r>
  <r>
    <x v="1"/>
    <s v="RN7"/>
    <x v="0"/>
    <s v="DARTFORD AND GRAVESHAM NHS TRUST"/>
    <n v="11360"/>
    <n v="4308"/>
    <n v="4453"/>
    <n v="25"/>
    <n v="454"/>
    <n v="579"/>
    <d v="2025-05-01T00:00:00"/>
    <s v="Q1"/>
    <x v="0"/>
    <n v="0.3919894366197183"/>
    <n v="15668"/>
    <n v="2"/>
    <n v="5.0968309859154931E-2"/>
  </r>
  <r>
    <x v="1"/>
    <s v="RMP"/>
    <x v="3"/>
    <s v="TAMESIDE AND GLOSSOP INTEGRATED CARE NHS FOUNDATION TRUST"/>
    <n v="9055"/>
    <n v="2637"/>
    <n v="4663"/>
    <n v="13"/>
    <n v="411"/>
    <n v="650"/>
    <d v="2025-05-01T00:00:00"/>
    <s v="Q1"/>
    <x v="0"/>
    <n v="0.51496410822749861"/>
    <n v="11692"/>
    <n v="2"/>
    <n v="7.1783545002760907E-2"/>
  </r>
  <r>
    <x v="1"/>
    <s v="RMC"/>
    <x v="3"/>
    <s v="BOLTON NHS FOUNDATION TRUST"/>
    <n v="8145"/>
    <n v="4199"/>
    <n v="3494"/>
    <n v="190"/>
    <n v="519"/>
    <n v="196"/>
    <d v="2025-05-01T00:00:00"/>
    <s v="Q1"/>
    <x v="0"/>
    <n v="0.42897483118477592"/>
    <n v="12344"/>
    <n v="2"/>
    <n v="2.4063842848373235E-2"/>
  </r>
  <r>
    <x v="1"/>
    <s v="RK9"/>
    <x v="1"/>
    <s v="UNIVERSITY HOSPITALS PLYMOUTH NHS TRUST"/>
    <n v="9650"/>
    <n v="6077"/>
    <n v="4636"/>
    <n v="133"/>
    <n v="634"/>
    <n v="526"/>
    <d v="2025-05-01T00:00:00"/>
    <s v="Q1"/>
    <x v="0"/>
    <n v="0.48041450777202072"/>
    <n v="15727"/>
    <n v="2"/>
    <n v="5.450777202072539E-2"/>
  </r>
  <r>
    <x v="1"/>
    <s v="RK5"/>
    <x v="5"/>
    <s v="SHERWOOD FOREST HOSPITALS NHS FOUNDATION TRUST"/>
    <n v="11073"/>
    <n v="5880"/>
    <n v="3370"/>
    <n v="167"/>
    <n v="442"/>
    <n v="73"/>
    <d v="2025-05-01T00:00:00"/>
    <s v="Q1"/>
    <x v="0"/>
    <n v="0.30434389957554414"/>
    <n v="16953"/>
    <n v="2"/>
    <n v="6.5926126614287003E-3"/>
  </r>
  <r>
    <x v="1"/>
    <s v="RJZ"/>
    <x v="4"/>
    <s v="KING'S COLLEGE HOSPITAL NHS FOUNDATION TRUST"/>
    <n v="15424"/>
    <n v="9349"/>
    <n v="6518"/>
    <n v="361"/>
    <n v="1454"/>
    <n v="833"/>
    <d v="2025-05-01T00:00:00"/>
    <s v="Q1"/>
    <x v="0"/>
    <n v="0.42258817427385892"/>
    <n v="24773"/>
    <n v="2"/>
    <n v="5.4006742738589214E-2"/>
  </r>
  <r>
    <x v="1"/>
    <s v="RGR"/>
    <x v="2"/>
    <s v="WEST SUFFOLK NHS FOUNDATION TRUST"/>
    <n v="8108"/>
    <n v="737"/>
    <n v="1923"/>
    <n v="0"/>
    <n v="341"/>
    <n v="102"/>
    <d v="2025-05-01T00:00:00"/>
    <s v="Q1"/>
    <x v="0"/>
    <n v="0.23717316230883079"/>
    <n v="8845"/>
    <n v="2"/>
    <n v="1.2580167735569808E-2"/>
  </r>
  <r>
    <x v="1"/>
    <s v="REP"/>
    <x v="3"/>
    <s v="LIVERPOOL WOMEN'S NHS FOUNDATION TRUST"/>
    <n v="0"/>
    <n v="0"/>
    <n v="0"/>
    <n v="0"/>
    <n v="0"/>
    <n v="0"/>
    <d v="2025-05-01T00:00:00"/>
    <s v="Q1"/>
    <x v="0"/>
    <n v="0"/>
    <n v="0"/>
    <n v="2"/>
    <n v="0"/>
  </r>
  <r>
    <x v="1"/>
    <s v="RCB"/>
    <x v="6"/>
    <s v="YORK AND SCARBOROUGH TEACHING HOSPITALS NHS FOUNDATION TRUST"/>
    <n v="10790"/>
    <n v="7601"/>
    <n v="5568"/>
    <n v="303"/>
    <n v="814"/>
    <n v="445"/>
    <d v="2025-05-01T00:00:00"/>
    <s v="Q1"/>
    <x v="0"/>
    <n v="0.51603336422613533"/>
    <n v="18391"/>
    <n v="2"/>
    <n v="4.1241890639480999E-2"/>
  </r>
  <r>
    <x v="1"/>
    <s v="RBN"/>
    <x v="3"/>
    <s v="MERSEY AND WEST LANCASHIRE TEACHING HOSPITALS NHS TRUST"/>
    <n v="17566"/>
    <n v="7465"/>
    <n v="6302"/>
    <n v="171"/>
    <n v="547"/>
    <n v="366"/>
    <d v="2025-05-01T00:00:00"/>
    <s v="Q1"/>
    <x v="0"/>
    <n v="0.35876124331094161"/>
    <n v="25031"/>
    <n v="2"/>
    <n v="2.0835705339861094E-2"/>
  </r>
  <r>
    <x v="1"/>
    <s v="RBK"/>
    <x v="5"/>
    <s v="WALSALL HEALTHCARE NHS TRUST"/>
    <n v="9340"/>
    <n v="4176"/>
    <n v="2710"/>
    <n v="91"/>
    <n v="963"/>
    <n v="105"/>
    <d v="2025-05-01T00:00:00"/>
    <s v="Q1"/>
    <x v="0"/>
    <n v="0.29014989293361887"/>
    <n v="13516"/>
    <n v="2"/>
    <n v="1.1241970021413276E-2"/>
  </r>
  <r>
    <x v="1"/>
    <s v="RAX"/>
    <x v="4"/>
    <s v="KINGSTON AND RICHMOND NHS FOUNDATION TRUST"/>
    <n v="6888"/>
    <n v="8681"/>
    <n v="3296"/>
    <n v="219"/>
    <n v="306"/>
    <n v="261"/>
    <d v="2025-05-01T00:00:00"/>
    <s v="Q1"/>
    <x v="0"/>
    <n v="0.47851335656213706"/>
    <n v="15569"/>
    <n v="2"/>
    <n v="3.7891986062717771E-2"/>
  </r>
  <r>
    <x v="1"/>
    <s v="RA7"/>
    <x v="1"/>
    <s v="UNIVERSITY HOSPITALS BRISTOL AND WESTON NHS FOUNDATION TRUST"/>
    <n v="15844"/>
    <n v="0"/>
    <n v="5623"/>
    <n v="0"/>
    <n v="1069"/>
    <n v="252"/>
    <d v="2025-05-01T00:00:00"/>
    <s v="Q1"/>
    <x v="0"/>
    <n v="0.35489775309265337"/>
    <n v="15844"/>
    <n v="2"/>
    <n v="1.5905074476142388E-2"/>
  </r>
  <r>
    <x v="1"/>
    <s v="NV693"/>
    <x v="3"/>
    <s v="ROSSENDALE MIU &amp; OOH"/>
    <n v="0"/>
    <n v="1247"/>
    <n v="0"/>
    <n v="0"/>
    <n v="0"/>
    <n v="0"/>
    <d v="2025-05-01T00:00:00"/>
    <s v="Q1"/>
    <x v="0"/>
    <n v="0"/>
    <n v="1247"/>
    <n v="2"/>
    <n v="0"/>
  </r>
  <r>
    <x v="1"/>
    <s v="NNFA7"/>
    <x v="6"/>
    <s v="GOOLE &amp; DISTRICT HOSPITAL"/>
    <n v="0"/>
    <n v="1776"/>
    <n v="0"/>
    <n v="20"/>
    <n v="0"/>
    <n v="0"/>
    <d v="2025-05-01T00:00:00"/>
    <s v="Q1"/>
    <x v="0"/>
    <n v="0"/>
    <n v="1776"/>
    <n v="2"/>
    <n v="0"/>
  </r>
  <r>
    <x v="1"/>
    <s v="NNF94"/>
    <x v="6"/>
    <s v="EAST RIDING COMMUNITY HOSPITAL"/>
    <n v="0"/>
    <n v="3089"/>
    <n v="0"/>
    <n v="188"/>
    <n v="0"/>
    <n v="0"/>
    <d v="2025-05-01T00:00:00"/>
    <s v="Q1"/>
    <x v="0"/>
    <n v="0"/>
    <n v="3089"/>
    <n v="2"/>
    <n v="0"/>
  </r>
  <r>
    <x v="1"/>
    <s v="NNF16"/>
    <x v="6"/>
    <s v="BRIDLINGTON HOSPITAL"/>
    <n v="0"/>
    <n v="1521"/>
    <n v="0"/>
    <n v="63"/>
    <n v="0"/>
    <n v="0"/>
    <d v="2025-05-01T00:00:00"/>
    <s v="Q1"/>
    <x v="0"/>
    <n v="0"/>
    <n v="1521"/>
    <n v="2"/>
    <n v="0"/>
  </r>
  <r>
    <x v="1"/>
    <s v="NNF09"/>
    <x v="6"/>
    <s v="BRANSHOLME HEALTH CENTRE"/>
    <n v="0"/>
    <n v="3723"/>
    <n v="0"/>
    <n v="576"/>
    <n v="0"/>
    <n v="0"/>
    <d v="2025-05-01T00:00:00"/>
    <s v="Q1"/>
    <x v="0"/>
    <n v="0"/>
    <n v="3723"/>
    <n v="2"/>
    <n v="0"/>
  </r>
  <r>
    <x v="1"/>
    <s v="RYX"/>
    <x v="4"/>
    <s v="CENTRAL LONDON COMMUNITY HEALTHCARE NHS TRUST"/>
    <n v="0"/>
    <n v="13220"/>
    <n v="0"/>
    <n v="204"/>
    <n v="0"/>
    <n v="0"/>
    <d v="2025-05-01T00:00:00"/>
    <s v="Q1"/>
    <x v="0"/>
    <n v="0"/>
    <n v="13220"/>
    <n v="2"/>
    <n v="0"/>
  </r>
  <r>
    <x v="1"/>
    <s v="NR3"/>
    <x v="5"/>
    <s v="NOTTINGHAM CITYCARE PARTNERSHIP"/>
    <n v="0"/>
    <n v="5381"/>
    <n v="0"/>
    <n v="311"/>
    <n v="0"/>
    <n v="0"/>
    <d v="2025-05-01T00:00:00"/>
    <s v="Q1"/>
    <x v="0"/>
    <n v="0"/>
    <n v="5381"/>
    <n v="2"/>
    <n v="0"/>
  </r>
  <r>
    <x v="1"/>
    <s v="RAN"/>
    <x v="4"/>
    <s v="ROYAL NATIONAL ORTHOPAEDIC HOSPITAL NHS TRUST"/>
    <n v="0"/>
    <n v="0"/>
    <n v="0"/>
    <n v="0"/>
    <n v="0"/>
    <n v="0"/>
    <d v="2025-05-01T00:00:00"/>
    <s v="Q1"/>
    <x v="0"/>
    <n v="0"/>
    <n v="0"/>
    <n v="2"/>
    <n v="0"/>
  </r>
  <r>
    <x v="1"/>
    <s v="RQX"/>
    <x v="4"/>
    <s v="HOMERTON HEALTHCARE NHS FOUNDATION TRUST"/>
    <n v="11355"/>
    <n v="0"/>
    <n v="1983"/>
    <n v="0"/>
    <n v="202"/>
    <n v="26"/>
    <d v="2025-05-01T00:00:00"/>
    <s v="Q1"/>
    <x v="0"/>
    <n v="0.17463672391017174"/>
    <n v="11355"/>
    <n v="2"/>
    <n v="2.2897402025539408E-3"/>
  </r>
  <r>
    <x v="1"/>
    <s v="RBV"/>
    <x v="3"/>
    <s v="THE CHRISTIE NHS FOUNDATION TRUST"/>
    <n v="0"/>
    <n v="0"/>
    <n v="0"/>
    <n v="0"/>
    <n v="0"/>
    <n v="0"/>
    <d v="2025-05-01T00:00:00"/>
    <s v="Q1"/>
    <x v="0"/>
    <n v="0"/>
    <n v="0"/>
    <n v="2"/>
    <n v="0"/>
  </r>
  <r>
    <x v="1"/>
    <s v="NL7"/>
    <x v="5"/>
    <s v="ASSURA VERTIS URGENT CARE CENTRES (BIRMINGHAM)"/>
    <n v="0"/>
    <n v="3179"/>
    <n v="0"/>
    <n v="0"/>
    <n v="0"/>
    <n v="0"/>
    <d v="2025-05-01T00:00:00"/>
    <s v="Q1"/>
    <x v="0"/>
    <n v="0"/>
    <n v="3179"/>
    <n v="2"/>
    <n v="0"/>
  </r>
  <r>
    <x v="1"/>
    <s v="AQM01"/>
    <x v="0"/>
    <s v="FAVERSHAM MEDICAL PRACTICE MIU"/>
    <n v="0"/>
    <n v="2828"/>
    <n v="0"/>
    <n v="0"/>
    <n v="0"/>
    <n v="0"/>
    <d v="2025-05-01T00:00:00"/>
    <s v="Q1"/>
    <x v="0"/>
    <n v="0"/>
    <n v="2828"/>
    <n v="2"/>
    <n v="0"/>
  </r>
  <r>
    <x v="1"/>
    <s v="Y02532"/>
    <x v="3"/>
    <s v="MIRIAM MINOR EMERGENCY"/>
    <n v="0"/>
    <n v="1612"/>
    <n v="0"/>
    <n v="2"/>
    <n v="0"/>
    <n v="0"/>
    <d v="2025-05-01T00:00:00"/>
    <s v="Q1"/>
    <x v="0"/>
    <n v="0"/>
    <n v="1612"/>
    <n v="2"/>
    <n v="0"/>
  </r>
  <r>
    <x v="1"/>
    <s v="Y02428"/>
    <x v="2"/>
    <s v="PUTNOE WALK IN CENTRE"/>
    <n v="0"/>
    <n v="2636"/>
    <n v="0"/>
    <n v="0"/>
    <n v="0"/>
    <n v="0"/>
    <d v="2025-05-01T00:00:00"/>
    <s v="Q1"/>
    <x v="0"/>
    <n v="0"/>
    <n v="2636"/>
    <n v="2"/>
    <n v="0"/>
  </r>
  <r>
    <x v="1"/>
    <s v="RYF"/>
    <x v="1"/>
    <s v="SOUTH WESTERN AMBULANCE SERVICE NHS FOUNDATION TRUST"/>
    <n v="0"/>
    <n v="2037"/>
    <n v="0"/>
    <n v="49"/>
    <n v="0"/>
    <n v="0"/>
    <d v="2025-05-01T00:00:00"/>
    <s v="Q1"/>
    <x v="0"/>
    <n v="0"/>
    <n v="2037"/>
    <n v="2"/>
    <n v="0"/>
  </r>
  <r>
    <x v="1"/>
    <s v="RWY"/>
    <x v="6"/>
    <s v="CALDERDALE AND HUDDERSFIELD NHS FOUNDATION TRUST"/>
    <n v="16305"/>
    <n v="0"/>
    <n v="2568"/>
    <n v="0"/>
    <n v="719"/>
    <n v="5"/>
    <d v="2025-05-01T00:00:00"/>
    <s v="Q1"/>
    <x v="0"/>
    <n v="0.15749770009199632"/>
    <n v="16305"/>
    <n v="2"/>
    <n v="3.0665440049064706E-4"/>
  </r>
  <r>
    <x v="1"/>
    <s v="RW1"/>
    <x v="0"/>
    <s v="HAMPSHIRE AND ISLE OF WIGHT HEALTHCARE NHS FOUNDATION TRUST"/>
    <n v="0"/>
    <n v="3058"/>
    <n v="0"/>
    <n v="156"/>
    <n v="0"/>
    <n v="0"/>
    <d v="2025-05-01T00:00:00"/>
    <s v="Q1"/>
    <x v="0"/>
    <n v="0"/>
    <n v="3058"/>
    <n v="2"/>
    <n v="0"/>
  </r>
  <r>
    <x v="1"/>
    <s v="RTP"/>
    <x v="0"/>
    <s v="SURREY AND SUSSEX HEALTHCARE NHS TRUST"/>
    <n v="10479"/>
    <n v="0"/>
    <n v="3919"/>
    <n v="0"/>
    <n v="462"/>
    <n v="661"/>
    <d v="2025-05-01T00:00:00"/>
    <s v="Q1"/>
    <x v="0"/>
    <n v="0.3739860673728409"/>
    <n v="10479"/>
    <n v="2"/>
    <n v="6.3078538028437825E-2"/>
  </r>
  <r>
    <x v="1"/>
    <s v="RJ8"/>
    <x v="1"/>
    <s v="CORNWALL PARTNERSHIP NHS FOUNDATION TRUST"/>
    <n v="0"/>
    <n v="0"/>
    <n v="0"/>
    <n v="0"/>
    <n v="0"/>
    <n v="0"/>
    <d v="2025-05-01T00:00:00"/>
    <s v="Q1"/>
    <x v="0"/>
    <n v="0"/>
    <n v="0"/>
    <n v="2"/>
    <n v="0"/>
  </r>
  <r>
    <x v="1"/>
    <s v="RGP"/>
    <x v="2"/>
    <s v="JAMES PAGET UNIVERSITY HOSPITALS NHS FOUNDATION TRUST"/>
    <n v="7796"/>
    <n v="1263"/>
    <n v="2945"/>
    <n v="0"/>
    <n v="574"/>
    <n v="205"/>
    <d v="2025-05-01T00:00:00"/>
    <s v="Q1"/>
    <x v="0"/>
    <n v="0.37775782452539763"/>
    <n v="9059"/>
    <n v="2"/>
    <n v="2.6295536172396102E-2"/>
  </r>
  <r>
    <x v="1"/>
    <s v="RA9"/>
    <x v="1"/>
    <s v="TORBAY AND SOUTH DEVON NHS FOUNDATION TRUST"/>
    <n v="6821"/>
    <n v="3781"/>
    <n v="3146"/>
    <n v="16"/>
    <n v="319"/>
    <n v="65"/>
    <d v="2025-05-01T00:00:00"/>
    <s v="Q1"/>
    <x v="0"/>
    <n v="0.46122269461955723"/>
    <n v="10602"/>
    <n v="2"/>
    <n v="9.5293945169330017E-3"/>
  </r>
  <r>
    <x v="1"/>
    <s v="NTP11"/>
    <x v="0"/>
    <s v="PRACTICE PLUS GROUP HOSPITAL - SOUTHAMPTON"/>
    <n v="0"/>
    <n v="5679"/>
    <n v="0"/>
    <n v="189"/>
    <n v="0"/>
    <n v="0"/>
    <d v="2025-05-01T00:00:00"/>
    <s v="Q1"/>
    <x v="0"/>
    <n v="0"/>
    <n v="5679"/>
    <n v="2"/>
    <n v="0"/>
  </r>
  <r>
    <x v="1"/>
    <s v="C82038"/>
    <x v="5"/>
    <s v="LATHAM HOUSE MEDICAL PRACTICE"/>
    <n v="0"/>
    <n v="354"/>
    <n v="0"/>
    <n v="0"/>
    <n v="0"/>
    <n v="0"/>
    <d v="2025-05-01T00:00:00"/>
    <s v="Q1"/>
    <x v="0"/>
    <n v="0"/>
    <n v="354"/>
    <n v="2"/>
    <n v="0"/>
  </r>
  <r>
    <x v="1"/>
    <s v="AQN04"/>
    <x v="0"/>
    <s v="PHL LYMINGTON UTC"/>
    <n v="0"/>
    <n v="3567"/>
    <n v="0"/>
    <n v="24"/>
    <n v="0"/>
    <n v="0"/>
    <d v="2025-05-01T00:00:00"/>
    <s v="Q1"/>
    <x v="0"/>
    <n v="0"/>
    <n v="3567"/>
    <n v="2"/>
    <n v="0"/>
  </r>
  <r>
    <x v="1"/>
    <s v="AAH"/>
    <x v="1"/>
    <s v="TETBURY HOSPITAL TRUST LTD"/>
    <n v="0"/>
    <n v="524"/>
    <n v="0"/>
    <n v="0"/>
    <n v="0"/>
    <n v="0"/>
    <d v="2025-05-01T00:00:00"/>
    <s v="Q1"/>
    <x v="0"/>
    <n v="0"/>
    <n v="524"/>
    <n v="2"/>
    <n v="0"/>
  </r>
  <r>
    <x v="1"/>
    <s v="Y02676"/>
    <x v="0"/>
    <s v="BRIGHTON STATION HEALTH CENTRE"/>
    <n v="0"/>
    <n v="1986"/>
    <n v="0"/>
    <n v="0"/>
    <n v="0"/>
    <n v="0"/>
    <d v="2025-05-01T00:00:00"/>
    <s v="Q1"/>
    <x v="0"/>
    <n v="0"/>
    <n v="1986"/>
    <n v="2"/>
    <n v="0"/>
  </r>
  <r>
    <x v="1"/>
    <s v="Y02615"/>
    <x v="5"/>
    <s v="SOUTH BIRMINGHAM GP WALK IN CENTRE"/>
    <n v="0"/>
    <n v="6661"/>
    <n v="0"/>
    <n v="0"/>
    <n v="0"/>
    <n v="0"/>
    <d v="2025-05-01T00:00:00"/>
    <s v="Q1"/>
    <x v="0"/>
    <n v="0"/>
    <n v="6661"/>
    <n v="2"/>
    <n v="0"/>
  </r>
  <r>
    <x v="1"/>
    <s v="RBT"/>
    <x v="3"/>
    <s v="MID CHESHIRE HOSPITALS NHS FOUNDATION TRUST"/>
    <n v="7250"/>
    <n v="3317"/>
    <n v="4462"/>
    <n v="50"/>
    <n v="610"/>
    <n v="645"/>
    <d v="2025-05-01T00:00:00"/>
    <s v="Q1"/>
    <x v="0"/>
    <n v="0.61544827586206896"/>
    <n v="10567"/>
    <n v="2"/>
    <n v="8.8965517241379313E-2"/>
  </r>
  <r>
    <x v="1"/>
    <s v="RBQ"/>
    <x v="3"/>
    <s v="LIVERPOOL HEART AND CHEST HOSPITAL NHS FOUNDATION TRUST"/>
    <n v="0"/>
    <n v="0"/>
    <n v="0"/>
    <n v="0"/>
    <n v="0"/>
    <n v="0"/>
    <d v="2025-05-01T00:00:00"/>
    <s v="Q1"/>
    <x v="0"/>
    <n v="0"/>
    <n v="0"/>
    <n v="2"/>
    <n v="0"/>
  </r>
  <r>
    <x v="1"/>
    <s v="RPA"/>
    <x v="0"/>
    <s v="MEDWAY NHS FOUNDATION TRUST"/>
    <n v="9610"/>
    <n v="6563"/>
    <n v="3160"/>
    <n v="407"/>
    <n v="398"/>
    <n v="533"/>
    <d v="2025-05-01T00:00:00"/>
    <s v="Q1"/>
    <x v="0"/>
    <n v="0.32882414151925077"/>
    <n v="16173"/>
    <n v="2"/>
    <n v="5.54630593132154E-2"/>
  </r>
  <r>
    <x v="1"/>
    <s v="RCX"/>
    <x v="2"/>
    <s v="THE QUEEN ELIZABETH HOSPITAL, KING'S LYNN, NHS FOUNDATION TRUST"/>
    <n v="6756"/>
    <n v="1203"/>
    <n v="3003"/>
    <n v="0"/>
    <n v="1542"/>
    <n v="90"/>
    <d v="2025-05-01T00:00:00"/>
    <s v="Q1"/>
    <x v="0"/>
    <n v="0.44449378330373002"/>
    <n v="7959"/>
    <n v="2"/>
    <n v="1.3321492007104795E-2"/>
  </r>
  <r>
    <x v="1"/>
    <s v="RNU"/>
    <x v="0"/>
    <s v="OXFORD HEALTH NHS FOUNDATION TRUST"/>
    <n v="0"/>
    <n v="4266"/>
    <n v="0"/>
    <n v="234"/>
    <n v="0"/>
    <n v="0"/>
    <d v="2025-05-01T00:00:00"/>
    <s v="Q1"/>
    <x v="0"/>
    <n v="0"/>
    <n v="4266"/>
    <n v="2"/>
    <n v="0"/>
  </r>
  <r>
    <x v="1"/>
    <s v="RY2"/>
    <x v="3"/>
    <s v="BRIDGEWATER COMMUNITY HEALTHCARE NHS FOUNDATION TRUST"/>
    <n v="0"/>
    <n v="3030"/>
    <n v="0"/>
    <n v="50"/>
    <n v="0"/>
    <n v="0"/>
    <d v="2025-05-01T00:00:00"/>
    <s v="Q1"/>
    <x v="0"/>
    <n v="0"/>
    <n v="3030"/>
    <n v="2"/>
    <n v="0"/>
  </r>
  <r>
    <x v="1"/>
    <s v="RY8"/>
    <x v="5"/>
    <s v="DERBYSHIRE COMMUNITY HEALTH SERVICES NHS FOUNDATION TRUST"/>
    <n v="0"/>
    <n v="8372"/>
    <n v="0"/>
    <n v="166"/>
    <n v="0"/>
    <n v="0"/>
    <d v="2025-05-01T00:00:00"/>
    <s v="Q1"/>
    <x v="0"/>
    <n v="0"/>
    <n v="8372"/>
    <n v="2"/>
    <n v="0"/>
  </r>
  <r>
    <x v="1"/>
    <s v="RJR"/>
    <x v="3"/>
    <s v="COUNTESS OF CHESTER HOSPITAL NHS FOUNDATION TRUST"/>
    <n v="5321"/>
    <n v="2456"/>
    <n v="2837"/>
    <n v="283"/>
    <n v="244"/>
    <n v="751"/>
    <d v="2025-05-01T00:00:00"/>
    <s v="Q1"/>
    <x v="0"/>
    <n v="0.53317045668107499"/>
    <n v="7777"/>
    <n v="2"/>
    <n v="0.14113888366848337"/>
  </r>
  <r>
    <x v="1"/>
    <s v="RJN"/>
    <x v="3"/>
    <s v="EAST CHESHIRE NHS TRUST"/>
    <n v="4561"/>
    <n v="0"/>
    <n v="1991"/>
    <n v="0"/>
    <n v="151"/>
    <n v="148"/>
    <d v="2025-05-01T00:00:00"/>
    <s v="Q1"/>
    <x v="0"/>
    <n v="0.43652707739530805"/>
    <n v="4561"/>
    <n v="2"/>
    <n v="3.2449024336768252E-2"/>
  </r>
  <r>
    <x v="1"/>
    <s v="RDY"/>
    <x v="1"/>
    <s v="DORSET HEALTHCARE UNIVERSITY NHS FOUNDATION TRUST"/>
    <n v="0"/>
    <n v="0"/>
    <n v="0"/>
    <n v="0"/>
    <n v="0"/>
    <n v="0"/>
    <d v="2025-05-01T00:00:00"/>
    <s v="Q1"/>
    <x v="0"/>
    <n v="0"/>
    <n v="0"/>
    <n v="2"/>
    <n v="0"/>
  </r>
  <r>
    <x v="1"/>
    <s v="RCU"/>
    <x v="6"/>
    <s v="SHEFFIELD CHILDREN'S NHS FOUNDATION TRUST"/>
    <n v="4611"/>
    <n v="319"/>
    <n v="401"/>
    <n v="0"/>
    <n v="14"/>
    <n v="0"/>
    <d v="2025-05-01T00:00:00"/>
    <s v="Q1"/>
    <x v="0"/>
    <n v="8.6965950986770763E-2"/>
    <n v="4930"/>
    <n v="2"/>
    <n v="0"/>
  </r>
  <r>
    <x v="1"/>
    <s v="RCD"/>
    <x v="6"/>
    <s v="HARROGATE AND DISTRICT NHS FOUNDATION TRUST"/>
    <n v="5246"/>
    <n v="1090"/>
    <n v="1393"/>
    <n v="0"/>
    <n v="170"/>
    <n v="15"/>
    <d v="2025-05-01T00:00:00"/>
    <s v="Q1"/>
    <x v="0"/>
    <n v="0.26553564620663361"/>
    <n v="6336"/>
    <n v="2"/>
    <n v="2.8593213877239803E-3"/>
  </r>
  <r>
    <x v="1"/>
    <s v="R0B"/>
    <x v="6"/>
    <s v="SOUTH TYNESIDE AND SUNDERLAND NHS FOUNDATION TRUST"/>
    <n v="11022"/>
    <n v="6079"/>
    <n v="4902"/>
    <n v="218"/>
    <n v="697"/>
    <n v="12"/>
    <d v="2025-05-01T00:00:00"/>
    <s v="Q1"/>
    <x v="0"/>
    <n v="0.44474686989657047"/>
    <n v="17101"/>
    <n v="2"/>
    <n v="1.0887316276537834E-3"/>
  </r>
  <r>
    <x v="1"/>
    <s v="NTV0W"/>
    <x v="0"/>
    <s v="WOKING WALK IN CENTRE"/>
    <n v="0"/>
    <n v="2665"/>
    <n v="0"/>
    <n v="77"/>
    <n v="0"/>
    <n v="0"/>
    <d v="2025-05-01T00:00:00"/>
    <s v="Q1"/>
    <x v="0"/>
    <n v="0"/>
    <n v="2665"/>
    <n v="2"/>
    <n v="0"/>
  </r>
  <r>
    <x v="1"/>
    <s v="NTV0B"/>
    <x v="0"/>
    <s v="ASHFORD WALK-IN-CENTRE"/>
    <n v="0"/>
    <n v="2433"/>
    <n v="0"/>
    <n v="96"/>
    <n v="0"/>
    <n v="0"/>
    <d v="2025-05-01T00:00:00"/>
    <s v="Q1"/>
    <x v="0"/>
    <n v="0"/>
    <n v="2433"/>
    <n v="2"/>
    <n v="0"/>
  </r>
  <r>
    <x v="1"/>
    <s v="NTPAD"/>
    <x v="0"/>
    <s v="PRACTICE PLUS GROUP SURGICAL CENTRE - ST MARYS PORTSMOUTH"/>
    <n v="0"/>
    <n v="5614"/>
    <n v="0"/>
    <n v="245"/>
    <n v="0"/>
    <n v="0"/>
    <d v="2025-05-01T00:00:00"/>
    <s v="Q1"/>
    <x v="0"/>
    <n v="0"/>
    <n v="5614"/>
    <n v="2"/>
    <n v="0"/>
  </r>
  <r>
    <x v="1"/>
    <s v="L83087"/>
    <x v="1"/>
    <s v="OKEHAMPTON MEDICAL CENTRE"/>
    <n v="0"/>
    <n v="87"/>
    <n v="0"/>
    <n v="0"/>
    <n v="0"/>
    <n v="0"/>
    <d v="2025-05-01T00:00:00"/>
    <s v="Q1"/>
    <x v="0"/>
    <n v="0"/>
    <n v="87"/>
    <n v="2"/>
    <n v="0"/>
  </r>
  <r>
    <x v="1"/>
    <s v="ARN03"/>
    <x v="6"/>
    <s v="LOCAL CARE DIRECT"/>
    <n v="0"/>
    <n v="2236"/>
    <n v="0"/>
    <n v="9"/>
    <n v="0"/>
    <n v="0"/>
    <d v="2025-05-01T00:00:00"/>
    <s v="Q1"/>
    <x v="0"/>
    <n v="0"/>
    <n v="2236"/>
    <n v="2"/>
    <n v="0"/>
  </r>
  <r>
    <x v="1"/>
    <s v="Y00751"/>
    <x v="0"/>
    <s v="EAST BERKS PRIMARY CARE OOH(WAM)"/>
    <n v="0"/>
    <n v="0"/>
    <n v="0"/>
    <n v="0"/>
    <n v="0"/>
    <n v="0"/>
    <d v="2025-05-01T00:00:00"/>
    <s v="Q1"/>
    <x v="0"/>
    <n v="0"/>
    <n v="0"/>
    <n v="2"/>
    <n v="0"/>
  </r>
  <r>
    <x v="1"/>
    <s v="RLQ"/>
    <x v="5"/>
    <s v="WYE VALLEY NHS TRUST"/>
    <n v="6022"/>
    <n v="164"/>
    <n v="2883"/>
    <n v="0"/>
    <n v="479"/>
    <n v="249"/>
    <d v="2025-05-01T00:00:00"/>
    <s v="Q1"/>
    <x v="0"/>
    <n v="0.47874460312188644"/>
    <n v="6186"/>
    <n v="2"/>
    <n v="4.134838923945533E-2"/>
  </r>
  <r>
    <x v="1"/>
    <s v="RFF"/>
    <x v="6"/>
    <s v="BARNSLEY HOSPITAL NHS FOUNDATION TRUST"/>
    <n v="9300"/>
    <n v="0"/>
    <n v="2619"/>
    <n v="0"/>
    <n v="427"/>
    <n v="0"/>
    <d v="2025-05-01T00:00:00"/>
    <s v="Q1"/>
    <x v="0"/>
    <n v="0.28161290322580645"/>
    <n v="9300"/>
    <n v="2"/>
    <n v="0"/>
  </r>
  <r>
    <x v="1"/>
    <s v="NQTE4"/>
    <x v="5"/>
    <s v="SUMMERFIELD URGENT CARE CENTRE"/>
    <n v="0"/>
    <n v="3089"/>
    <n v="0"/>
    <n v="0"/>
    <n v="0"/>
    <n v="0"/>
    <d v="2025-05-01T00:00:00"/>
    <s v="Q1"/>
    <x v="0"/>
    <n v="0"/>
    <n v="3089"/>
    <n v="2"/>
    <n v="0"/>
  </r>
  <r>
    <x v="1"/>
    <s v="NQT5H"/>
    <x v="1"/>
    <s v="PAULTON MEMORIAL HOSPITAL"/>
    <n v="0"/>
    <n v="1209"/>
    <n v="0"/>
    <n v="5"/>
    <n v="0"/>
    <n v="0"/>
    <d v="2025-05-01T00:00:00"/>
    <s v="Q1"/>
    <x v="0"/>
    <n v="0"/>
    <n v="1209"/>
    <n v="2"/>
    <n v="0"/>
  </r>
  <r>
    <x v="1"/>
    <s v="NQT5F"/>
    <x v="3"/>
    <s v="SKELMERSDALE WALK IN CENTRE"/>
    <n v="0"/>
    <n v="1743"/>
    <n v="0"/>
    <n v="8"/>
    <n v="0"/>
    <n v="0"/>
    <d v="2025-05-01T00:00:00"/>
    <s v="Q1"/>
    <x v="0"/>
    <n v="0"/>
    <n v="1743"/>
    <n v="2"/>
    <n v="0"/>
  </r>
  <r>
    <x v="1"/>
    <s v="NQT51"/>
    <x v="0"/>
    <s v="STATION PLAZA HEALTH CENTRE"/>
    <n v="0"/>
    <n v="1075"/>
    <n v="0"/>
    <n v="0"/>
    <n v="0"/>
    <n v="0"/>
    <d v="2025-05-01T00:00:00"/>
    <s v="Q1"/>
    <x v="0"/>
    <n v="0"/>
    <n v="1075"/>
    <n v="2"/>
    <n v="0"/>
  </r>
  <r>
    <x v="1"/>
    <s v="NDJ"/>
    <x v="0"/>
    <s v="FIRST COMMUNITY HEALTH AND CARE CIC"/>
    <n v="0"/>
    <n v="2565"/>
    <n v="0"/>
    <n v="0"/>
    <n v="0"/>
    <n v="0"/>
    <d v="2025-05-01T00:00:00"/>
    <s v="Q1"/>
    <x v="0"/>
    <n v="0"/>
    <n v="2565"/>
    <n v="2"/>
    <n v="0"/>
  </r>
  <r>
    <x v="1"/>
    <s v="DT301"/>
    <x v="2"/>
    <s v="HERTS URGENT CARE (ASCOTS LANE)"/>
    <n v="0"/>
    <n v="2378"/>
    <n v="0"/>
    <n v="37"/>
    <n v="0"/>
    <n v="0"/>
    <d v="2025-05-01T00:00:00"/>
    <s v="Q1"/>
    <x v="0"/>
    <n v="0"/>
    <n v="2378"/>
    <n v="2"/>
    <n v="0"/>
  </r>
  <r>
    <x v="1"/>
    <s v="Y07709"/>
    <x v="0"/>
    <s v="READING URGENT CARE CENTRE"/>
    <n v="0"/>
    <n v="1916"/>
    <n v="0"/>
    <n v="0"/>
    <n v="0"/>
    <n v="0"/>
    <d v="2025-05-01T00:00:00"/>
    <s v="Q1"/>
    <x v="0"/>
    <n v="0"/>
    <n v="1916"/>
    <n v="2"/>
    <n v="0"/>
  </r>
  <r>
    <x v="1"/>
    <s v="Y03218"/>
    <x v="4"/>
    <s v="THE PINN UNREGISTERED WIC"/>
    <n v="0"/>
    <n v="843"/>
    <n v="0"/>
    <n v="0"/>
    <n v="0"/>
    <n v="0"/>
    <d v="2025-05-01T00:00:00"/>
    <s v="Q1"/>
    <x v="0"/>
    <n v="0"/>
    <n v="843"/>
    <n v="2"/>
    <n v="0"/>
  </r>
  <r>
    <x v="1"/>
    <s v="RV9"/>
    <x v="6"/>
    <s v="HUMBER TEACHING NHS FOUNDATION TRUST"/>
    <n v="0"/>
    <n v="1171"/>
    <n v="0"/>
    <n v="3"/>
    <n v="0"/>
    <n v="0"/>
    <d v="2025-05-01T00:00:00"/>
    <s v="Q1"/>
    <x v="0"/>
    <n v="0"/>
    <n v="1171"/>
    <n v="2"/>
    <n v="0"/>
  </r>
  <r>
    <x v="1"/>
    <s v="RTQ"/>
    <x v="1"/>
    <s v="GLOUCESTERSHIRE HEALTH AND CARE NHS FOUNDATION TRUST"/>
    <n v="0"/>
    <n v="8995"/>
    <n v="0"/>
    <n v="120"/>
    <n v="0"/>
    <n v="0"/>
    <d v="2025-05-01T00:00:00"/>
    <s v="Q1"/>
    <x v="0"/>
    <n v="0"/>
    <n v="8995"/>
    <n v="2"/>
    <n v="0"/>
  </r>
  <r>
    <x v="1"/>
    <s v="RTR"/>
    <x v="6"/>
    <s v="SOUTH TEES HOSPITALS NHS FOUNDATION TRUST"/>
    <n v="7284"/>
    <n v="9912"/>
    <n v="3697"/>
    <n v="602"/>
    <n v="298"/>
    <n v="6"/>
    <d v="2025-05-01T00:00:00"/>
    <s v="Q1"/>
    <x v="0"/>
    <n v="0.50755079626578803"/>
    <n v="17196"/>
    <n v="2"/>
    <n v="8.2372322899505767E-4"/>
  </r>
  <r>
    <x v="1"/>
    <s v="RTD"/>
    <x v="6"/>
    <s v="THE NEWCASTLE UPON TYNE HOSPITALS NHS FOUNDATION TRUST"/>
    <n v="12515"/>
    <n v="6488"/>
    <n v="4128"/>
    <n v="0"/>
    <n v="445"/>
    <n v="26"/>
    <d v="2025-05-01T00:00:00"/>
    <s v="Q1"/>
    <x v="0"/>
    <n v="0.32984418697562923"/>
    <n v="19003"/>
    <n v="2"/>
    <n v="2.0775069916100677E-3"/>
  </r>
  <r>
    <x v="1"/>
    <s v="RXP"/>
    <x v="6"/>
    <s v="COUNTY DURHAM AND DARLINGTON NHS FOUNDATION TRUST"/>
    <n v="13233"/>
    <n v="4259"/>
    <n v="5320"/>
    <n v="0"/>
    <n v="2030"/>
    <n v="13"/>
    <d v="2025-05-01T00:00:00"/>
    <s v="Q1"/>
    <x v="0"/>
    <n v="0.40202523993047684"/>
    <n v="17492"/>
    <n v="2"/>
    <n v="9.8239250358951114E-4"/>
  </r>
  <r>
    <x v="1"/>
    <s v="RXN"/>
    <x v="3"/>
    <s v="LANCASHIRE TEACHING HOSPITALS NHS FOUNDATION TRUST"/>
    <n v="12077"/>
    <n v="3555"/>
    <n v="4478"/>
    <n v="121"/>
    <n v="1008"/>
    <n v="476"/>
    <d v="2025-05-01T00:00:00"/>
    <s v="Q1"/>
    <x v="0"/>
    <n v="0.37078744721371204"/>
    <n v="15632"/>
    <n v="2"/>
    <n v="3.9413761695785379E-2"/>
  </r>
  <r>
    <x v="1"/>
    <s v="RXK"/>
    <x v="5"/>
    <s v="SANDWELL AND WEST BIRMINGHAM HOSPITALS NHS TRUST"/>
    <n v="11353"/>
    <n v="8458"/>
    <n v="4165"/>
    <n v="176"/>
    <n v="702"/>
    <n v="145"/>
    <d v="2025-05-01T00:00:00"/>
    <s v="Q1"/>
    <x v="0"/>
    <n v="0.36686338412754338"/>
    <n v="19811"/>
    <n v="2"/>
    <n v="1.2771954549458293E-2"/>
  </r>
  <r>
    <x v="1"/>
    <s v="RXC"/>
    <x v="0"/>
    <s v="EAST SUSSEX HEALTHCARE NHS TRUST"/>
    <n v="8442"/>
    <n v="2476"/>
    <n v="3019"/>
    <n v="30"/>
    <n v="184"/>
    <n v="20"/>
    <d v="2025-05-01T00:00:00"/>
    <s v="Q1"/>
    <x v="0"/>
    <n v="0.35761667851220091"/>
    <n v="10918"/>
    <n v="2"/>
    <n v="2.3691068467187868E-3"/>
  </r>
  <r>
    <x v="1"/>
    <s v="RWH"/>
    <x v="2"/>
    <s v="EAST AND NORTH HERTFORDSHIRE NHS TRUST"/>
    <n v="8815"/>
    <n v="8659"/>
    <n v="4414"/>
    <n v="86"/>
    <n v="220"/>
    <n v="132"/>
    <d v="2025-05-01T00:00:00"/>
    <s v="Q1"/>
    <x v="0"/>
    <n v="0.50073737946681796"/>
    <n v="17474"/>
    <n v="2"/>
    <n v="1.4974475326148611E-2"/>
  </r>
  <r>
    <x v="1"/>
    <s v="RTF"/>
    <x v="6"/>
    <s v="NORTHUMBRIA HEALTHCARE NHS FOUNDATION TRUST"/>
    <n v="9963"/>
    <n v="13656"/>
    <n v="2254"/>
    <n v="7"/>
    <n v="14"/>
    <n v="0"/>
    <d v="2025-05-01T00:00:00"/>
    <s v="Q1"/>
    <x v="0"/>
    <n v="0.22623707718558667"/>
    <n v="23619"/>
    <n v="2"/>
    <n v="0"/>
  </r>
  <r>
    <x v="1"/>
    <s v="RQ3"/>
    <x v="5"/>
    <s v="BIRMINGHAM WOMEN'S AND CHILDREN'S NHS FOUNDATION TRUST"/>
    <n v="5061"/>
    <n v="0"/>
    <n v="1073"/>
    <n v="0"/>
    <n v="3"/>
    <n v="5"/>
    <d v="2025-05-01T00:00:00"/>
    <s v="Q1"/>
    <x v="0"/>
    <n v="0.21201343607982612"/>
    <n v="5061"/>
    <n v="2"/>
    <n v="9.879470460383323E-4"/>
  </r>
  <r>
    <x v="1"/>
    <s v="RN5"/>
    <x v="0"/>
    <s v="HAMPSHIRE HOSPITALS NHS FOUNDATION TRUST"/>
    <n v="11189"/>
    <n v="3433"/>
    <n v="4945"/>
    <n v="138"/>
    <n v="254"/>
    <n v="40"/>
    <d v="2025-05-01T00:00:00"/>
    <s v="Q1"/>
    <x v="0"/>
    <n v="0.44195191706139958"/>
    <n v="14622"/>
    <n v="2"/>
    <n v="3.57493967289302E-3"/>
  </r>
  <r>
    <x v="1"/>
    <s v="RN3"/>
    <x v="1"/>
    <s v="GREAT WESTERN HOSPITALS NHS FOUNDATION TRUST"/>
    <n v="5509"/>
    <n v="5600"/>
    <n v="2868"/>
    <n v="434"/>
    <n v="533"/>
    <n v="355"/>
    <d v="2025-05-01T00:00:00"/>
    <s v="Q1"/>
    <x v="0"/>
    <n v="0.5206026502087493"/>
    <n v="11109"/>
    <n v="2"/>
    <n v="6.4440007260845894E-2"/>
  </r>
  <r>
    <x v="1"/>
    <s v="RM1"/>
    <x v="2"/>
    <s v="NORFOLK AND NORWICH UNIVERSITY HOSPITALS NHS FOUNDATION TRUST"/>
    <n v="13181"/>
    <n v="7869"/>
    <n v="3914"/>
    <n v="6"/>
    <n v="911"/>
    <n v="198"/>
    <d v="2025-05-01T00:00:00"/>
    <s v="Q1"/>
    <x v="0"/>
    <n v="0.29694256884910097"/>
    <n v="21050"/>
    <n v="2"/>
    <n v="1.5021622031712313E-2"/>
  </r>
  <r>
    <x v="1"/>
    <s v="RL1"/>
    <x v="5"/>
    <s v="THE ROBERT JONES AND AGNES HUNT ORTHOPAEDIC HOSPITAL NHS FOUNDATION TRUST"/>
    <n v="0"/>
    <n v="0"/>
    <n v="0"/>
    <n v="0"/>
    <n v="0"/>
    <n v="0"/>
    <d v="2025-05-01T00:00:00"/>
    <s v="Q1"/>
    <x v="0"/>
    <n v="0"/>
    <n v="0"/>
    <n v="2"/>
    <n v="0"/>
  </r>
  <r>
    <x v="1"/>
    <s v="RJ6"/>
    <x v="4"/>
    <s v="CROYDON HEALTH SERVICES NHS TRUST"/>
    <n v="13210"/>
    <n v="5278"/>
    <n v="4123"/>
    <n v="0"/>
    <n v="254"/>
    <n v="873"/>
    <d v="2025-05-01T00:00:00"/>
    <s v="Q1"/>
    <x v="0"/>
    <n v="0.31211203633610901"/>
    <n v="18488"/>
    <n v="2"/>
    <n v="6.6086298258894782E-2"/>
  </r>
  <r>
    <x v="1"/>
    <s v="RJ1"/>
    <x v="4"/>
    <s v="GUY'S AND ST THOMAS' NHS FOUNDATION TRUST"/>
    <n v="10064"/>
    <n v="7309"/>
    <n v="3483"/>
    <n v="247"/>
    <n v="103"/>
    <n v="69"/>
    <d v="2025-05-01T00:00:00"/>
    <s v="Q1"/>
    <x v="0"/>
    <n v="0.34608505564387915"/>
    <n v="17373"/>
    <n v="2"/>
    <n v="6.8561208267090617E-3"/>
  </r>
  <r>
    <x v="1"/>
    <s v="RHM"/>
    <x v="0"/>
    <s v="UNIVERSITY HOSPITAL SOUTHAMPTON NHS FOUNDATION TRUST"/>
    <n v="12346"/>
    <n v="0"/>
    <n v="5402"/>
    <n v="0"/>
    <n v="472"/>
    <n v="15"/>
    <d v="2025-05-01T00:00:00"/>
    <s v="Q1"/>
    <x v="0"/>
    <n v="0.43755062368378422"/>
    <n v="12346"/>
    <n v="2"/>
    <n v="1.2149684108213187E-3"/>
  </r>
  <r>
    <x v="1"/>
    <s v="RGN"/>
    <x v="2"/>
    <s v="NORTH WEST ANGLIA NHS FOUNDATION TRUST"/>
    <n v="14921"/>
    <n v="4675"/>
    <n v="6334"/>
    <n v="189"/>
    <n v="578"/>
    <n v="838"/>
    <d v="2025-05-01T00:00:00"/>
    <s v="Q1"/>
    <x v="0"/>
    <n v="0.42450237919710476"/>
    <n v="19596"/>
    <n v="2"/>
    <n v="5.6162455599490652E-2"/>
  </r>
  <r>
    <x v="1"/>
    <s v="RF4"/>
    <x v="4"/>
    <s v="BARKING, HAVERING AND REDBRIDGE UNIVERSITY HOSPITALS NHS TRUST"/>
    <n v="13616"/>
    <n v="14880"/>
    <n v="5949"/>
    <n v="197"/>
    <n v="735"/>
    <n v="642"/>
    <d v="2025-05-01T00:00:00"/>
    <s v="Q1"/>
    <x v="0"/>
    <n v="0.43691245593419509"/>
    <n v="28496"/>
    <n v="2"/>
    <n v="4.7150411280846065E-2"/>
  </r>
  <r>
    <x v="1"/>
    <s v="RET"/>
    <x v="3"/>
    <s v="THE WALTON CENTRE NHS FOUNDATION TRUST"/>
    <n v="0"/>
    <n v="0"/>
    <n v="0"/>
    <n v="0"/>
    <n v="0"/>
    <n v="0"/>
    <d v="2025-05-01T00:00:00"/>
    <s v="Q1"/>
    <x v="0"/>
    <n v="0"/>
    <n v="0"/>
    <n v="2"/>
    <n v="0"/>
  </r>
  <r>
    <x v="1"/>
    <s v="REM"/>
    <x v="3"/>
    <s v="LIVERPOOL UNIVERSITY HOSPITALS NHS FOUNDATION TRUST"/>
    <n v="16266"/>
    <n v="8289"/>
    <n v="7834"/>
    <n v="157"/>
    <n v="1918"/>
    <n v="852"/>
    <d v="2025-05-01T00:00:00"/>
    <s v="Q1"/>
    <x v="0"/>
    <n v="0.4816180991024222"/>
    <n v="24555"/>
    <n v="2"/>
    <n v="5.2379195868683143E-2"/>
  </r>
  <r>
    <x v="1"/>
    <s v="RDR"/>
    <x v="0"/>
    <s v="SUSSEX COMMUNITY NHS FOUNDATION TRUST"/>
    <n v="0"/>
    <n v="12214"/>
    <n v="0"/>
    <n v="165"/>
    <n v="0"/>
    <n v="0"/>
    <d v="2025-05-01T00:00:00"/>
    <s v="Q1"/>
    <x v="0"/>
    <n v="0"/>
    <n v="12214"/>
    <n v="2"/>
    <n v="0"/>
  </r>
  <r>
    <x v="1"/>
    <s v="RAT"/>
    <x v="4"/>
    <s v="NORTH EAST LONDON NHS FOUNDATION TRUST"/>
    <n v="0"/>
    <n v="2020"/>
    <n v="0"/>
    <n v="80"/>
    <n v="0"/>
    <n v="0"/>
    <d v="2025-05-01T00:00:00"/>
    <s v="Q1"/>
    <x v="0"/>
    <n v="0"/>
    <n v="2020"/>
    <n v="2"/>
    <n v="0"/>
  </r>
  <r>
    <x v="1"/>
    <s v="RAJ"/>
    <x v="2"/>
    <s v="MID AND SOUTH ESSEX NHS FOUNDATION TRUST"/>
    <n v="31033"/>
    <n v="4064"/>
    <n v="10241"/>
    <n v="108"/>
    <n v="2666"/>
    <n v="378"/>
    <d v="2025-05-01T00:00:00"/>
    <s v="Q1"/>
    <x v="0"/>
    <n v="0.33000354461379822"/>
    <n v="35097"/>
    <n v="2"/>
    <n v="1.2180581961138144E-2"/>
  </r>
  <r>
    <x v="1"/>
    <s v="RTX"/>
    <x v="3"/>
    <s v="UNIVERSITY HOSPITALS OF MORECAMBE BAY NHS FOUNDATION TRUST"/>
    <n v="9591"/>
    <n v="3251"/>
    <n v="3396"/>
    <n v="109"/>
    <n v="622"/>
    <n v="280"/>
    <d v="2025-05-01T00:00:00"/>
    <s v="Q1"/>
    <x v="0"/>
    <n v="0.35408195182984048"/>
    <n v="12842"/>
    <n v="2"/>
    <n v="2.9194036075487435E-2"/>
  </r>
  <r>
    <x v="1"/>
    <s v="C83023"/>
    <x v="5"/>
    <s v="SLEAFORD MEDICAL GROUP"/>
    <n v="0"/>
    <n v="537"/>
    <n v="0"/>
    <n v="0"/>
    <n v="0"/>
    <n v="0"/>
    <d v="2025-05-01T00:00:00"/>
    <s v="Q1"/>
    <x v="0"/>
    <n v="0"/>
    <n v="537"/>
    <n v="2"/>
    <n v="0"/>
  </r>
  <r>
    <x v="1"/>
    <s v="NNJ"/>
    <x v="5"/>
    <s v="DHU HEALTH CARE C.I.C"/>
    <n v="0"/>
    <n v="2031"/>
    <n v="0"/>
    <n v="0"/>
    <n v="0"/>
    <n v="0"/>
    <d v="2025-05-01T00:00:00"/>
    <s v="Q1"/>
    <x v="0"/>
    <n v="0"/>
    <n v="2031"/>
    <n v="2"/>
    <n v="0"/>
  </r>
  <r>
    <x v="1"/>
    <s v="R1D"/>
    <x v="5"/>
    <s v="SHROPSHIRE COMMUNITY HEALTH NHS TRUST"/>
    <n v="0"/>
    <n v="3432"/>
    <n v="0"/>
    <n v="59"/>
    <n v="0"/>
    <n v="0"/>
    <d v="2025-05-01T00:00:00"/>
    <s v="Q1"/>
    <x v="0"/>
    <n v="0"/>
    <n v="3432"/>
    <n v="2"/>
    <n v="0"/>
  </r>
  <r>
    <x v="1"/>
    <s v="RLT"/>
    <x v="5"/>
    <s v="GEORGE ELIOT HOSPITAL NHS TRUST"/>
    <n v="7048"/>
    <n v="1704"/>
    <n v="2766"/>
    <n v="46"/>
    <n v="426"/>
    <n v="284"/>
    <d v="2025-05-01T00:00:00"/>
    <s v="Q1"/>
    <x v="0"/>
    <n v="0.39245175936435867"/>
    <n v="8752"/>
    <n v="2"/>
    <n v="4.0295119182746877E-2"/>
  </r>
  <r>
    <x v="1"/>
    <s v="RFS"/>
    <x v="5"/>
    <s v="CHESTERFIELD ROYAL HOSPITAL NHS FOUNDATION TRUST"/>
    <n v="7119"/>
    <n v="6319"/>
    <n v="3319"/>
    <n v="321"/>
    <n v="878"/>
    <n v="95"/>
    <d v="2025-05-01T00:00:00"/>
    <s v="Q1"/>
    <x v="0"/>
    <n v="0.46621716533220958"/>
    <n v="13438"/>
    <n v="2"/>
    <n v="1.3344570866694761E-2"/>
  </r>
  <r>
    <x v="1"/>
    <s v="Y03007"/>
    <x v="5"/>
    <s v="ERDINGTON GP HEALTH &amp; WELLBEING WIC"/>
    <n v="0"/>
    <n v="0"/>
    <n v="0"/>
    <n v="0"/>
    <n v="0"/>
    <n v="0"/>
    <d v="2025-05-01T00:00:00"/>
    <s v="Q1"/>
    <x v="0"/>
    <n v="0"/>
    <n v="0"/>
    <n v="2"/>
    <n v="0"/>
  </r>
  <r>
    <x v="1"/>
    <s v="8J094"/>
    <x v="5"/>
    <s v="BADGER LTD"/>
    <n v="0"/>
    <n v="0"/>
    <n v="0"/>
    <n v="0"/>
    <n v="0"/>
    <n v="0"/>
    <d v="2025-05-01T00:00:00"/>
    <s v="Q1"/>
    <x v="0"/>
    <n v="0"/>
    <n v="0"/>
    <n v="2"/>
    <n v="0"/>
  </r>
  <r>
    <x v="1"/>
    <s v="RHU"/>
    <x v="0"/>
    <s v="PORTSMOUTH HOSPITALS UNIVERSITY NHS TRUST"/>
    <n v="10593"/>
    <n v="3136"/>
    <n v="4126"/>
    <n v="29"/>
    <n v="1032"/>
    <n v="373"/>
    <d v="2025-05-01T00:00:00"/>
    <s v="Q1"/>
    <x v="0"/>
    <n v="0.38950250165203437"/>
    <n v="13729"/>
    <n v="2"/>
    <n v="3.5211932408194091E-2"/>
  </r>
  <r>
    <x v="1"/>
    <s v="R1K"/>
    <x v="4"/>
    <s v="LONDON NORTH WEST UNIVERSITY HEALTHCARE NHS TRUST"/>
    <n v="14049"/>
    <n v="15575"/>
    <n v="7049"/>
    <n v="142"/>
    <n v="650"/>
    <n v="403"/>
    <d v="2025-05-01T00:00:00"/>
    <s v="Q1"/>
    <x v="0"/>
    <n v="0.50174389636273042"/>
    <n v="29624"/>
    <n v="2"/>
    <n v="2.8685315680831377E-2"/>
  </r>
  <r>
    <x v="1"/>
    <s v="R1H"/>
    <x v="4"/>
    <s v="BARTS HEALTH NHS TRUST"/>
    <n v="25866"/>
    <n v="19100"/>
    <n v="11713"/>
    <n v="1900"/>
    <n v="1229"/>
    <n v="988"/>
    <d v="2025-05-01T00:00:00"/>
    <s v="Q1"/>
    <x v="0"/>
    <n v="0.45283383592360626"/>
    <n v="44966"/>
    <n v="2"/>
    <n v="3.8196860743833605E-2"/>
  </r>
  <r>
    <x v="1"/>
    <s v="RBL"/>
    <x v="3"/>
    <s v="WIRRAL UNIVERSITY TEACHING HOSPITAL NHS FOUNDATION TRUST"/>
    <n v="7728"/>
    <n v="3086"/>
    <n v="3975"/>
    <n v="86"/>
    <n v="451"/>
    <n v="827"/>
    <d v="2025-05-01T00:00:00"/>
    <s v="Q1"/>
    <x v="0"/>
    <n v="0.51436335403726707"/>
    <n v="10814"/>
    <n v="2"/>
    <n v="0.10701345755693582"/>
  </r>
  <r>
    <x v="1"/>
    <s v="RTH"/>
    <x v="0"/>
    <s v="OXFORD UNIVERSITY HOSPITALS NHS FOUNDATION TRUST"/>
    <n v="12792"/>
    <n v="3777"/>
    <n v="4421"/>
    <n v="10"/>
    <n v="714"/>
    <n v="0"/>
    <d v="2025-05-01T00:00:00"/>
    <s v="Q1"/>
    <x v="0"/>
    <n v="0.34560662914321449"/>
    <n v="16569"/>
    <n v="2"/>
    <n v="0"/>
  </r>
  <r>
    <x v="1"/>
    <s v="RPC"/>
    <x v="0"/>
    <s v="QUEEN VICTORIA HOSPITAL NHS FOUNDATION TRUST"/>
    <n v="0"/>
    <n v="1544"/>
    <n v="0"/>
    <n v="33"/>
    <n v="0"/>
    <n v="0"/>
    <d v="2025-05-01T00:00:00"/>
    <s v="Q1"/>
    <x v="0"/>
    <n v="0"/>
    <n v="1544"/>
    <n v="2"/>
    <n v="0"/>
  </r>
  <r>
    <x v="1"/>
    <s v="R0D"/>
    <x v="1"/>
    <s v="UNIVERSITY HOSPITALS DORSET NHS FOUNDATION TRUST"/>
    <n v="14445"/>
    <n v="5561"/>
    <n v="5845"/>
    <n v="0"/>
    <n v="752"/>
    <n v="127"/>
    <d v="2025-05-01T00:00:00"/>
    <s v="Q1"/>
    <x v="0"/>
    <n v="0.40463828314295602"/>
    <n v="20006"/>
    <n v="2"/>
    <n v="8.7919695396330919E-3"/>
  </r>
  <r>
    <x v="1"/>
    <s v="RRV"/>
    <x v="4"/>
    <s v="UNIVERSITY COLLEGE LONDON HOSPITALS NHS FOUNDATION TRUST"/>
    <n v="13685"/>
    <n v="0"/>
    <n v="4240"/>
    <n v="0"/>
    <n v="398"/>
    <n v="141"/>
    <d v="2025-05-01T00:00:00"/>
    <s v="Q1"/>
    <x v="0"/>
    <n v="0.30982827913774208"/>
    <n v="13685"/>
    <n v="2"/>
    <n v="1.0303251735476799E-2"/>
  </r>
  <r>
    <x v="1"/>
    <s v="RH5"/>
    <x v="1"/>
    <s v="SOMERSET NHS FOUNDATION TRUST"/>
    <n v="13063"/>
    <n v="9703"/>
    <n v="5905"/>
    <n v="246"/>
    <n v="518"/>
    <n v="139"/>
    <d v="2025-05-01T00:00:00"/>
    <s v="Q1"/>
    <x v="0"/>
    <n v="0.4520401132970987"/>
    <n v="22766"/>
    <n v="2"/>
    <n v="1.0640741024267014E-2"/>
  </r>
  <r>
    <x v="1"/>
    <s v="RDE"/>
    <x v="2"/>
    <s v="EAST SUFFOLK AND NORTH ESSEX NHS FOUNDATION TRUST"/>
    <n v="11965"/>
    <n v="14416"/>
    <n v="5845"/>
    <n v="402"/>
    <n v="993"/>
    <n v="470"/>
    <d v="2025-05-01T00:00:00"/>
    <s v="Q1"/>
    <x v="0"/>
    <n v="0.4885081487672378"/>
    <n v="26381"/>
    <n v="2"/>
    <n v="3.9281236941078143E-2"/>
  </r>
  <r>
    <x v="1"/>
    <s v="RX1"/>
    <x v="5"/>
    <s v="NOTTINGHAM UNIVERSITY HOSPITALS NHS TRUST"/>
    <n v="13644"/>
    <n v="0"/>
    <n v="6813"/>
    <n v="0"/>
    <n v="311"/>
    <n v="460"/>
    <d v="2025-05-01T00:00:00"/>
    <s v="Q1"/>
    <x v="0"/>
    <n v="0.49934036939313986"/>
    <n v="13644"/>
    <n v="2"/>
    <n v="3.3714453239519201E-2"/>
  </r>
  <r>
    <x v="1"/>
    <s v="RWJ"/>
    <x v="3"/>
    <s v="STOCKPORT NHS FOUNDATION TRUST"/>
    <n v="8299"/>
    <n v="1098"/>
    <n v="3564"/>
    <n v="77"/>
    <n v="834"/>
    <n v="316"/>
    <d v="2025-05-01T00:00:00"/>
    <s v="Q1"/>
    <x v="0"/>
    <n v="0.42944933124472828"/>
    <n v="9397"/>
    <n v="2"/>
    <n v="3.8076876732136403E-2"/>
  </r>
  <r>
    <x v="1"/>
    <s v="RVR"/>
    <x v="4"/>
    <s v="EPSOM AND ST HELIER UNIVERSITY HOSPITALS NHS TRUST"/>
    <n v="11686"/>
    <n v="1714"/>
    <n v="4163"/>
    <n v="29"/>
    <n v="438"/>
    <n v="975"/>
    <d v="2025-05-01T00:00:00"/>
    <s v="Q1"/>
    <x v="0"/>
    <n v="0.35623823378401503"/>
    <n v="13400"/>
    <n v="2"/>
    <n v="8.343316789320554E-2"/>
  </r>
  <r>
    <x v="1"/>
    <s v="RRF"/>
    <x v="3"/>
    <s v="WRIGHTINGTON, WIGAN AND LEIGH NHS FOUNDATION TRUST"/>
    <n v="7397"/>
    <n v="5398"/>
    <n v="3496"/>
    <n v="59"/>
    <n v="1193"/>
    <n v="367"/>
    <d v="2025-05-01T00:00:00"/>
    <s v="Q1"/>
    <x v="0"/>
    <n v="0.4726240367716642"/>
    <n v="12795"/>
    <n v="2"/>
    <n v="4.9614708665675272E-2"/>
  </r>
  <r>
    <x v="1"/>
    <s v="RJ7"/>
    <x v="4"/>
    <s v="ST GEORGE'S UNIVERSITY HOSPITALS NHS FOUNDATION TRUST"/>
    <n v="8770"/>
    <n v="3900"/>
    <n v="2775"/>
    <n v="0"/>
    <n v="497"/>
    <n v="836"/>
    <d v="2025-05-01T00:00:00"/>
    <s v="Q1"/>
    <x v="0"/>
    <n v="0.31641961231470922"/>
    <n v="12670"/>
    <n v="2"/>
    <n v="9.5324971493728622E-2"/>
  </r>
  <r>
    <x v="1"/>
    <s v="RGT"/>
    <x v="2"/>
    <s v="CAMBRIDGE UNIVERSITY HOSPITALS NHS FOUNDATION TRUST"/>
    <n v="10784"/>
    <n v="5981"/>
    <n v="4546"/>
    <n v="93"/>
    <n v="589"/>
    <n v="207"/>
    <d v="2025-05-01T00:00:00"/>
    <s v="Q1"/>
    <x v="0"/>
    <n v="0.42155044510385759"/>
    <n v="16765"/>
    <n v="2"/>
    <n v="1.9195103857566766E-2"/>
  </r>
  <r>
    <x v="1"/>
    <s v="RD1"/>
    <x v="1"/>
    <s v="ROYAL UNITED HOSPITALS BATH NHS FOUNDATION TRUST"/>
    <n v="9233"/>
    <n v="0"/>
    <n v="3836"/>
    <n v="0"/>
    <n v="803"/>
    <n v="83"/>
    <d v="2025-05-01T00:00:00"/>
    <s v="Q1"/>
    <x v="0"/>
    <n v="0.41546626231993933"/>
    <n v="9233"/>
    <n v="2"/>
    <n v="8.9894942055669877E-3"/>
  </r>
  <r>
    <x v="1"/>
    <s v="RCF"/>
    <x v="6"/>
    <s v="AIREDALE NHS FOUNDATION TRUST"/>
    <n v="6214"/>
    <n v="0"/>
    <n v="2200"/>
    <n v="0"/>
    <n v="270"/>
    <n v="47"/>
    <d v="2025-05-01T00:00:00"/>
    <s v="Q1"/>
    <x v="0"/>
    <n v="0.3540392661731574"/>
    <n v="6214"/>
    <n v="2"/>
    <n v="7.5635661409719987E-3"/>
  </r>
  <r>
    <x v="1"/>
    <s v="RM3"/>
    <x v="3"/>
    <s v="NORTHERN CARE ALLIANCE NHS FOUNDATION TRUST"/>
    <n v="26590"/>
    <n v="8696"/>
    <n v="10741"/>
    <n v="503"/>
    <n v="1156"/>
    <n v="1113"/>
    <d v="2025-05-01T00:00:00"/>
    <s v="Q1"/>
    <x v="0"/>
    <n v="0.4039488529522377"/>
    <n v="35286"/>
    <n v="2"/>
    <n v="4.1857841293719444E-2"/>
  </r>
  <r>
    <x v="1"/>
    <s v="K6K0R"/>
    <x v="4"/>
    <s v="HAROLD WOOD POLYCLINIC UTC"/>
    <n v="0"/>
    <n v="2625"/>
    <n v="0"/>
    <n v="18"/>
    <n v="0"/>
    <n v="0"/>
    <d v="2025-05-01T00:00:00"/>
    <s v="Q1"/>
    <x v="0"/>
    <n v="0"/>
    <n v="2625"/>
    <n v="2"/>
    <n v="0"/>
  </r>
  <r>
    <x v="1"/>
    <s v="RYJ"/>
    <x v="4"/>
    <s v="IMPERIAL COLLEGE HEALTHCARE NHS TRUST"/>
    <n v="12279"/>
    <n v="7480"/>
    <n v="5451"/>
    <n v="443"/>
    <n v="749"/>
    <n v="366"/>
    <d v="2025-05-01T00:00:00"/>
    <s v="Q1"/>
    <x v="0"/>
    <n v="0.4439286586855607"/>
    <n v="19759"/>
    <n v="2"/>
    <n v="2.9806987539701929E-2"/>
  </r>
  <r>
    <x v="1"/>
    <s v="Y02147"/>
    <x v="4"/>
    <s v="URGENT CARE CENTRE (QMS)"/>
    <n v="0"/>
    <n v="8062"/>
    <n v="0"/>
    <n v="125"/>
    <n v="0"/>
    <n v="0"/>
    <d v="2025-05-01T00:00:00"/>
    <s v="Q1"/>
    <x v="0"/>
    <n v="0"/>
    <n v="8062"/>
    <n v="2"/>
    <n v="0"/>
  </r>
  <r>
    <x v="1"/>
    <s v="NNJ15"/>
    <x v="5"/>
    <s v="OAKHAM"/>
    <n v="0"/>
    <n v="83"/>
    <n v="0"/>
    <n v="0"/>
    <n v="0"/>
    <n v="0"/>
    <d v="2025-05-01T00:00:00"/>
    <s v="Q1"/>
    <x v="0"/>
    <n v="0"/>
    <n v="83"/>
    <n v="2"/>
    <n v="0"/>
  </r>
  <r>
    <x v="1"/>
    <s v="NNJ14"/>
    <x v="5"/>
    <s v="OADBY"/>
    <n v="0"/>
    <n v="598"/>
    <n v="0"/>
    <n v="0"/>
    <n v="0"/>
    <n v="0"/>
    <d v="2025-05-01T00:00:00"/>
    <s v="Q1"/>
    <x v="0"/>
    <n v="0"/>
    <n v="598"/>
    <n v="2"/>
    <n v="0"/>
  </r>
  <r>
    <x v="1"/>
    <s v="NNJ13"/>
    <x v="5"/>
    <s v="MELTON MOWBRAY"/>
    <n v="0"/>
    <n v="65"/>
    <n v="0"/>
    <n v="0"/>
    <n v="0"/>
    <n v="0"/>
    <d v="2025-05-01T00:00:00"/>
    <s v="Q1"/>
    <x v="0"/>
    <n v="0"/>
    <n v="65"/>
    <n v="2"/>
    <n v="0"/>
  </r>
  <r>
    <x v="1"/>
    <s v="NNJ12"/>
    <x v="5"/>
    <s v="MARKET HARBOROUGH"/>
    <n v="0"/>
    <n v="128"/>
    <n v="0"/>
    <n v="0"/>
    <n v="0"/>
    <n v="0"/>
    <d v="2025-05-01T00:00:00"/>
    <s v="Q1"/>
    <x v="0"/>
    <n v="0"/>
    <n v="128"/>
    <n v="2"/>
    <n v="0"/>
  </r>
  <r>
    <x v="1"/>
    <s v="NNJ0H"/>
    <x v="5"/>
    <s v="LLR EA - THE MERLYN VAZ HEALTH &amp; SOCIAL CARE CENTRE"/>
    <n v="0"/>
    <n v="209"/>
    <n v="0"/>
    <n v="0"/>
    <n v="0"/>
    <n v="0"/>
    <d v="2025-05-01T00:00:00"/>
    <s v="Q1"/>
    <x v="0"/>
    <n v="0"/>
    <n v="209"/>
    <n v="2"/>
    <n v="0"/>
  </r>
  <r>
    <x v="1"/>
    <s v="NNJ07"/>
    <x v="5"/>
    <s v="LOUGHBOROUGH URGENT CARE CENTRE"/>
    <n v="0"/>
    <n v="5526"/>
    <n v="0"/>
    <n v="23"/>
    <n v="0"/>
    <n v="0"/>
    <d v="2025-05-01T00:00:00"/>
    <s v="Q1"/>
    <x v="0"/>
    <n v="0"/>
    <n v="5526"/>
    <n v="2"/>
    <n v="0"/>
  </r>
  <r>
    <x v="1"/>
    <s v="G3P9C"/>
    <x v="1"/>
    <s v="TROWBRIDGE MINOR INJURIES UNIT"/>
    <n v="0"/>
    <n v="980"/>
    <n v="0"/>
    <n v="1"/>
    <n v="0"/>
    <n v="0"/>
    <d v="2025-05-01T00:00:00"/>
    <s v="Q1"/>
    <x v="0"/>
    <n v="0"/>
    <n v="980"/>
    <n v="2"/>
    <n v="0"/>
  </r>
  <r>
    <x v="1"/>
    <s v="ACH01"/>
    <x v="0"/>
    <s v="WHITSTABLE MEDICAL PRACTICE"/>
    <n v="0"/>
    <n v="5069"/>
    <n v="0"/>
    <n v="0"/>
    <n v="0"/>
    <n v="0"/>
    <d v="2025-05-01T00:00:00"/>
    <s v="Q1"/>
    <x v="0"/>
    <n v="0"/>
    <n v="5069"/>
    <n v="2"/>
    <n v="0"/>
  </r>
  <r>
    <x v="1"/>
    <s v="RYR"/>
    <x v="0"/>
    <s v="UNIVERSITY HOSPITALS SUSSEX NHS FOUNDATION TRUST"/>
    <n v="27027"/>
    <n v="2028"/>
    <n v="9659"/>
    <n v="211"/>
    <n v="720"/>
    <n v="588"/>
    <d v="2025-05-01T00:00:00"/>
    <s v="Q1"/>
    <x v="0"/>
    <n v="0.35738335738335736"/>
    <n v="29055"/>
    <n v="2"/>
    <n v="2.1756021756021756E-2"/>
  </r>
  <r>
    <x v="1"/>
    <s v="RXR"/>
    <x v="3"/>
    <s v="EAST LANCASHIRE HOSPITALS NHS TRUST"/>
    <n v="13655"/>
    <n v="11300"/>
    <n v="4634"/>
    <n v="440"/>
    <n v="532"/>
    <n v="1119"/>
    <d v="2025-05-01T00:00:00"/>
    <s v="Q1"/>
    <x v="0"/>
    <n v="0.33936287074331745"/>
    <n v="24955"/>
    <n v="2"/>
    <n v="8.1948004393994869E-2"/>
  </r>
  <r>
    <x v="1"/>
    <s v="RXQ"/>
    <x v="0"/>
    <s v="BUCKINGHAMSHIRE HEALTHCARE NHS TRUST"/>
    <n v="10764"/>
    <n v="3107"/>
    <n v="3303"/>
    <n v="95"/>
    <n v="275"/>
    <n v="252"/>
    <d v="2025-05-01T00:00:00"/>
    <s v="Q1"/>
    <x v="0"/>
    <n v="0.30685618729096992"/>
    <n v="13871"/>
    <n v="2"/>
    <n v="2.3411371237458192E-2"/>
  </r>
  <r>
    <x v="1"/>
    <s v="RXL"/>
    <x v="3"/>
    <s v="BLACKPOOL TEACHING HOSPITALS NHS FOUNDATION TRUST"/>
    <n v="9115"/>
    <n v="10342"/>
    <n v="4185"/>
    <n v="70"/>
    <n v="677"/>
    <n v="367"/>
    <d v="2025-05-01T00:00:00"/>
    <s v="Q1"/>
    <x v="0"/>
    <n v="0.4591332967635765"/>
    <n v="19457"/>
    <n v="2"/>
    <n v="4.0263302249040046E-2"/>
  </r>
  <r>
    <x v="1"/>
    <s v="RXG"/>
    <x v="6"/>
    <s v="SOUTH WEST YORKSHIRE PARTNERSHIP NHS FOUNDATION TRUST"/>
    <n v="0"/>
    <n v="0"/>
    <n v="0"/>
    <n v="0"/>
    <n v="0"/>
    <n v="0"/>
    <d v="2025-05-01T00:00:00"/>
    <s v="Q1"/>
    <x v="0"/>
    <n v="0"/>
    <n v="0"/>
    <n v="2"/>
    <n v="0"/>
  </r>
  <r>
    <x v="1"/>
    <s v="RXF"/>
    <x v="6"/>
    <s v="MID YORKSHIRE TEACHING NHS TRUST"/>
    <n v="17183"/>
    <n v="6434"/>
    <n v="6363"/>
    <n v="139"/>
    <n v="1995"/>
    <n v="175"/>
    <d v="2025-05-01T00:00:00"/>
    <s v="Q1"/>
    <x v="0"/>
    <n v="0.37030786242216146"/>
    <n v="23617"/>
    <n v="2"/>
    <n v="1.0184484665075946E-2"/>
  </r>
  <r>
    <x v="1"/>
    <s v="RWX"/>
    <x v="0"/>
    <s v="BERKSHIRE HEALTHCARE NHS FOUNDATION TRUST"/>
    <n v="0"/>
    <n v="1662"/>
    <n v="0"/>
    <n v="8"/>
    <n v="0"/>
    <n v="0"/>
    <d v="2025-05-01T00:00:00"/>
    <s v="Q1"/>
    <x v="0"/>
    <n v="0"/>
    <n v="1662"/>
    <n v="2"/>
    <n v="0"/>
  </r>
  <r>
    <x v="1"/>
    <s v="RWF"/>
    <x v="0"/>
    <s v="MAIDSTONE AND TUNBRIDGE WELLS NHS TRUST"/>
    <n v="18728"/>
    <n v="2370"/>
    <n v="3906"/>
    <n v="26"/>
    <n v="1010"/>
    <n v="111"/>
    <d v="2025-05-01T00:00:00"/>
    <s v="Q1"/>
    <x v="0"/>
    <n v="0.20856471593336182"/>
    <n v="21098"/>
    <n v="2"/>
    <n v="5.9269542930371639E-3"/>
  </r>
  <r>
    <x v="1"/>
    <s v="RWE"/>
    <x v="5"/>
    <s v="UNIVERSITY HOSPITALS OF LEICESTER NHS TRUST"/>
    <n v="22382"/>
    <n v="0"/>
    <n v="9216"/>
    <n v="0"/>
    <n v="1435"/>
    <n v="609"/>
    <d v="2025-05-01T00:00:00"/>
    <s v="Q1"/>
    <x v="0"/>
    <n v="0.41175944955768029"/>
    <n v="22382"/>
    <n v="2"/>
    <n v="2.7209364668036817E-2"/>
  </r>
  <r>
    <x v="1"/>
    <s v="RVW"/>
    <x v="6"/>
    <s v="NORTH TEES AND HARTLEPOOL NHS FOUNDATION TRUST"/>
    <n v="4893"/>
    <n v="11483"/>
    <n v="2330"/>
    <n v="18"/>
    <n v="161"/>
    <n v="1"/>
    <d v="2025-05-01T00:00:00"/>
    <s v="Q1"/>
    <x v="0"/>
    <n v="0.47619047619047616"/>
    <n v="16376"/>
    <n v="2"/>
    <n v="2.0437359493153485E-4"/>
  </r>
  <r>
    <x v="1"/>
    <s v="RVV"/>
    <x v="0"/>
    <s v="EAST KENT HOSPITALS UNIVERSITY NHS FOUNDATION TRUST"/>
    <n v="12541"/>
    <n v="13343"/>
    <n v="5695"/>
    <n v="358"/>
    <n v="452"/>
    <n v="1210"/>
    <d v="2025-05-01T00:00:00"/>
    <s v="Q1"/>
    <x v="0"/>
    <n v="0.45411051750259152"/>
    <n v="25884"/>
    <n v="2"/>
    <n v="9.6483534008452276E-2"/>
  </r>
  <r>
    <x v="1"/>
    <s v="RVJ"/>
    <x v="1"/>
    <s v="NORTH BRISTOL NHS TRUST"/>
    <n v="9454"/>
    <n v="0"/>
    <n v="3458"/>
    <n v="0"/>
    <n v="603"/>
    <n v="366"/>
    <d v="2025-05-01T00:00:00"/>
    <s v="Q1"/>
    <x v="0"/>
    <n v="0.36577110217897185"/>
    <n v="9454"/>
    <n v="2"/>
    <n v="3.8713771948381638E-2"/>
  </r>
  <r>
    <x v="1"/>
    <s v="G0Q0L"/>
    <x v="4"/>
    <s v="BARKING HOSPITAL UTC"/>
    <n v="0"/>
    <n v="2788"/>
    <n v="0"/>
    <n v="34"/>
    <n v="0"/>
    <n v="0"/>
    <d v="2025-05-01T00:00:00"/>
    <s v="Q1"/>
    <x v="0"/>
    <n v="0"/>
    <n v="2788"/>
    <n v="2"/>
    <n v="0"/>
  </r>
  <r>
    <x v="1"/>
    <s v="NQT1I"/>
    <x v="1"/>
    <s v="CHIPPENHAM COMMUNITY HOSPITAL"/>
    <n v="0"/>
    <n v="1761"/>
    <n v="0"/>
    <n v="20"/>
    <n v="0"/>
    <n v="0"/>
    <d v="2025-05-01T00:00:00"/>
    <s v="Q1"/>
    <x v="0"/>
    <n v="0"/>
    <n v="1761"/>
    <n v="2"/>
    <n v="0"/>
  </r>
  <r>
    <x v="1"/>
    <s v="RA2"/>
    <x v="0"/>
    <s v="ROYAL SURREY COUNTY HOSPITAL NHS FOUNDATION TRUST"/>
    <n v="6751"/>
    <n v="1863"/>
    <n v="2154"/>
    <n v="0"/>
    <n v="372"/>
    <n v="12"/>
    <d v="2025-05-01T00:00:00"/>
    <s v="Q1"/>
    <x v="0"/>
    <n v="0.31906384239371943"/>
    <n v="8614"/>
    <n v="2"/>
    <n v="1.7775144423048438E-3"/>
  </r>
  <r>
    <x v="1"/>
    <s v="A5D4Q"/>
    <x v="5"/>
    <s v="NEMS UTC"/>
    <n v="0"/>
    <n v="3404"/>
    <n v="0"/>
    <n v="776"/>
    <n v="0"/>
    <n v="0"/>
    <d v="2025-05-01T00:00:00"/>
    <s v="Q1"/>
    <x v="0"/>
    <n v="0"/>
    <n v="3404"/>
    <n v="2"/>
    <n v="0"/>
  </r>
  <r>
    <x v="1"/>
    <s v="RC9"/>
    <x v="2"/>
    <s v="BEDFORDSHIRE HOSPITALS NHS FOUNDATION TRUST"/>
    <n v="16670"/>
    <n v="8159"/>
    <n v="6174"/>
    <n v="0"/>
    <n v="82"/>
    <n v="5"/>
    <d v="2025-05-01T00:00:00"/>
    <s v="Q1"/>
    <x v="0"/>
    <n v="0.37036592681463709"/>
    <n v="24829"/>
    <n v="2"/>
    <n v="2.9994001199760045E-4"/>
  </r>
  <r>
    <x v="1"/>
    <s v="RAL"/>
    <x v="4"/>
    <s v="ROYAL FREE LONDON NHS FOUNDATION TRUST"/>
    <n v="25947"/>
    <n v="16664"/>
    <n v="9265"/>
    <n v="774"/>
    <n v="1234"/>
    <n v="1606"/>
    <d v="2025-05-01T00:00:00"/>
    <s v="Q1"/>
    <x v="0"/>
    <n v="0.3570740355339731"/>
    <n v="42611"/>
    <n v="2"/>
    <n v="6.1895402165953677E-2"/>
  </r>
  <r>
    <x v="1"/>
    <s v="RYG"/>
    <x v="5"/>
    <s v="COVENTRY AND WARWICKSHIRE PARTNERSHIP NHS TRUST"/>
    <n v="0"/>
    <n v="0"/>
    <n v="0"/>
    <n v="0"/>
    <n v="0"/>
    <n v="0"/>
    <d v="2025-05-01T00:00:00"/>
    <s v="Q1"/>
    <x v="0"/>
    <n v="0"/>
    <n v="0"/>
    <n v="2"/>
    <n v="0"/>
  </r>
  <r>
    <x v="1"/>
    <s v="RY4"/>
    <x v="2"/>
    <s v="HERTFORDSHIRE COMMUNITY NHS TRUST"/>
    <n v="0"/>
    <n v="1194"/>
    <n v="0"/>
    <n v="91"/>
    <n v="0"/>
    <n v="0"/>
    <d v="2025-05-01T00:00:00"/>
    <s v="Q1"/>
    <x v="0"/>
    <n v="0"/>
    <n v="1194"/>
    <n v="2"/>
    <n v="0"/>
  </r>
  <r>
    <x v="1"/>
    <s v="RXW"/>
    <x v="5"/>
    <s v="THE SHREWSBURY AND TELFORD HOSPITAL NHS TRUST"/>
    <n v="11139"/>
    <n v="2719"/>
    <n v="6432"/>
    <n v="567"/>
    <n v="488"/>
    <n v="1379"/>
    <d v="2025-05-01T00:00:00"/>
    <s v="Q1"/>
    <x v="0"/>
    <n v="0.57743064907083219"/>
    <n v="13858"/>
    <n v="2"/>
    <n v="0.12379926384774216"/>
  </r>
  <r>
    <x v="1"/>
    <s v="RWW"/>
    <x v="3"/>
    <s v="WARRINGTON AND HALTON TEACHING HOSPITALS NHS FOUNDATION TRUST"/>
    <n v="7196"/>
    <n v="3319"/>
    <n v="3702"/>
    <n v="45"/>
    <n v="804"/>
    <n v="760"/>
    <d v="2025-05-01T00:00:00"/>
    <s v="Q1"/>
    <x v="0"/>
    <n v="0.51445247359644242"/>
    <n v="10515"/>
    <n v="2"/>
    <n v="0.1056142301278488"/>
  </r>
  <r>
    <x v="1"/>
    <s v="RWG"/>
    <x v="2"/>
    <s v="WEST HERTFORDSHIRE TEACHING HOSPITALS NHS TRUST"/>
    <n v="8361"/>
    <n v="7948"/>
    <n v="2756"/>
    <n v="33"/>
    <n v="762"/>
    <n v="30"/>
    <d v="2025-05-01T00:00:00"/>
    <s v="Q1"/>
    <x v="0"/>
    <n v="0.32962564286568591"/>
    <n v="16309"/>
    <n v="2"/>
    <n v="3.5880875493362039E-3"/>
  </r>
  <r>
    <x v="1"/>
    <s v="RWD"/>
    <x v="5"/>
    <s v="UNITED LINCOLNSHIRE TEACHING HOSPITALS NHS TRUST"/>
    <n v="17298"/>
    <n v="3864"/>
    <n v="6855"/>
    <n v="350"/>
    <n v="1075"/>
    <n v="942"/>
    <d v="2025-05-01T00:00:00"/>
    <s v="Q1"/>
    <x v="0"/>
    <n v="0.39628858827610131"/>
    <n v="21162"/>
    <n v="2"/>
    <n v="5.4457162677766215E-2"/>
  </r>
  <r>
    <x v="1"/>
    <s v="RTG"/>
    <x v="5"/>
    <s v="UNIVERSITY HOSPITALS OF DERBY AND BURTON NHS FOUNDATION TRUST"/>
    <n v="18783"/>
    <n v="9789"/>
    <n v="8654"/>
    <n v="3"/>
    <n v="1123"/>
    <n v="850"/>
    <d v="2025-05-01T00:00:00"/>
    <s v="Q1"/>
    <x v="0"/>
    <n v="0.46073577170845975"/>
    <n v="28572"/>
    <n v="2"/>
    <n v="4.5253686844487037E-2"/>
  </r>
  <r>
    <x v="1"/>
    <s v="RTE"/>
    <x v="1"/>
    <s v="GLOUCESTERSHIRE HOSPITALS NHS FOUNDATION TRUST"/>
    <n v="13825"/>
    <n v="0"/>
    <n v="5194"/>
    <n v="0"/>
    <n v="451"/>
    <n v="395"/>
    <d v="2025-05-01T00:00:00"/>
    <s v="Q1"/>
    <x v="0"/>
    <n v="0.3756962025316456"/>
    <n v="13825"/>
    <n v="2"/>
    <n v="2.8571428571428571E-2"/>
  </r>
  <r>
    <x v="1"/>
    <s v="RRK"/>
    <x v="5"/>
    <s v="UNIVERSITY HOSPITALS BIRMINGHAM NHS FOUNDATION TRUST"/>
    <n v="35801"/>
    <n v="1955"/>
    <n v="14957"/>
    <n v="134"/>
    <n v="2720"/>
    <n v="1863"/>
    <d v="2025-05-01T00:00:00"/>
    <s v="Q1"/>
    <x v="0"/>
    <n v="0.41778162621155834"/>
    <n v="37756"/>
    <n v="2"/>
    <n v="5.2037652579536887E-2"/>
  </r>
  <r>
    <x v="1"/>
    <s v="RR8"/>
    <x v="6"/>
    <s v="LEEDS TEACHING HOSPITALS NHS TRUST"/>
    <n v="18042"/>
    <n v="12282"/>
    <n v="7129"/>
    <n v="236"/>
    <n v="1663"/>
    <n v="331"/>
    <d v="2025-05-01T00:00:00"/>
    <s v="Q1"/>
    <x v="0"/>
    <n v="0.39513357720873515"/>
    <n v="30324"/>
    <n v="2"/>
    <n v="1.834608136570225E-2"/>
  </r>
  <r>
    <x v="1"/>
    <s v="RYY"/>
    <x v="0"/>
    <s v="KENT COMMUNITY HEALTH NHS FOUNDATION TRUST"/>
    <n v="0"/>
    <n v="9707"/>
    <n v="0"/>
    <n v="26"/>
    <n v="0"/>
    <n v="0"/>
    <d v="2025-05-01T00:00:00"/>
    <s v="Q1"/>
    <x v="0"/>
    <n v="0"/>
    <n v="9707"/>
    <n v="2"/>
    <n v="0"/>
  </r>
  <r>
    <x v="1"/>
    <s v="RQM"/>
    <x v="4"/>
    <s v="CHELSEA AND WESTMINSTER HOSPITAL NHS FOUNDATION TRUST"/>
    <n v="20275"/>
    <n v="6380"/>
    <n v="5543"/>
    <n v="65"/>
    <n v="733"/>
    <n v="55"/>
    <d v="2025-05-01T00:00:00"/>
    <s v="Q1"/>
    <x v="0"/>
    <n v="0.2733908754623921"/>
    <n v="26655"/>
    <n v="2"/>
    <n v="2.7127003699136867E-3"/>
  </r>
  <r>
    <x v="1"/>
    <s v="RR7"/>
    <x v="6"/>
    <s v="GATESHEAD HEALTH NHS FOUNDATION TRUST"/>
    <n v="5902"/>
    <n v="4034"/>
    <n v="2036"/>
    <n v="50"/>
    <n v="459"/>
    <n v="1"/>
    <d v="2025-05-01T00:00:00"/>
    <s v="Q1"/>
    <x v="0"/>
    <n v="0.34496780752287359"/>
    <n v="9936"/>
    <n v="2"/>
    <n v="1.6943409013893597E-4"/>
  </r>
  <r>
    <x v="1"/>
    <s v="RH8"/>
    <x v="1"/>
    <s v="ROYAL DEVON UNIVERSITY HEALTHCARE NHS FOUNDATION TRUST"/>
    <n v="13179"/>
    <n v="4543"/>
    <n v="5256"/>
    <n v="19"/>
    <n v="861"/>
    <n v="170"/>
    <d v="2025-05-01T00:00:00"/>
    <s v="Q1"/>
    <x v="0"/>
    <n v="0.39881629865695423"/>
    <n v="17722"/>
    <n v="2"/>
    <n v="1.289930950754989E-2"/>
  </r>
  <r>
    <x v="1"/>
    <s v="RHQ"/>
    <x v="6"/>
    <s v="SHEFFIELD TEACHING HOSPITALS NHS FOUNDATION TRUST"/>
    <n v="8804"/>
    <n v="7663"/>
    <n v="4571"/>
    <n v="217"/>
    <n v="865"/>
    <n v="9"/>
    <d v="2025-05-01T00:00:00"/>
    <s v="Q1"/>
    <x v="0"/>
    <n v="0.519195820081781"/>
    <n v="16467"/>
    <n v="2"/>
    <n v="1.0222626079054976E-3"/>
  </r>
  <r>
    <x v="1"/>
    <s v="RJ2"/>
    <x v="4"/>
    <s v="LEWISHAM AND GREENWICH NHS TRUST"/>
    <n v="15988"/>
    <n v="9699"/>
    <n v="8024"/>
    <n v="258"/>
    <n v="1305"/>
    <n v="726"/>
    <d v="2025-05-01T00:00:00"/>
    <s v="Q1"/>
    <x v="0"/>
    <n v="0.50187640730547911"/>
    <n v="25687"/>
    <n v="2"/>
    <n v="4.5409056792594445E-2"/>
  </r>
  <r>
    <x v="1"/>
    <s v="RKB"/>
    <x v="5"/>
    <s v="UNIVERSITY HOSPITALS COVENTRY AND WARWICKSHIRE NHS TRUST"/>
    <n v="12377"/>
    <n v="6215"/>
    <n v="5168"/>
    <n v="184"/>
    <n v="90"/>
    <n v="31"/>
    <d v="2025-05-01T00:00:00"/>
    <s v="Q1"/>
    <x v="0"/>
    <n v="0.41754867900137349"/>
    <n v="18592"/>
    <n v="2"/>
    <n v="2.5046457138240283E-3"/>
  </r>
  <r>
    <x v="1"/>
    <s v="RD8"/>
    <x v="2"/>
    <s v="MILTON KEYNES UNIVERSITY HOSPITAL NHS FOUNDATION TRUST"/>
    <n v="8137"/>
    <n v="4920"/>
    <n v="2996"/>
    <n v="18"/>
    <n v="726"/>
    <n v="0"/>
    <d v="2025-05-01T00:00:00"/>
    <s v="Q1"/>
    <x v="0"/>
    <n v="0.36819466633894554"/>
    <n v="13057"/>
    <n v="2"/>
    <n v="0"/>
  </r>
  <r>
    <x v="1"/>
    <s v="RNN"/>
    <x v="6"/>
    <s v="NORTH CUMBRIA INTEGRATED CARE NHS FOUNDATION TRUST"/>
    <n v="9176"/>
    <n v="2193"/>
    <n v="3794"/>
    <n v="16"/>
    <n v="657"/>
    <n v="426"/>
    <d v="2025-05-01T00:00:00"/>
    <s v="Q1"/>
    <x v="0"/>
    <n v="0.41346992153443768"/>
    <n v="11369"/>
    <n v="2"/>
    <n v="4.6425457715780299E-2"/>
  </r>
  <r>
    <x v="1"/>
    <s v="RNS"/>
    <x v="5"/>
    <s v="NORTHAMPTON GENERAL HOSPITAL NHS TRUST"/>
    <n v="10430"/>
    <n v="2171"/>
    <n v="4313"/>
    <n v="83"/>
    <n v="746"/>
    <n v="622"/>
    <d v="2025-05-01T00:00:00"/>
    <s v="Q1"/>
    <x v="0"/>
    <n v="0.41351869606903163"/>
    <n v="12601"/>
    <n v="2"/>
    <n v="5.963566634707574E-2"/>
  </r>
  <r>
    <x v="1"/>
    <s v="RNZ"/>
    <x v="1"/>
    <s v="SALISBURY NHS FOUNDATION TRUST"/>
    <n v="4928"/>
    <n v="1925"/>
    <n v="2094"/>
    <n v="0"/>
    <n v="430"/>
    <n v="53"/>
    <d v="2025-05-01T00:00:00"/>
    <s v="Q1"/>
    <x v="0"/>
    <n v="0.42491883116883117"/>
    <n v="6853"/>
    <n v="2"/>
    <n v="1.075487012987013E-2"/>
  </r>
  <r>
    <x v="1"/>
    <s v="RKE"/>
    <x v="4"/>
    <s v="WHITTINGTON HEALTH NHS TRUST"/>
    <n v="9198"/>
    <n v="0"/>
    <n v="2615"/>
    <n v="0"/>
    <n v="256"/>
    <n v="167"/>
    <d v="2025-05-01T00:00:00"/>
    <s v="Q1"/>
    <x v="0"/>
    <n v="0.2843009349858665"/>
    <n v="9198"/>
    <n v="2"/>
    <n v="1.8156120895846922E-2"/>
  </r>
  <r>
    <x v="2"/>
    <s v="RGP"/>
    <x v="2"/>
    <s v="JAMES PAGET UNIVERSITY HOSPITALS NHS FOUNDATION TRUST"/>
    <n v="7615"/>
    <n v="1279"/>
    <n v="2981"/>
    <n v="0"/>
    <n v="503"/>
    <n v="202"/>
    <d v="2025-06-01T00:00:00"/>
    <s v="Q1"/>
    <x v="1"/>
    <n v="0.39146421536441234"/>
    <n v="8894"/>
    <n v="3"/>
    <n v="2.6526592252133947E-2"/>
  </r>
  <r>
    <x v="2"/>
    <s v="RYF"/>
    <x v="1"/>
    <s v="SOUTH WESTERN AMBULANCE SERVICE NHS FOUNDATION TRUST"/>
    <n v="0"/>
    <n v="2009"/>
    <n v="0"/>
    <n v="24"/>
    <n v="0"/>
    <n v="0"/>
    <d v="2025-06-01T00:00:00"/>
    <s v="Q1"/>
    <x v="1"/>
    <n v="0"/>
    <n v="2009"/>
    <n v="3"/>
    <n v="0"/>
  </r>
  <r>
    <x v="2"/>
    <s v="RY8"/>
    <x v="5"/>
    <s v="DERBYSHIRE COMMUNITY HEALTH SERVICES NHS FOUNDATION TRUST"/>
    <n v="0"/>
    <n v="8156"/>
    <n v="0"/>
    <n v="248"/>
    <n v="0"/>
    <n v="0"/>
    <d v="2025-06-01T00:00:00"/>
    <s v="Q1"/>
    <x v="1"/>
    <n v="0"/>
    <n v="8156"/>
    <n v="3"/>
    <n v="0"/>
  </r>
  <r>
    <x v="2"/>
    <s v="RXK"/>
    <x v="5"/>
    <s v="SANDWELL AND WEST BIRMINGHAM HOSPITALS NHS TRUST"/>
    <n v="11589"/>
    <n v="8183"/>
    <n v="4324"/>
    <n v="257"/>
    <n v="629"/>
    <n v="87"/>
    <d v="2025-06-01T00:00:00"/>
    <s v="Q1"/>
    <x v="1"/>
    <n v="0.37311243420484941"/>
    <n v="19772"/>
    <n v="3"/>
    <n v="7.5071188195702824E-3"/>
  </r>
  <r>
    <x v="2"/>
    <s v="RTQ"/>
    <x v="1"/>
    <s v="GLOUCESTERSHIRE HEALTH AND CARE NHS FOUNDATION TRUST"/>
    <n v="0"/>
    <n v="8850"/>
    <n v="0"/>
    <n v="172"/>
    <n v="0"/>
    <n v="0"/>
    <d v="2025-06-01T00:00:00"/>
    <s v="Q1"/>
    <x v="1"/>
    <n v="0"/>
    <n v="8850"/>
    <n v="3"/>
    <n v="0"/>
  </r>
  <r>
    <x v="2"/>
    <s v="RR7"/>
    <x v="6"/>
    <s v="GATESHEAD HEALTH NHS FOUNDATION TRUST"/>
    <n v="6051"/>
    <n v="3871"/>
    <n v="2269"/>
    <n v="40"/>
    <n v="614"/>
    <n v="2"/>
    <d v="2025-06-01T00:00:00"/>
    <s v="Q1"/>
    <x v="1"/>
    <n v="0.37497934225747809"/>
    <n v="9922"/>
    <n v="3"/>
    <n v="3.3052388035035532E-4"/>
  </r>
  <r>
    <x v="2"/>
    <s v="RYG"/>
    <x v="5"/>
    <s v="COVENTRY AND WARWICKSHIRE PARTNERSHIP NHS TRUST"/>
    <n v="0"/>
    <n v="0"/>
    <n v="0"/>
    <n v="0"/>
    <n v="0"/>
    <n v="0"/>
    <d v="2025-06-01T00:00:00"/>
    <s v="Q1"/>
    <x v="1"/>
    <n v="0"/>
    <n v="0"/>
    <n v="3"/>
    <n v="0"/>
  </r>
  <r>
    <x v="2"/>
    <s v="RNN"/>
    <x v="6"/>
    <s v="NORTH CUMBRIA INTEGRATED CARE NHS FOUNDATION TRUST"/>
    <n v="8759"/>
    <n v="2068"/>
    <n v="3932"/>
    <n v="37"/>
    <n v="701"/>
    <n v="403"/>
    <d v="2025-06-01T00:00:00"/>
    <s v="Q1"/>
    <x v="1"/>
    <n v="0.44890969288731591"/>
    <n v="10827"/>
    <n v="3"/>
    <n v="4.6009818472428361E-2"/>
  </r>
  <r>
    <x v="2"/>
    <s v="RK9"/>
    <x v="1"/>
    <s v="UNIVERSITY HOSPITALS PLYMOUTH NHS TRUST"/>
    <n v="9169"/>
    <n v="5765"/>
    <n v="4584"/>
    <n v="85"/>
    <n v="477"/>
    <n v="658"/>
    <d v="2025-06-01T00:00:00"/>
    <s v="Q1"/>
    <x v="1"/>
    <n v="0.49994546842621879"/>
    <n v="14934"/>
    <n v="3"/>
    <n v="7.1763551096084635E-2"/>
  </r>
  <r>
    <x v="2"/>
    <s v="RCF"/>
    <x v="6"/>
    <s v="AIREDALE NHS FOUNDATION TRUST"/>
    <n v="6194"/>
    <n v="0"/>
    <n v="2095"/>
    <n v="0"/>
    <n v="328"/>
    <n v="99"/>
    <d v="2025-06-01T00:00:00"/>
    <s v="Q1"/>
    <x v="1"/>
    <n v="0.33823054568937683"/>
    <n v="6194"/>
    <n v="3"/>
    <n v="1.5983209557636421E-2"/>
  </r>
  <r>
    <x v="2"/>
    <s v="NNF94"/>
    <x v="6"/>
    <s v="EAST RIDING COMMUNITY HOSPITAL"/>
    <n v="0"/>
    <n v="3038"/>
    <n v="0"/>
    <n v="212"/>
    <n v="0"/>
    <n v="0"/>
    <d v="2025-06-01T00:00:00"/>
    <s v="Q1"/>
    <x v="1"/>
    <n v="0"/>
    <n v="3038"/>
    <n v="3"/>
    <n v="0"/>
  </r>
  <r>
    <x v="2"/>
    <s v="RAX"/>
    <x v="4"/>
    <s v="KINGSTON AND RICHMOND NHS FOUNDATION TRUST"/>
    <n v="6808"/>
    <n v="8564"/>
    <n v="3230"/>
    <n v="243"/>
    <n v="298"/>
    <n v="221"/>
    <d v="2025-06-01T00:00:00"/>
    <s v="Q1"/>
    <x v="1"/>
    <n v="0.47444183313748534"/>
    <n v="15372"/>
    <n v="3"/>
    <n v="3.2461809635722677E-2"/>
  </r>
  <r>
    <x v="2"/>
    <s v="NQT5F"/>
    <x v="3"/>
    <s v="SKELMERSDALE WALK IN CENTRE"/>
    <n v="0"/>
    <n v="1587"/>
    <n v="0"/>
    <n v="9"/>
    <n v="0"/>
    <n v="0"/>
    <d v="2025-06-01T00:00:00"/>
    <s v="Q1"/>
    <x v="1"/>
    <n v="0"/>
    <n v="1587"/>
    <n v="3"/>
    <n v="0"/>
  </r>
  <r>
    <x v="2"/>
    <s v="NQT1I"/>
    <x v="1"/>
    <s v="CHIPPENHAM COMMUNITY HOSPITAL"/>
    <n v="0"/>
    <n v="1833"/>
    <n v="0"/>
    <n v="37"/>
    <n v="0"/>
    <n v="0"/>
    <d v="2025-06-01T00:00:00"/>
    <s v="Q1"/>
    <x v="1"/>
    <n v="0"/>
    <n v="1833"/>
    <n v="3"/>
    <n v="0"/>
  </r>
  <r>
    <x v="2"/>
    <s v="NNFA7"/>
    <x v="6"/>
    <s v="GOOLE &amp; DISTRICT HOSPITAL"/>
    <n v="0"/>
    <n v="1790"/>
    <n v="0"/>
    <n v="5"/>
    <n v="0"/>
    <n v="0"/>
    <d v="2025-06-01T00:00:00"/>
    <s v="Q1"/>
    <x v="1"/>
    <n v="0"/>
    <n v="1790"/>
    <n v="3"/>
    <n v="0"/>
  </r>
  <r>
    <x v="2"/>
    <s v="NNF16"/>
    <x v="6"/>
    <s v="BRIDLINGTON HOSPITAL"/>
    <n v="0"/>
    <n v="1526"/>
    <n v="0"/>
    <n v="62"/>
    <n v="0"/>
    <n v="0"/>
    <d v="2025-06-01T00:00:00"/>
    <s v="Q1"/>
    <x v="1"/>
    <n v="0"/>
    <n v="1526"/>
    <n v="3"/>
    <n v="0"/>
  </r>
  <r>
    <x v="2"/>
    <s v="NNF09"/>
    <x v="6"/>
    <s v="BRANSHOLME HEALTH CENTRE"/>
    <n v="0"/>
    <n v="3846"/>
    <n v="0"/>
    <n v="525"/>
    <n v="0"/>
    <n v="0"/>
    <d v="2025-06-01T00:00:00"/>
    <s v="Q1"/>
    <x v="1"/>
    <n v="0"/>
    <n v="3846"/>
    <n v="3"/>
    <n v="0"/>
  </r>
  <r>
    <x v="2"/>
    <s v="NLX"/>
    <x v="1"/>
    <s v="SIRONA CARE &amp; HEALTH"/>
    <n v="0"/>
    <n v="9376"/>
    <n v="0"/>
    <n v="417"/>
    <n v="0"/>
    <n v="0"/>
    <d v="2025-06-01T00:00:00"/>
    <s v="Q1"/>
    <x v="1"/>
    <n v="0"/>
    <n v="9376"/>
    <n v="3"/>
    <n v="0"/>
  </r>
  <r>
    <x v="2"/>
    <s v="L83087"/>
    <x v="1"/>
    <s v="OKEHAMPTON MEDICAL CENTRE"/>
    <n v="0"/>
    <n v="99"/>
    <n v="0"/>
    <n v="0"/>
    <n v="0"/>
    <n v="0"/>
    <d v="2025-06-01T00:00:00"/>
    <s v="Q1"/>
    <x v="1"/>
    <n v="0"/>
    <n v="99"/>
    <n v="3"/>
    <n v="0"/>
  </r>
  <r>
    <x v="2"/>
    <s v="G3P9C"/>
    <x v="1"/>
    <s v="TROWBRIDGE MINOR INJURIES UNIT"/>
    <n v="0"/>
    <n v="1048"/>
    <n v="0"/>
    <n v="1"/>
    <n v="0"/>
    <n v="0"/>
    <d v="2025-06-01T00:00:00"/>
    <s v="Q1"/>
    <x v="1"/>
    <n v="0"/>
    <n v="1048"/>
    <n v="3"/>
    <n v="0"/>
  </r>
  <r>
    <x v="2"/>
    <s v="AQM01"/>
    <x v="0"/>
    <s v="FAVERSHAM MEDICAL PRACTICE MIU"/>
    <n v="0"/>
    <n v="2755"/>
    <n v="0"/>
    <n v="0"/>
    <n v="0"/>
    <n v="0"/>
    <d v="2025-06-01T00:00:00"/>
    <s v="Q1"/>
    <x v="1"/>
    <n v="0"/>
    <n v="2755"/>
    <n v="3"/>
    <n v="0"/>
  </r>
  <r>
    <x v="2"/>
    <s v="RBD"/>
    <x v="1"/>
    <s v="DORSET COUNTY HOSPITAL NHS FOUNDATION TRUST"/>
    <n v="4556"/>
    <n v="0"/>
    <n v="1499"/>
    <n v="0"/>
    <n v="208"/>
    <n v="18"/>
    <d v="2025-06-01T00:00:00"/>
    <s v="Q1"/>
    <x v="1"/>
    <n v="0.32901668129938544"/>
    <n v="4556"/>
    <n v="3"/>
    <n v="3.9508340649692716E-3"/>
  </r>
  <r>
    <x v="2"/>
    <s v="NQT5H"/>
    <x v="1"/>
    <s v="PAULTON MEMORIAL HOSPITAL"/>
    <n v="0"/>
    <n v="1290"/>
    <n v="0"/>
    <n v="5"/>
    <n v="0"/>
    <n v="0"/>
    <d v="2025-06-01T00:00:00"/>
    <s v="Q1"/>
    <x v="1"/>
    <n v="0"/>
    <n v="1290"/>
    <n v="3"/>
    <n v="0"/>
  </r>
  <r>
    <x v="2"/>
    <s v="RXL"/>
    <x v="3"/>
    <s v="BLACKPOOL TEACHING HOSPITALS NHS FOUNDATION TRUST"/>
    <n v="8886"/>
    <n v="10078"/>
    <n v="4182"/>
    <n v="45"/>
    <n v="750"/>
    <n v="310"/>
    <d v="2025-06-01T00:00:00"/>
    <s v="Q1"/>
    <x v="1"/>
    <n v="0.47062795408507763"/>
    <n v="18964"/>
    <n v="3"/>
    <n v="3.4886338059869459E-2"/>
  </r>
  <r>
    <x v="2"/>
    <s v="RA2"/>
    <x v="0"/>
    <s v="ROYAL SURREY COUNTY HOSPITAL NHS FOUNDATION TRUST"/>
    <n v="6763"/>
    <n v="1944"/>
    <n v="1863"/>
    <n v="0"/>
    <n v="296"/>
    <n v="5"/>
    <d v="2025-06-01T00:00:00"/>
    <s v="Q1"/>
    <x v="1"/>
    <n v="0.27546946621321899"/>
    <n v="8707"/>
    <n v="3"/>
    <n v="7.3931687121100108E-4"/>
  </r>
  <r>
    <x v="2"/>
    <s v="RXF"/>
    <x v="6"/>
    <s v="MID YORKSHIRE TEACHING NHS TRUST"/>
    <n v="16824"/>
    <n v="6620"/>
    <n v="6283"/>
    <n v="170"/>
    <n v="1584"/>
    <n v="49"/>
    <d v="2025-06-01T00:00:00"/>
    <s v="Q1"/>
    <x v="1"/>
    <n v="0.37345458868283404"/>
    <n v="23444"/>
    <n v="3"/>
    <n v="2.9125059438896814E-3"/>
  </r>
  <r>
    <x v="2"/>
    <s v="RX1"/>
    <x v="5"/>
    <s v="NOTTINGHAM UNIVERSITY HOSPITALS NHS TRUST"/>
    <n v="13038"/>
    <n v="0"/>
    <n v="6606"/>
    <n v="0"/>
    <n v="282"/>
    <n v="518"/>
    <d v="2025-06-01T00:00:00"/>
    <s v="Q1"/>
    <x v="1"/>
    <n v="0.50667280257708236"/>
    <n v="13038"/>
    <n v="3"/>
    <n v="3.9730019941708848E-2"/>
  </r>
  <r>
    <x v="2"/>
    <s v="RWF"/>
    <x v="0"/>
    <s v="MAIDSTONE AND TUNBRIDGE WELLS NHS TRUST"/>
    <n v="18050"/>
    <n v="2451"/>
    <n v="3527"/>
    <n v="70"/>
    <n v="985"/>
    <n v="172"/>
    <d v="2025-06-01T00:00:00"/>
    <s v="Q1"/>
    <x v="1"/>
    <n v="0.19540166204986151"/>
    <n v="20501"/>
    <n v="3"/>
    <n v="9.5290858725761776E-3"/>
  </r>
  <r>
    <x v="2"/>
    <s v="RWA"/>
    <x v="6"/>
    <s v="HULL UNIVERSITY TEACHING HOSPITALS NHS TRUST"/>
    <n v="9584"/>
    <n v="4415"/>
    <n v="5539"/>
    <n v="532"/>
    <n v="1105"/>
    <n v="408"/>
    <d v="2025-06-01T00:00:00"/>
    <s v="Q1"/>
    <x v="1"/>
    <n v="0.57794240400667785"/>
    <n v="13999"/>
    <n v="3"/>
    <n v="4.2570951585976631E-2"/>
  </r>
  <r>
    <x v="2"/>
    <s v="RVW"/>
    <x v="6"/>
    <s v="NORTH TEES AND HARTLEPOOL NHS FOUNDATION TRUST"/>
    <n v="4778"/>
    <n v="11254"/>
    <n v="2497"/>
    <n v="49"/>
    <n v="233"/>
    <n v="11"/>
    <d v="2025-06-01T00:00:00"/>
    <s v="Q1"/>
    <x v="1"/>
    <n v="0.52260359983256588"/>
    <n v="16032"/>
    <n v="3"/>
    <n v="2.3022185014650483E-3"/>
  </r>
  <r>
    <x v="2"/>
    <s v="RTK"/>
    <x v="0"/>
    <s v="ASHFORD AND ST PETER'S HOSPITALS NHS FOUNDATION TRUST"/>
    <n v="7124"/>
    <n v="3048"/>
    <n v="3452"/>
    <n v="26"/>
    <n v="584"/>
    <n v="183"/>
    <d v="2025-06-01T00:00:00"/>
    <s v="Q1"/>
    <x v="1"/>
    <n v="0.4845592363840539"/>
    <n v="10172"/>
    <n v="3"/>
    <n v="2.5687815833801236E-2"/>
  </r>
  <r>
    <x v="2"/>
    <s v="RTG"/>
    <x v="5"/>
    <s v="UNIVERSITY HOSPITALS OF DERBY AND BURTON NHS FOUNDATION TRUST"/>
    <n v="18581"/>
    <n v="9680"/>
    <n v="8586"/>
    <n v="0"/>
    <n v="1059"/>
    <n v="709"/>
    <d v="2025-06-01T00:00:00"/>
    <s v="Q1"/>
    <x v="1"/>
    <n v="0.46208492546149293"/>
    <n v="28261"/>
    <n v="3"/>
    <n v="3.8157257413486897E-2"/>
  </r>
  <r>
    <x v="2"/>
    <s v="RRV"/>
    <x v="4"/>
    <s v="UNIVERSITY COLLEGE LONDON HOSPITALS NHS FOUNDATION TRUST"/>
    <n v="13449"/>
    <n v="0"/>
    <n v="3610"/>
    <n v="0"/>
    <n v="252"/>
    <n v="55"/>
    <d v="2025-06-01T00:00:00"/>
    <s v="Q1"/>
    <x v="1"/>
    <n v="0.26842144397352963"/>
    <n v="13449"/>
    <n v="3"/>
    <n v="4.0895233846382634E-3"/>
  </r>
  <r>
    <x v="2"/>
    <s v="RP5"/>
    <x v="6"/>
    <s v="DONCASTER AND BASSETLAW TEACHING HOSPITALS NHS FOUNDATION TRUST"/>
    <n v="14268"/>
    <n v="4315"/>
    <n v="4511"/>
    <n v="15"/>
    <n v="987"/>
    <n v="80"/>
    <d v="2025-06-01T00:00:00"/>
    <s v="Q1"/>
    <x v="1"/>
    <n v="0.31616204093075412"/>
    <n v="18583"/>
    <n v="3"/>
    <n v="5.6069526212503508E-3"/>
  </r>
  <r>
    <x v="2"/>
    <s v="RNQ"/>
    <x v="5"/>
    <s v="KETTERING GENERAL HOSPITAL NHS FOUNDATION TRUST"/>
    <n v="9895"/>
    <n v="8172"/>
    <n v="3673"/>
    <n v="135"/>
    <n v="724"/>
    <n v="556"/>
    <d v="2025-06-01T00:00:00"/>
    <s v="Q1"/>
    <x v="1"/>
    <n v="0.37119757453259222"/>
    <n v="18067"/>
    <n v="3"/>
    <n v="5.6189994946942899E-2"/>
  </r>
  <r>
    <x v="2"/>
    <s v="RNA"/>
    <x v="5"/>
    <s v="THE DUDLEY GROUP NHS FOUNDATION TRUST"/>
    <n v="10299"/>
    <n v="3929"/>
    <n v="2978"/>
    <n v="25"/>
    <n v="1724"/>
    <n v="78"/>
    <d v="2025-06-01T00:00:00"/>
    <s v="Q1"/>
    <x v="1"/>
    <n v="0.28915428682396349"/>
    <n v="14228"/>
    <n v="3"/>
    <n v="7.5735508301776871E-3"/>
  </r>
  <r>
    <x v="2"/>
    <s v="RMP"/>
    <x v="3"/>
    <s v="TAMESIDE AND GLOSSOP INTEGRATED CARE NHS FOUNDATION TRUST"/>
    <n v="8629"/>
    <n v="2431"/>
    <n v="4721"/>
    <n v="22"/>
    <n v="376"/>
    <n v="705"/>
    <d v="2025-06-01T00:00:00"/>
    <s v="Q1"/>
    <x v="1"/>
    <n v="0.54710858732182177"/>
    <n v="11060"/>
    <n v="3"/>
    <n v="8.1701240004635536E-2"/>
  </r>
  <r>
    <x v="2"/>
    <s v="RMC"/>
    <x v="3"/>
    <s v="BOLTON NHS FOUNDATION TRUST"/>
    <n v="7988"/>
    <n v="3979"/>
    <n v="3910"/>
    <n v="288"/>
    <n v="545"/>
    <n v="245"/>
    <d v="2025-06-01T00:00:00"/>
    <s v="Q1"/>
    <x v="1"/>
    <n v="0.48948422633950928"/>
    <n v="11967"/>
    <n v="3"/>
    <n v="3.0671006509764648E-2"/>
  </r>
  <r>
    <x v="2"/>
    <s v="RLQ"/>
    <x v="5"/>
    <s v="WYE VALLEY NHS TRUST"/>
    <n v="6098"/>
    <n v="217"/>
    <n v="2576"/>
    <n v="0"/>
    <n v="411"/>
    <n v="234"/>
    <d v="2025-06-01T00:00:00"/>
    <s v="Q1"/>
    <x v="1"/>
    <n v="0.42243358478189569"/>
    <n v="6315"/>
    <n v="3"/>
    <n v="3.8373237126926862E-2"/>
  </r>
  <r>
    <x v="2"/>
    <s v="RJZ"/>
    <x v="4"/>
    <s v="KING'S COLLEGE HOSPITAL NHS FOUNDATION TRUST"/>
    <n v="15041"/>
    <n v="9358"/>
    <n v="6741"/>
    <n v="547"/>
    <n v="1619"/>
    <n v="931"/>
    <d v="2025-06-01T00:00:00"/>
    <s v="Q1"/>
    <x v="1"/>
    <n v="0.44817498836513531"/>
    <n v="24399"/>
    <n v="3"/>
    <n v="6.1897480220730001E-2"/>
  </r>
  <r>
    <x v="2"/>
    <s v="RJC"/>
    <x v="5"/>
    <s v="SOUTH WARWICKSHIRE UNIVERSITY NHS FOUNDATION TRUST"/>
    <n v="8366"/>
    <n v="397"/>
    <n v="2124"/>
    <n v="0"/>
    <n v="334"/>
    <n v="11"/>
    <d v="2025-06-01T00:00:00"/>
    <s v="Q1"/>
    <x v="1"/>
    <n v="0.25388477169495577"/>
    <n v="8763"/>
    <n v="3"/>
    <n v="1.3148458044465695E-3"/>
  </r>
  <r>
    <x v="2"/>
    <s v="REF"/>
    <x v="1"/>
    <s v="ROYAL CORNWALL HOSPITALS NHS TRUST"/>
    <n v="7034"/>
    <n v="13590"/>
    <n v="3980"/>
    <n v="916"/>
    <n v="735"/>
    <n v="429"/>
    <d v="2025-06-01T00:00:00"/>
    <s v="Q1"/>
    <x v="1"/>
    <n v="0.56582314472561845"/>
    <n v="20624"/>
    <n v="3"/>
    <n v="6.0989479670173444E-2"/>
  </r>
  <r>
    <x v="2"/>
    <s v="RD8"/>
    <x v="2"/>
    <s v="MILTON KEYNES UNIVERSITY HOSPITAL NHS FOUNDATION TRUST"/>
    <n v="8358"/>
    <n v="4975"/>
    <n v="3075"/>
    <n v="10"/>
    <n v="647"/>
    <n v="0"/>
    <d v="2025-06-01T00:00:00"/>
    <s v="Q1"/>
    <x v="1"/>
    <n v="0.36791098348887291"/>
    <n v="13333"/>
    <n v="3"/>
    <n v="0"/>
  </r>
  <r>
    <x v="2"/>
    <s v="RBT"/>
    <x v="3"/>
    <s v="MID CHESHIRE HOSPITALS NHS FOUNDATION TRUST"/>
    <n v="7306"/>
    <n v="2848"/>
    <n v="4083"/>
    <n v="90"/>
    <n v="511"/>
    <n v="427"/>
    <d v="2025-06-01T00:00:00"/>
    <s v="Q1"/>
    <x v="1"/>
    <n v="0.55885573501231867"/>
    <n v="10154"/>
    <n v="3"/>
    <n v="5.8445113605255956E-2"/>
  </r>
  <r>
    <x v="2"/>
    <s v="RAT"/>
    <x v="4"/>
    <s v="NORTH EAST LONDON NHS FOUNDATION TRUST"/>
    <n v="0"/>
    <n v="1728"/>
    <n v="0"/>
    <n v="60"/>
    <n v="0"/>
    <n v="0"/>
    <d v="2025-06-01T00:00:00"/>
    <s v="Q1"/>
    <x v="1"/>
    <n v="0"/>
    <n v="1728"/>
    <n v="3"/>
    <n v="0"/>
  </r>
  <r>
    <x v="2"/>
    <s v="RAJ"/>
    <x v="2"/>
    <s v="MID AND SOUTH ESSEX NHS FOUNDATION TRUST"/>
    <n v="30471"/>
    <n v="3900"/>
    <n v="8343"/>
    <n v="120"/>
    <n v="2177"/>
    <n v="165"/>
    <d v="2025-06-01T00:00:00"/>
    <s v="Q1"/>
    <x v="1"/>
    <n v="0.27380131928719109"/>
    <n v="34371"/>
    <n v="3"/>
    <n v="5.4149847395884611E-3"/>
  </r>
  <r>
    <x v="2"/>
    <s v="R0A"/>
    <x v="3"/>
    <s v="MANCHESTER UNIVERSITY NHS FOUNDATION TRUST"/>
    <n v="24752"/>
    <n v="11652"/>
    <n v="10611"/>
    <n v="600"/>
    <n v="3081"/>
    <n v="108"/>
    <d v="2025-06-01T00:00:00"/>
    <s v="Q1"/>
    <x v="1"/>
    <n v="0.42869263089851323"/>
    <n v="36404"/>
    <n v="3"/>
    <n v="4.363283775048481E-3"/>
  </r>
  <r>
    <x v="2"/>
    <s v="ARN03"/>
    <x v="6"/>
    <s v="LOCAL CARE DIRECT"/>
    <n v="0"/>
    <n v="2174"/>
    <n v="0"/>
    <n v="9"/>
    <n v="0"/>
    <n v="0"/>
    <d v="2025-06-01T00:00:00"/>
    <s v="Q1"/>
    <x v="1"/>
    <n v="0"/>
    <n v="2174"/>
    <n v="3"/>
    <n v="0"/>
  </r>
  <r>
    <x v="2"/>
    <s v="Y02615"/>
    <x v="5"/>
    <s v="SOUTH BIRMINGHAM GP WALK IN CENTRE"/>
    <n v="0"/>
    <n v="6125"/>
    <n v="0"/>
    <n v="0"/>
    <n v="0"/>
    <n v="0"/>
    <d v="2025-06-01T00:00:00"/>
    <s v="Q1"/>
    <x v="1"/>
    <n v="0"/>
    <n v="6125"/>
    <n v="3"/>
    <n v="0"/>
  </r>
  <r>
    <x v="2"/>
    <s v="RQX"/>
    <x v="4"/>
    <s v="HOMERTON HEALTHCARE NHS FOUNDATION TRUST"/>
    <n v="11079"/>
    <n v="0"/>
    <n v="2188"/>
    <n v="0"/>
    <n v="185"/>
    <n v="23"/>
    <d v="2025-06-01T00:00:00"/>
    <s v="Q1"/>
    <x v="1"/>
    <n v="0.19749074826247856"/>
    <n v="11079"/>
    <n v="3"/>
    <n v="2.0759996389565845E-3"/>
  </r>
  <r>
    <x v="2"/>
    <s v="ACH01"/>
    <x v="0"/>
    <s v="WHITSTABLE MEDICAL PRACTICE"/>
    <n v="0"/>
    <n v="4942"/>
    <n v="0"/>
    <n v="0"/>
    <n v="0"/>
    <n v="0"/>
    <d v="2025-06-01T00:00:00"/>
    <s v="Q1"/>
    <x v="1"/>
    <n v="0"/>
    <n v="4942"/>
    <n v="3"/>
    <n v="0"/>
  </r>
  <r>
    <x v="2"/>
    <s v="Y07709"/>
    <x v="0"/>
    <s v="READING URGENT CARE CENTRE"/>
    <n v="0"/>
    <n v="1793"/>
    <n v="0"/>
    <n v="0"/>
    <n v="0"/>
    <n v="0"/>
    <d v="2025-06-01T00:00:00"/>
    <s v="Q1"/>
    <x v="1"/>
    <n v="0"/>
    <n v="1793"/>
    <n v="3"/>
    <n v="0"/>
  </r>
  <r>
    <x v="2"/>
    <s v="Y03218"/>
    <x v="4"/>
    <s v="THE PINN UNREGISTERED WIC"/>
    <n v="0"/>
    <n v="822"/>
    <n v="0"/>
    <n v="0"/>
    <n v="0"/>
    <n v="0"/>
    <d v="2025-06-01T00:00:00"/>
    <s v="Q1"/>
    <x v="1"/>
    <n v="0"/>
    <n v="822"/>
    <n v="3"/>
    <n v="0"/>
  </r>
  <r>
    <x v="2"/>
    <s v="Y02532"/>
    <x v="3"/>
    <s v="MIRIAM MINOR EMERGENCY"/>
    <n v="0"/>
    <n v="1611"/>
    <n v="0"/>
    <n v="0"/>
    <n v="0"/>
    <n v="0"/>
    <d v="2025-06-01T00:00:00"/>
    <s v="Q1"/>
    <x v="1"/>
    <n v="0"/>
    <n v="1611"/>
    <n v="3"/>
    <n v="0"/>
  </r>
  <r>
    <x v="2"/>
    <s v="Y02428"/>
    <x v="2"/>
    <s v="PUTNOE WALK IN CENTRE"/>
    <n v="0"/>
    <n v="2269"/>
    <n v="0"/>
    <n v="0"/>
    <n v="0"/>
    <n v="0"/>
    <d v="2025-06-01T00:00:00"/>
    <s v="Q1"/>
    <x v="1"/>
    <n v="0"/>
    <n v="2269"/>
    <n v="3"/>
    <n v="0"/>
  </r>
  <r>
    <x v="2"/>
    <s v="Y00751"/>
    <x v="0"/>
    <s v="EAST BERKS PRIMARY CARE OOH(WAM)"/>
    <n v="0"/>
    <n v="0"/>
    <n v="0"/>
    <n v="0"/>
    <n v="0"/>
    <n v="0"/>
    <d v="2025-06-01T00:00:00"/>
    <s v="Q1"/>
    <x v="1"/>
    <n v="0"/>
    <n v="0"/>
    <n v="3"/>
    <n v="0"/>
  </r>
  <r>
    <x v="2"/>
    <s v="RY7"/>
    <x v="3"/>
    <s v="WIRRAL COMMUNITY HEALTH AND CARE NHS FOUNDATION TRUST"/>
    <n v="0"/>
    <n v="4352"/>
    <n v="0"/>
    <n v="273"/>
    <n v="0"/>
    <n v="0"/>
    <d v="2025-06-01T00:00:00"/>
    <s v="Q1"/>
    <x v="1"/>
    <n v="0"/>
    <n v="4352"/>
    <n v="3"/>
    <n v="0"/>
  </r>
  <r>
    <x v="2"/>
    <s v="RWY"/>
    <x v="6"/>
    <s v="CALDERDALE AND HUDDERSFIELD NHS FOUNDATION TRUST"/>
    <n v="16287"/>
    <n v="0"/>
    <n v="2692"/>
    <n v="0"/>
    <n v="652"/>
    <n v="7"/>
    <d v="2025-06-01T00:00:00"/>
    <s v="Q1"/>
    <x v="1"/>
    <n v="0.16528519678271014"/>
    <n v="16287"/>
    <n v="3"/>
    <n v="4.2979063056425369E-4"/>
  </r>
  <r>
    <x v="2"/>
    <s v="RTP"/>
    <x v="0"/>
    <s v="SURREY AND SUSSEX HEALTHCARE NHS TRUST"/>
    <n v="10423"/>
    <n v="0"/>
    <n v="3709"/>
    <n v="0"/>
    <n v="486"/>
    <n v="587"/>
    <d v="2025-06-01T00:00:00"/>
    <s v="Q1"/>
    <x v="1"/>
    <n v="0.3558476446320637"/>
    <n v="10423"/>
    <n v="3"/>
    <n v="5.6317758802647992E-2"/>
  </r>
  <r>
    <x v="2"/>
    <s v="RDY"/>
    <x v="1"/>
    <s v="DORSET HEALTHCARE UNIVERSITY NHS FOUNDATION TRUST"/>
    <n v="0"/>
    <n v="0"/>
    <n v="0"/>
    <n v="0"/>
    <n v="0"/>
    <n v="0"/>
    <d v="2025-06-01T00:00:00"/>
    <s v="Q1"/>
    <x v="1"/>
    <n v="0"/>
    <n v="0"/>
    <n v="3"/>
    <n v="0"/>
  </r>
  <r>
    <x v="2"/>
    <s v="RCD"/>
    <x v="6"/>
    <s v="HARROGATE AND DISTRICT NHS FOUNDATION TRUST"/>
    <n v="5412"/>
    <n v="1105"/>
    <n v="1498"/>
    <n v="0"/>
    <n v="165"/>
    <n v="5"/>
    <d v="2025-06-01T00:00:00"/>
    <s v="Q1"/>
    <x v="1"/>
    <n v="0.27679231337767923"/>
    <n v="6517"/>
    <n v="3"/>
    <n v="9.2387287509238729E-4"/>
  </r>
  <r>
    <x v="2"/>
    <s v="RBQ"/>
    <x v="3"/>
    <s v="LIVERPOOL HEART AND CHEST HOSPITAL NHS FOUNDATION TRUST"/>
    <n v="0"/>
    <n v="0"/>
    <n v="0"/>
    <n v="0"/>
    <n v="0"/>
    <n v="0"/>
    <d v="2025-06-01T00:00:00"/>
    <s v="Q1"/>
    <x v="1"/>
    <n v="0"/>
    <n v="0"/>
    <n v="3"/>
    <n v="0"/>
  </r>
  <r>
    <x v="2"/>
    <s v="RA9"/>
    <x v="1"/>
    <s v="TORBAY AND SOUTH DEVON NHS FOUNDATION TRUST"/>
    <n v="6570"/>
    <n v="3704"/>
    <n v="2841"/>
    <n v="8"/>
    <n v="273"/>
    <n v="70"/>
    <d v="2025-06-01T00:00:00"/>
    <s v="Q1"/>
    <x v="1"/>
    <n v="0.43242009132420089"/>
    <n v="10274"/>
    <n v="3"/>
    <n v="1.06544901065449E-2"/>
  </r>
  <r>
    <x v="2"/>
    <s v="NTV0W"/>
    <x v="0"/>
    <s v="WOKING WALK IN CENTRE"/>
    <n v="0"/>
    <n v="2655"/>
    <n v="0"/>
    <n v="195"/>
    <n v="0"/>
    <n v="0"/>
    <d v="2025-06-01T00:00:00"/>
    <s v="Q1"/>
    <x v="1"/>
    <n v="0"/>
    <n v="2655"/>
    <n v="3"/>
    <n v="0"/>
  </r>
  <r>
    <x v="2"/>
    <s v="NTV0B"/>
    <x v="0"/>
    <s v="ASHFORD WALK-IN-CENTRE"/>
    <n v="0"/>
    <n v="2273"/>
    <n v="0"/>
    <n v="278"/>
    <n v="0"/>
    <n v="0"/>
    <d v="2025-06-01T00:00:00"/>
    <s v="Q1"/>
    <x v="1"/>
    <n v="0"/>
    <n v="2273"/>
    <n v="3"/>
    <n v="0"/>
  </r>
  <r>
    <x v="2"/>
    <s v="NQTE4"/>
    <x v="5"/>
    <s v="SUMMERFIELD URGENT CARE CENTRE"/>
    <n v="0"/>
    <n v="2962"/>
    <n v="0"/>
    <n v="0"/>
    <n v="0"/>
    <n v="0"/>
    <d v="2025-06-01T00:00:00"/>
    <s v="Q1"/>
    <x v="1"/>
    <n v="0"/>
    <n v="2962"/>
    <n v="3"/>
    <n v="0"/>
  </r>
  <r>
    <x v="2"/>
    <s v="C82038"/>
    <x v="5"/>
    <s v="LATHAM HOUSE MEDICAL PRACTICE"/>
    <n v="0"/>
    <n v="426"/>
    <n v="0"/>
    <n v="0"/>
    <n v="0"/>
    <n v="0"/>
    <d v="2025-06-01T00:00:00"/>
    <s v="Q1"/>
    <x v="1"/>
    <n v="0"/>
    <n v="426"/>
    <n v="3"/>
    <n v="0"/>
  </r>
  <r>
    <x v="2"/>
    <s v="AQN04"/>
    <x v="0"/>
    <s v="PHL LYMINGTON UTC"/>
    <n v="0"/>
    <n v="3421"/>
    <n v="0"/>
    <n v="104"/>
    <n v="0"/>
    <n v="0"/>
    <d v="2025-06-01T00:00:00"/>
    <s v="Q1"/>
    <x v="1"/>
    <n v="0"/>
    <n v="3421"/>
    <n v="3"/>
    <n v="0"/>
  </r>
  <r>
    <x v="2"/>
    <s v="AAH"/>
    <x v="1"/>
    <s v="TETBURY HOSPITAL TRUST LTD"/>
    <n v="0"/>
    <n v="611"/>
    <n v="0"/>
    <n v="0"/>
    <n v="0"/>
    <n v="0"/>
    <d v="2025-06-01T00:00:00"/>
    <s v="Q1"/>
    <x v="1"/>
    <n v="0"/>
    <n v="611"/>
    <n v="3"/>
    <n v="0"/>
  </r>
  <r>
    <x v="2"/>
    <s v="Y02676"/>
    <x v="0"/>
    <s v="BRIGHTON STATION HEALTH CENTRE"/>
    <n v="0"/>
    <n v="1793"/>
    <n v="0"/>
    <n v="1"/>
    <n v="0"/>
    <n v="0"/>
    <d v="2025-06-01T00:00:00"/>
    <s v="Q1"/>
    <x v="1"/>
    <n v="0"/>
    <n v="1793"/>
    <n v="3"/>
    <n v="0"/>
  </r>
  <r>
    <x v="2"/>
    <s v="RYR"/>
    <x v="0"/>
    <s v="UNIVERSITY HOSPITALS SUSSEX NHS FOUNDATION TRUST"/>
    <n v="26467"/>
    <n v="1927"/>
    <n v="9334"/>
    <n v="217"/>
    <n v="663"/>
    <n v="514"/>
    <d v="2025-06-01T00:00:00"/>
    <s v="Q1"/>
    <x v="1"/>
    <n v="0.35266558355688216"/>
    <n v="28394"/>
    <n v="3"/>
    <n v="1.9420410322288133E-2"/>
  </r>
  <r>
    <x v="2"/>
    <s v="C82009"/>
    <x v="5"/>
    <s v="MARKET HARBOROUGH MED.CTR"/>
    <n v="0"/>
    <n v="336"/>
    <n v="0"/>
    <n v="0"/>
    <n v="0"/>
    <n v="0"/>
    <d v="2025-06-01T00:00:00"/>
    <s v="Q1"/>
    <x v="1"/>
    <n v="0"/>
    <n v="336"/>
    <n v="3"/>
    <n v="0"/>
  </r>
  <r>
    <x v="2"/>
    <s v="NDJ"/>
    <x v="0"/>
    <s v="FIRST COMMUNITY HEALTH AND CARE CIC"/>
    <n v="0"/>
    <n v="2636"/>
    <n v="0"/>
    <n v="0"/>
    <n v="0"/>
    <n v="0"/>
    <d v="2025-06-01T00:00:00"/>
    <s v="Q1"/>
    <x v="1"/>
    <n v="0"/>
    <n v="2636"/>
    <n v="3"/>
    <n v="0"/>
  </r>
  <r>
    <x v="2"/>
    <s v="RAS"/>
    <x v="4"/>
    <s v="THE HILLINGDON HOSPITALS NHS FOUNDATION TRUST"/>
    <n v="5813"/>
    <n v="6820"/>
    <n v="2574"/>
    <n v="125"/>
    <n v="324"/>
    <n v="33"/>
    <d v="2025-06-01T00:00:00"/>
    <s v="Q1"/>
    <x v="1"/>
    <n v="0.44280061930156545"/>
    <n v="12633"/>
    <n v="3"/>
    <n v="5.6769310166867367E-3"/>
  </r>
  <r>
    <x v="2"/>
    <s v="RFF"/>
    <x v="6"/>
    <s v="BARNSLEY HOSPITAL NHS FOUNDATION TRUST"/>
    <n v="9221"/>
    <n v="0"/>
    <n v="3419"/>
    <n v="0"/>
    <n v="429"/>
    <n v="0"/>
    <d v="2025-06-01T00:00:00"/>
    <s v="Q1"/>
    <x v="1"/>
    <n v="0.3707840798178072"/>
    <n v="9221"/>
    <n v="3"/>
    <n v="0"/>
  </r>
  <r>
    <x v="2"/>
    <s v="RFR"/>
    <x v="6"/>
    <s v="THE ROTHERHAM NHS FOUNDATION TRUST"/>
    <n v="9049"/>
    <n v="0"/>
    <n v="2401"/>
    <n v="0"/>
    <n v="275"/>
    <n v="1"/>
    <d v="2025-06-01T00:00:00"/>
    <s v="Q1"/>
    <x v="1"/>
    <n v="0.26533318598740191"/>
    <n v="9049"/>
    <n v="3"/>
    <n v="1.1050944855785169E-4"/>
  </r>
  <r>
    <x v="2"/>
    <s v="RCX"/>
    <x v="2"/>
    <s v="THE QUEEN ELIZABETH HOSPITAL, KING'S LYNN, NHS FOUNDATION TRUST"/>
    <n v="6635"/>
    <n v="1176"/>
    <n v="2967"/>
    <n v="0"/>
    <n v="758"/>
    <n v="95"/>
    <d v="2025-06-01T00:00:00"/>
    <s v="Q1"/>
    <x v="1"/>
    <n v="0.44717407686510929"/>
    <n v="7811"/>
    <n v="3"/>
    <n v="1.4318010550113038E-2"/>
  </r>
  <r>
    <x v="2"/>
    <s v="R0B"/>
    <x v="6"/>
    <s v="SOUTH TYNESIDE AND SUNDERLAND NHS FOUNDATION TRUST"/>
    <n v="11137"/>
    <n v="5843"/>
    <n v="5337"/>
    <n v="311"/>
    <n v="779"/>
    <n v="2"/>
    <d v="2025-06-01T00:00:00"/>
    <s v="Q1"/>
    <x v="1"/>
    <n v="0.47921343270180478"/>
    <n v="16980"/>
    <n v="3"/>
    <n v="1.7958157493041214E-4"/>
  </r>
  <r>
    <x v="2"/>
    <s v="NTPAD"/>
    <x v="0"/>
    <s v="PRACTICE PLUS GROUP SURGICAL CENTRE - ST MARYS PORTSMOUTH"/>
    <n v="0"/>
    <n v="5372"/>
    <n v="0"/>
    <n v="171"/>
    <n v="0"/>
    <n v="0"/>
    <d v="2025-06-01T00:00:00"/>
    <s v="Q1"/>
    <x v="1"/>
    <n v="0"/>
    <n v="5372"/>
    <n v="3"/>
    <n v="0"/>
  </r>
  <r>
    <x v="2"/>
    <s v="AJN"/>
    <x v="6"/>
    <s v="WORKINGTON HEALTH LIMITED"/>
    <n v="0"/>
    <n v="401"/>
    <n v="0"/>
    <n v="0"/>
    <n v="0"/>
    <n v="0"/>
    <d v="2025-06-01T00:00:00"/>
    <s v="Q1"/>
    <x v="1"/>
    <n v="0"/>
    <n v="401"/>
    <n v="3"/>
    <n v="0"/>
  </r>
  <r>
    <x v="2"/>
    <s v="RV9"/>
    <x v="6"/>
    <s v="HUMBER TEACHING NHS FOUNDATION TRUST"/>
    <n v="0"/>
    <n v="1256"/>
    <n v="0"/>
    <n v="4"/>
    <n v="0"/>
    <n v="0"/>
    <d v="2025-06-01T00:00:00"/>
    <s v="Q1"/>
    <x v="1"/>
    <n v="0"/>
    <n v="1256"/>
    <n v="3"/>
    <n v="0"/>
  </r>
  <r>
    <x v="2"/>
    <s v="REM"/>
    <x v="3"/>
    <s v="LIVERPOOL UNIVERSITY HOSPITALS NHS FOUNDATION TRUST"/>
    <n v="15366"/>
    <n v="7468"/>
    <n v="7502"/>
    <n v="223"/>
    <n v="1873"/>
    <n v="870"/>
    <d v="2025-06-01T00:00:00"/>
    <s v="Q1"/>
    <x v="1"/>
    <n v="0.48822074710399582"/>
    <n v="22834"/>
    <n v="3"/>
    <n v="5.661850839515814E-2"/>
  </r>
  <r>
    <x v="2"/>
    <s v="NQT51"/>
    <x v="0"/>
    <s v="STATION PLAZA HEALTH CENTRE"/>
    <n v="0"/>
    <n v="987"/>
    <n v="0"/>
    <n v="0"/>
    <n v="0"/>
    <n v="0"/>
    <d v="2025-06-01T00:00:00"/>
    <s v="Q1"/>
    <x v="1"/>
    <n v="0"/>
    <n v="987"/>
    <n v="3"/>
    <n v="0"/>
  </r>
  <r>
    <x v="2"/>
    <s v="NL7"/>
    <x v="5"/>
    <s v="ASSURA VERTIS URGENT CARE CENTRES (BIRMINGHAM)"/>
    <n v="0"/>
    <n v="2863"/>
    <n v="0"/>
    <n v="0"/>
    <n v="0"/>
    <n v="0"/>
    <d v="2025-06-01T00:00:00"/>
    <s v="Q1"/>
    <x v="1"/>
    <n v="0"/>
    <n v="2863"/>
    <n v="3"/>
    <n v="0"/>
  </r>
  <r>
    <x v="2"/>
    <s v="K6K0R"/>
    <x v="4"/>
    <s v="HAROLD WOOD POLYCLINIC UTC"/>
    <n v="0"/>
    <n v="2715"/>
    <n v="0"/>
    <n v="23"/>
    <n v="0"/>
    <n v="0"/>
    <d v="2025-06-01T00:00:00"/>
    <s v="Q1"/>
    <x v="1"/>
    <n v="0"/>
    <n v="2715"/>
    <n v="3"/>
    <n v="0"/>
  </r>
  <r>
    <x v="2"/>
    <s v="A5D4Q"/>
    <x v="5"/>
    <s v="NEMS UTC"/>
    <n v="0"/>
    <n v="3731"/>
    <n v="0"/>
    <n v="722"/>
    <n v="0"/>
    <n v="0"/>
    <d v="2025-06-01T00:00:00"/>
    <s v="Q1"/>
    <x v="1"/>
    <n v="0"/>
    <n v="3731"/>
    <n v="3"/>
    <n v="0"/>
  </r>
  <r>
    <x v="2"/>
    <s v="G0Q0L"/>
    <x v="4"/>
    <s v="BARKING HOSPITAL UTC"/>
    <n v="0"/>
    <n v="2890"/>
    <n v="0"/>
    <n v="32"/>
    <n v="0"/>
    <n v="0"/>
    <d v="2025-06-01T00:00:00"/>
    <s v="Q1"/>
    <x v="1"/>
    <n v="0"/>
    <n v="2890"/>
    <n v="3"/>
    <n v="0"/>
  </r>
  <r>
    <x v="2"/>
    <s v="Y02147"/>
    <x v="4"/>
    <s v="URGENT CARE CENTRE (QMS)"/>
    <n v="0"/>
    <n v="8011"/>
    <n v="0"/>
    <n v="131"/>
    <n v="0"/>
    <n v="0"/>
    <d v="2025-06-01T00:00:00"/>
    <s v="Q1"/>
    <x v="1"/>
    <n v="0"/>
    <n v="8011"/>
    <n v="3"/>
    <n v="0"/>
  </r>
  <r>
    <x v="2"/>
    <s v="RXR"/>
    <x v="3"/>
    <s v="EAST LANCASHIRE HOSPITALS NHS TRUST"/>
    <n v="13323"/>
    <n v="10988"/>
    <n v="4409"/>
    <n v="446"/>
    <n v="514"/>
    <n v="957"/>
    <d v="2025-06-01T00:00:00"/>
    <s v="Q1"/>
    <x v="1"/>
    <n v="0.33093147189071531"/>
    <n v="24311"/>
    <n v="3"/>
    <n v="7.1830668768295428E-2"/>
  </r>
  <r>
    <x v="2"/>
    <s v="RTR"/>
    <x v="6"/>
    <s v="SOUTH TEES HOSPITALS NHS FOUNDATION TRUST"/>
    <n v="7240"/>
    <n v="9725"/>
    <n v="3588"/>
    <n v="734"/>
    <n v="250"/>
    <n v="6"/>
    <d v="2025-06-01T00:00:00"/>
    <s v="Q1"/>
    <x v="1"/>
    <n v="0.49558011049723755"/>
    <n v="16965"/>
    <n v="3"/>
    <n v="8.2872928176795581E-4"/>
  </r>
  <r>
    <x v="2"/>
    <s v="RJL"/>
    <x v="6"/>
    <s v="NORTHERN LINCOLNSHIRE AND GOOLE NHS FOUNDATION TRUST"/>
    <n v="9049"/>
    <n v="7383"/>
    <n v="4843"/>
    <n v="109"/>
    <n v="728"/>
    <n v="761"/>
    <d v="2025-06-01T00:00:00"/>
    <s v="Q1"/>
    <x v="1"/>
    <n v="0.53519725936567575"/>
    <n v="16432"/>
    <n v="3"/>
    <n v="8.4097690352525137E-2"/>
  </r>
  <r>
    <x v="2"/>
    <s v="NV693"/>
    <x v="3"/>
    <s v="ROSSENDALE MIU &amp; OOH"/>
    <n v="0"/>
    <n v="1112"/>
    <n v="0"/>
    <n v="1"/>
    <n v="0"/>
    <n v="0"/>
    <d v="2025-06-01T00:00:00"/>
    <s v="Q1"/>
    <x v="1"/>
    <n v="0"/>
    <n v="1112"/>
    <n v="3"/>
    <n v="0"/>
  </r>
  <r>
    <x v="2"/>
    <s v="DT301"/>
    <x v="2"/>
    <s v="HERTS URGENT CARE (ASCOTS LANE)"/>
    <n v="0"/>
    <n v="2403"/>
    <n v="0"/>
    <n v="111"/>
    <n v="0"/>
    <n v="0"/>
    <d v="2025-06-01T00:00:00"/>
    <s v="Q1"/>
    <x v="1"/>
    <n v="0"/>
    <n v="2403"/>
    <n v="3"/>
    <n v="0"/>
  </r>
  <r>
    <x v="2"/>
    <s v="C83023"/>
    <x v="5"/>
    <s v="SLEAFORD MEDICAL GROUP"/>
    <n v="0"/>
    <n v="453"/>
    <n v="0"/>
    <n v="0"/>
    <n v="0"/>
    <n v="0"/>
    <d v="2025-06-01T00:00:00"/>
    <s v="Q1"/>
    <x v="1"/>
    <n v="0"/>
    <n v="453"/>
    <n v="3"/>
    <n v="0"/>
  </r>
  <r>
    <x v="2"/>
    <s v="8J094"/>
    <x v="5"/>
    <s v="BADGER LTD"/>
    <n v="0"/>
    <n v="0"/>
    <n v="0"/>
    <n v="0"/>
    <n v="0"/>
    <n v="0"/>
    <d v="2025-06-01T00:00:00"/>
    <s v="Q1"/>
    <x v="1"/>
    <n v="0"/>
    <n v="0"/>
    <n v="3"/>
    <n v="0"/>
  </r>
  <r>
    <x v="2"/>
    <s v="RXQ"/>
    <x v="0"/>
    <s v="BUCKINGHAMSHIRE HEALTHCARE NHS TRUST"/>
    <n v="10914"/>
    <n v="3089"/>
    <n v="3341"/>
    <n v="58"/>
    <n v="231"/>
    <n v="223"/>
    <d v="2025-06-01T00:00:00"/>
    <s v="Q1"/>
    <x v="1"/>
    <n v="0.30612057907275059"/>
    <n v="14003"/>
    <n v="3"/>
    <n v="2.0432472054242257E-2"/>
  </r>
  <r>
    <x v="2"/>
    <s v="RWP"/>
    <x v="5"/>
    <s v="WORCESTERSHIRE ACUTE HOSPITALS NHS TRUST"/>
    <n v="13862"/>
    <n v="6476"/>
    <n v="6811"/>
    <n v="87"/>
    <n v="684"/>
    <n v="795"/>
    <d v="2025-06-01T00:00:00"/>
    <s v="Q1"/>
    <x v="1"/>
    <n v="0.49134324051363437"/>
    <n v="20338"/>
    <n v="3"/>
    <n v="5.7351031597172128E-2"/>
  </r>
  <r>
    <x v="2"/>
    <s v="Y03007"/>
    <x v="5"/>
    <s v="ERDINGTON GP HEALTH &amp; WELLBEING WIC"/>
    <n v="0"/>
    <n v="0"/>
    <n v="0"/>
    <n v="0"/>
    <n v="0"/>
    <n v="0"/>
    <d v="2025-06-01T00:00:00"/>
    <s v="Q1"/>
    <x v="1"/>
    <n v="0"/>
    <n v="0"/>
    <n v="3"/>
    <n v="0"/>
  </r>
  <r>
    <x v="2"/>
    <s v="RYY"/>
    <x v="0"/>
    <s v="KENT COMMUNITY HEALTH NHS FOUNDATION TRUST"/>
    <n v="0"/>
    <n v="9813"/>
    <n v="0"/>
    <n v="28"/>
    <n v="0"/>
    <n v="0"/>
    <d v="2025-06-01T00:00:00"/>
    <s v="Q1"/>
    <x v="1"/>
    <n v="0"/>
    <n v="9813"/>
    <n v="3"/>
    <n v="0"/>
  </r>
  <r>
    <x v="2"/>
    <s v="RJ7"/>
    <x v="4"/>
    <s v="ST GEORGE'S UNIVERSITY HOSPITALS NHS FOUNDATION TRUST"/>
    <n v="8539"/>
    <n v="4126"/>
    <n v="2394"/>
    <n v="150"/>
    <n v="519"/>
    <n v="694"/>
    <d v="2025-06-01T00:00:00"/>
    <s v="Q1"/>
    <x v="1"/>
    <n v="0.28036069797400165"/>
    <n v="12665"/>
    <n v="3"/>
    <n v="8.1274153882187616E-2"/>
  </r>
  <r>
    <x v="2"/>
    <s v="NTP11"/>
    <x v="0"/>
    <s v="PRACTICE PLUS GROUP HOSPITAL - SOUTHAMPTON"/>
    <n v="0"/>
    <n v="5502"/>
    <n v="0"/>
    <n v="261"/>
    <n v="0"/>
    <n v="0"/>
    <d v="2025-06-01T00:00:00"/>
    <s v="Q1"/>
    <x v="1"/>
    <n v="0"/>
    <n v="5502"/>
    <n v="3"/>
    <n v="0"/>
  </r>
  <r>
    <x v="2"/>
    <s v="RTH"/>
    <x v="0"/>
    <s v="OXFORD UNIVERSITY HOSPITALS NHS FOUNDATION TRUST"/>
    <n v="12268"/>
    <n v="3750"/>
    <n v="3498"/>
    <n v="111"/>
    <n v="511"/>
    <n v="0"/>
    <d v="2025-06-01T00:00:00"/>
    <s v="Q1"/>
    <x v="1"/>
    <n v="0.28513205086403653"/>
    <n v="16018"/>
    <n v="3"/>
    <n v="0"/>
  </r>
  <r>
    <x v="2"/>
    <s v="RJN"/>
    <x v="3"/>
    <s v="EAST CHESHIRE NHS TRUST"/>
    <n v="4831"/>
    <n v="0"/>
    <n v="2575"/>
    <n v="0"/>
    <n v="172"/>
    <n v="259"/>
    <d v="2025-06-01T00:00:00"/>
    <s v="Q1"/>
    <x v="1"/>
    <n v="0.53301593872904163"/>
    <n v="4831"/>
    <n v="3"/>
    <n v="5.3612088594493894E-2"/>
  </r>
  <r>
    <x v="2"/>
    <s v="RJ6"/>
    <x v="4"/>
    <s v="CROYDON HEALTH SERVICES NHS TRUST"/>
    <n v="12910"/>
    <n v="5052"/>
    <n v="4521"/>
    <n v="0"/>
    <n v="252"/>
    <n v="0"/>
    <d v="2025-06-01T00:00:00"/>
    <s v="Q1"/>
    <x v="1"/>
    <n v="0.3501936483346243"/>
    <n v="17962"/>
    <n v="3"/>
    <n v="0"/>
  </r>
  <r>
    <x v="2"/>
    <s v="RHM"/>
    <x v="0"/>
    <s v="UNIVERSITY HOSPITAL SOUTHAMPTON NHS FOUNDATION TRUST"/>
    <n v="11765"/>
    <n v="0"/>
    <n v="5029"/>
    <n v="0"/>
    <n v="363"/>
    <n v="9"/>
    <d v="2025-06-01T00:00:00"/>
    <s v="Q1"/>
    <x v="1"/>
    <n v="0.42745431364215897"/>
    <n v="11765"/>
    <n v="3"/>
    <n v="7.6498087547811303E-4"/>
  </r>
  <r>
    <x v="2"/>
    <s v="RGT"/>
    <x v="2"/>
    <s v="CAMBRIDGE UNIVERSITY HOSPITALS NHS FOUNDATION TRUST"/>
    <n v="10891"/>
    <n v="6055"/>
    <n v="4397"/>
    <n v="139"/>
    <n v="519"/>
    <n v="236"/>
    <d v="2025-06-01T00:00:00"/>
    <s v="Q1"/>
    <x v="1"/>
    <n v="0.4037278486823983"/>
    <n v="16946"/>
    <n v="3"/>
    <n v="2.166926820310348E-2"/>
  </r>
  <r>
    <x v="2"/>
    <s v="RC9"/>
    <x v="2"/>
    <s v="BEDFORDSHIRE HOSPITALS NHS FOUNDATION TRUST"/>
    <n v="16839"/>
    <n v="7673"/>
    <n v="6761"/>
    <n v="0"/>
    <n v="81"/>
    <n v="0"/>
    <d v="2025-06-01T00:00:00"/>
    <s v="Q1"/>
    <x v="1"/>
    <n v="0.40150840311182373"/>
    <n v="24512"/>
    <n v="3"/>
    <n v="0"/>
  </r>
  <r>
    <x v="2"/>
    <s v="RAE"/>
    <x v="6"/>
    <s v="BRADFORD TEACHING HOSPITALS NHS FOUNDATION TRUST"/>
    <n v="9369"/>
    <n v="3297"/>
    <n v="2373"/>
    <n v="1"/>
    <n v="653"/>
    <n v="63"/>
    <d v="2025-06-01T00:00:00"/>
    <s v="Q1"/>
    <x v="1"/>
    <n v="0.25328210054434841"/>
    <n v="12666"/>
    <n v="3"/>
    <n v="6.7243035542747355E-3"/>
  </r>
  <r>
    <x v="2"/>
    <s v="R1F"/>
    <x v="0"/>
    <s v="ISLE OF WIGHT NHS TRUST"/>
    <n v="4192"/>
    <n v="1567"/>
    <n v="1754"/>
    <n v="115"/>
    <n v="264"/>
    <n v="181"/>
    <d v="2025-06-01T00:00:00"/>
    <s v="Q1"/>
    <x v="1"/>
    <n v="0.41841603053435117"/>
    <n v="5759"/>
    <n v="3"/>
    <n v="4.3177480916030533E-2"/>
  </r>
  <r>
    <x v="2"/>
    <s v="NR3"/>
    <x v="5"/>
    <s v="NOTTINGHAM CITYCARE PARTNERSHIP"/>
    <n v="0"/>
    <n v="4946"/>
    <n v="0"/>
    <n v="377"/>
    <n v="0"/>
    <n v="0"/>
    <d v="2025-06-01T00:00:00"/>
    <s v="Q1"/>
    <x v="1"/>
    <n v="0"/>
    <n v="4946"/>
    <n v="3"/>
    <n v="0"/>
  </r>
  <r>
    <x v="2"/>
    <s v="RW4"/>
    <x v="3"/>
    <s v="MERSEY CARE NHS FOUNDATION TRUST"/>
    <n v="0"/>
    <n v="13175"/>
    <n v="0"/>
    <n v="244"/>
    <n v="0"/>
    <n v="0"/>
    <d v="2025-06-01T00:00:00"/>
    <s v="Q1"/>
    <x v="1"/>
    <n v="0"/>
    <n v="13175"/>
    <n v="3"/>
    <n v="0"/>
  </r>
  <r>
    <x v="2"/>
    <s v="RVJ"/>
    <x v="1"/>
    <s v="NORTH BRISTOL NHS TRUST"/>
    <n v="9261"/>
    <n v="0"/>
    <n v="3498"/>
    <n v="0"/>
    <n v="576"/>
    <n v="263"/>
    <d v="2025-06-01T00:00:00"/>
    <s v="Q1"/>
    <x v="1"/>
    <n v="0.37771298995788793"/>
    <n v="9261"/>
    <n v="3"/>
    <n v="2.8398661051722278E-2"/>
  </r>
  <r>
    <x v="2"/>
    <s v="RTF"/>
    <x v="6"/>
    <s v="NORTHUMBRIA HEALTHCARE NHS FOUNDATION TRUST"/>
    <n v="9915"/>
    <n v="13581"/>
    <n v="1993"/>
    <n v="7"/>
    <n v="3"/>
    <n v="0"/>
    <d v="2025-06-01T00:00:00"/>
    <s v="Q1"/>
    <x v="1"/>
    <n v="0.20100857286938981"/>
    <n v="23496"/>
    <n v="3"/>
    <n v="0"/>
  </r>
  <r>
    <x v="2"/>
    <s v="RRK"/>
    <x v="5"/>
    <s v="UNIVERSITY HOSPITALS BIRMINGHAM NHS FOUNDATION TRUST"/>
    <n v="35162"/>
    <n v="1864"/>
    <n v="14726"/>
    <n v="101"/>
    <n v="2472"/>
    <n v="1892"/>
    <d v="2025-06-01T00:00:00"/>
    <s v="Q1"/>
    <x v="1"/>
    <n v="0.41880439110403278"/>
    <n v="37026"/>
    <n v="3"/>
    <n v="5.380808827711734E-2"/>
  </r>
  <r>
    <x v="2"/>
    <s v="RRF"/>
    <x v="3"/>
    <s v="WRIGHTINGTON, WIGAN AND LEIGH NHS FOUNDATION TRUST"/>
    <n v="7384"/>
    <n v="5202"/>
    <n v="3512"/>
    <n v="58"/>
    <n v="626"/>
    <n v="356"/>
    <d v="2025-06-01T00:00:00"/>
    <s v="Q1"/>
    <x v="1"/>
    <n v="0.47562296858071507"/>
    <n v="12586"/>
    <n v="3"/>
    <n v="4.8212351029252434E-2"/>
  </r>
  <r>
    <x v="2"/>
    <s v="RR8"/>
    <x v="6"/>
    <s v="LEEDS TEACHING HOSPITALS NHS TRUST"/>
    <n v="17563"/>
    <n v="11747"/>
    <n v="6835"/>
    <n v="196"/>
    <n v="1759"/>
    <n v="208"/>
    <d v="2025-06-01T00:00:00"/>
    <s v="Q1"/>
    <x v="1"/>
    <n v="0.38917041507715083"/>
    <n v="29310"/>
    <n v="3"/>
    <n v="1.1843079200592153E-2"/>
  </r>
  <r>
    <x v="2"/>
    <s v="RQW"/>
    <x v="2"/>
    <s v="THE PRINCESS ALEXANDRA HOSPITAL NHS TRUST"/>
    <n v="8513"/>
    <n v="1907"/>
    <n v="3484"/>
    <n v="0"/>
    <n v="344"/>
    <n v="99"/>
    <d v="2025-06-01T00:00:00"/>
    <s v="Q1"/>
    <x v="1"/>
    <n v="0.40925643134030304"/>
    <n v="10420"/>
    <n v="3"/>
    <n v="1.1629272876776694E-2"/>
  </r>
  <r>
    <x v="2"/>
    <s v="RQM"/>
    <x v="4"/>
    <s v="CHELSEA AND WESTMINSTER HOSPITAL NHS FOUNDATION TRUST"/>
    <n v="19980"/>
    <n v="6091"/>
    <n v="5149"/>
    <n v="78"/>
    <n v="508"/>
    <n v="56"/>
    <d v="2025-06-01T00:00:00"/>
    <s v="Q1"/>
    <x v="1"/>
    <n v="0.25770770770770773"/>
    <n v="26071"/>
    <n v="3"/>
    <n v="2.8028028028028026E-3"/>
  </r>
  <r>
    <x v="2"/>
    <s v="RP6"/>
    <x v="4"/>
    <s v="MOORFIELDS EYE HOSPITAL NHS FOUNDATION TRUST"/>
    <n v="0"/>
    <n v="0"/>
    <n v="0"/>
    <n v="0"/>
    <n v="0"/>
    <n v="0"/>
    <d v="2025-06-01T00:00:00"/>
    <s v="Q1"/>
    <x v="1"/>
    <n v="0"/>
    <n v="0"/>
    <n v="3"/>
    <n v="0"/>
  </r>
  <r>
    <x v="2"/>
    <s v="RNU"/>
    <x v="0"/>
    <s v="OXFORD HEALTH NHS FOUNDATION TRUST"/>
    <n v="0"/>
    <n v="4643"/>
    <n v="0"/>
    <n v="219"/>
    <n v="0"/>
    <n v="0"/>
    <d v="2025-06-01T00:00:00"/>
    <s v="Q1"/>
    <x v="1"/>
    <n v="0"/>
    <n v="4643"/>
    <n v="3"/>
    <n v="0"/>
  </r>
  <r>
    <x v="2"/>
    <s v="RN7"/>
    <x v="0"/>
    <s v="DARTFORD AND GRAVESHAM NHS TRUST"/>
    <n v="11007"/>
    <n v="4082"/>
    <n v="3835"/>
    <n v="5"/>
    <n v="536"/>
    <n v="297"/>
    <d v="2025-06-01T00:00:00"/>
    <s v="Q1"/>
    <x v="1"/>
    <n v="0.34841464522576543"/>
    <n v="15089"/>
    <n v="3"/>
    <n v="2.6982829108748978E-2"/>
  </r>
  <r>
    <x v="2"/>
    <s v="RM1"/>
    <x v="2"/>
    <s v="NORFOLK AND NORWICH UNIVERSITY HOSPITALS NHS FOUNDATION TRUST"/>
    <n v="13020"/>
    <n v="7591"/>
    <n v="4102"/>
    <n v="13"/>
    <n v="937"/>
    <n v="248"/>
    <d v="2025-06-01T00:00:00"/>
    <s v="Q1"/>
    <x v="1"/>
    <n v="0.31505376344086022"/>
    <n v="20611"/>
    <n v="3"/>
    <n v="1.9047619047619049E-2"/>
  </r>
  <r>
    <x v="2"/>
    <s v="RWD"/>
    <x v="5"/>
    <s v="UNITED LINCOLNSHIRE TEACHING HOSPITALS NHS TRUST"/>
    <n v="16654"/>
    <n v="3648"/>
    <n v="6851"/>
    <n v="343"/>
    <n v="910"/>
    <n v="1077"/>
    <d v="2025-06-01T00:00:00"/>
    <s v="Q1"/>
    <x v="1"/>
    <n v="0.41137264320883871"/>
    <n v="20302"/>
    <n v="3"/>
    <n v="6.4669148552900207E-2"/>
  </r>
  <r>
    <x v="2"/>
    <s v="RLT"/>
    <x v="5"/>
    <s v="GEORGE ELIOT HOSPITAL NHS TRUST"/>
    <n v="6939"/>
    <n v="1693"/>
    <n v="2566"/>
    <n v="64"/>
    <n v="261"/>
    <n v="484"/>
    <d v="2025-06-01T00:00:00"/>
    <s v="Q1"/>
    <x v="1"/>
    <n v="0.36979391843205073"/>
    <n v="8632"/>
    <n v="3"/>
    <n v="6.9750684536676752E-2"/>
  </r>
  <r>
    <x v="2"/>
    <s v="RWG"/>
    <x v="2"/>
    <s v="WEST HERTFORDSHIRE TEACHING HOSPITALS NHS TRUST"/>
    <n v="8116"/>
    <n v="7881"/>
    <n v="2374"/>
    <n v="39"/>
    <n v="654"/>
    <n v="21"/>
    <d v="2025-06-01T00:00:00"/>
    <s v="Q1"/>
    <x v="1"/>
    <n v="0.2925086249383933"/>
    <n v="15997"/>
    <n v="3"/>
    <n v="2.5874815179891572E-3"/>
  </r>
  <r>
    <x v="2"/>
    <s v="RWX"/>
    <x v="0"/>
    <s v="BERKSHIRE HEALTHCARE NHS FOUNDATION TRUST"/>
    <n v="0"/>
    <n v="1624"/>
    <n v="0"/>
    <n v="20"/>
    <n v="0"/>
    <n v="0"/>
    <d v="2025-06-01T00:00:00"/>
    <s v="Q1"/>
    <x v="1"/>
    <n v="0"/>
    <n v="1624"/>
    <n v="3"/>
    <n v="0"/>
  </r>
  <r>
    <x v="2"/>
    <s v="RTD"/>
    <x v="6"/>
    <s v="THE NEWCASTLE UPON TYNE HOSPITALS NHS FOUNDATION TRUST"/>
    <n v="12288"/>
    <n v="6292"/>
    <n v="4473"/>
    <n v="1"/>
    <n v="595"/>
    <n v="48"/>
    <d v="2025-06-01T00:00:00"/>
    <s v="Q1"/>
    <x v="1"/>
    <n v="0.364013671875"/>
    <n v="18580"/>
    <n v="3"/>
    <n v="3.90625E-3"/>
  </r>
  <r>
    <x v="2"/>
    <s v="RFS"/>
    <x v="5"/>
    <s v="CHESTERFIELD ROYAL HOSPITAL NHS FOUNDATION TRUST"/>
    <n v="6588"/>
    <n v="6045"/>
    <n v="3702"/>
    <n v="435"/>
    <n v="564"/>
    <n v="78"/>
    <d v="2025-06-01T00:00:00"/>
    <s v="Q1"/>
    <x v="1"/>
    <n v="0.56193078324225865"/>
    <n v="12633"/>
    <n v="3"/>
    <n v="1.1839708561020037E-2"/>
  </r>
  <r>
    <x v="2"/>
    <s v="RA7"/>
    <x v="1"/>
    <s v="UNIVERSITY HOSPITALS BRISTOL AND WESTON NHS FOUNDATION TRUST"/>
    <n v="15491"/>
    <n v="0"/>
    <n v="5239"/>
    <n v="0"/>
    <n v="917"/>
    <n v="137"/>
    <d v="2025-06-01T00:00:00"/>
    <s v="Q1"/>
    <x v="1"/>
    <n v="0.33819637208701825"/>
    <n v="15491"/>
    <n v="3"/>
    <n v="8.843844813117294E-3"/>
  </r>
  <r>
    <x v="2"/>
    <s v="NNJ14"/>
    <x v="5"/>
    <s v="OADBY"/>
    <n v="0"/>
    <n v="518"/>
    <n v="0"/>
    <n v="0"/>
    <n v="0"/>
    <n v="0"/>
    <d v="2025-06-01T00:00:00"/>
    <s v="Q1"/>
    <x v="1"/>
    <n v="0"/>
    <n v="518"/>
    <n v="3"/>
    <n v="0"/>
  </r>
  <r>
    <x v="2"/>
    <s v="RPA"/>
    <x v="0"/>
    <s v="MEDWAY NHS FOUNDATION TRUST"/>
    <n v="10049"/>
    <n v="6470"/>
    <n v="3353"/>
    <n v="596"/>
    <n v="396"/>
    <n v="454"/>
    <d v="2025-06-01T00:00:00"/>
    <s v="Q1"/>
    <x v="1"/>
    <n v="0.33366504129764157"/>
    <n v="16519"/>
    <n v="3"/>
    <n v="4.5178624738779975E-2"/>
  </r>
  <r>
    <x v="2"/>
    <s v="RWW"/>
    <x v="3"/>
    <s v="WARRINGTON AND HALTON TEACHING HOSPITALS NHS FOUNDATION TRUST"/>
    <n v="6822"/>
    <n v="3174"/>
    <n v="3501"/>
    <n v="41"/>
    <n v="654"/>
    <n v="854"/>
    <d v="2025-06-01T00:00:00"/>
    <s v="Q1"/>
    <x v="1"/>
    <n v="0.51319261213720313"/>
    <n v="9996"/>
    <n v="3"/>
    <n v="0.12518323072412782"/>
  </r>
  <r>
    <x v="2"/>
    <s v="RHU"/>
    <x v="0"/>
    <s v="PORTSMOUTH HOSPITALS UNIVERSITY NHS TRUST"/>
    <n v="10271"/>
    <n v="3213"/>
    <n v="3677"/>
    <n v="77"/>
    <n v="847"/>
    <n v="838"/>
    <d v="2025-06-01T00:00:00"/>
    <s v="Q1"/>
    <x v="1"/>
    <n v="0.35799824749294129"/>
    <n v="13484"/>
    <n v="3"/>
    <n v="8.1588939733229476E-2"/>
  </r>
  <r>
    <x v="2"/>
    <s v="R1H"/>
    <x v="4"/>
    <s v="BARTS HEALTH NHS TRUST"/>
    <n v="25464"/>
    <n v="18454"/>
    <n v="11582"/>
    <n v="2205"/>
    <n v="1234"/>
    <n v="960"/>
    <d v="2025-06-01T00:00:00"/>
    <s v="Q1"/>
    <x v="1"/>
    <n v="0.45483820295318883"/>
    <n v="43918"/>
    <n v="3"/>
    <n v="3.7700282752120638E-2"/>
  </r>
  <r>
    <x v="2"/>
    <s v="RNS"/>
    <x v="5"/>
    <s v="NORTHAMPTON GENERAL HOSPITAL NHS TRUST"/>
    <n v="11008"/>
    <n v="1990"/>
    <n v="4131"/>
    <n v="205"/>
    <n v="709"/>
    <n v="697"/>
    <d v="2025-06-01T00:00:00"/>
    <s v="Q1"/>
    <x v="1"/>
    <n v="0.37527252906976744"/>
    <n v="12998"/>
    <n v="3"/>
    <n v="6.331758720930232E-2"/>
  </r>
  <r>
    <x v="2"/>
    <s v="RET"/>
    <x v="3"/>
    <s v="THE WALTON CENTRE NHS FOUNDATION TRUST"/>
    <n v="0"/>
    <n v="0"/>
    <n v="0"/>
    <n v="0"/>
    <n v="0"/>
    <n v="0"/>
    <d v="2025-06-01T00:00:00"/>
    <s v="Q1"/>
    <x v="1"/>
    <n v="0"/>
    <n v="0"/>
    <n v="3"/>
    <n v="0"/>
  </r>
  <r>
    <x v="2"/>
    <s v="RBV"/>
    <x v="3"/>
    <s v="THE CHRISTIE NHS FOUNDATION TRUST"/>
    <n v="0"/>
    <n v="0"/>
    <n v="0"/>
    <n v="0"/>
    <n v="0"/>
    <n v="0"/>
    <d v="2025-06-01T00:00:00"/>
    <s v="Q1"/>
    <x v="1"/>
    <n v="0"/>
    <n v="0"/>
    <n v="3"/>
    <n v="0"/>
  </r>
  <r>
    <x v="2"/>
    <s v="RBL"/>
    <x v="3"/>
    <s v="WIRRAL UNIVERSITY TEACHING HOSPITAL NHS FOUNDATION TRUST"/>
    <n v="7932"/>
    <n v="2929"/>
    <n v="4151"/>
    <n v="84"/>
    <n v="508"/>
    <n v="816"/>
    <d v="2025-06-01T00:00:00"/>
    <s v="Q1"/>
    <x v="1"/>
    <n v="0.52332324760463944"/>
    <n v="10861"/>
    <n v="3"/>
    <n v="0.10287443267776097"/>
  </r>
  <r>
    <x v="2"/>
    <s v="RVR"/>
    <x v="4"/>
    <s v="EPSOM AND ST HELIER UNIVERSITY HOSPITALS NHS TRUST"/>
    <n v="10881"/>
    <n v="1978"/>
    <n v="4160"/>
    <n v="298"/>
    <n v="472"/>
    <n v="994"/>
    <d v="2025-06-01T00:00:00"/>
    <s v="Q1"/>
    <x v="1"/>
    <n v="0.3823178016726404"/>
    <n v="12859"/>
    <n v="3"/>
    <n v="9.1351897803510704E-2"/>
  </r>
  <r>
    <x v="2"/>
    <s v="RM3"/>
    <x v="3"/>
    <s v="NORTHERN CARE ALLIANCE NHS FOUNDATION TRUST"/>
    <n v="25985"/>
    <n v="8713"/>
    <n v="10696"/>
    <n v="380"/>
    <n v="1054"/>
    <n v="1179"/>
    <d v="2025-06-01T00:00:00"/>
    <s v="Q1"/>
    <x v="1"/>
    <n v="0.41162208966711566"/>
    <n v="34698"/>
    <n v="3"/>
    <n v="4.5372330190494518E-2"/>
  </r>
  <r>
    <x v="2"/>
    <s v="RJ1"/>
    <x v="4"/>
    <s v="GUY'S AND ST THOMAS' NHS FOUNDATION TRUST"/>
    <n v="10089"/>
    <n v="7093"/>
    <n v="3363"/>
    <n v="203"/>
    <n v="108"/>
    <n v="68"/>
    <d v="2025-06-01T00:00:00"/>
    <s v="Q1"/>
    <x v="1"/>
    <n v="0.33333333333333331"/>
    <n v="17182"/>
    <n v="3"/>
    <n v="6.7400138764991575E-3"/>
  </r>
  <r>
    <x v="2"/>
    <s v="RDU"/>
    <x v="0"/>
    <s v="FRIMLEY HEALTH NHS FOUNDATION TRUST"/>
    <n v="22355"/>
    <n v="12806"/>
    <n v="9517"/>
    <n v="393"/>
    <n v="1435"/>
    <n v="414"/>
    <d v="2025-06-01T00:00:00"/>
    <s v="Q1"/>
    <x v="1"/>
    <n v="0.42572131514202638"/>
    <n v="35161"/>
    <n v="3"/>
    <n v="1.8519346902259003E-2"/>
  </r>
  <r>
    <x v="2"/>
    <s v="R1K"/>
    <x v="4"/>
    <s v="LONDON NORTH WEST UNIVERSITY HEALTHCARE NHS TRUST"/>
    <n v="13432"/>
    <n v="15614"/>
    <n v="6122"/>
    <n v="213"/>
    <n v="451"/>
    <n v="196"/>
    <d v="2025-06-01T00:00:00"/>
    <s v="Q1"/>
    <x v="1"/>
    <n v="0.4557772483621203"/>
    <n v="29046"/>
    <n v="3"/>
    <n v="1.4592019058963668E-2"/>
  </r>
  <r>
    <x v="2"/>
    <s v="RHW"/>
    <x v="0"/>
    <s v="ROYAL BERKSHIRE NHS FOUNDATION TRUST"/>
    <n v="11860"/>
    <n v="1911"/>
    <n v="3985"/>
    <n v="0"/>
    <n v="439"/>
    <n v="5"/>
    <d v="2025-06-01T00:00:00"/>
    <s v="Q1"/>
    <x v="1"/>
    <n v="0.33600337268128161"/>
    <n v="13771"/>
    <n v="3"/>
    <n v="4.2158516020236085E-4"/>
  </r>
  <r>
    <x v="2"/>
    <s v="RYJ"/>
    <x v="4"/>
    <s v="IMPERIAL COLLEGE HEALTHCARE NHS TRUST"/>
    <n v="12099"/>
    <n v="7565"/>
    <n v="5345"/>
    <n v="353"/>
    <n v="676"/>
    <n v="0"/>
    <d v="2025-06-01T00:00:00"/>
    <s v="Q1"/>
    <x v="1"/>
    <n v="0.44177204727663444"/>
    <n v="19664"/>
    <n v="3"/>
    <n v="0"/>
  </r>
  <r>
    <x v="2"/>
    <s v="RY2"/>
    <x v="3"/>
    <s v="BRIDGEWATER COMMUNITY HEALTHCARE NHS FOUNDATION TRUST"/>
    <n v="0"/>
    <n v="2903"/>
    <n v="0"/>
    <n v="39"/>
    <n v="0"/>
    <n v="0"/>
    <d v="2025-06-01T00:00:00"/>
    <s v="Q1"/>
    <x v="1"/>
    <n v="0"/>
    <n v="2903"/>
    <n v="3"/>
    <n v="0"/>
  </r>
  <r>
    <x v="2"/>
    <s v="RXN"/>
    <x v="3"/>
    <s v="LANCASHIRE TEACHING HOSPITALS NHS FOUNDATION TRUST"/>
    <n v="11836"/>
    <n v="3418"/>
    <n v="4494"/>
    <n v="142"/>
    <n v="995"/>
    <n v="476"/>
    <d v="2025-06-01T00:00:00"/>
    <s v="Q1"/>
    <x v="1"/>
    <n v="0.3796890841500507"/>
    <n v="15254"/>
    <n v="3"/>
    <n v="4.021628928692126E-2"/>
  </r>
  <r>
    <x v="2"/>
    <s v="RWJ"/>
    <x v="3"/>
    <s v="STOCKPORT NHS FOUNDATION TRUST"/>
    <n v="7886"/>
    <n v="1086"/>
    <n v="2551"/>
    <n v="68"/>
    <n v="558"/>
    <n v="95"/>
    <d v="2025-06-01T00:00:00"/>
    <s v="Q1"/>
    <x v="1"/>
    <n v="0.3234846563530307"/>
    <n v="8972"/>
    <n v="3"/>
    <n v="1.204666497590667E-2"/>
  </r>
  <r>
    <x v="2"/>
    <s v="RKB"/>
    <x v="5"/>
    <s v="UNIVERSITY HOSPITALS COVENTRY AND WARWICKSHIRE NHS TRUST"/>
    <n v="12391"/>
    <n v="5969"/>
    <n v="5555"/>
    <n v="190"/>
    <n v="70"/>
    <n v="14"/>
    <d v="2025-06-01T00:00:00"/>
    <s v="Q1"/>
    <x v="1"/>
    <n v="0.44830925671858607"/>
    <n v="18360"/>
    <n v="3"/>
    <n v="1.1298523121620531E-3"/>
  </r>
  <r>
    <x v="2"/>
    <s v="RJE"/>
    <x v="5"/>
    <s v="UNIVERSITY HOSPITALS OF NORTH MIDLANDS NHS TRUST"/>
    <n v="14177"/>
    <n v="8630"/>
    <n v="7382"/>
    <n v="105"/>
    <n v="1032"/>
    <n v="942"/>
    <d v="2025-06-01T00:00:00"/>
    <s v="Q1"/>
    <x v="1"/>
    <n v="0.52070254637793612"/>
    <n v="22807"/>
    <n v="3"/>
    <n v="6.6445651407208858E-2"/>
  </r>
  <r>
    <x v="2"/>
    <s v="RHQ"/>
    <x v="6"/>
    <s v="SHEFFIELD TEACHING HOSPITALS NHS FOUNDATION TRUST"/>
    <n v="8756"/>
    <n v="7199"/>
    <n v="3872"/>
    <n v="196"/>
    <n v="524"/>
    <n v="4"/>
    <d v="2025-06-01T00:00:00"/>
    <s v="Q1"/>
    <x v="1"/>
    <n v="0.44221105527638194"/>
    <n v="15955"/>
    <n v="3"/>
    <n v="4.5682960255824577E-4"/>
  </r>
  <r>
    <x v="2"/>
    <s v="RWH"/>
    <x v="2"/>
    <s v="EAST AND NORTH HERTFORDSHIRE NHS TRUST"/>
    <n v="8595"/>
    <n v="8439"/>
    <n v="3738"/>
    <n v="109"/>
    <n v="81"/>
    <n v="23"/>
    <d v="2025-06-01T00:00:00"/>
    <s v="Q1"/>
    <x v="1"/>
    <n v="0.43490401396160561"/>
    <n v="17034"/>
    <n v="3"/>
    <n v="2.6759744037230947E-3"/>
  </r>
  <r>
    <x v="2"/>
    <s v="RWE"/>
    <x v="5"/>
    <s v="UNIVERSITY HOSPITALS OF LEICESTER NHS TRUST"/>
    <n v="21814"/>
    <n v="0"/>
    <n v="9128"/>
    <n v="0"/>
    <n v="1207"/>
    <n v="569"/>
    <d v="2025-06-01T00:00:00"/>
    <s v="Q1"/>
    <x v="1"/>
    <n v="0.41844686898322181"/>
    <n v="21814"/>
    <n v="3"/>
    <n v="2.6084166131841936E-2"/>
  </r>
  <r>
    <x v="2"/>
    <s v="RVV"/>
    <x v="0"/>
    <s v="EAST KENT HOSPITALS UNIVERSITY NHS FOUNDATION TRUST"/>
    <n v="12129"/>
    <n v="13137"/>
    <n v="5583"/>
    <n v="374"/>
    <n v="535"/>
    <n v="1150"/>
    <d v="2025-06-01T00:00:00"/>
    <s v="Q1"/>
    <x v="1"/>
    <n v="0.46030175612169183"/>
    <n v="25266"/>
    <n v="3"/>
    <n v="9.4814081952345614E-2"/>
  </r>
  <r>
    <x v="2"/>
    <s v="RTX"/>
    <x v="3"/>
    <s v="UNIVERSITY HOSPITALS OF MORECAMBE BAY NHS FOUNDATION TRUST"/>
    <n v="9300"/>
    <n v="2951"/>
    <n v="3208"/>
    <n v="94"/>
    <n v="622"/>
    <n v="264"/>
    <d v="2025-06-01T00:00:00"/>
    <s v="Q1"/>
    <x v="1"/>
    <n v="0.34494623655913981"/>
    <n v="12251"/>
    <n v="3"/>
    <n v="2.838709677419355E-2"/>
  </r>
  <r>
    <x v="2"/>
    <s v="RTE"/>
    <x v="1"/>
    <s v="GLOUCESTERSHIRE HOSPITALS NHS FOUNDATION TRUST"/>
    <n v="13546"/>
    <n v="0"/>
    <n v="5020"/>
    <n v="0"/>
    <n v="430"/>
    <n v="223"/>
    <d v="2025-06-01T00:00:00"/>
    <s v="Q1"/>
    <x v="1"/>
    <n v="0.37058910379447807"/>
    <n v="13546"/>
    <n v="3"/>
    <n v="1.6462424331906096E-2"/>
  </r>
  <r>
    <x v="2"/>
    <s v="RQ3"/>
    <x v="5"/>
    <s v="BIRMINGHAM WOMEN'S AND CHILDREN'S NHS FOUNDATION TRUST"/>
    <n v="4831"/>
    <n v="0"/>
    <n v="791"/>
    <n v="0"/>
    <n v="9"/>
    <n v="2"/>
    <d v="2025-06-01T00:00:00"/>
    <s v="Q1"/>
    <x v="1"/>
    <n v="0.16373421651831918"/>
    <n v="4831"/>
    <n v="3"/>
    <n v="4.1399296211964395E-4"/>
  </r>
  <r>
    <x v="2"/>
    <s v="RPC"/>
    <x v="0"/>
    <s v="QUEEN VICTORIA HOSPITAL NHS FOUNDATION TRUST"/>
    <n v="0"/>
    <n v="1488"/>
    <n v="0"/>
    <n v="53"/>
    <n v="0"/>
    <n v="0"/>
    <d v="2025-06-01T00:00:00"/>
    <s v="Q1"/>
    <x v="1"/>
    <n v="0"/>
    <n v="1488"/>
    <n v="3"/>
    <n v="0"/>
  </r>
  <r>
    <x v="2"/>
    <s v="RNZ"/>
    <x v="1"/>
    <s v="SALISBURY NHS FOUNDATION TRUST"/>
    <n v="4881"/>
    <n v="1925"/>
    <n v="2178"/>
    <n v="0"/>
    <n v="351"/>
    <n v="31"/>
    <d v="2025-06-01T00:00:00"/>
    <s v="Q1"/>
    <x v="1"/>
    <n v="0.44622003687768902"/>
    <n v="6806"/>
    <n v="3"/>
    <n v="6.3511575496824424E-3"/>
  </r>
  <r>
    <x v="2"/>
    <s v="RN5"/>
    <x v="0"/>
    <s v="HAMPSHIRE HOSPITALS NHS FOUNDATION TRUST"/>
    <n v="10496"/>
    <n v="3490"/>
    <n v="4268"/>
    <n v="106"/>
    <n v="83"/>
    <n v="23"/>
    <d v="2025-06-01T00:00:00"/>
    <s v="Q1"/>
    <x v="1"/>
    <n v="0.4066310975609756"/>
    <n v="13986"/>
    <n v="3"/>
    <n v="2.1913109756097563E-3"/>
  </r>
  <r>
    <x v="2"/>
    <s v="RN3"/>
    <x v="1"/>
    <s v="GREAT WESTERN HOSPITALS NHS FOUNDATION TRUST"/>
    <n v="5709"/>
    <n v="5661"/>
    <n v="2897"/>
    <n v="617"/>
    <n v="702"/>
    <n v="164"/>
    <d v="2025-06-01T00:00:00"/>
    <s v="Q1"/>
    <x v="1"/>
    <n v="0.50744438605710285"/>
    <n v="11370"/>
    <n v="3"/>
    <n v="2.8726572079173236E-2"/>
  </r>
  <r>
    <x v="2"/>
    <s v="RL4"/>
    <x v="5"/>
    <s v="THE ROYAL WOLVERHAMPTON NHS TRUST"/>
    <n v="13220"/>
    <n v="7273"/>
    <n v="3509"/>
    <n v="140"/>
    <n v="1040"/>
    <n v="212"/>
    <d v="2025-06-01T00:00:00"/>
    <s v="Q1"/>
    <x v="1"/>
    <n v="0.26543116490166413"/>
    <n v="20493"/>
    <n v="3"/>
    <n v="1.6036308623298034E-2"/>
  </r>
  <r>
    <x v="2"/>
    <s v="RL1"/>
    <x v="5"/>
    <s v="THE ROBERT JONES AND AGNES HUNT ORTHOPAEDIC HOSPITAL NHS FOUNDATION TRUST"/>
    <n v="0"/>
    <n v="0"/>
    <n v="0"/>
    <n v="0"/>
    <n v="0"/>
    <n v="0"/>
    <d v="2025-06-01T00:00:00"/>
    <s v="Q1"/>
    <x v="1"/>
    <n v="0"/>
    <n v="0"/>
    <n v="3"/>
    <n v="0"/>
  </r>
  <r>
    <x v="2"/>
    <s v="RKE"/>
    <x v="4"/>
    <s v="WHITTINGTON HEALTH NHS TRUST"/>
    <n v="9127"/>
    <n v="0"/>
    <n v="2445"/>
    <n v="0"/>
    <n v="234"/>
    <n v="140"/>
    <d v="2025-06-01T00:00:00"/>
    <s v="Q1"/>
    <x v="1"/>
    <n v="0.26788649063219022"/>
    <n v="9127"/>
    <n v="3"/>
    <n v="1.5339103758080421E-2"/>
  </r>
  <r>
    <x v="2"/>
    <s v="RK5"/>
    <x v="5"/>
    <s v="SHERWOOD FOREST HOSPITALS NHS FOUNDATION TRUST"/>
    <n v="11174"/>
    <n v="5696"/>
    <n v="3627"/>
    <n v="266"/>
    <n v="574"/>
    <n v="43"/>
    <d v="2025-06-01T00:00:00"/>
    <s v="Q1"/>
    <x v="1"/>
    <n v="0.32459280472525504"/>
    <n v="16870"/>
    <n v="3"/>
    <n v="3.8482190800071593E-3"/>
  </r>
  <r>
    <x v="2"/>
    <s v="RJR"/>
    <x v="3"/>
    <s v="COUNTESS OF CHESTER HOSPITAL NHS FOUNDATION TRUST"/>
    <n v="5245"/>
    <n v="2400"/>
    <n v="2572"/>
    <n v="206"/>
    <n v="381"/>
    <n v="577"/>
    <d v="2025-06-01T00:00:00"/>
    <s v="Q1"/>
    <x v="1"/>
    <n v="0.49037178265014297"/>
    <n v="7645"/>
    <n v="3"/>
    <n v="0.11000953288846521"/>
  </r>
  <r>
    <x v="2"/>
    <s v="RJ2"/>
    <x v="4"/>
    <s v="LEWISHAM AND GREENWICH NHS TRUST"/>
    <n v="15546"/>
    <n v="9786"/>
    <n v="7695"/>
    <n v="276"/>
    <n v="1251"/>
    <n v="712"/>
    <d v="2025-06-01T00:00:00"/>
    <s v="Q1"/>
    <x v="1"/>
    <n v="0.49498263218834426"/>
    <n v="25332"/>
    <n v="3"/>
    <n v="4.5799562588447189E-2"/>
  </r>
  <r>
    <x v="2"/>
    <s v="RF4"/>
    <x v="4"/>
    <s v="BARKING, HAVERING AND REDBRIDGE UNIVERSITY HOSPITALS NHS TRUST"/>
    <n v="13369"/>
    <n v="14694"/>
    <n v="5954"/>
    <n v="240"/>
    <n v="712"/>
    <n v="586"/>
    <d v="2025-06-01T00:00:00"/>
    <s v="Q1"/>
    <x v="1"/>
    <n v="0.4453586655696013"/>
    <n v="28063"/>
    <n v="3"/>
    <n v="4.3832747400703122E-2"/>
  </r>
  <r>
    <x v="2"/>
    <s v="RCB"/>
    <x v="6"/>
    <s v="YORK AND SCARBOROUGH TEACHING HOSPITALS NHS FOUNDATION TRUST"/>
    <n v="10773"/>
    <n v="7682"/>
    <n v="5365"/>
    <n v="383"/>
    <n v="750"/>
    <n v="377"/>
    <d v="2025-06-01T00:00:00"/>
    <s v="Q1"/>
    <x v="1"/>
    <n v="0.49800426993409447"/>
    <n v="18455"/>
    <n v="3"/>
    <n v="3.4994894644017449E-2"/>
  </r>
  <r>
    <x v="2"/>
    <s v="RBS"/>
    <x v="3"/>
    <s v="ALDER HEY CHILDREN'S NHS FOUNDATION TRUST"/>
    <n v="5785"/>
    <n v="0"/>
    <n v="867"/>
    <n v="0"/>
    <n v="0"/>
    <n v="0"/>
    <d v="2025-06-01T00:00:00"/>
    <s v="Q1"/>
    <x v="1"/>
    <n v="0.14987035436473639"/>
    <n v="5785"/>
    <n v="3"/>
    <n v="0"/>
  </r>
  <r>
    <x v="2"/>
    <s v="RBN"/>
    <x v="3"/>
    <s v="MERSEY AND WEST LANCASHIRE TEACHING HOSPITALS NHS TRUST"/>
    <n v="17147"/>
    <n v="7253"/>
    <n v="6357"/>
    <n v="98"/>
    <n v="597"/>
    <n v="264"/>
    <d v="2025-06-01T00:00:00"/>
    <s v="Q1"/>
    <x v="1"/>
    <n v="0.37073540561031082"/>
    <n v="24400"/>
    <n v="3"/>
    <n v="1.5396279232518809E-2"/>
  </r>
  <r>
    <x v="2"/>
    <s v="R1D"/>
    <x v="5"/>
    <s v="SHROPSHIRE COMMUNITY HEALTH NHS TRUST"/>
    <n v="0"/>
    <n v="3487"/>
    <n v="0"/>
    <n v="51"/>
    <n v="0"/>
    <n v="0"/>
    <d v="2025-06-01T00:00:00"/>
    <s v="Q1"/>
    <x v="1"/>
    <n v="0"/>
    <n v="3487"/>
    <n v="3"/>
    <n v="0"/>
  </r>
  <r>
    <x v="2"/>
    <s v="RXC"/>
    <x v="0"/>
    <s v="EAST SUSSEX HEALTHCARE NHS TRUST"/>
    <n v="8606"/>
    <n v="2753"/>
    <n v="3532"/>
    <n v="54"/>
    <n v="208"/>
    <n v="31"/>
    <d v="2025-06-01T00:00:00"/>
    <s v="Q1"/>
    <x v="1"/>
    <n v="0.41041134092493609"/>
    <n v="11359"/>
    <n v="3"/>
    <n v="3.6021380432256565E-3"/>
  </r>
  <r>
    <x v="2"/>
    <s v="RXG"/>
    <x v="6"/>
    <s v="SOUTH WEST YORKSHIRE PARTNERSHIP NHS FOUNDATION TRUST"/>
    <n v="0"/>
    <n v="0"/>
    <n v="0"/>
    <n v="0"/>
    <n v="0"/>
    <n v="0"/>
    <d v="2025-06-01T00:00:00"/>
    <s v="Q1"/>
    <x v="1"/>
    <n v="0"/>
    <n v="0"/>
    <n v="3"/>
    <n v="0"/>
  </r>
  <r>
    <x v="2"/>
    <s v="RXP"/>
    <x v="6"/>
    <s v="COUNTY DURHAM AND DARLINGTON NHS FOUNDATION TRUST"/>
    <n v="13150"/>
    <n v="4516"/>
    <n v="4718"/>
    <n v="0"/>
    <n v="1589"/>
    <n v="0"/>
    <d v="2025-06-01T00:00:00"/>
    <s v="Q1"/>
    <x v="1"/>
    <n v="0.35878326996197718"/>
    <n v="17666"/>
    <n v="3"/>
    <n v="0"/>
  </r>
  <r>
    <x v="2"/>
    <s v="RXW"/>
    <x v="5"/>
    <s v="THE SHREWSBURY AND TELFORD HOSPITAL NHS TRUST"/>
    <n v="10883"/>
    <n v="2669"/>
    <n v="5918"/>
    <n v="448"/>
    <n v="450"/>
    <n v="1334"/>
    <d v="2025-06-01T00:00:00"/>
    <s v="Q1"/>
    <x v="1"/>
    <n v="0.54378388312046311"/>
    <n v="13552"/>
    <n v="3"/>
    <n v="0.12257649545162179"/>
  </r>
  <r>
    <x v="2"/>
    <s v="RH8"/>
    <x v="1"/>
    <s v="ROYAL DEVON UNIVERSITY HEALTHCARE NHS FOUNDATION TRUST"/>
    <n v="12847"/>
    <n v="4358"/>
    <n v="4809"/>
    <n v="23"/>
    <n v="639"/>
    <n v="90"/>
    <d v="2025-06-01T00:00:00"/>
    <s v="Q1"/>
    <x v="1"/>
    <n v="0.37432863703588387"/>
    <n v="17205"/>
    <n v="3"/>
    <n v="7.0055265820814202E-3"/>
  </r>
  <r>
    <x v="2"/>
    <s v="RH5"/>
    <x v="1"/>
    <s v="SOMERSET NHS FOUNDATION TRUST"/>
    <n v="12738"/>
    <n v="9378"/>
    <n v="5173"/>
    <n v="210"/>
    <n v="283"/>
    <n v="66"/>
    <d v="2025-06-01T00:00:00"/>
    <s v="Q1"/>
    <x v="1"/>
    <n v="0.40610770921651751"/>
    <n v="22116"/>
    <n v="3"/>
    <n v="5.1813471502590676E-3"/>
  </r>
  <r>
    <x v="2"/>
    <s v="RGR"/>
    <x v="2"/>
    <s v="WEST SUFFOLK NHS FOUNDATION TRUST"/>
    <n v="8040"/>
    <n v="685"/>
    <n v="2548"/>
    <n v="0"/>
    <n v="505"/>
    <n v="240"/>
    <d v="2025-06-01T00:00:00"/>
    <s v="Q1"/>
    <x v="1"/>
    <n v="0.31691542288557212"/>
    <n v="8725"/>
    <n v="3"/>
    <n v="2.9850746268656716E-2"/>
  </r>
  <r>
    <x v="2"/>
    <s v="RGN"/>
    <x v="2"/>
    <s v="NORTH WEST ANGLIA NHS FOUNDATION TRUST"/>
    <n v="14646"/>
    <n v="4740"/>
    <n v="5338"/>
    <n v="181"/>
    <n v="643"/>
    <n v="519"/>
    <d v="2025-06-01T00:00:00"/>
    <s v="Q1"/>
    <x v="1"/>
    <n v="0.36446811416086305"/>
    <n v="19386"/>
    <n v="3"/>
    <n v="3.5436296599754197E-2"/>
  </r>
  <r>
    <x v="2"/>
    <s v="REP"/>
    <x v="3"/>
    <s v="LIVERPOOL WOMEN'S NHS FOUNDATION TRUST"/>
    <n v="0"/>
    <n v="0"/>
    <n v="0"/>
    <n v="0"/>
    <n v="0"/>
    <n v="0"/>
    <d v="2025-06-01T00:00:00"/>
    <s v="Q1"/>
    <x v="1"/>
    <n v="0"/>
    <n v="0"/>
    <n v="3"/>
    <n v="0"/>
  </r>
  <r>
    <x v="2"/>
    <s v="RDR"/>
    <x v="0"/>
    <s v="SUSSEX COMMUNITY NHS FOUNDATION TRUST"/>
    <n v="0"/>
    <n v="12342"/>
    <n v="0"/>
    <n v="137"/>
    <n v="0"/>
    <n v="0"/>
    <d v="2025-06-01T00:00:00"/>
    <s v="Q1"/>
    <x v="1"/>
    <n v="0"/>
    <n v="12342"/>
    <n v="3"/>
    <n v="0"/>
  </r>
  <r>
    <x v="2"/>
    <s v="RDE"/>
    <x v="2"/>
    <s v="EAST SUFFOLK AND NORTH ESSEX NHS FOUNDATION TRUST"/>
    <n v="11506"/>
    <n v="14392"/>
    <n v="5944"/>
    <n v="549"/>
    <n v="1012"/>
    <n v="452"/>
    <d v="2025-06-01T00:00:00"/>
    <s v="Q1"/>
    <x v="1"/>
    <n v="0.51660003476447069"/>
    <n v="25898"/>
    <n v="3"/>
    <n v="3.9283851903354775E-2"/>
  </r>
  <r>
    <x v="2"/>
    <s v="RD1"/>
    <x v="1"/>
    <s v="ROYAL UNITED HOSPITALS BATH NHS FOUNDATION TRUST"/>
    <n v="8676"/>
    <n v="0"/>
    <n v="3681"/>
    <n v="0"/>
    <n v="697"/>
    <n v="25"/>
    <d v="2025-06-01T00:00:00"/>
    <s v="Q1"/>
    <x v="1"/>
    <n v="0.42427385892116182"/>
    <n v="8676"/>
    <n v="3"/>
    <n v="2.8815122176118028E-3"/>
  </r>
  <r>
    <x v="2"/>
    <s v="RCU"/>
    <x v="6"/>
    <s v="SHEFFIELD CHILDREN'S NHS FOUNDATION TRUST"/>
    <n v="4715"/>
    <n v="309"/>
    <n v="312"/>
    <n v="0"/>
    <n v="11"/>
    <n v="0"/>
    <d v="2025-06-01T00:00:00"/>
    <s v="Q1"/>
    <x v="1"/>
    <n v="6.6171792152704134E-2"/>
    <n v="5024"/>
    <n v="3"/>
    <n v="0"/>
  </r>
  <r>
    <x v="2"/>
    <s v="RBK"/>
    <x v="5"/>
    <s v="WALSALL HEALTHCARE NHS TRUST"/>
    <n v="9482"/>
    <n v="4317"/>
    <n v="2895"/>
    <n v="73"/>
    <n v="922"/>
    <n v="55"/>
    <d v="2025-06-01T00:00:00"/>
    <s v="Q1"/>
    <x v="1"/>
    <n v="0.30531533431765451"/>
    <n v="13799"/>
    <n v="3"/>
    <n v="5.8004640371229696E-3"/>
  </r>
  <r>
    <x v="2"/>
    <s v="NNJ"/>
    <x v="5"/>
    <s v="DHU HEALTH CARE C.I.C"/>
    <n v="0"/>
    <n v="1914"/>
    <n v="0"/>
    <n v="1"/>
    <n v="0"/>
    <n v="0"/>
    <d v="2025-06-01T00:00:00"/>
    <s v="Q1"/>
    <x v="1"/>
    <n v="0"/>
    <n v="1914"/>
    <n v="3"/>
    <n v="0"/>
  </r>
  <r>
    <x v="2"/>
    <s v="RAN"/>
    <x v="4"/>
    <s v="ROYAL NATIONAL ORTHOPAEDIC HOSPITAL NHS TRUST"/>
    <n v="0"/>
    <n v="0"/>
    <n v="0"/>
    <n v="0"/>
    <n v="0"/>
    <n v="0"/>
    <d v="2025-06-01T00:00:00"/>
    <s v="Q1"/>
    <x v="1"/>
    <n v="0"/>
    <n v="0"/>
    <n v="3"/>
    <n v="0"/>
  </r>
  <r>
    <x v="2"/>
    <s v="R0D"/>
    <x v="1"/>
    <s v="UNIVERSITY HOSPITALS DORSET NHS FOUNDATION TRUST"/>
    <n v="14718"/>
    <n v="5172"/>
    <n v="5721"/>
    <n v="0"/>
    <n v="603"/>
    <n v="80"/>
    <d v="2025-06-01T00:00:00"/>
    <s v="Q1"/>
    <x v="1"/>
    <n v="0.3887077048512026"/>
    <n v="19890"/>
    <n v="3"/>
    <n v="5.4355211305883956E-3"/>
  </r>
  <r>
    <x v="2"/>
    <s v="NNJ15"/>
    <x v="5"/>
    <s v="OAKHAM"/>
    <n v="0"/>
    <n v="55"/>
    <n v="0"/>
    <n v="0"/>
    <n v="0"/>
    <n v="0"/>
    <d v="2025-06-01T00:00:00"/>
    <s v="Q1"/>
    <x v="1"/>
    <n v="0"/>
    <n v="55"/>
    <n v="3"/>
    <n v="0"/>
  </r>
  <r>
    <x v="2"/>
    <s v="NNJ13"/>
    <x v="5"/>
    <s v="MELTON MOWBRAY"/>
    <n v="0"/>
    <n v="46"/>
    <n v="0"/>
    <n v="0"/>
    <n v="0"/>
    <n v="0"/>
    <d v="2025-06-01T00:00:00"/>
    <s v="Q1"/>
    <x v="1"/>
    <n v="0"/>
    <n v="46"/>
    <n v="3"/>
    <n v="0"/>
  </r>
  <r>
    <x v="2"/>
    <s v="NNJ12"/>
    <x v="5"/>
    <s v="MARKET HARBOROUGH"/>
    <n v="0"/>
    <n v="98"/>
    <n v="0"/>
    <n v="0"/>
    <n v="0"/>
    <n v="0"/>
    <d v="2025-06-01T00:00:00"/>
    <s v="Q1"/>
    <x v="1"/>
    <n v="0"/>
    <n v="98"/>
    <n v="3"/>
    <n v="0"/>
  </r>
  <r>
    <x v="2"/>
    <s v="NNJ0H"/>
    <x v="5"/>
    <s v="LLR EA - THE MERLYN VAZ HEALTH &amp; SOCIAL CARE CENTRE"/>
    <n v="0"/>
    <n v="184"/>
    <n v="0"/>
    <n v="0"/>
    <n v="0"/>
    <n v="0"/>
    <d v="2025-06-01T00:00:00"/>
    <s v="Q1"/>
    <x v="1"/>
    <n v="0"/>
    <n v="184"/>
    <n v="3"/>
    <n v="0"/>
  </r>
  <r>
    <x v="2"/>
    <s v="NNJ07"/>
    <x v="5"/>
    <s v="LOUGHBOROUGH URGENT CARE CENTRE"/>
    <n v="0"/>
    <n v="5332"/>
    <n v="0"/>
    <n v="23"/>
    <n v="0"/>
    <n v="0"/>
    <d v="2025-06-01T00:00:00"/>
    <s v="Q1"/>
    <x v="1"/>
    <n v="0"/>
    <n v="5332"/>
    <n v="3"/>
    <n v="0"/>
  </r>
  <r>
    <x v="2"/>
    <s v="AD913"/>
    <x v="4"/>
    <s v="BECKENHAM BEACON UCC"/>
    <n v="0"/>
    <n v="3629"/>
    <n v="0"/>
    <n v="40"/>
    <n v="0"/>
    <n v="0"/>
    <d v="2025-06-01T00:00:00"/>
    <s v="Q1"/>
    <x v="1"/>
    <n v="0"/>
    <n v="3629"/>
    <n v="3"/>
    <n v="0"/>
  </r>
  <r>
    <x v="2"/>
    <s v="RYX"/>
    <x v="4"/>
    <s v="CENTRAL LONDON COMMUNITY HEALTHCARE NHS TRUST"/>
    <n v="0"/>
    <n v="12854"/>
    <n v="0"/>
    <n v="299"/>
    <n v="0"/>
    <n v="0"/>
    <d v="2025-06-01T00:00:00"/>
    <s v="Q1"/>
    <x v="1"/>
    <n v="0"/>
    <n v="12854"/>
    <n v="3"/>
    <n v="0"/>
  </r>
  <r>
    <x v="2"/>
    <s v="RY5"/>
    <x v="5"/>
    <s v="LINCOLNSHIRE COMMUNITY HEALTH SERVICES NHS TRUST"/>
    <n v="0"/>
    <n v="8665"/>
    <n v="0"/>
    <n v="174"/>
    <n v="0"/>
    <n v="0"/>
    <d v="2025-06-01T00:00:00"/>
    <s v="Q1"/>
    <x v="1"/>
    <n v="0"/>
    <n v="8665"/>
    <n v="3"/>
    <n v="0"/>
  </r>
  <r>
    <x v="2"/>
    <s v="RY4"/>
    <x v="2"/>
    <s v="HERTFORDSHIRE COMMUNITY NHS TRUST"/>
    <n v="0"/>
    <n v="1289"/>
    <n v="0"/>
    <n v="59"/>
    <n v="0"/>
    <n v="0"/>
    <d v="2025-06-01T00:00:00"/>
    <s v="Q1"/>
    <x v="1"/>
    <n v="0"/>
    <n v="1289"/>
    <n v="3"/>
    <n v="0"/>
  </r>
  <r>
    <x v="2"/>
    <s v="RAL"/>
    <x v="4"/>
    <s v="ROYAL FREE LONDON NHS FOUNDATION TRUST"/>
    <n v="25688"/>
    <n v="16341"/>
    <n v="8647"/>
    <n v="748"/>
    <n v="1181"/>
    <n v="1691"/>
    <d v="2025-06-01T00:00:00"/>
    <s v="Q1"/>
    <x v="1"/>
    <n v="0.33661631890376831"/>
    <n v="42029"/>
    <n v="3"/>
    <n v="6.5828402366863908E-2"/>
  </r>
  <r>
    <x v="2"/>
    <s v="RW1"/>
    <x v="0"/>
    <s v="HAMPSHIRE AND ISLE OF WIGHT HEALTHCARE NHS FOUNDATION TRUST"/>
    <n v="0"/>
    <n v="3100"/>
    <n v="0"/>
    <n v="52"/>
    <n v="0"/>
    <n v="0"/>
    <d v="2025-06-01T00:00:00"/>
    <s v="Q1"/>
    <x v="1"/>
    <n v="0"/>
    <n v="3100"/>
    <n v="3"/>
    <n v="0"/>
  </r>
  <r>
    <x v="2"/>
    <s v="RJ8"/>
    <x v="1"/>
    <s v="CORNWALL PARTNERSHIP NHS FOUNDATION TRUST"/>
    <n v="0"/>
    <n v="0"/>
    <n v="0"/>
    <n v="0"/>
    <n v="0"/>
    <n v="0"/>
    <d v="2025-06-01T00:00:00"/>
    <s v="Q1"/>
    <x v="1"/>
    <n v="0"/>
    <n v="0"/>
    <n v="3"/>
    <n v="0"/>
  </r>
  <r>
    <x v="3"/>
    <s v="REP"/>
    <x v="3"/>
    <s v="LIVERPOOL WOMEN'S NHS FOUNDATION TRUST"/>
    <n v="0"/>
    <n v="0"/>
    <n v="0"/>
    <n v="0"/>
    <n v="0"/>
    <n v="0"/>
    <d v="2025-07-01T00:00:00"/>
    <s v="Q2"/>
    <x v="1"/>
    <n v="0"/>
    <n v="0"/>
    <n v="4"/>
    <n v="0"/>
  </r>
  <r>
    <x v="3"/>
    <s v="NNJ0H"/>
    <x v="5"/>
    <s v="LLR EA - THE MERLYN VAZ HEALTH &amp; SOCIAL CARE CENTRE"/>
    <n v="0"/>
    <n v="338"/>
    <n v="0"/>
    <n v="1"/>
    <n v="0"/>
    <n v="0"/>
    <d v="2025-07-01T00:00:00"/>
    <s v="Q2"/>
    <x v="1"/>
    <n v="0"/>
    <n v="338"/>
    <n v="4"/>
    <n v="0"/>
  </r>
  <r>
    <x v="3"/>
    <s v="NNJ12"/>
    <x v="5"/>
    <s v="MARKET HARBOROUGH"/>
    <n v="0"/>
    <n v="84"/>
    <n v="0"/>
    <n v="0"/>
    <n v="0"/>
    <n v="0"/>
    <d v="2025-07-01T00:00:00"/>
    <s v="Q2"/>
    <x v="1"/>
    <n v="0"/>
    <n v="84"/>
    <n v="4"/>
    <n v="0"/>
  </r>
  <r>
    <x v="3"/>
    <s v="NNJ13"/>
    <x v="5"/>
    <s v="MELTON MOWBRAY"/>
    <n v="0"/>
    <n v="45"/>
    <n v="0"/>
    <n v="0"/>
    <n v="0"/>
    <n v="0"/>
    <d v="2025-07-01T00:00:00"/>
    <s v="Q2"/>
    <x v="1"/>
    <n v="0"/>
    <n v="45"/>
    <n v="4"/>
    <n v="0"/>
  </r>
  <r>
    <x v="3"/>
    <s v="NNJ14"/>
    <x v="5"/>
    <s v="OADBY"/>
    <n v="0"/>
    <n v="493"/>
    <n v="0"/>
    <n v="0"/>
    <n v="0"/>
    <n v="0"/>
    <d v="2025-07-01T00:00:00"/>
    <s v="Q2"/>
    <x v="1"/>
    <n v="0"/>
    <n v="493"/>
    <n v="4"/>
    <n v="0"/>
  </r>
  <r>
    <x v="3"/>
    <s v="NNJ15"/>
    <x v="5"/>
    <s v="OAKHAM"/>
    <n v="0"/>
    <n v="46"/>
    <n v="0"/>
    <n v="0"/>
    <n v="0"/>
    <n v="0"/>
    <d v="2025-07-01T00:00:00"/>
    <s v="Q2"/>
    <x v="1"/>
    <n v="0"/>
    <n v="46"/>
    <n v="4"/>
    <n v="0"/>
  </r>
  <r>
    <x v="3"/>
    <s v="R1F"/>
    <x v="0"/>
    <s v="ISLE OF WIGHT NHS TRUST"/>
    <n v="4556"/>
    <n v="1798"/>
    <n v="1769"/>
    <n v="133"/>
    <n v="218"/>
    <n v="83"/>
    <d v="2025-07-01T00:00:00"/>
    <s v="Q2"/>
    <x v="1"/>
    <n v="0.38827919227392449"/>
    <n v="6354"/>
    <n v="4"/>
    <n v="1.8217734855136083E-2"/>
  </r>
  <r>
    <x v="3"/>
    <s v="RAL"/>
    <x v="4"/>
    <s v="ROYAL FREE LONDON NHS FOUNDATION TRUST"/>
    <n v="26648"/>
    <n v="15993"/>
    <n v="8269"/>
    <n v="697"/>
    <n v="1294"/>
    <n v="1638"/>
    <d v="2025-07-01T00:00:00"/>
    <s v="Q2"/>
    <x v="1"/>
    <n v="0.31030471329930953"/>
    <n v="42641"/>
    <n v="4"/>
    <n v="6.146802761933353E-2"/>
  </r>
  <r>
    <x v="3"/>
    <s v="RAS"/>
    <x v="4"/>
    <s v="THE HILLINGDON HOSPITALS NHS FOUNDATION TRUST"/>
    <n v="5966"/>
    <n v="7265"/>
    <n v="2361"/>
    <n v="105"/>
    <n v="335"/>
    <n v="24"/>
    <d v="2025-07-01T00:00:00"/>
    <s v="Q2"/>
    <x v="1"/>
    <n v="0.3957425410660409"/>
    <n v="13231"/>
    <n v="4"/>
    <n v="4.0227958431109621E-3"/>
  </r>
  <r>
    <x v="3"/>
    <s v="RAX"/>
    <x v="4"/>
    <s v="KINGSTON AND RICHMOND NHS FOUNDATION TRUST"/>
    <n v="7047"/>
    <n v="8360"/>
    <n v="3556"/>
    <n v="330"/>
    <n v="343"/>
    <n v="362"/>
    <d v="2025-07-01T00:00:00"/>
    <s v="Q2"/>
    <x v="1"/>
    <n v="0.50461189158507169"/>
    <n v="15407"/>
    <n v="4"/>
    <n v="5.1369377039875125E-2"/>
  </r>
  <r>
    <x v="3"/>
    <s v="RBN"/>
    <x v="3"/>
    <s v="MERSEY AND WEST LANCASHIRE TEACHING HOSPITALS NHS TRUST"/>
    <n v="18132"/>
    <n v="7478"/>
    <n v="6769"/>
    <n v="41"/>
    <n v="671"/>
    <n v="187"/>
    <d v="2025-07-01T00:00:00"/>
    <s v="Q2"/>
    <x v="1"/>
    <n v="0.37331789102139862"/>
    <n v="25610"/>
    <n v="4"/>
    <n v="1.0313258327818223E-2"/>
  </r>
  <r>
    <x v="3"/>
    <s v="RBV"/>
    <x v="3"/>
    <s v="THE CHRISTIE NHS FOUNDATION TRUST"/>
    <n v="0"/>
    <n v="0"/>
    <n v="0"/>
    <n v="0"/>
    <n v="0"/>
    <n v="0"/>
    <d v="2025-07-01T00:00:00"/>
    <s v="Q2"/>
    <x v="1"/>
    <n v="0"/>
    <n v="0"/>
    <n v="4"/>
    <n v="0"/>
  </r>
  <r>
    <x v="3"/>
    <s v="RCB"/>
    <x v="6"/>
    <s v="YORK AND SCARBOROUGH TEACHING HOSPITALS NHS FOUNDATION TRUST"/>
    <n v="11120"/>
    <n v="7934"/>
    <n v="5517"/>
    <n v="362"/>
    <n v="665"/>
    <n v="450"/>
    <d v="2025-07-01T00:00:00"/>
    <s v="Q2"/>
    <x v="1"/>
    <n v="0.49613309352517987"/>
    <n v="19054"/>
    <n v="4"/>
    <n v="4.0467625899280574E-2"/>
  </r>
  <r>
    <x v="3"/>
    <s v="RDE"/>
    <x v="2"/>
    <s v="EAST SUFFOLK AND NORTH ESSEX NHS FOUNDATION TRUST"/>
    <n v="12692"/>
    <n v="13925"/>
    <n v="6173"/>
    <n v="484"/>
    <n v="951"/>
    <n v="354"/>
    <d v="2025-07-01T00:00:00"/>
    <s v="Q2"/>
    <x v="1"/>
    <n v="0.48636936653009771"/>
    <n v="26617"/>
    <n v="4"/>
    <n v="2.7891585250551527E-2"/>
  </r>
  <r>
    <x v="3"/>
    <s v="RET"/>
    <x v="3"/>
    <s v="THE WALTON CENTRE NHS FOUNDATION TRUST"/>
    <n v="0"/>
    <n v="0"/>
    <n v="0"/>
    <n v="0"/>
    <n v="0"/>
    <n v="0"/>
    <d v="2025-07-01T00:00:00"/>
    <s v="Q2"/>
    <x v="1"/>
    <n v="0"/>
    <n v="0"/>
    <n v="4"/>
    <n v="0"/>
  </r>
  <r>
    <x v="3"/>
    <s v="RF4"/>
    <x v="4"/>
    <s v="BARKING, HAVERING AND REDBRIDGE UNIVERSITY HOSPITALS NHS TRUST"/>
    <n v="13723"/>
    <n v="14448"/>
    <n v="5570"/>
    <n v="213"/>
    <n v="604"/>
    <n v="612"/>
    <d v="2025-07-01T00:00:00"/>
    <s v="Q2"/>
    <x v="1"/>
    <n v="0.40588792538074764"/>
    <n v="28171"/>
    <n v="4"/>
    <n v="4.4596662537346059E-2"/>
  </r>
  <r>
    <x v="3"/>
    <s v="RFR"/>
    <x v="6"/>
    <s v="THE ROTHERHAM NHS FOUNDATION TRUST"/>
    <n v="9264"/>
    <n v="0"/>
    <n v="2660"/>
    <n v="0"/>
    <n v="357"/>
    <n v="17"/>
    <d v="2025-07-01T00:00:00"/>
    <s v="Q2"/>
    <x v="1"/>
    <n v="0.28713298791018999"/>
    <n v="9264"/>
    <n v="4"/>
    <n v="1.8350604490500863E-3"/>
  </r>
  <r>
    <x v="3"/>
    <s v="RFS"/>
    <x v="5"/>
    <s v="CHESTERFIELD ROYAL HOSPITAL NHS FOUNDATION TRUST"/>
    <n v="6557"/>
    <n v="5854"/>
    <n v="3024"/>
    <n v="268"/>
    <n v="573"/>
    <n v="100"/>
    <d v="2025-07-01T00:00:00"/>
    <s v="Q2"/>
    <x v="1"/>
    <n v="0.46118651822479795"/>
    <n v="12411"/>
    <n v="4"/>
    <n v="1.5250876925423212E-2"/>
  </r>
  <r>
    <x v="3"/>
    <s v="RGP"/>
    <x v="2"/>
    <s v="JAMES PAGET UNIVERSITY HOSPITALS NHS FOUNDATION TRUST"/>
    <n v="8023"/>
    <n v="1434"/>
    <n v="2911"/>
    <n v="0"/>
    <n v="493"/>
    <n v="209"/>
    <d v="2025-07-01T00:00:00"/>
    <s v="Q2"/>
    <x v="1"/>
    <n v="0.36283185840707965"/>
    <n v="9457"/>
    <n v="4"/>
    <n v="2.6050105945406955E-2"/>
  </r>
  <r>
    <x v="3"/>
    <s v="RJ2"/>
    <x v="4"/>
    <s v="LEWISHAM AND GREENWICH NHS TRUST"/>
    <n v="15998"/>
    <n v="9791"/>
    <n v="7494"/>
    <n v="289"/>
    <n v="1163"/>
    <n v="628"/>
    <d v="2025-07-01T00:00:00"/>
    <s v="Q2"/>
    <x v="1"/>
    <n v="0.46843355419427429"/>
    <n v="25789"/>
    <n v="4"/>
    <n v="3.9254906863357919E-2"/>
  </r>
  <r>
    <x v="3"/>
    <s v="RJ6"/>
    <x v="4"/>
    <s v="CROYDON HEALTH SERVICES NHS TRUST"/>
    <n v="13093"/>
    <n v="4826"/>
    <n v="4548"/>
    <n v="0"/>
    <n v="241"/>
    <n v="715"/>
    <d v="2025-07-01T00:00:00"/>
    <s v="Q2"/>
    <x v="1"/>
    <n v="0.34736118536622623"/>
    <n v="17919"/>
    <n v="4"/>
    <n v="5.4609333231497748E-2"/>
  </r>
  <r>
    <x v="3"/>
    <s v="RJ7"/>
    <x v="4"/>
    <s v="ST GEORGE'S UNIVERSITY HOSPITALS NHS FOUNDATION TRUST"/>
    <n v="8736"/>
    <n v="4107"/>
    <n v="2697"/>
    <n v="172"/>
    <n v="393"/>
    <n v="443"/>
    <d v="2025-07-01T00:00:00"/>
    <s v="Q2"/>
    <x v="1"/>
    <n v="0.30872252747252749"/>
    <n v="12843"/>
    <n v="4"/>
    <n v="5.070970695970696E-2"/>
  </r>
  <r>
    <x v="3"/>
    <s v="NNJ07"/>
    <x v="5"/>
    <s v="LOUGHBOROUGH URGENT CARE CENTRE"/>
    <n v="0"/>
    <n v="4934"/>
    <n v="0"/>
    <n v="12"/>
    <n v="0"/>
    <n v="0"/>
    <d v="2025-07-01T00:00:00"/>
    <s v="Q2"/>
    <x v="1"/>
    <n v="0"/>
    <n v="4934"/>
    <n v="4"/>
    <n v="0"/>
  </r>
  <r>
    <x v="3"/>
    <s v="RJR"/>
    <x v="3"/>
    <s v="COUNTESS OF CHESTER HOSPITAL NHS FOUNDATION TRUST"/>
    <n v="5487"/>
    <n v="2476"/>
    <n v="2799"/>
    <n v="230"/>
    <n v="546"/>
    <n v="503"/>
    <d v="2025-07-01T00:00:00"/>
    <s v="Q2"/>
    <x v="1"/>
    <n v="0.5101148168398032"/>
    <n v="7963"/>
    <n v="4"/>
    <n v="9.1671222890468376E-2"/>
  </r>
  <r>
    <x v="3"/>
    <s v="A5D4Q"/>
    <x v="5"/>
    <s v="NEMS CBS (UTC)"/>
    <n v="0"/>
    <n v="4053"/>
    <n v="0"/>
    <n v="866"/>
    <n v="0"/>
    <n v="0"/>
    <d v="2025-07-01T00:00:00"/>
    <s v="Q2"/>
    <x v="1"/>
    <n v="0"/>
    <n v="4053"/>
    <n v="4"/>
    <n v="0"/>
  </r>
  <r>
    <x v="3"/>
    <s v="RYJ"/>
    <x v="4"/>
    <s v="IMPERIAL COLLEGE HEALTHCARE NHS TRUST"/>
    <n v="12478"/>
    <n v="7544"/>
    <n v="5204"/>
    <n v="270"/>
    <n v="642"/>
    <n v="0"/>
    <d v="2025-07-01T00:00:00"/>
    <s v="Q2"/>
    <x v="1"/>
    <n v="0.41705401506651707"/>
    <n v="20022"/>
    <n v="4"/>
    <n v="0"/>
  </r>
  <r>
    <x v="3"/>
    <s v="RDU"/>
    <x v="0"/>
    <s v="FRIMLEY HEALTH NHS FOUNDATION TRUST"/>
    <n v="23429"/>
    <n v="12981"/>
    <n v="9427"/>
    <n v="423"/>
    <n v="1553"/>
    <n v="263"/>
    <d v="2025-07-01T00:00:00"/>
    <s v="Q2"/>
    <x v="1"/>
    <n v="0.40236459089163001"/>
    <n v="36410"/>
    <n v="4"/>
    <n v="1.1225404413333903E-2"/>
  </r>
  <r>
    <x v="3"/>
    <s v="REM"/>
    <x v="3"/>
    <s v="LIVERPOOL UNIVERSITY HOSPITALS NHS FOUNDATION TRUST"/>
    <n v="16589"/>
    <n v="8107"/>
    <n v="8406"/>
    <n v="169"/>
    <n v="2027"/>
    <n v="902"/>
    <d v="2025-07-01T00:00:00"/>
    <s v="Q2"/>
    <x v="1"/>
    <n v="0.50672132135752612"/>
    <n v="24696"/>
    <n v="4"/>
    <n v="5.4373379950569657E-2"/>
  </r>
  <r>
    <x v="3"/>
    <s v="RGN"/>
    <x v="2"/>
    <s v="NORTH WEST ANGLIA NHS FOUNDATION TRUST"/>
    <n v="14985"/>
    <n v="4985"/>
    <n v="4869"/>
    <n v="100"/>
    <n v="567"/>
    <n v="672"/>
    <d v="2025-07-01T00:00:00"/>
    <s v="Q2"/>
    <x v="1"/>
    <n v="0.32492492492492492"/>
    <n v="19970"/>
    <n v="4"/>
    <n v="4.4844844844844842E-2"/>
  </r>
  <r>
    <x v="3"/>
    <s v="RGT"/>
    <x v="2"/>
    <s v="CAMBRIDGE UNIVERSITY HOSPITALS NHS FOUNDATION TRUST"/>
    <n v="11115"/>
    <n v="5992"/>
    <n v="4435"/>
    <n v="81"/>
    <n v="571"/>
    <n v="389"/>
    <d v="2025-07-01T00:00:00"/>
    <s v="Q2"/>
    <x v="1"/>
    <n v="0.39901034637876742"/>
    <n v="17107"/>
    <n v="4"/>
    <n v="3.4997750787224474E-2"/>
  </r>
  <r>
    <x v="3"/>
    <s v="RH5"/>
    <x v="1"/>
    <s v="SOMERSET NHS FOUNDATION TRUST"/>
    <n v="13096"/>
    <n v="10094"/>
    <n v="5040"/>
    <n v="174"/>
    <n v="258"/>
    <n v="75"/>
    <d v="2025-07-01T00:00:00"/>
    <s v="Q2"/>
    <x v="1"/>
    <n v="0.38485033598045204"/>
    <n v="23190"/>
    <n v="4"/>
    <n v="5.7269395235186316E-3"/>
  </r>
  <r>
    <x v="3"/>
    <s v="RHQ"/>
    <x v="6"/>
    <s v="SHEFFIELD TEACHING HOSPITALS NHS FOUNDATION TRUST"/>
    <n v="10046"/>
    <n v="5372"/>
    <n v="4619"/>
    <n v="269"/>
    <n v="736"/>
    <n v="11"/>
    <d v="2025-07-01T00:00:00"/>
    <s v="Q2"/>
    <x v="1"/>
    <n v="0.4597849890503683"/>
    <n v="15418"/>
    <n v="4"/>
    <n v="1.094963169420665E-3"/>
  </r>
  <r>
    <x v="3"/>
    <s v="RHW"/>
    <x v="0"/>
    <s v="ROYAL BERKSHIRE NHS FOUNDATION TRUST"/>
    <n v="10909"/>
    <n v="2862"/>
    <n v="3523"/>
    <n v="0"/>
    <n v="309"/>
    <n v="1"/>
    <d v="2025-07-01T00:00:00"/>
    <s v="Q2"/>
    <x v="1"/>
    <n v="0.32294435786964892"/>
    <n v="13771"/>
    <n v="4"/>
    <n v="9.166743056192135E-5"/>
  </r>
  <r>
    <x v="3"/>
    <s v="RJL"/>
    <x v="6"/>
    <s v="NORTHERN LINCOLNSHIRE AND GOOLE NHS FOUNDATION TRUST"/>
    <n v="9489"/>
    <n v="7534"/>
    <n v="4396"/>
    <n v="72"/>
    <n v="760"/>
    <n v="635"/>
    <d v="2025-07-01T00:00:00"/>
    <s v="Q2"/>
    <x v="1"/>
    <n v="0.46327326377911265"/>
    <n v="17023"/>
    <n v="4"/>
    <n v="6.6919591105490561E-2"/>
  </r>
  <r>
    <x v="3"/>
    <s v="RJZ"/>
    <x v="4"/>
    <s v="KING'S COLLEGE HOSPITAL NHS FOUNDATION TRUST"/>
    <n v="15793"/>
    <n v="9566"/>
    <n v="6564"/>
    <n v="659"/>
    <n v="1593"/>
    <n v="556"/>
    <d v="2025-07-01T00:00:00"/>
    <s v="Q2"/>
    <x v="1"/>
    <n v="0.41562717659722664"/>
    <n v="25359"/>
    <n v="4"/>
    <n v="3.5205470778192867E-2"/>
  </r>
  <r>
    <x v="3"/>
    <s v="RKB"/>
    <x v="5"/>
    <s v="UNIVERSITY HOSPITALS COVENTRY AND WARWICKSHIRE NHS TRUST"/>
    <n v="12559"/>
    <n v="5793"/>
    <n v="4969"/>
    <n v="80"/>
    <n v="75"/>
    <n v="17"/>
    <d v="2025-07-01T00:00:00"/>
    <s v="Q2"/>
    <x v="1"/>
    <n v="0.39565252010510393"/>
    <n v="18352"/>
    <n v="4"/>
    <n v="1.3536109562863284E-3"/>
  </r>
  <r>
    <x v="3"/>
    <s v="RL4"/>
    <x v="5"/>
    <s v="THE ROYAL WOLVERHAMPTON NHS TRUST"/>
    <n v="13276"/>
    <n v="7255"/>
    <n v="3728"/>
    <n v="107"/>
    <n v="1050"/>
    <n v="290"/>
    <d v="2025-07-01T00:00:00"/>
    <s v="Q2"/>
    <x v="1"/>
    <n v="0.28080747213015966"/>
    <n v="20531"/>
    <n v="4"/>
    <n v="2.1843928894245256E-2"/>
  </r>
  <r>
    <x v="3"/>
    <s v="RMP"/>
    <x v="3"/>
    <s v="TAMESIDE AND GLOSSOP INTEGRATED CARE NHS FOUNDATION TRUST"/>
    <n v="9015"/>
    <n v="2599"/>
    <n v="4384"/>
    <n v="11"/>
    <n v="741"/>
    <n v="337"/>
    <d v="2025-07-01T00:00:00"/>
    <s v="Q2"/>
    <x v="1"/>
    <n v="0.48630061009428732"/>
    <n v="11614"/>
    <n v="4"/>
    <n v="3.7382140876317249E-2"/>
  </r>
  <r>
    <x v="3"/>
    <s v="RN3"/>
    <x v="1"/>
    <s v="GREAT WESTERN HOSPITALS NHS FOUNDATION TRUST"/>
    <n v="5851"/>
    <n v="5775"/>
    <n v="2880"/>
    <n v="714"/>
    <n v="780"/>
    <n v="148"/>
    <d v="2025-07-01T00:00:00"/>
    <s v="Q2"/>
    <x v="1"/>
    <n v="0.49222355152965303"/>
    <n v="11626"/>
    <n v="4"/>
    <n v="2.5294821398051615E-2"/>
  </r>
  <r>
    <x v="3"/>
    <s v="RRK"/>
    <x v="5"/>
    <s v="UNIVERSITY HOSPITALS BIRMINGHAM NHS FOUNDATION TRUST"/>
    <n v="36112"/>
    <n v="1868"/>
    <n v="13748"/>
    <n v="76"/>
    <n v="2995"/>
    <n v="1376"/>
    <d v="2025-07-01T00:00:00"/>
    <s v="Q2"/>
    <x v="1"/>
    <n v="0.38070447496677007"/>
    <n v="37980"/>
    <n v="4"/>
    <n v="3.8103677447939743E-2"/>
  </r>
  <r>
    <x v="3"/>
    <s v="RTR"/>
    <x v="6"/>
    <s v="SOUTH TEES HOSPITALS NHS FOUNDATION TRUST"/>
    <n v="7414"/>
    <n v="9772"/>
    <n v="3533"/>
    <n v="549"/>
    <n v="297"/>
    <n v="10"/>
    <d v="2025-07-01T00:00:00"/>
    <s v="Q2"/>
    <x v="1"/>
    <n v="0.47653088751011602"/>
    <n v="17186"/>
    <n v="4"/>
    <n v="1.3487995683841381E-3"/>
  </r>
  <r>
    <x v="3"/>
    <s v="RVJ"/>
    <x v="1"/>
    <s v="NORTH BRISTOL NHS TRUST"/>
    <n v="9515"/>
    <n v="0"/>
    <n v="3455"/>
    <n v="0"/>
    <n v="520"/>
    <n v="220"/>
    <d v="2025-07-01T00:00:00"/>
    <s v="Q2"/>
    <x v="1"/>
    <n v="0.36311087756174459"/>
    <n v="9515"/>
    <n v="4"/>
    <n v="2.3121387283236993E-2"/>
  </r>
  <r>
    <x v="3"/>
    <s v="RWE"/>
    <x v="5"/>
    <s v="UNIVERSITY HOSPITALS OF LEICESTER NHS TRUST"/>
    <n v="21007"/>
    <n v="0"/>
    <n v="8008"/>
    <n v="0"/>
    <n v="1242"/>
    <n v="629"/>
    <d v="2025-07-01T00:00:00"/>
    <s v="Q2"/>
    <x v="1"/>
    <n v="0.38120626457847384"/>
    <n v="21007"/>
    <n v="4"/>
    <n v="2.9942400152330177E-2"/>
  </r>
  <r>
    <x v="3"/>
    <s v="RWJ"/>
    <x v="3"/>
    <s v="STOCKPORT NHS FOUNDATION TRUST"/>
    <n v="8416"/>
    <n v="1165"/>
    <n v="3423"/>
    <n v="60"/>
    <n v="829"/>
    <n v="172"/>
    <d v="2025-07-01T00:00:00"/>
    <s v="Q2"/>
    <x v="1"/>
    <n v="0.40672528517110268"/>
    <n v="9581"/>
    <n v="4"/>
    <n v="2.043726235741445E-2"/>
  </r>
  <r>
    <x v="3"/>
    <s v="RXC"/>
    <x v="0"/>
    <s v="EAST SUSSEX HEALTHCARE NHS TRUST"/>
    <n v="8988"/>
    <n v="2883"/>
    <n v="3736"/>
    <n v="51"/>
    <n v="177"/>
    <n v="5"/>
    <d v="2025-07-01T00:00:00"/>
    <s v="Q2"/>
    <x v="1"/>
    <n v="0.41566533155318203"/>
    <n v="11871"/>
    <n v="4"/>
    <n v="5.5629728526924787E-4"/>
  </r>
  <r>
    <x v="3"/>
    <s v="RXW"/>
    <x v="5"/>
    <s v="THE SHREWSBURY AND TELFORD HOSPITAL NHS TRUST"/>
    <n v="11091"/>
    <n v="2485"/>
    <n v="6049"/>
    <n v="353"/>
    <n v="479"/>
    <n v="1407"/>
    <d v="2025-07-01T00:00:00"/>
    <s v="Q2"/>
    <x v="1"/>
    <n v="0.54539716887566492"/>
    <n v="13576"/>
    <n v="4"/>
    <n v="0.12685961590478767"/>
  </r>
  <r>
    <x v="3"/>
    <s v="RY4"/>
    <x v="2"/>
    <s v="HERTFORDSHIRE COMMUNITY NHS TRUST"/>
    <n v="0"/>
    <n v="1310"/>
    <n v="0"/>
    <n v="79"/>
    <n v="0"/>
    <n v="0"/>
    <d v="2025-07-01T00:00:00"/>
    <s v="Q2"/>
    <x v="1"/>
    <n v="0"/>
    <n v="1310"/>
    <n v="4"/>
    <n v="0"/>
  </r>
  <r>
    <x v="3"/>
    <s v="RYR"/>
    <x v="0"/>
    <s v="UNIVERSITY HOSPITALS SUSSEX NHS FOUNDATION TRUST"/>
    <n v="27863"/>
    <n v="1885"/>
    <n v="9870"/>
    <n v="161"/>
    <n v="664"/>
    <n v="271"/>
    <d v="2025-07-01T00:00:00"/>
    <s v="Q2"/>
    <x v="1"/>
    <n v="0.35423321250403761"/>
    <n v="29748"/>
    <n v="4"/>
    <n v="9.7261601406883683E-3"/>
  </r>
  <r>
    <x v="3"/>
    <s v="RD8"/>
    <x v="2"/>
    <s v="MILTON KEYNES UNIVERSITY HOSPITAL NHS FOUNDATION TRUST"/>
    <n v="8557"/>
    <n v="5216"/>
    <n v="3003"/>
    <n v="41"/>
    <n v="439"/>
    <n v="0"/>
    <d v="2025-07-01T00:00:00"/>
    <s v="Q2"/>
    <x v="1"/>
    <n v="0.35094075026294264"/>
    <n v="13773"/>
    <n v="4"/>
    <n v="0"/>
  </r>
  <r>
    <x v="3"/>
    <s v="RK5"/>
    <x v="5"/>
    <s v="SHERWOOD FOREST HOSPITALS NHS FOUNDATION TRUST"/>
    <n v="11574"/>
    <n v="5944"/>
    <n v="4398"/>
    <n v="345"/>
    <n v="650"/>
    <n v="95"/>
    <d v="2025-07-01T00:00:00"/>
    <s v="Q2"/>
    <x v="1"/>
    <n v="0.37998963193364438"/>
    <n v="17518"/>
    <n v="4"/>
    <n v="8.2080525315362026E-3"/>
  </r>
  <r>
    <x v="3"/>
    <s v="RL1"/>
    <x v="5"/>
    <s v="THE ROBERT JONES AND AGNES HUNT ORTHOPAEDIC HOSPITAL NHS FOUNDATION TRUST"/>
    <n v="0"/>
    <n v="0"/>
    <n v="0"/>
    <n v="0"/>
    <n v="0"/>
    <n v="0"/>
    <d v="2025-07-01T00:00:00"/>
    <s v="Q2"/>
    <x v="1"/>
    <n v="0"/>
    <n v="0"/>
    <n v="4"/>
    <n v="0"/>
  </r>
  <r>
    <x v="3"/>
    <s v="RM1"/>
    <x v="2"/>
    <s v="NORFOLK AND NORWICH UNIVERSITY HOSPITALS NHS FOUNDATION TRUST"/>
    <n v="13321"/>
    <n v="7752"/>
    <n v="3530"/>
    <n v="0"/>
    <n v="794"/>
    <n v="149"/>
    <d v="2025-07-01T00:00:00"/>
    <s v="Q2"/>
    <x v="1"/>
    <n v="0.26499512048644996"/>
    <n v="21073"/>
    <n v="4"/>
    <n v="1.1185346445462053E-2"/>
  </r>
  <r>
    <x v="3"/>
    <s v="RVR"/>
    <x v="4"/>
    <s v="EPSOM AND ST HELIER UNIVERSITY HOSPITALS NHS TRUST"/>
    <n v="10765"/>
    <n v="2417"/>
    <n v="3133"/>
    <n v="303"/>
    <n v="500"/>
    <n v="1023"/>
    <d v="2025-07-01T00:00:00"/>
    <s v="Q2"/>
    <x v="1"/>
    <n v="0.29103576405016257"/>
    <n v="13182"/>
    <n v="4"/>
    <n v="9.5030190431955416E-2"/>
  </r>
  <r>
    <x v="3"/>
    <s v="RWX"/>
    <x v="0"/>
    <s v="BERKSHIRE HEALTHCARE NHS FOUNDATION TRUST"/>
    <n v="0"/>
    <n v="1639"/>
    <n v="0"/>
    <n v="14"/>
    <n v="0"/>
    <n v="0"/>
    <d v="2025-07-01T00:00:00"/>
    <s v="Q2"/>
    <x v="1"/>
    <n v="0"/>
    <n v="1639"/>
    <n v="4"/>
    <n v="0"/>
  </r>
  <r>
    <x v="3"/>
    <s v="RXN"/>
    <x v="3"/>
    <s v="LANCASHIRE TEACHING HOSPITALS NHS FOUNDATION TRUST"/>
    <n v="12245"/>
    <n v="3596"/>
    <n v="4465"/>
    <n v="63"/>
    <n v="860"/>
    <n v="423"/>
    <d v="2025-07-01T00:00:00"/>
    <s v="Q2"/>
    <x v="1"/>
    <n v="0.36463862801143326"/>
    <n v="15841"/>
    <n v="4"/>
    <n v="3.4544712127398937E-2"/>
  </r>
  <r>
    <x v="3"/>
    <s v="Y02532"/>
    <x v="3"/>
    <s v="MIRIAM MINOR EMERGENCY"/>
    <n v="0"/>
    <n v="1615"/>
    <n v="0"/>
    <n v="0"/>
    <n v="0"/>
    <n v="0"/>
    <d v="2025-07-01T00:00:00"/>
    <s v="Q2"/>
    <x v="1"/>
    <n v="0"/>
    <n v="1615"/>
    <n v="4"/>
    <n v="0"/>
  </r>
  <r>
    <x v="3"/>
    <s v="RP5"/>
    <x v="6"/>
    <s v="DONCASTER AND BASSETLAW TEACHING HOSPITALS NHS FOUNDATION TRUST"/>
    <n v="14653"/>
    <n v="4154"/>
    <n v="4873"/>
    <n v="44"/>
    <n v="1171"/>
    <n v="55"/>
    <d v="2025-07-01T00:00:00"/>
    <s v="Q2"/>
    <x v="1"/>
    <n v="0.33255988534771036"/>
    <n v="18807"/>
    <n v="4"/>
    <n v="3.7534975772879273E-3"/>
  </r>
  <r>
    <x v="3"/>
    <s v="NR3"/>
    <x v="5"/>
    <s v="NOTTINGHAM CITYCARE PARTNERSHIP"/>
    <n v="0"/>
    <n v="4988"/>
    <n v="0"/>
    <n v="440"/>
    <n v="0"/>
    <n v="0"/>
    <d v="2025-07-01T00:00:00"/>
    <s v="Q2"/>
    <x v="1"/>
    <n v="0"/>
    <n v="4988"/>
    <n v="4"/>
    <n v="0"/>
  </r>
  <r>
    <x v="3"/>
    <s v="RD1"/>
    <x v="1"/>
    <s v="ROYAL UNITED HOSPITALS BATH NHS FOUNDATION TRUST"/>
    <n v="8845"/>
    <n v="0"/>
    <n v="3291"/>
    <n v="0"/>
    <n v="655"/>
    <n v="51"/>
    <d v="2025-07-01T00:00:00"/>
    <s v="Q2"/>
    <x v="1"/>
    <n v="0.37207461842849066"/>
    <n v="8845"/>
    <n v="4"/>
    <n v="5.765969474279254E-3"/>
  </r>
  <r>
    <x v="3"/>
    <s v="RGR"/>
    <x v="2"/>
    <s v="WEST SUFFOLK NHS FOUNDATION TRUST"/>
    <n v="8380"/>
    <n v="684"/>
    <n v="2348"/>
    <n v="0"/>
    <n v="424"/>
    <n v="145"/>
    <d v="2025-07-01T00:00:00"/>
    <s v="Q2"/>
    <x v="1"/>
    <n v="0.2801909307875895"/>
    <n v="9064"/>
    <n v="4"/>
    <n v="1.7303102625298328E-2"/>
  </r>
  <r>
    <x v="3"/>
    <s v="RNS"/>
    <x v="5"/>
    <s v="NORTHAMPTON GENERAL HOSPITAL NHS TRUST"/>
    <n v="10692"/>
    <n v="1855"/>
    <n v="5098"/>
    <n v="283"/>
    <n v="647"/>
    <n v="638"/>
    <d v="2025-07-01T00:00:00"/>
    <s v="Q2"/>
    <x v="1"/>
    <n v="0.47680508791619902"/>
    <n v="12547"/>
    <n v="4"/>
    <n v="5.9670781893004114E-2"/>
  </r>
  <r>
    <x v="3"/>
    <s v="RYX"/>
    <x v="4"/>
    <s v="CENTRAL LONDON COMMUNITY HEALTHCARE NHS TRUST"/>
    <n v="0"/>
    <n v="12770"/>
    <n v="0"/>
    <n v="241"/>
    <n v="0"/>
    <n v="0"/>
    <d v="2025-07-01T00:00:00"/>
    <s v="Q2"/>
    <x v="1"/>
    <n v="0"/>
    <n v="12770"/>
    <n v="4"/>
    <n v="0"/>
  </r>
  <r>
    <x v="3"/>
    <s v="R1D"/>
    <x v="5"/>
    <s v="SHROPSHIRE COMMUNITY HEALTH NHS TRUST"/>
    <n v="0"/>
    <n v="3762"/>
    <n v="0"/>
    <n v="27"/>
    <n v="0"/>
    <n v="0"/>
    <d v="2025-07-01T00:00:00"/>
    <s v="Q2"/>
    <x v="1"/>
    <n v="0"/>
    <n v="3762"/>
    <n v="4"/>
    <n v="0"/>
  </r>
  <r>
    <x v="3"/>
    <s v="R1K"/>
    <x v="4"/>
    <s v="LONDON NORTH WEST UNIVERSITY HEALTHCARE NHS TRUST"/>
    <n v="13960"/>
    <n v="16253"/>
    <n v="6255"/>
    <n v="347"/>
    <n v="415"/>
    <n v="184"/>
    <d v="2025-07-01T00:00:00"/>
    <s v="Q2"/>
    <x v="1"/>
    <n v="0.44806590257879658"/>
    <n v="30213"/>
    <n v="4"/>
    <n v="1.3180515759312322E-2"/>
  </r>
  <r>
    <x v="3"/>
    <s v="RDR"/>
    <x v="0"/>
    <s v="SUSSEX COMMUNITY NHS FOUNDATION TRUST"/>
    <n v="0"/>
    <n v="12805"/>
    <n v="0"/>
    <n v="128"/>
    <n v="0"/>
    <n v="0"/>
    <d v="2025-07-01T00:00:00"/>
    <s v="Q2"/>
    <x v="1"/>
    <n v="0"/>
    <n v="12805"/>
    <n v="4"/>
    <n v="0"/>
  </r>
  <r>
    <x v="3"/>
    <s v="RXF"/>
    <x v="6"/>
    <s v="MID YORKSHIRE TEACHING NHS TRUST"/>
    <n v="17158"/>
    <n v="6677"/>
    <n v="5861"/>
    <n v="179"/>
    <n v="1470"/>
    <n v="11"/>
    <d v="2025-07-01T00:00:00"/>
    <s v="Q2"/>
    <x v="1"/>
    <n v="0.34158992889614176"/>
    <n v="23835"/>
    <n v="4"/>
    <n v="6.4110036134747638E-4"/>
  </r>
  <r>
    <x v="3"/>
    <s v="DJV01"/>
    <x v="0"/>
    <s v="HERNE BAY HEALTH CARE LTD"/>
    <n v="0"/>
    <n v="2265"/>
    <n v="0"/>
    <n v="0"/>
    <n v="0"/>
    <n v="0"/>
    <d v="2025-07-01T00:00:00"/>
    <s v="Q2"/>
    <x v="1"/>
    <n v="0"/>
    <n v="2265"/>
    <n v="4"/>
    <n v="0"/>
  </r>
  <r>
    <x v="3"/>
    <s v="RBL"/>
    <x v="3"/>
    <s v="WIRRAL UNIVERSITY TEACHING HOSPITAL NHS FOUNDATION TRUST"/>
    <n v="7987"/>
    <n v="3256"/>
    <n v="4283"/>
    <n v="112"/>
    <n v="644"/>
    <n v="710"/>
    <d v="2025-07-01T00:00:00"/>
    <s v="Q2"/>
    <x v="1"/>
    <n v="0.53624640040065108"/>
    <n v="11243"/>
    <n v="4"/>
    <n v="8.8894453486916242E-2"/>
  </r>
  <r>
    <x v="3"/>
    <s v="RRV"/>
    <x v="4"/>
    <s v="UNIVERSITY COLLEGE LONDON HOSPITALS NHS FOUNDATION TRUST"/>
    <n v="12771"/>
    <n v="0"/>
    <n v="3636"/>
    <n v="0"/>
    <n v="216"/>
    <n v="49"/>
    <d v="2025-07-01T00:00:00"/>
    <s v="Q2"/>
    <x v="1"/>
    <n v="0.284707540521494"/>
    <n v="12771"/>
    <n v="4"/>
    <n v="3.8368177903061623E-3"/>
  </r>
  <r>
    <x v="3"/>
    <s v="RHU"/>
    <x v="0"/>
    <s v="PORTSMOUTH HOSPITALS UNIVERSITY NHS TRUST"/>
    <n v="10606"/>
    <n v="3315"/>
    <n v="3774"/>
    <n v="16"/>
    <n v="796"/>
    <n v="979"/>
    <d v="2025-07-01T00:00:00"/>
    <s v="Q2"/>
    <x v="1"/>
    <n v="0.35583631906468038"/>
    <n v="13921"/>
    <n v="4"/>
    <n v="9.2306241749952861E-2"/>
  </r>
  <r>
    <x v="3"/>
    <s v="RTH"/>
    <x v="0"/>
    <s v="OXFORD UNIVERSITY HOSPITALS NHS FOUNDATION TRUST"/>
    <n v="12744"/>
    <n v="3762"/>
    <n v="3275"/>
    <n v="67"/>
    <n v="510"/>
    <n v="0"/>
    <d v="2025-07-01T00:00:00"/>
    <s v="Q2"/>
    <x v="1"/>
    <n v="0.25698367859384807"/>
    <n v="16506"/>
    <n v="4"/>
    <n v="0"/>
  </r>
  <r>
    <x v="3"/>
    <s v="AD913"/>
    <x v="4"/>
    <s v="BECKENHAM BEACON UCC"/>
    <n v="0"/>
    <n v="3584"/>
    <n v="0"/>
    <n v="86"/>
    <n v="0"/>
    <n v="0"/>
    <d v="2025-07-01T00:00:00"/>
    <s v="Q2"/>
    <x v="1"/>
    <n v="0"/>
    <n v="3584"/>
    <n v="4"/>
    <n v="0"/>
  </r>
  <r>
    <x v="3"/>
    <s v="RHM"/>
    <x v="0"/>
    <s v="UNIVERSITY HOSPITAL SOUTHAMPTON NHS FOUNDATION TRUST"/>
    <n v="12292"/>
    <n v="0"/>
    <n v="5204"/>
    <n v="0"/>
    <n v="336"/>
    <n v="20"/>
    <d v="2025-07-01T00:00:00"/>
    <s v="Q2"/>
    <x v="1"/>
    <n v="0.42336479010738692"/>
    <n v="12292"/>
    <n v="4"/>
    <n v="1.6270745200130166E-3"/>
  </r>
  <r>
    <x v="3"/>
    <s v="RKE"/>
    <x v="4"/>
    <s v="WHITTINGTON HEALTH NHS TRUST"/>
    <n v="9104"/>
    <n v="0"/>
    <n v="2295"/>
    <n v="0"/>
    <n v="290"/>
    <n v="200"/>
    <d v="2025-07-01T00:00:00"/>
    <s v="Q2"/>
    <x v="1"/>
    <n v="0.25208699472759227"/>
    <n v="9104"/>
    <n v="4"/>
    <n v="2.1968365553602813E-2"/>
  </r>
  <r>
    <x v="3"/>
    <s v="R1H"/>
    <x v="4"/>
    <s v="BARTS HEALTH NHS TRUST"/>
    <n v="25710"/>
    <n v="18741"/>
    <n v="10667"/>
    <n v="1385"/>
    <n v="1147"/>
    <n v="832"/>
    <d v="2025-07-01T00:00:00"/>
    <s v="Q2"/>
    <x v="1"/>
    <n v="0.41489692726565541"/>
    <n v="44451"/>
    <n v="4"/>
    <n v="3.2360949047063402E-2"/>
  </r>
  <r>
    <x v="3"/>
    <s v="ARN03"/>
    <x v="6"/>
    <s v="LOCAL CARE DIRECT"/>
    <n v="0"/>
    <n v="2191"/>
    <n v="0"/>
    <n v="9"/>
    <n v="0"/>
    <n v="0"/>
    <d v="2025-07-01T00:00:00"/>
    <s v="Q2"/>
    <x v="1"/>
    <n v="0"/>
    <n v="2191"/>
    <n v="4"/>
    <n v="0"/>
  </r>
  <r>
    <x v="3"/>
    <s v="RLT"/>
    <x v="5"/>
    <s v="GEORGE ELIOT HOSPITAL NHS TRUST"/>
    <n v="6803"/>
    <n v="1669"/>
    <n v="2007"/>
    <n v="20"/>
    <n v="412"/>
    <n v="255"/>
    <d v="2025-07-01T00:00:00"/>
    <s v="Q2"/>
    <x v="1"/>
    <n v="0.2950169043069234"/>
    <n v="8472"/>
    <n v="4"/>
    <n v="3.7483463178009699E-2"/>
  </r>
  <r>
    <x v="3"/>
    <s v="RM3"/>
    <x v="3"/>
    <s v="NORTHERN CARE ALLIANCE NHS FOUNDATION TRUST"/>
    <n v="27074"/>
    <n v="10299"/>
    <n v="10011"/>
    <n v="436"/>
    <n v="1081"/>
    <n v="933"/>
    <d v="2025-07-01T00:00:00"/>
    <s v="Q2"/>
    <x v="1"/>
    <n v="0.36976434956046389"/>
    <n v="37373"/>
    <n v="4"/>
    <n v="3.4461106596734875E-2"/>
  </r>
  <r>
    <x v="3"/>
    <s v="RN5"/>
    <x v="0"/>
    <s v="HAMPSHIRE HOSPITALS NHS FOUNDATION TRUST"/>
    <n v="11043"/>
    <n v="3618"/>
    <n v="4651"/>
    <n v="113"/>
    <n v="122"/>
    <n v="33"/>
    <d v="2025-07-01T00:00:00"/>
    <s v="Q2"/>
    <x v="1"/>
    <n v="0.42117178302997371"/>
    <n v="14661"/>
    <n v="4"/>
    <n v="2.9883183917413748E-3"/>
  </r>
  <r>
    <x v="3"/>
    <s v="RNA"/>
    <x v="5"/>
    <s v="THE DUDLEY GROUP NHS FOUNDATION TRUST"/>
    <n v="10391"/>
    <n v="3946"/>
    <n v="3165"/>
    <n v="70"/>
    <n v="1955"/>
    <n v="96"/>
    <d v="2025-07-01T00:00:00"/>
    <s v="Q2"/>
    <x v="1"/>
    <n v="0.30459051101915119"/>
    <n v="14337"/>
    <n v="4"/>
    <n v="9.2387643152728322E-3"/>
  </r>
  <r>
    <x v="3"/>
    <s v="RNN"/>
    <x v="6"/>
    <s v="NORTH CUMBRIA INTEGRATED CARE NHS FOUNDATION TRUST"/>
    <n v="9153"/>
    <n v="2395"/>
    <n v="3915"/>
    <n v="49"/>
    <n v="623"/>
    <n v="275"/>
    <d v="2025-07-01T00:00:00"/>
    <s v="Q2"/>
    <x v="1"/>
    <n v="0.42772861356932151"/>
    <n v="11548"/>
    <n v="4"/>
    <n v="3.0044794056593466E-2"/>
  </r>
  <r>
    <x v="3"/>
    <s v="RPA"/>
    <x v="0"/>
    <s v="MEDWAY NHS FOUNDATION TRUST"/>
    <n v="9910"/>
    <n v="6767"/>
    <n v="3447"/>
    <n v="778"/>
    <n v="396"/>
    <n v="614"/>
    <d v="2025-07-01T00:00:00"/>
    <s v="Q2"/>
    <x v="1"/>
    <n v="0.34783047426841573"/>
    <n v="16677"/>
    <n v="4"/>
    <n v="6.1957618567103932E-2"/>
  </r>
  <r>
    <x v="3"/>
    <s v="RQ3"/>
    <x v="5"/>
    <s v="BIRMINGHAM WOMEN'S AND CHILDREN'S NHS FOUNDATION TRUST"/>
    <n v="4358"/>
    <n v="0"/>
    <n v="565"/>
    <n v="0"/>
    <n v="6"/>
    <n v="0"/>
    <d v="2025-07-01T00:00:00"/>
    <s v="Q2"/>
    <x v="1"/>
    <n v="0.12964662689307022"/>
    <n v="4358"/>
    <n v="4"/>
    <n v="0"/>
  </r>
  <r>
    <x v="3"/>
    <s v="RQM"/>
    <x v="4"/>
    <s v="CHELSEA AND WESTMINSTER HOSPITAL NHS FOUNDATION TRUST"/>
    <n v="19829"/>
    <n v="6197"/>
    <n v="5501"/>
    <n v="72"/>
    <n v="740"/>
    <n v="65"/>
    <d v="2025-07-01T00:00:00"/>
    <s v="Q2"/>
    <x v="1"/>
    <n v="0.27742195773866557"/>
    <n v="26026"/>
    <n v="4"/>
    <n v="3.2780271319784154E-3"/>
  </r>
  <r>
    <x v="3"/>
    <s v="RRF"/>
    <x v="3"/>
    <s v="WRIGHTINGTON, WIGAN AND LEIGH NHS FOUNDATION TRUST"/>
    <n v="7367"/>
    <n v="5504"/>
    <n v="3102"/>
    <n v="38"/>
    <n v="648"/>
    <n v="394"/>
    <d v="2025-07-01T00:00:00"/>
    <s v="Q2"/>
    <x v="1"/>
    <n v="0.42106692004886659"/>
    <n v="12871"/>
    <n v="4"/>
    <n v="5.3481742907560741E-2"/>
  </r>
  <r>
    <x v="3"/>
    <s v="RTE"/>
    <x v="1"/>
    <s v="GLOUCESTERSHIRE HOSPITALS NHS FOUNDATION TRUST"/>
    <n v="13382"/>
    <n v="472"/>
    <n v="5280"/>
    <n v="7"/>
    <n v="470"/>
    <n v="202"/>
    <d v="2025-07-01T00:00:00"/>
    <s v="Q2"/>
    <x v="1"/>
    <n v="0.39455985652368852"/>
    <n v="13854"/>
    <n v="4"/>
    <n v="1.5094903601853235E-2"/>
  </r>
  <r>
    <x v="3"/>
    <s v="RTF"/>
    <x v="6"/>
    <s v="NORTHUMBRIA HEALTHCARE NHS FOUNDATION TRUST"/>
    <n v="10411"/>
    <n v="14020"/>
    <n v="1977"/>
    <n v="4"/>
    <n v="9"/>
    <n v="0"/>
    <d v="2025-07-01T00:00:00"/>
    <s v="Q2"/>
    <x v="1"/>
    <n v="0.18989530304485641"/>
    <n v="24431"/>
    <n v="4"/>
    <n v="0"/>
  </r>
  <r>
    <x v="3"/>
    <s v="RTX"/>
    <x v="3"/>
    <s v="UNIVERSITY HOSPITALS OF MORECAMBE BAY NHS FOUNDATION TRUST"/>
    <n v="9813"/>
    <n v="3079"/>
    <n v="3502"/>
    <n v="68"/>
    <n v="653"/>
    <n v="276"/>
    <d v="2025-07-01T00:00:00"/>
    <s v="Q2"/>
    <x v="1"/>
    <n v="0.35687353510649139"/>
    <n v="12892"/>
    <n v="4"/>
    <n v="2.8125955365331703E-2"/>
  </r>
  <r>
    <x v="3"/>
    <s v="RWA"/>
    <x v="6"/>
    <s v="HULL UNIVERSITY TEACHING HOSPITALS NHS TRUST"/>
    <n v="10050"/>
    <n v="4501"/>
    <n v="5620"/>
    <n v="365"/>
    <n v="1063"/>
    <n v="385"/>
    <d v="2025-07-01T00:00:00"/>
    <s v="Q2"/>
    <x v="1"/>
    <n v="0.55920398009950245"/>
    <n v="14551"/>
    <n v="4"/>
    <n v="3.8308457711442784E-2"/>
  </r>
  <r>
    <x v="3"/>
    <s v="RWD"/>
    <x v="5"/>
    <s v="UNITED LINCOLNSHIRE TEACHING HOSPITALS NHS TRUST"/>
    <n v="17265"/>
    <n v="4042"/>
    <n v="7421"/>
    <n v="384"/>
    <n v="1059"/>
    <n v="1027"/>
    <d v="2025-07-01T00:00:00"/>
    <s v="Q2"/>
    <x v="1"/>
    <n v="0.42982913408630175"/>
    <n v="21307"/>
    <n v="4"/>
    <n v="5.9484506226469738E-2"/>
  </r>
  <r>
    <x v="3"/>
    <s v="RWG"/>
    <x v="2"/>
    <s v="WEST HERTFORDSHIRE TEACHING HOSPITALS NHS TRUST"/>
    <n v="8535"/>
    <n v="7599"/>
    <n v="2583"/>
    <n v="55"/>
    <n v="750"/>
    <n v="19"/>
    <d v="2025-07-01T00:00:00"/>
    <s v="Q2"/>
    <x v="1"/>
    <n v="0.30263620386643236"/>
    <n v="16134"/>
    <n v="4"/>
    <n v="2.2261277094317517E-3"/>
  </r>
  <r>
    <x v="3"/>
    <s v="RWH"/>
    <x v="2"/>
    <s v="EAST AND NORTH HERTFORDSHIRE NHS TRUST"/>
    <n v="8871"/>
    <n v="8333"/>
    <n v="3878"/>
    <n v="49"/>
    <n v="124"/>
    <n v="21"/>
    <d v="2025-07-01T00:00:00"/>
    <s v="Q2"/>
    <x v="1"/>
    <n v="0.43715477398264008"/>
    <n v="17204"/>
    <n v="4"/>
    <n v="2.3672641190395673E-3"/>
  </r>
  <r>
    <x v="3"/>
    <s v="RXP"/>
    <x v="6"/>
    <s v="COUNTY DURHAM AND DARLINGTON NHS FOUNDATION TRUST"/>
    <n v="13216"/>
    <n v="4271"/>
    <n v="4756"/>
    <n v="0"/>
    <n v="1780"/>
    <n v="13"/>
    <d v="2025-07-01T00:00:00"/>
    <s v="Q2"/>
    <x v="1"/>
    <n v="0.35986682808716708"/>
    <n v="17487"/>
    <n v="4"/>
    <n v="9.8365617433414051E-4"/>
  </r>
  <r>
    <x v="3"/>
    <s v="RY2"/>
    <x v="3"/>
    <s v="BRIDGEWATER COMMUNITY HEALTHCARE NHS FOUNDATION TRUST"/>
    <n v="0"/>
    <n v="3110"/>
    <n v="0"/>
    <n v="61"/>
    <n v="0"/>
    <n v="0"/>
    <d v="2025-07-01T00:00:00"/>
    <s v="Q2"/>
    <x v="1"/>
    <n v="0"/>
    <n v="3110"/>
    <n v="4"/>
    <n v="0"/>
  </r>
  <r>
    <x v="3"/>
    <s v="RYG"/>
    <x v="5"/>
    <s v="COVENTRY AND WARWICKSHIRE PARTNERSHIP NHS TRUST"/>
    <n v="0"/>
    <n v="0"/>
    <n v="0"/>
    <n v="0"/>
    <n v="0"/>
    <n v="0"/>
    <d v="2025-07-01T00:00:00"/>
    <s v="Q2"/>
    <x v="1"/>
    <n v="0"/>
    <n v="0"/>
    <n v="4"/>
    <n v="0"/>
  </r>
  <r>
    <x v="3"/>
    <s v="RYY"/>
    <x v="0"/>
    <s v="KENT COMMUNITY HEALTH NHS FOUNDATION TRUST"/>
    <n v="0"/>
    <n v="6715"/>
    <n v="0"/>
    <n v="17"/>
    <n v="0"/>
    <n v="0"/>
    <d v="2025-07-01T00:00:00"/>
    <s v="Q2"/>
    <x v="1"/>
    <n v="0"/>
    <n v="6715"/>
    <n v="4"/>
    <n v="0"/>
  </r>
  <r>
    <x v="3"/>
    <s v="Y02147"/>
    <x v="4"/>
    <s v="URGENT CARE CENTRE (QMS)"/>
    <n v="0"/>
    <n v="8084"/>
    <n v="0"/>
    <n v="105"/>
    <n v="0"/>
    <n v="0"/>
    <d v="2025-07-01T00:00:00"/>
    <s v="Q2"/>
    <x v="1"/>
    <n v="0"/>
    <n v="8084"/>
    <n v="4"/>
    <n v="0"/>
  </r>
  <r>
    <x v="3"/>
    <s v="C83023"/>
    <x v="5"/>
    <s v="SLEAFORD MEDICAL GROUP"/>
    <n v="0"/>
    <n v="439"/>
    <n v="0"/>
    <n v="0"/>
    <n v="0"/>
    <n v="0"/>
    <d v="2025-07-01T00:00:00"/>
    <s v="Q2"/>
    <x v="1"/>
    <n v="0"/>
    <n v="439"/>
    <n v="4"/>
    <n v="0"/>
  </r>
  <r>
    <x v="3"/>
    <s v="RWW"/>
    <x v="3"/>
    <s v="WARRINGTON AND HALTON TEACHING HOSPITALS NHS FOUNDATION TRUST"/>
    <n v="7341"/>
    <n v="3278"/>
    <n v="3915"/>
    <n v="96"/>
    <n v="942"/>
    <n v="600"/>
    <d v="2025-07-01T00:00:00"/>
    <s v="Q2"/>
    <x v="1"/>
    <n v="0.53330608908868005"/>
    <n v="10619"/>
    <n v="4"/>
    <n v="8.1732733959950954E-2"/>
  </r>
  <r>
    <x v="3"/>
    <s v="RCF"/>
    <x v="6"/>
    <s v="AIREDALE NHS FOUNDATION TRUST"/>
    <n v="6345"/>
    <n v="0"/>
    <n v="1943"/>
    <n v="0"/>
    <n v="270"/>
    <n v="70"/>
    <d v="2025-07-01T00:00:00"/>
    <s v="Q2"/>
    <x v="1"/>
    <n v="0.30622537431048069"/>
    <n v="6345"/>
    <n v="4"/>
    <n v="1.103230890464933E-2"/>
  </r>
  <r>
    <x v="3"/>
    <s v="RAJ"/>
    <x v="2"/>
    <s v="MID AND SOUTH ESSEX NHS FOUNDATION TRUST"/>
    <n v="31246"/>
    <n v="4437"/>
    <n v="8222"/>
    <n v="117"/>
    <n v="2144"/>
    <n v="265"/>
    <d v="2025-07-01T00:00:00"/>
    <s v="Q2"/>
    <x v="1"/>
    <n v="0.2631376816232478"/>
    <n v="35683"/>
    <n v="4"/>
    <n v="8.4810855789541062E-3"/>
  </r>
  <r>
    <x v="3"/>
    <s v="RFF"/>
    <x v="6"/>
    <s v="BARNSLEY HOSPITAL NHS FOUNDATION TRUST"/>
    <n v="9328"/>
    <n v="0"/>
    <n v="2593"/>
    <n v="0"/>
    <n v="401"/>
    <n v="0"/>
    <d v="2025-07-01T00:00:00"/>
    <s v="Q2"/>
    <x v="1"/>
    <n v="0.27798027444253859"/>
    <n v="9328"/>
    <n v="4"/>
    <n v="0"/>
  </r>
  <r>
    <x v="3"/>
    <s v="RVV"/>
    <x v="0"/>
    <s v="EAST KENT HOSPITALS UNIVERSITY NHS FOUNDATION TRUST"/>
    <n v="12834"/>
    <n v="13455"/>
    <n v="5749"/>
    <n v="421"/>
    <n v="466"/>
    <n v="1195"/>
    <d v="2025-07-01T00:00:00"/>
    <s v="Q2"/>
    <x v="1"/>
    <n v="0.44795075580489324"/>
    <n v="26289"/>
    <n v="4"/>
    <n v="9.3112046127473896E-2"/>
  </r>
  <r>
    <x v="3"/>
    <s v="RXK"/>
    <x v="5"/>
    <s v="SANDWELL AND WEST BIRMINGHAM HOSPITALS NHS TRUST"/>
    <n v="11564"/>
    <n v="8321"/>
    <n v="4112"/>
    <n v="136"/>
    <n v="538"/>
    <n v="55"/>
    <d v="2025-07-01T00:00:00"/>
    <s v="Q2"/>
    <x v="1"/>
    <n v="0.35558630231753718"/>
    <n v="19885"/>
    <n v="4"/>
    <n v="4.7561397440332061E-3"/>
  </r>
  <r>
    <x v="3"/>
    <s v="Y03007"/>
    <x v="5"/>
    <s v="ERDINGTON GP HEALTH &amp; WELLBEING WIC"/>
    <n v="0"/>
    <n v="0"/>
    <n v="0"/>
    <n v="0"/>
    <n v="0"/>
    <n v="0"/>
    <d v="2025-07-01T00:00:00"/>
    <s v="Q2"/>
    <x v="1"/>
    <n v="0"/>
    <n v="0"/>
    <n v="4"/>
    <n v="0"/>
  </r>
  <r>
    <x v="3"/>
    <s v="L83087"/>
    <x v="1"/>
    <s v="OKEHAMPTON MEDICAL CENTRE"/>
    <n v="0"/>
    <n v="119"/>
    <n v="0"/>
    <n v="0"/>
    <n v="0"/>
    <n v="0"/>
    <d v="2025-07-01T00:00:00"/>
    <s v="Q2"/>
    <x v="1"/>
    <n v="0"/>
    <n v="119"/>
    <n v="4"/>
    <n v="0"/>
  </r>
  <r>
    <x v="3"/>
    <s v="RR7"/>
    <x v="6"/>
    <s v="GATESHEAD HEALTH NHS FOUNDATION TRUST"/>
    <n v="6240"/>
    <n v="4128"/>
    <n v="1801"/>
    <n v="37"/>
    <n v="250"/>
    <n v="1"/>
    <d v="2025-07-01T00:00:00"/>
    <s v="Q2"/>
    <x v="1"/>
    <n v="0.28862179487179485"/>
    <n v="10368"/>
    <n v="4"/>
    <n v="1.6025641025641026E-4"/>
  </r>
  <r>
    <x v="3"/>
    <s v="RCX"/>
    <x v="2"/>
    <s v="THE QUEEN ELIZABETH HOSPITAL, KING'S LYNN, NHS FOUNDATION TRUST"/>
    <n v="7060"/>
    <n v="1109"/>
    <n v="3382"/>
    <n v="0"/>
    <n v="444"/>
    <n v="125"/>
    <d v="2025-07-01T00:00:00"/>
    <s v="Q2"/>
    <x v="1"/>
    <n v="0.47903682719546742"/>
    <n v="8169"/>
    <n v="4"/>
    <n v="1.7705382436260624E-2"/>
  </r>
  <r>
    <x v="3"/>
    <s v="RJ8"/>
    <x v="1"/>
    <s v="CORNWALL PARTNERSHIP NHS FOUNDATION TRUST"/>
    <n v="0"/>
    <n v="0"/>
    <n v="0"/>
    <n v="0"/>
    <n v="0"/>
    <n v="0"/>
    <d v="2025-07-01T00:00:00"/>
    <s v="Q2"/>
    <x v="1"/>
    <n v="0"/>
    <n v="0"/>
    <n v="4"/>
    <n v="0"/>
  </r>
  <r>
    <x v="3"/>
    <s v="RLQ"/>
    <x v="5"/>
    <s v="WYE VALLEY NHS TRUST"/>
    <n v="6218"/>
    <n v="197"/>
    <n v="2227"/>
    <n v="0"/>
    <n v="405"/>
    <n v="182"/>
    <d v="2025-07-01T00:00:00"/>
    <s v="Q2"/>
    <x v="1"/>
    <n v="0.35815374718559023"/>
    <n v="6415"/>
    <n v="4"/>
    <n v="2.9269861691862336E-2"/>
  </r>
  <r>
    <x v="3"/>
    <s v="RTP"/>
    <x v="0"/>
    <s v="SURREY AND SUSSEX HEALTHCARE NHS TRUST"/>
    <n v="10680"/>
    <n v="0"/>
    <n v="4184"/>
    <n v="0"/>
    <n v="621"/>
    <n v="626"/>
    <d v="2025-07-01T00:00:00"/>
    <s v="Q2"/>
    <x v="1"/>
    <n v="0.39176029962546816"/>
    <n v="10680"/>
    <n v="4"/>
    <n v="5.8614232209737827E-2"/>
  </r>
  <r>
    <x v="3"/>
    <s v="RWF"/>
    <x v="0"/>
    <s v="MAIDSTONE AND TUNBRIDGE WELLS NHS TRUST"/>
    <n v="17753"/>
    <n v="2371"/>
    <n v="3414"/>
    <n v="21"/>
    <n v="839"/>
    <n v="62"/>
    <d v="2025-07-01T00:00:00"/>
    <s v="Q2"/>
    <x v="1"/>
    <n v="0.19230552582662086"/>
    <n v="20124"/>
    <n v="4"/>
    <n v="3.4923674871852645E-3"/>
  </r>
  <r>
    <x v="3"/>
    <s v="RWY"/>
    <x v="6"/>
    <s v="CALDERDALE AND HUDDERSFIELD NHS FOUNDATION TRUST"/>
    <n v="16778"/>
    <n v="0"/>
    <n v="2485"/>
    <n v="0"/>
    <n v="591"/>
    <n v="7"/>
    <d v="2025-07-01T00:00:00"/>
    <s v="Q2"/>
    <x v="1"/>
    <n v="0.14811062105137679"/>
    <n v="16778"/>
    <n v="4"/>
    <n v="4.1721301704613186E-4"/>
  </r>
  <r>
    <x v="3"/>
    <s v="RY7"/>
    <x v="3"/>
    <s v="WIRRAL COMMUNITY HEALTH AND CARE NHS FOUNDATION TRUST"/>
    <n v="0"/>
    <n v="4311"/>
    <n v="0"/>
    <n v="348"/>
    <n v="0"/>
    <n v="0"/>
    <d v="2025-07-01T00:00:00"/>
    <s v="Q2"/>
    <x v="1"/>
    <n v="0"/>
    <n v="4311"/>
    <n v="4"/>
    <n v="0"/>
  </r>
  <r>
    <x v="3"/>
    <s v="AQM01"/>
    <x v="0"/>
    <s v="FAVERSHAM MEDICAL PRACTICE MIU"/>
    <n v="0"/>
    <n v="2894"/>
    <n v="0"/>
    <n v="0"/>
    <n v="0"/>
    <n v="0"/>
    <d v="2025-07-01T00:00:00"/>
    <s v="Q2"/>
    <x v="1"/>
    <n v="0"/>
    <n v="2894"/>
    <n v="4"/>
    <n v="0"/>
  </r>
  <r>
    <x v="3"/>
    <s v="DT301"/>
    <x v="2"/>
    <s v="HERTS URGENT CARE (ASCOTS LANE)"/>
    <n v="0"/>
    <n v="2484"/>
    <n v="0"/>
    <n v="131"/>
    <n v="0"/>
    <n v="0"/>
    <d v="2025-07-01T00:00:00"/>
    <s v="Q2"/>
    <x v="1"/>
    <n v="0"/>
    <n v="2484"/>
    <n v="4"/>
    <n v="0"/>
  </r>
  <r>
    <x v="3"/>
    <s v="G3P9C"/>
    <x v="1"/>
    <s v="TROWBRIDGE MINOR INJURIES UNIT"/>
    <n v="0"/>
    <n v="1079"/>
    <n v="0"/>
    <n v="2"/>
    <n v="0"/>
    <n v="0"/>
    <d v="2025-07-01T00:00:00"/>
    <s v="Q2"/>
    <x v="1"/>
    <n v="0"/>
    <n v="1079"/>
    <n v="4"/>
    <n v="0"/>
  </r>
  <r>
    <x v="3"/>
    <s v="NL7"/>
    <x v="5"/>
    <s v="ASSURA VERTIS URGENT CARE CENTRES (BIRMINGHAM)"/>
    <n v="0"/>
    <n v="2863"/>
    <n v="0"/>
    <n v="0"/>
    <n v="0"/>
    <n v="0"/>
    <d v="2025-07-01T00:00:00"/>
    <s v="Q2"/>
    <x v="1"/>
    <n v="0"/>
    <n v="2863"/>
    <n v="4"/>
    <n v="0"/>
  </r>
  <r>
    <x v="3"/>
    <s v="NNF09"/>
    <x v="6"/>
    <s v="BRANSHOLME HEALTH CENTRE"/>
    <n v="0"/>
    <n v="3787"/>
    <n v="0"/>
    <n v="388"/>
    <n v="0"/>
    <n v="0"/>
    <d v="2025-07-01T00:00:00"/>
    <s v="Q2"/>
    <x v="1"/>
    <n v="0"/>
    <n v="3787"/>
    <n v="4"/>
    <n v="0"/>
  </r>
  <r>
    <x v="3"/>
    <s v="NNF16"/>
    <x v="6"/>
    <s v="BRIDLINGTON HOSPITAL"/>
    <n v="0"/>
    <n v="1764"/>
    <n v="0"/>
    <n v="87"/>
    <n v="0"/>
    <n v="0"/>
    <d v="2025-07-01T00:00:00"/>
    <s v="Q2"/>
    <x v="1"/>
    <n v="0"/>
    <n v="1764"/>
    <n v="4"/>
    <n v="0"/>
  </r>
  <r>
    <x v="3"/>
    <s v="NNF94"/>
    <x v="6"/>
    <s v="EAST RIDING COMMUNITY HOSPITAL"/>
    <n v="0"/>
    <n v="2950"/>
    <n v="0"/>
    <n v="266"/>
    <n v="0"/>
    <n v="0"/>
    <d v="2025-07-01T00:00:00"/>
    <s v="Q2"/>
    <x v="1"/>
    <n v="0"/>
    <n v="2950"/>
    <n v="4"/>
    <n v="0"/>
  </r>
  <r>
    <x v="3"/>
    <s v="NNFA7"/>
    <x v="6"/>
    <s v="GOOLE &amp; DISTRICT HOSPITAL"/>
    <n v="0"/>
    <n v="1690"/>
    <n v="0"/>
    <n v="14"/>
    <n v="0"/>
    <n v="0"/>
    <d v="2025-07-01T00:00:00"/>
    <s v="Q2"/>
    <x v="1"/>
    <n v="0"/>
    <n v="1690"/>
    <n v="4"/>
    <n v="0"/>
  </r>
  <r>
    <x v="3"/>
    <s v="RCU"/>
    <x v="6"/>
    <s v="SHEFFIELD CHILDREN'S NHS FOUNDATION TRUST"/>
    <n v="4528"/>
    <n v="239"/>
    <n v="271"/>
    <n v="0"/>
    <n v="10"/>
    <n v="0"/>
    <d v="2025-07-01T00:00:00"/>
    <s v="Q2"/>
    <x v="1"/>
    <n v="5.9849823321554772E-2"/>
    <n v="4767"/>
    <n v="4"/>
    <n v="0"/>
  </r>
  <r>
    <x v="3"/>
    <s v="NNJ"/>
    <x v="5"/>
    <s v="DHU HEALTH CARE C.I.C"/>
    <n v="0"/>
    <n v="1872"/>
    <n v="0"/>
    <n v="0"/>
    <n v="0"/>
    <n v="0"/>
    <d v="2025-07-01T00:00:00"/>
    <s v="Q2"/>
    <x v="1"/>
    <n v="0"/>
    <n v="1872"/>
    <n v="4"/>
    <n v="0"/>
  </r>
  <r>
    <x v="3"/>
    <s v="RBT"/>
    <x v="3"/>
    <s v="MID CHESHIRE HOSPITALS NHS FOUNDATION TRUST"/>
    <n v="7408"/>
    <n v="2991"/>
    <n v="4574"/>
    <n v="66"/>
    <n v="492"/>
    <n v="489"/>
    <d v="2025-07-01T00:00:00"/>
    <s v="Q2"/>
    <x v="1"/>
    <n v="0.61744060475161988"/>
    <n v="10399"/>
    <n v="4"/>
    <n v="6.600971922246221E-2"/>
  </r>
  <r>
    <x v="3"/>
    <s v="NQT51"/>
    <x v="0"/>
    <s v="STATION PLAZA HEALTH CENTRE"/>
    <n v="0"/>
    <n v="1156"/>
    <n v="0"/>
    <n v="0"/>
    <n v="0"/>
    <n v="0"/>
    <d v="2025-07-01T00:00:00"/>
    <s v="Q2"/>
    <x v="1"/>
    <n v="0"/>
    <n v="1156"/>
    <n v="4"/>
    <n v="0"/>
  </r>
  <r>
    <x v="3"/>
    <s v="G0Q0L"/>
    <x v="4"/>
    <s v="BARKING HOSPITAL UTC"/>
    <n v="0"/>
    <n v="2824"/>
    <n v="0"/>
    <n v="11"/>
    <n v="0"/>
    <n v="0"/>
    <d v="2025-07-01T00:00:00"/>
    <s v="Q2"/>
    <x v="1"/>
    <n v="0"/>
    <n v="2824"/>
    <n v="4"/>
    <n v="0"/>
  </r>
  <r>
    <x v="3"/>
    <s v="C82038"/>
    <x v="5"/>
    <s v="LATHAM HOUSE MEDICAL PRACTICE"/>
    <n v="0"/>
    <n v="436"/>
    <n v="0"/>
    <n v="0"/>
    <n v="0"/>
    <n v="0"/>
    <d v="2025-07-01T00:00:00"/>
    <s v="Q2"/>
    <x v="1"/>
    <n v="0"/>
    <n v="436"/>
    <n v="4"/>
    <n v="0"/>
  </r>
  <r>
    <x v="3"/>
    <s v="AQN04"/>
    <x v="0"/>
    <s v="PHL LYMINGTON UTC"/>
    <n v="0"/>
    <n v="3611"/>
    <n v="0"/>
    <n v="72"/>
    <n v="0"/>
    <n v="0"/>
    <d v="2025-07-01T00:00:00"/>
    <s v="Q2"/>
    <x v="1"/>
    <n v="0"/>
    <n v="3611"/>
    <n v="4"/>
    <n v="0"/>
  </r>
  <r>
    <x v="3"/>
    <s v="Y00751"/>
    <x v="0"/>
    <s v="EAST BERKS PRIMARY CARE OOH(WAM)"/>
    <n v="0"/>
    <n v="0"/>
    <n v="0"/>
    <n v="0"/>
    <n v="0"/>
    <n v="0"/>
    <d v="2025-07-01T00:00:00"/>
    <s v="Q2"/>
    <x v="1"/>
    <n v="0"/>
    <n v="0"/>
    <n v="4"/>
    <n v="0"/>
  </r>
  <r>
    <x v="3"/>
    <s v="RAN"/>
    <x v="4"/>
    <s v="ROYAL NATIONAL ORTHOPAEDIC HOSPITAL NHS TRUST"/>
    <n v="0"/>
    <n v="0"/>
    <n v="0"/>
    <n v="0"/>
    <n v="0"/>
    <n v="0"/>
    <d v="2025-07-01T00:00:00"/>
    <s v="Q2"/>
    <x v="1"/>
    <n v="0"/>
    <n v="0"/>
    <n v="4"/>
    <n v="0"/>
  </r>
  <r>
    <x v="3"/>
    <s v="NTV0W"/>
    <x v="0"/>
    <s v="WOKING WALK IN CENTRE"/>
    <n v="0"/>
    <n v="2609"/>
    <n v="0"/>
    <n v="160"/>
    <n v="0"/>
    <n v="0"/>
    <d v="2025-07-01T00:00:00"/>
    <s v="Q2"/>
    <x v="1"/>
    <n v="0"/>
    <n v="2609"/>
    <n v="4"/>
    <n v="0"/>
  </r>
  <r>
    <x v="3"/>
    <s v="RDY"/>
    <x v="1"/>
    <s v="DORSET HEALTHCARE UNIVERSITY NHS FOUNDATION TRUST"/>
    <n v="0"/>
    <n v="0"/>
    <n v="0"/>
    <n v="0"/>
    <n v="0"/>
    <n v="0"/>
    <d v="2025-07-01T00:00:00"/>
    <s v="Q2"/>
    <x v="1"/>
    <n v="0"/>
    <n v="0"/>
    <n v="4"/>
    <n v="0"/>
  </r>
  <r>
    <x v="3"/>
    <s v="RNU"/>
    <x v="0"/>
    <s v="OXFORD HEALTH NHS FOUNDATION TRUST"/>
    <n v="0"/>
    <n v="4488"/>
    <n v="0"/>
    <n v="143"/>
    <n v="0"/>
    <n v="0"/>
    <d v="2025-07-01T00:00:00"/>
    <s v="Q2"/>
    <x v="1"/>
    <n v="0"/>
    <n v="4488"/>
    <n v="4"/>
    <n v="0"/>
  </r>
  <r>
    <x v="3"/>
    <s v="RW1"/>
    <x v="0"/>
    <s v="HAMPSHIRE AND ISLE OF WIGHT HEALTHCARE NHS FOUNDATION TRUST"/>
    <n v="0"/>
    <n v="3080"/>
    <n v="0"/>
    <n v="81"/>
    <n v="0"/>
    <n v="0"/>
    <d v="2025-07-01T00:00:00"/>
    <s v="Q2"/>
    <x v="1"/>
    <n v="0"/>
    <n v="3080"/>
    <n v="4"/>
    <n v="0"/>
  </r>
  <r>
    <x v="3"/>
    <s v="Y02428"/>
    <x v="2"/>
    <s v="PUTNOE WALK IN CENTRE"/>
    <n v="0"/>
    <n v="2236"/>
    <n v="0"/>
    <n v="0"/>
    <n v="0"/>
    <n v="0"/>
    <d v="2025-07-01T00:00:00"/>
    <s v="Q2"/>
    <x v="1"/>
    <n v="0"/>
    <n v="2236"/>
    <n v="4"/>
    <n v="0"/>
  </r>
  <r>
    <x v="3"/>
    <s v="Y02676"/>
    <x v="0"/>
    <s v="BRIGHTON STATION HEALTH CENTRE"/>
    <n v="0"/>
    <n v="2044"/>
    <n v="0"/>
    <n v="0"/>
    <n v="0"/>
    <n v="0"/>
    <d v="2025-07-01T00:00:00"/>
    <s v="Q2"/>
    <x v="1"/>
    <n v="0"/>
    <n v="2044"/>
    <n v="4"/>
    <n v="0"/>
  </r>
  <r>
    <x v="3"/>
    <s v="AAH"/>
    <x v="1"/>
    <s v="TETBURY HOSPITAL TRUST LTD"/>
    <n v="0"/>
    <n v="688"/>
    <n v="0"/>
    <n v="0"/>
    <n v="0"/>
    <n v="0"/>
    <d v="2025-07-01T00:00:00"/>
    <s v="Q2"/>
    <x v="1"/>
    <n v="0"/>
    <n v="688"/>
    <n v="4"/>
    <n v="0"/>
  </r>
  <r>
    <x v="3"/>
    <s v="ACH01"/>
    <x v="0"/>
    <s v="WHITSTABLE MEDICAL PRACTICE"/>
    <n v="0"/>
    <n v="5094"/>
    <n v="0"/>
    <n v="0"/>
    <n v="0"/>
    <n v="0"/>
    <d v="2025-07-01T00:00:00"/>
    <s v="Q2"/>
    <x v="1"/>
    <n v="0"/>
    <n v="5094"/>
    <n v="4"/>
    <n v="0"/>
  </r>
  <r>
    <x v="3"/>
    <s v="RC9"/>
    <x v="2"/>
    <s v="BEDFORDSHIRE HOSPITALS NHS FOUNDATION TRUST"/>
    <n v="17502"/>
    <n v="8081"/>
    <n v="7110"/>
    <n v="0"/>
    <n v="80"/>
    <n v="0"/>
    <d v="2025-07-01T00:00:00"/>
    <s v="Q2"/>
    <x v="1"/>
    <n v="0.40623928693863559"/>
    <n v="25583"/>
    <n v="4"/>
    <n v="0"/>
  </r>
  <r>
    <x v="3"/>
    <s v="RQX"/>
    <x v="4"/>
    <s v="HOMERTON HEALTHCARE NHS FOUNDATION TRUST"/>
    <n v="11437"/>
    <n v="0"/>
    <n v="2156"/>
    <n v="0"/>
    <n v="155"/>
    <n v="12"/>
    <d v="2025-07-01T00:00:00"/>
    <s v="Q2"/>
    <x v="1"/>
    <n v="0.18851097315729651"/>
    <n v="11437"/>
    <n v="4"/>
    <n v="1.0492261956806855E-3"/>
  </r>
  <r>
    <x v="3"/>
    <s v="RY8"/>
    <x v="5"/>
    <s v="DERBYSHIRE COMMUNITY HEALTH SERVICES NHS FOUNDATION TRUST"/>
    <n v="0"/>
    <n v="8229"/>
    <n v="0"/>
    <n v="274"/>
    <n v="0"/>
    <n v="0"/>
    <d v="2025-07-01T00:00:00"/>
    <s v="Q2"/>
    <x v="1"/>
    <n v="0"/>
    <n v="8229"/>
    <n v="4"/>
    <n v="0"/>
  </r>
  <r>
    <x v="3"/>
    <s v="Y02615"/>
    <x v="5"/>
    <s v="SOUTH BIRMINGHAM GP WALK IN CENTRE"/>
    <n v="0"/>
    <n v="5808"/>
    <n v="0"/>
    <n v="0"/>
    <n v="0"/>
    <n v="0"/>
    <d v="2025-07-01T00:00:00"/>
    <s v="Q2"/>
    <x v="1"/>
    <n v="0"/>
    <n v="5808"/>
    <n v="4"/>
    <n v="0"/>
  </r>
  <r>
    <x v="3"/>
    <s v="Y03218"/>
    <x v="4"/>
    <s v="THE PINN UNREGISTERED WIC"/>
    <n v="0"/>
    <n v="872"/>
    <n v="0"/>
    <n v="0"/>
    <n v="0"/>
    <n v="0"/>
    <d v="2025-07-01T00:00:00"/>
    <s v="Q2"/>
    <x v="1"/>
    <n v="0"/>
    <n v="872"/>
    <n v="4"/>
    <n v="0"/>
  </r>
  <r>
    <x v="3"/>
    <s v="8J094"/>
    <x v="5"/>
    <s v="BADGER LTD"/>
    <n v="0"/>
    <n v="0"/>
    <n v="0"/>
    <n v="0"/>
    <n v="0"/>
    <n v="0"/>
    <d v="2025-07-01T00:00:00"/>
    <s v="Q2"/>
    <x v="1"/>
    <n v="0"/>
    <n v="0"/>
    <n v="4"/>
    <n v="0"/>
  </r>
  <r>
    <x v="3"/>
    <s v="C82009"/>
    <x v="5"/>
    <s v="MARKET HARBOROUGH MED.CTR"/>
    <n v="0"/>
    <n v="332"/>
    <n v="0"/>
    <n v="0"/>
    <n v="0"/>
    <n v="0"/>
    <d v="2025-07-01T00:00:00"/>
    <s v="Q2"/>
    <x v="1"/>
    <n v="0"/>
    <n v="332"/>
    <n v="4"/>
    <n v="0"/>
  </r>
  <r>
    <x v="3"/>
    <s v="NDJ"/>
    <x v="0"/>
    <s v="FIRST COMMUNITY HEALTH AND CARE CIC"/>
    <n v="0"/>
    <n v="2634"/>
    <n v="0"/>
    <n v="0"/>
    <n v="0"/>
    <n v="0"/>
    <d v="2025-07-01T00:00:00"/>
    <s v="Q2"/>
    <x v="1"/>
    <n v="0"/>
    <n v="2634"/>
    <n v="4"/>
    <n v="0"/>
  </r>
  <r>
    <x v="3"/>
    <s v="RA2"/>
    <x v="0"/>
    <s v="ROYAL SURREY COUNTY HOSPITAL NHS FOUNDATION TRUST"/>
    <n v="6644"/>
    <n v="1851"/>
    <n v="2116"/>
    <n v="0"/>
    <n v="393"/>
    <n v="1"/>
    <d v="2025-07-01T00:00:00"/>
    <s v="Q2"/>
    <x v="1"/>
    <n v="0.31848284166164958"/>
    <n v="8495"/>
    <n v="4"/>
    <n v="1.5051173991571343E-4"/>
  </r>
  <r>
    <x v="3"/>
    <s v="RBK"/>
    <x v="5"/>
    <s v="WALSALL HEALTHCARE NHS TRUST"/>
    <n v="9841"/>
    <n v="4238"/>
    <n v="3200"/>
    <n v="71"/>
    <n v="1082"/>
    <n v="101"/>
    <d v="2025-07-01T00:00:00"/>
    <s v="Q2"/>
    <x v="1"/>
    <n v="0.32517020627984961"/>
    <n v="14079"/>
    <n v="4"/>
    <n v="1.0263184635707754E-2"/>
  </r>
  <r>
    <x v="3"/>
    <s v="NQT1I"/>
    <x v="1"/>
    <s v="CHIPPENHAM COMMUNITY HOSPITAL"/>
    <n v="0"/>
    <n v="1948"/>
    <n v="0"/>
    <n v="27"/>
    <n v="0"/>
    <n v="0"/>
    <d v="2025-07-01T00:00:00"/>
    <s v="Q2"/>
    <x v="1"/>
    <n v="0"/>
    <n v="1948"/>
    <n v="4"/>
    <n v="0"/>
  </r>
  <r>
    <x v="3"/>
    <s v="RA9"/>
    <x v="1"/>
    <s v="TORBAY AND SOUTH DEVON NHS FOUNDATION TRUST"/>
    <n v="6948"/>
    <n v="3734"/>
    <n v="2759"/>
    <n v="46"/>
    <n v="215"/>
    <n v="37"/>
    <d v="2025-07-01T00:00:00"/>
    <s v="Q2"/>
    <x v="1"/>
    <n v="0.39709268854346574"/>
    <n v="10682"/>
    <n v="4"/>
    <n v="5.3252734599884858E-3"/>
  </r>
  <r>
    <x v="3"/>
    <s v="RMC"/>
    <x v="3"/>
    <s v="BOLTON NHS FOUNDATION TRUST"/>
    <n v="8149"/>
    <n v="4115"/>
    <n v="4000"/>
    <n v="313"/>
    <n v="546"/>
    <n v="261"/>
    <d v="2025-07-01T00:00:00"/>
    <s v="Q2"/>
    <x v="1"/>
    <n v="0.49085777395999508"/>
    <n v="12264"/>
    <n v="4"/>
    <n v="3.2028469750889681E-2"/>
  </r>
  <r>
    <x v="3"/>
    <s v="RN7"/>
    <x v="0"/>
    <s v="DARTFORD AND GRAVESHAM NHS TRUST"/>
    <n v="11347"/>
    <n v="4129"/>
    <n v="2752"/>
    <n v="14"/>
    <n v="711"/>
    <n v="72"/>
    <d v="2025-07-01T00:00:00"/>
    <s v="Q2"/>
    <x v="1"/>
    <n v="0.24253106547986253"/>
    <n v="15476"/>
    <n v="4"/>
    <n v="6.3452895038336125E-3"/>
  </r>
  <r>
    <x v="3"/>
    <s v="RNQ"/>
    <x v="5"/>
    <s v="KETTERING GENERAL HOSPITAL NHS FOUNDATION TRUST"/>
    <n v="10198"/>
    <n v="8247"/>
    <n v="3751"/>
    <n v="87"/>
    <n v="562"/>
    <n v="785"/>
    <d v="2025-07-01T00:00:00"/>
    <s v="Q2"/>
    <x v="1"/>
    <n v="0.36781721906256126"/>
    <n v="18445"/>
    <n v="4"/>
    <n v="7.6975877623063349E-2"/>
  </r>
  <r>
    <x v="3"/>
    <s v="RNZ"/>
    <x v="1"/>
    <s v="SALISBURY NHS FOUNDATION TRUST"/>
    <n v="4923"/>
    <n v="1813"/>
    <n v="1816"/>
    <n v="0"/>
    <n v="341"/>
    <n v="23"/>
    <d v="2025-07-01T00:00:00"/>
    <s v="Q2"/>
    <x v="1"/>
    <n v="0.36888076376193379"/>
    <n v="6736"/>
    <n v="4"/>
    <n v="4.6719479991874872E-3"/>
  </r>
  <r>
    <x v="3"/>
    <s v="RP6"/>
    <x v="4"/>
    <s v="MOORFIELDS EYE HOSPITAL NHS FOUNDATION TRUST"/>
    <n v="0"/>
    <n v="0"/>
    <n v="0"/>
    <n v="0"/>
    <n v="0"/>
    <n v="0"/>
    <d v="2025-07-01T00:00:00"/>
    <s v="Q2"/>
    <x v="1"/>
    <n v="0"/>
    <n v="0"/>
    <n v="4"/>
    <n v="0"/>
  </r>
  <r>
    <x v="3"/>
    <s v="RQW"/>
    <x v="2"/>
    <s v="THE PRINCESS ALEXANDRA HOSPITAL NHS TRUST"/>
    <n v="8719"/>
    <n v="1921"/>
    <n v="3463"/>
    <n v="0"/>
    <n v="391"/>
    <n v="142"/>
    <d v="2025-07-01T00:00:00"/>
    <s v="Q2"/>
    <x v="1"/>
    <n v="0.39717857552471614"/>
    <n v="10640"/>
    <n v="4"/>
    <n v="1.6286271361394655E-2"/>
  </r>
  <r>
    <x v="3"/>
    <s v="RR8"/>
    <x v="6"/>
    <s v="LEEDS TEACHING HOSPITALS NHS TRUST"/>
    <n v="17642"/>
    <n v="11691"/>
    <n v="6257"/>
    <n v="107"/>
    <n v="1485"/>
    <n v="135"/>
    <d v="2025-07-01T00:00:00"/>
    <s v="Q2"/>
    <x v="1"/>
    <n v="0.35466500396780409"/>
    <n v="29333"/>
    <n v="4"/>
    <n v="7.6521936288402679E-3"/>
  </r>
  <r>
    <x v="3"/>
    <s v="RTG"/>
    <x v="5"/>
    <s v="UNIVERSITY HOSPITALS OF DERBY AND BURTON NHS FOUNDATION TRUST"/>
    <n v="19187"/>
    <n v="9942"/>
    <n v="8794"/>
    <n v="0"/>
    <n v="989"/>
    <n v="716"/>
    <d v="2025-07-01T00:00:00"/>
    <s v="Q2"/>
    <x v="1"/>
    <n v="0.458331161724084"/>
    <n v="29129"/>
    <n v="4"/>
    <n v="3.7316933340282486E-2"/>
  </r>
  <r>
    <x v="3"/>
    <s v="RV9"/>
    <x v="6"/>
    <s v="HUMBER TEACHING NHS FOUNDATION TRUST"/>
    <n v="0"/>
    <n v="1281"/>
    <n v="0"/>
    <n v="7"/>
    <n v="0"/>
    <n v="0"/>
    <d v="2025-07-01T00:00:00"/>
    <s v="Q2"/>
    <x v="1"/>
    <n v="0"/>
    <n v="1281"/>
    <n v="4"/>
    <n v="0"/>
  </r>
  <r>
    <x v="3"/>
    <s v="RVW"/>
    <x v="6"/>
    <s v="NORTH TEES AND HARTLEPOOL NHS FOUNDATION TRUST"/>
    <n v="4933"/>
    <n v="11358"/>
    <n v="2576"/>
    <n v="10"/>
    <n v="122"/>
    <n v="4"/>
    <d v="2025-07-01T00:00:00"/>
    <s v="Q2"/>
    <x v="1"/>
    <n v="0.52219744577336302"/>
    <n v="16291"/>
    <n v="4"/>
    <n v="8.108655990269613E-4"/>
  </r>
  <r>
    <x v="3"/>
    <s v="RW4"/>
    <x v="3"/>
    <s v="MERSEY CARE NHS FOUNDATION TRUST"/>
    <n v="0"/>
    <n v="13566"/>
    <n v="0"/>
    <n v="192"/>
    <n v="0"/>
    <n v="0"/>
    <d v="2025-07-01T00:00:00"/>
    <s v="Q2"/>
    <x v="1"/>
    <n v="0"/>
    <n v="13566"/>
    <n v="4"/>
    <n v="0"/>
  </r>
  <r>
    <x v="3"/>
    <s v="RX1"/>
    <x v="5"/>
    <s v="NOTTINGHAM UNIVERSITY HOSPITALS NHS TRUST"/>
    <n v="13245"/>
    <n v="0"/>
    <n v="6980"/>
    <n v="0"/>
    <n v="267"/>
    <n v="467"/>
    <d v="2025-07-01T00:00:00"/>
    <s v="Q2"/>
    <x v="1"/>
    <n v="0.52699131747829364"/>
    <n v="13245"/>
    <n v="4"/>
    <n v="3.5258588146470364E-2"/>
  </r>
  <r>
    <x v="3"/>
    <s v="RXL"/>
    <x v="3"/>
    <s v="BLACKPOOL TEACHING HOSPITALS NHS FOUNDATION TRUST"/>
    <n v="9042"/>
    <n v="10364"/>
    <n v="4286"/>
    <n v="96"/>
    <n v="781"/>
    <n v="340"/>
    <d v="2025-07-01T00:00:00"/>
    <s v="Q2"/>
    <x v="1"/>
    <n v="0.47401017474010176"/>
    <n v="19406"/>
    <n v="4"/>
    <n v="3.7602300376023003E-2"/>
  </r>
  <r>
    <x v="3"/>
    <s v="RXQ"/>
    <x v="0"/>
    <s v="BUCKINGHAMSHIRE HEALTHCARE NHS TRUST"/>
    <n v="11214"/>
    <n v="3235"/>
    <n v="3369"/>
    <n v="66"/>
    <n v="221"/>
    <n v="309"/>
    <d v="2025-07-01T00:00:00"/>
    <s v="Q2"/>
    <x v="1"/>
    <n v="0.30042803638309257"/>
    <n v="14449"/>
    <n v="4"/>
    <n v="2.7554842161583736E-2"/>
  </r>
  <r>
    <x v="3"/>
    <s v="RXR"/>
    <x v="3"/>
    <s v="EAST LANCASHIRE HOSPITALS NHS TRUST"/>
    <n v="14245"/>
    <n v="11919"/>
    <n v="4842"/>
    <n v="575"/>
    <n v="712"/>
    <n v="708"/>
    <d v="2025-07-01T00:00:00"/>
    <s v="Q2"/>
    <x v="1"/>
    <n v="0.33990873990873993"/>
    <n v="26164"/>
    <n v="4"/>
    <n v="4.9701649701649704E-2"/>
  </r>
  <r>
    <x v="3"/>
    <s v="NQT5F"/>
    <x v="3"/>
    <s v="SKELMERSDALE WALK IN CENTRE"/>
    <n v="0"/>
    <n v="1718"/>
    <n v="0"/>
    <n v="11"/>
    <n v="0"/>
    <n v="0"/>
    <d v="2025-07-01T00:00:00"/>
    <s v="Q2"/>
    <x v="1"/>
    <n v="0"/>
    <n v="1718"/>
    <n v="4"/>
    <n v="0"/>
  </r>
  <r>
    <x v="3"/>
    <s v="NTPAD"/>
    <x v="0"/>
    <s v="PRACTICE PLUS GROUP SURGICAL CENTRE - ST MARYS PORTSMOUTH"/>
    <n v="0"/>
    <n v="5337"/>
    <n v="0"/>
    <n v="279"/>
    <n v="0"/>
    <n v="0"/>
    <d v="2025-07-01T00:00:00"/>
    <s v="Q2"/>
    <x v="1"/>
    <n v="0"/>
    <n v="5337"/>
    <n v="4"/>
    <n v="0"/>
  </r>
  <r>
    <x v="3"/>
    <s v="R0A"/>
    <x v="3"/>
    <s v="MANCHESTER UNIVERSITY NHS FOUNDATION TRUST"/>
    <n v="26185"/>
    <n v="11482"/>
    <n v="10020"/>
    <n v="364"/>
    <n v="2491"/>
    <n v="101"/>
    <d v="2025-07-01T00:00:00"/>
    <s v="Q2"/>
    <x v="1"/>
    <n v="0.38266182929157916"/>
    <n v="37667"/>
    <n v="4"/>
    <n v="3.8571701355738018E-3"/>
  </r>
  <r>
    <x v="3"/>
    <s v="R0B"/>
    <x v="6"/>
    <s v="SOUTH TYNESIDE AND SUNDERLAND NHS FOUNDATION TRUST"/>
    <n v="11361"/>
    <n v="6027"/>
    <n v="4854"/>
    <n v="168"/>
    <n v="307"/>
    <n v="1"/>
    <d v="2025-07-01T00:00:00"/>
    <s v="Q2"/>
    <x v="1"/>
    <n v="0.42725112226036438"/>
    <n v="17388"/>
    <n v="4"/>
    <n v="8.802042073761112E-5"/>
  </r>
  <r>
    <x v="3"/>
    <s v="R0D"/>
    <x v="1"/>
    <s v="UNIVERSITY HOSPITALS DORSET NHS FOUNDATION TRUST"/>
    <n v="15124"/>
    <n v="5243"/>
    <n v="5821"/>
    <n v="0"/>
    <n v="624"/>
    <n v="67"/>
    <d v="2025-07-01T00:00:00"/>
    <s v="Q2"/>
    <x v="1"/>
    <n v="0.38488495107114518"/>
    <n v="20367"/>
    <n v="4"/>
    <n v="4.4300449616503567E-3"/>
  </r>
  <r>
    <x v="3"/>
    <s v="RAE"/>
    <x v="6"/>
    <s v="BRADFORD TEACHING HOSPITALS NHS FOUNDATION TRUST"/>
    <n v="9650"/>
    <n v="3496"/>
    <n v="2298"/>
    <n v="0"/>
    <n v="679"/>
    <n v="51"/>
    <d v="2025-07-01T00:00:00"/>
    <s v="Q2"/>
    <x v="1"/>
    <n v="0.23813471502590675"/>
    <n v="13146"/>
    <n v="4"/>
    <n v="5.2849740932642483E-3"/>
  </r>
  <r>
    <x v="3"/>
    <s v="RJE"/>
    <x v="5"/>
    <s v="UNIVERSITY HOSPITALS OF NORTH MIDLANDS NHS TRUST"/>
    <n v="14974"/>
    <n v="8407"/>
    <n v="6948"/>
    <n v="77"/>
    <n v="1182"/>
    <n v="371"/>
    <d v="2025-07-01T00:00:00"/>
    <s v="Q2"/>
    <x v="1"/>
    <n v="0.46400427407506345"/>
    <n v="23381"/>
    <n v="4"/>
    <n v="2.4776278883397888E-2"/>
  </r>
  <r>
    <x v="3"/>
    <s v="NQT5H"/>
    <x v="1"/>
    <s v="PAULTON MEMORIAL HOSPITAL"/>
    <n v="0"/>
    <n v="1249"/>
    <n v="0"/>
    <n v="2"/>
    <n v="0"/>
    <n v="0"/>
    <d v="2025-07-01T00:00:00"/>
    <s v="Q2"/>
    <x v="1"/>
    <n v="0"/>
    <n v="1249"/>
    <n v="4"/>
    <n v="0"/>
  </r>
  <r>
    <x v="3"/>
    <s v="RJ1"/>
    <x v="4"/>
    <s v="GUY'S AND ST THOMAS' NHS FOUNDATION TRUST"/>
    <n v="10683"/>
    <n v="7268"/>
    <n v="3648"/>
    <n v="280"/>
    <n v="90"/>
    <n v="84"/>
    <d v="2025-07-01T00:00:00"/>
    <s v="Q2"/>
    <x v="1"/>
    <n v="0.34147711317045776"/>
    <n v="17951"/>
    <n v="4"/>
    <n v="7.8629598427408035E-3"/>
  </r>
  <r>
    <x v="3"/>
    <s v="RBS"/>
    <x v="3"/>
    <s v="ALDER HEY CHILDREN'S NHS FOUNDATION TRUST"/>
    <n v="5409"/>
    <n v="0"/>
    <n v="829"/>
    <n v="0"/>
    <n v="1"/>
    <n v="0"/>
    <d v="2025-07-01T00:00:00"/>
    <s v="Q2"/>
    <x v="1"/>
    <n v="0.15326308005176559"/>
    <n v="5409"/>
    <n v="4"/>
    <n v="0"/>
  </r>
  <r>
    <x v="3"/>
    <s v="RAT"/>
    <x v="4"/>
    <s v="NORTH EAST LONDON NHS FOUNDATION TRUST"/>
    <n v="0"/>
    <n v="1907"/>
    <n v="0"/>
    <n v="83"/>
    <n v="0"/>
    <n v="0"/>
    <d v="2025-07-01T00:00:00"/>
    <s v="Q2"/>
    <x v="1"/>
    <n v="0"/>
    <n v="1907"/>
    <n v="4"/>
    <n v="0"/>
  </r>
  <r>
    <x v="3"/>
    <s v="RBD"/>
    <x v="1"/>
    <s v="DORSET COUNTY HOSPITAL NHS FOUNDATION TRUST"/>
    <n v="4999"/>
    <n v="0"/>
    <n v="1353"/>
    <n v="0"/>
    <n v="196"/>
    <n v="38"/>
    <d v="2025-07-01T00:00:00"/>
    <s v="Q2"/>
    <x v="1"/>
    <n v="0.27065413082616524"/>
    <n v="4999"/>
    <n v="4"/>
    <n v="7.6015203040608118E-3"/>
  </r>
  <r>
    <x v="3"/>
    <s v="RBQ"/>
    <x v="3"/>
    <s v="LIVERPOOL HEART AND CHEST HOSPITAL NHS FOUNDATION TRUST"/>
    <n v="0"/>
    <n v="0"/>
    <n v="0"/>
    <n v="0"/>
    <n v="0"/>
    <n v="0"/>
    <d v="2025-07-01T00:00:00"/>
    <s v="Q2"/>
    <x v="1"/>
    <n v="0"/>
    <n v="0"/>
    <n v="4"/>
    <n v="0"/>
  </r>
  <r>
    <x v="3"/>
    <s v="RCD"/>
    <x v="6"/>
    <s v="HARROGATE AND DISTRICT NHS FOUNDATION TRUST"/>
    <n v="5442"/>
    <n v="1184"/>
    <n v="1319"/>
    <n v="0"/>
    <n v="103"/>
    <n v="0"/>
    <d v="2025-07-01T00:00:00"/>
    <s v="Q2"/>
    <x v="1"/>
    <n v="0.24237412715913267"/>
    <n v="6626"/>
    <n v="4"/>
    <n v="0"/>
  </r>
  <r>
    <x v="3"/>
    <s v="REF"/>
    <x v="1"/>
    <s v="ROYAL CORNWALL HOSPITALS NHS TRUST"/>
    <n v="7303"/>
    <n v="13900"/>
    <n v="2993"/>
    <n v="789"/>
    <n v="527"/>
    <n v="178"/>
    <d v="2025-07-01T00:00:00"/>
    <s v="Q2"/>
    <x v="1"/>
    <n v="0.409831576064631"/>
    <n v="21203"/>
    <n v="4"/>
    <n v="2.4373545118444476E-2"/>
  </r>
  <r>
    <x v="3"/>
    <s v="RJC"/>
    <x v="5"/>
    <s v="SOUTH WARWICKSHIRE UNIVERSITY NHS FOUNDATION TRUST"/>
    <n v="8491"/>
    <n v="498"/>
    <n v="1950"/>
    <n v="0"/>
    <n v="305"/>
    <n v="28"/>
    <d v="2025-07-01T00:00:00"/>
    <s v="Q2"/>
    <x v="1"/>
    <n v="0.22965492874808621"/>
    <n v="8989"/>
    <n v="4"/>
    <n v="3.2976092333058533E-3"/>
  </r>
  <r>
    <x v="3"/>
    <s v="RJN"/>
    <x v="3"/>
    <s v="EAST CHESHIRE NHS TRUST"/>
    <n v="4616"/>
    <n v="0"/>
    <n v="2765"/>
    <n v="0"/>
    <n v="238"/>
    <n v="271"/>
    <d v="2025-07-01T00:00:00"/>
    <s v="Q2"/>
    <x v="1"/>
    <n v="0.59900346620450606"/>
    <n v="4616"/>
    <n v="4"/>
    <n v="5.8708838821490465E-2"/>
  </r>
  <r>
    <x v="3"/>
    <s v="RK9"/>
    <x v="1"/>
    <s v="UNIVERSITY HOSPITALS PLYMOUTH NHS TRUST"/>
    <n v="9802"/>
    <n v="6098"/>
    <n v="4393"/>
    <n v="50"/>
    <n v="623"/>
    <n v="255"/>
    <d v="2025-07-01T00:00:00"/>
    <s v="Q2"/>
    <x v="1"/>
    <n v="0.44817384207304634"/>
    <n v="15900"/>
    <n v="4"/>
    <n v="2.6015098959396042E-2"/>
  </r>
  <r>
    <x v="3"/>
    <s v="RPC"/>
    <x v="0"/>
    <s v="QUEEN VICTORIA HOSPITAL NHS FOUNDATION TRUST"/>
    <n v="0"/>
    <n v="1603"/>
    <n v="0"/>
    <n v="30"/>
    <n v="0"/>
    <n v="0"/>
    <d v="2025-07-01T00:00:00"/>
    <s v="Q2"/>
    <x v="1"/>
    <n v="0"/>
    <n v="1603"/>
    <n v="4"/>
    <n v="0"/>
  </r>
  <r>
    <x v="3"/>
    <s v="RTK"/>
    <x v="0"/>
    <s v="ASHFORD AND ST PETER'S HOSPITALS NHS FOUNDATION TRUST"/>
    <n v="7470"/>
    <n v="3010"/>
    <n v="3498"/>
    <n v="25"/>
    <n v="478"/>
    <n v="133"/>
    <d v="2025-07-01T00:00:00"/>
    <s v="Q2"/>
    <x v="1"/>
    <n v="0.46827309236947789"/>
    <n v="10480"/>
    <n v="4"/>
    <n v="1.7804551539491297E-2"/>
  </r>
  <r>
    <x v="3"/>
    <s v="RTQ"/>
    <x v="1"/>
    <s v="GLOUCESTERSHIRE HEALTH AND CARE NHS FOUNDATION TRUST"/>
    <n v="0"/>
    <n v="8928"/>
    <n v="0"/>
    <n v="140"/>
    <n v="0"/>
    <n v="0"/>
    <d v="2025-07-01T00:00:00"/>
    <s v="Q2"/>
    <x v="1"/>
    <n v="0"/>
    <n v="8928"/>
    <n v="4"/>
    <n v="0"/>
  </r>
  <r>
    <x v="3"/>
    <s v="RWP"/>
    <x v="5"/>
    <s v="WORCESTERSHIRE ACUTE HOSPITALS NHS TRUST"/>
    <n v="14228"/>
    <n v="6778"/>
    <n v="7003"/>
    <n v="45"/>
    <n v="1069"/>
    <n v="896"/>
    <d v="2025-07-01T00:00:00"/>
    <s v="Q2"/>
    <x v="1"/>
    <n v="0.49219848186674164"/>
    <n v="21006"/>
    <n v="4"/>
    <n v="6.297441664323869E-2"/>
  </r>
  <r>
    <x v="3"/>
    <s v="RXG"/>
    <x v="6"/>
    <s v="SOUTH WEST YORKSHIRE PARTNERSHIP NHS FOUNDATION TRUST"/>
    <n v="0"/>
    <n v="0"/>
    <n v="0"/>
    <n v="0"/>
    <n v="0"/>
    <n v="0"/>
    <d v="2025-07-01T00:00:00"/>
    <s v="Q2"/>
    <x v="1"/>
    <n v="0"/>
    <n v="0"/>
    <n v="4"/>
    <n v="0"/>
  </r>
  <r>
    <x v="3"/>
    <s v="RY5"/>
    <x v="5"/>
    <s v="LINCOLNSHIRE COMMUNITY HEALTH SERVICES NHS TRUST"/>
    <n v="0"/>
    <n v="9119"/>
    <n v="0"/>
    <n v="297"/>
    <n v="0"/>
    <n v="0"/>
    <d v="2025-07-01T00:00:00"/>
    <s v="Q2"/>
    <x v="1"/>
    <n v="0"/>
    <n v="9119"/>
    <n v="4"/>
    <n v="0"/>
  </r>
  <r>
    <x v="3"/>
    <s v="RYF"/>
    <x v="1"/>
    <s v="SOUTH WESTERN AMBULANCE SERVICE NHS FOUNDATION TRUST"/>
    <n v="0"/>
    <n v="2043"/>
    <n v="0"/>
    <n v="17"/>
    <n v="0"/>
    <n v="0"/>
    <d v="2025-07-01T00:00:00"/>
    <s v="Q2"/>
    <x v="1"/>
    <n v="0"/>
    <n v="2043"/>
    <n v="4"/>
    <n v="0"/>
  </r>
  <r>
    <x v="3"/>
    <s v="AJN"/>
    <x v="6"/>
    <s v="WORKINGTON HEALTH LIMITED"/>
    <n v="0"/>
    <n v="442"/>
    <n v="0"/>
    <n v="0"/>
    <n v="0"/>
    <n v="0"/>
    <d v="2025-07-01T00:00:00"/>
    <s v="Q2"/>
    <x v="1"/>
    <n v="0"/>
    <n v="442"/>
    <n v="4"/>
    <n v="0"/>
  </r>
  <r>
    <x v="3"/>
    <s v="NLX"/>
    <x v="1"/>
    <s v="SIRONA CARE &amp; HEALTH"/>
    <n v="0"/>
    <n v="9521"/>
    <n v="0"/>
    <n v="261"/>
    <n v="0"/>
    <n v="0"/>
    <d v="2025-07-01T00:00:00"/>
    <s v="Q2"/>
    <x v="1"/>
    <n v="0"/>
    <n v="9521"/>
    <n v="4"/>
    <n v="0"/>
  </r>
  <r>
    <x v="3"/>
    <s v="NQTE4"/>
    <x v="5"/>
    <s v="SUMMERFIELD URGENT CARE CENTRE"/>
    <n v="0"/>
    <n v="3233"/>
    <n v="0"/>
    <n v="0"/>
    <n v="0"/>
    <n v="0"/>
    <d v="2025-07-01T00:00:00"/>
    <s v="Q2"/>
    <x v="1"/>
    <n v="0"/>
    <n v="3233"/>
    <n v="4"/>
    <n v="0"/>
  </r>
  <r>
    <x v="3"/>
    <s v="NTP11"/>
    <x v="0"/>
    <s v="PRACTICE PLUS GROUP HOSPITAL - SOUTHAMPTON"/>
    <n v="0"/>
    <n v="5273"/>
    <n v="0"/>
    <n v="91"/>
    <n v="0"/>
    <n v="0"/>
    <d v="2025-07-01T00:00:00"/>
    <s v="Q2"/>
    <x v="1"/>
    <n v="0"/>
    <n v="5273"/>
    <n v="4"/>
    <n v="0"/>
  </r>
  <r>
    <x v="3"/>
    <s v="NV693"/>
    <x v="3"/>
    <s v="ROSSENDALE MIU &amp; OOH"/>
    <n v="0"/>
    <n v="1261"/>
    <n v="0"/>
    <n v="2"/>
    <n v="0"/>
    <n v="0"/>
    <d v="2025-07-01T00:00:00"/>
    <s v="Q2"/>
    <x v="1"/>
    <n v="0"/>
    <n v="1261"/>
    <n v="4"/>
    <n v="0"/>
  </r>
  <r>
    <x v="3"/>
    <s v="RA7"/>
    <x v="1"/>
    <s v="UNIVERSITY HOSPITALS BRISTOL AND WESTON NHS FOUNDATION TRUST"/>
    <n v="15810"/>
    <n v="0"/>
    <n v="5015"/>
    <n v="0"/>
    <n v="903"/>
    <n v="161"/>
    <d v="2025-07-01T00:00:00"/>
    <s v="Q2"/>
    <x v="1"/>
    <n v="0.31720430107526881"/>
    <n v="15810"/>
    <n v="4"/>
    <n v="1.0183428209993675E-2"/>
  </r>
  <r>
    <x v="3"/>
    <s v="RH8"/>
    <x v="1"/>
    <s v="ROYAL DEVON UNIVERSITY HEALTHCARE NHS FOUNDATION TRUST"/>
    <n v="13593"/>
    <n v="4723"/>
    <n v="5405"/>
    <n v="19"/>
    <n v="819"/>
    <n v="131"/>
    <d v="2025-07-01T00:00:00"/>
    <s v="Q2"/>
    <x v="1"/>
    <n v="0.3976311336717428"/>
    <n v="18316"/>
    <n v="4"/>
    <n v="9.6373133230339154E-3"/>
  </r>
  <r>
    <x v="3"/>
    <s v="K6K0R"/>
    <x v="4"/>
    <s v="HAROLD WOOD POLYCLINIC UTC"/>
    <n v="0"/>
    <n v="2607"/>
    <n v="0"/>
    <n v="10"/>
    <n v="0"/>
    <n v="0"/>
    <d v="2025-07-01T00:00:00"/>
    <s v="Q2"/>
    <x v="1"/>
    <n v="0"/>
    <n v="2607"/>
    <n v="4"/>
    <n v="0"/>
  </r>
  <r>
    <x v="3"/>
    <s v="RTD"/>
    <x v="6"/>
    <s v="THE NEWCASTLE UPON TYNE HOSPITALS NHS FOUNDATION TRUST"/>
    <n v="12588"/>
    <n v="6401"/>
    <n v="4243"/>
    <n v="0"/>
    <n v="407"/>
    <n v="28"/>
    <d v="2025-07-01T00:00:00"/>
    <s v="Q2"/>
    <x v="1"/>
    <n v="0.33706704798220527"/>
    <n v="18989"/>
    <n v="4"/>
    <n v="2.2243406418811567E-3"/>
  </r>
  <r>
    <x v="3"/>
    <s v="NTV0B"/>
    <x v="0"/>
    <s v="ASHFORD WALK-IN-CENTRE"/>
    <n v="0"/>
    <n v="2286"/>
    <n v="0"/>
    <n v="267"/>
    <n v="0"/>
    <n v="0"/>
    <d v="2025-07-01T00:00:00"/>
    <s v="Q2"/>
    <x v="1"/>
    <n v="0"/>
    <n v="2286"/>
    <n v="4"/>
    <n v="0"/>
  </r>
  <r>
    <x v="4"/>
    <s v="ARN03"/>
    <x v="6"/>
    <s v="LOCAL CARE DIRECT"/>
    <n v="0"/>
    <n v="2063"/>
    <n v="0"/>
    <n v="9"/>
    <n v="0"/>
    <n v="0"/>
    <d v="2025-08-01T00:00:00"/>
    <s v="Q2"/>
    <x v="1"/>
    <n v="0"/>
    <n v="2063"/>
    <n v="5"/>
    <n v="0"/>
  </r>
  <r>
    <x v="4"/>
    <s v="C82038"/>
    <x v="5"/>
    <s v="LATHAM HOUSE MEDICAL PRACTICE"/>
    <n v="0"/>
    <n v="400"/>
    <n v="0"/>
    <n v="0"/>
    <n v="0"/>
    <n v="0"/>
    <d v="2025-08-01T00:00:00"/>
    <s v="Q2"/>
    <x v="1"/>
    <n v="0"/>
    <n v="400"/>
    <n v="5"/>
    <n v="0"/>
  </r>
  <r>
    <x v="4"/>
    <s v="G0Q0L"/>
    <x v="4"/>
    <s v="BARKING HOSPITAL UTC"/>
    <n v="0"/>
    <n v="2709"/>
    <n v="0"/>
    <n v="10"/>
    <n v="0"/>
    <n v="0"/>
    <d v="2025-08-01T00:00:00"/>
    <s v="Q2"/>
    <x v="1"/>
    <n v="0"/>
    <n v="2709"/>
    <n v="5"/>
    <n v="0"/>
  </r>
  <r>
    <x v="4"/>
    <s v="K6K0R"/>
    <x v="4"/>
    <s v="HAROLD WOOD POLYCLINIC UTC"/>
    <n v="0"/>
    <n v="2504"/>
    <n v="0"/>
    <n v="5"/>
    <n v="0"/>
    <n v="0"/>
    <d v="2025-08-01T00:00:00"/>
    <s v="Q2"/>
    <x v="1"/>
    <n v="0"/>
    <n v="2504"/>
    <n v="5"/>
    <n v="0"/>
  </r>
  <r>
    <x v="4"/>
    <s v="NNJ07"/>
    <x v="5"/>
    <s v="LOUGHBOROUGH URGENT CARE CENTRE"/>
    <n v="0"/>
    <n v="4902"/>
    <n v="0"/>
    <n v="36"/>
    <n v="0"/>
    <n v="0"/>
    <d v="2025-08-01T00:00:00"/>
    <s v="Q2"/>
    <x v="1"/>
    <n v="0"/>
    <n v="4902"/>
    <n v="5"/>
    <n v="0"/>
  </r>
  <r>
    <x v="4"/>
    <s v="NNJ0H"/>
    <x v="5"/>
    <s v="LLR EA - THE MERLYN VAZ HEALTH &amp; SOCIAL CARE CENTRE"/>
    <n v="0"/>
    <n v="439"/>
    <n v="0"/>
    <n v="0"/>
    <n v="0"/>
    <n v="0"/>
    <d v="2025-08-01T00:00:00"/>
    <s v="Q2"/>
    <x v="1"/>
    <n v="0"/>
    <n v="439"/>
    <n v="5"/>
    <n v="0"/>
  </r>
  <r>
    <x v="4"/>
    <s v="NNJ12"/>
    <x v="5"/>
    <s v="MARKET HARBOROUGH"/>
    <n v="0"/>
    <n v="109"/>
    <n v="0"/>
    <n v="0"/>
    <n v="0"/>
    <n v="0"/>
    <d v="2025-08-01T00:00:00"/>
    <s v="Q2"/>
    <x v="1"/>
    <n v="0"/>
    <n v="109"/>
    <n v="5"/>
    <n v="0"/>
  </r>
  <r>
    <x v="4"/>
    <s v="NNJ13"/>
    <x v="5"/>
    <s v="MELTON MOWBRAY"/>
    <n v="0"/>
    <n v="54"/>
    <n v="0"/>
    <n v="0"/>
    <n v="0"/>
    <n v="0"/>
    <d v="2025-08-01T00:00:00"/>
    <s v="Q2"/>
    <x v="1"/>
    <n v="0"/>
    <n v="54"/>
    <n v="5"/>
    <n v="0"/>
  </r>
  <r>
    <x v="4"/>
    <s v="NNJ14"/>
    <x v="5"/>
    <s v="OADBY"/>
    <n v="0"/>
    <n v="569"/>
    <n v="0"/>
    <n v="0"/>
    <n v="0"/>
    <n v="0"/>
    <d v="2025-08-01T00:00:00"/>
    <s v="Q2"/>
    <x v="1"/>
    <n v="0"/>
    <n v="569"/>
    <n v="5"/>
    <n v="0"/>
  </r>
  <r>
    <x v="4"/>
    <s v="NNJ15"/>
    <x v="5"/>
    <s v="OAKHAM"/>
    <n v="0"/>
    <n v="72"/>
    <n v="0"/>
    <n v="0"/>
    <n v="0"/>
    <n v="0"/>
    <d v="2025-08-01T00:00:00"/>
    <s v="Q2"/>
    <x v="1"/>
    <n v="0"/>
    <n v="72"/>
    <n v="5"/>
    <n v="0"/>
  </r>
  <r>
    <x v="4"/>
    <s v="RAE"/>
    <x v="6"/>
    <s v="BRADFORD TEACHING HOSPITALS NHS FOUNDATION TRUST"/>
    <n v="8779"/>
    <n v="3172"/>
    <n v="2220"/>
    <n v="0"/>
    <n v="655"/>
    <n v="49"/>
    <d v="2025-08-01T00:00:00"/>
    <s v="Q2"/>
    <x v="1"/>
    <n v="0.25287618179747123"/>
    <n v="11951"/>
    <n v="5"/>
    <n v="5.5815013099441849E-3"/>
  </r>
  <r>
    <x v="4"/>
    <s v="RAL"/>
    <x v="4"/>
    <s v="ROYAL FREE LONDON NHS FOUNDATION TRUST"/>
    <n v="24281"/>
    <n v="13934"/>
    <n v="7742"/>
    <n v="429"/>
    <n v="1241"/>
    <n v="1704"/>
    <d v="2025-08-01T00:00:00"/>
    <s v="Q2"/>
    <x v="1"/>
    <n v="0.31885012973106547"/>
    <n v="38215"/>
    <n v="5"/>
    <n v="7.0178328734401385E-2"/>
  </r>
  <r>
    <x v="4"/>
    <s v="RCB"/>
    <x v="6"/>
    <s v="YORK AND SCARBOROUGH TEACHING HOSPITALS NHS FOUNDATION TRUST"/>
    <n v="10651"/>
    <n v="7981"/>
    <n v="5578"/>
    <n v="309"/>
    <n v="731"/>
    <n v="315"/>
    <d v="2025-08-01T00:00:00"/>
    <s v="Q2"/>
    <x v="1"/>
    <n v="0.52370669420711669"/>
    <n v="18632"/>
    <n v="5"/>
    <n v="2.957468782273965E-2"/>
  </r>
  <r>
    <x v="4"/>
    <s v="RD1"/>
    <x v="1"/>
    <s v="ROYAL UNITED HOSPITALS BATH NHS FOUNDATION TRUST"/>
    <n v="8612"/>
    <n v="0"/>
    <n v="3527"/>
    <n v="0"/>
    <n v="794"/>
    <n v="81"/>
    <d v="2025-08-01T00:00:00"/>
    <s v="Q2"/>
    <x v="1"/>
    <n v="0.40954482117974916"/>
    <n v="8612"/>
    <n v="5"/>
    <n v="9.4054807245703663E-3"/>
  </r>
  <r>
    <x v="4"/>
    <s v="RD8"/>
    <x v="2"/>
    <s v="MILTON KEYNES UNIVERSITY HOSPITAL NHS FOUNDATION TRUST"/>
    <n v="7897"/>
    <n v="4811"/>
    <n v="3409"/>
    <n v="8"/>
    <n v="639"/>
    <n v="0"/>
    <d v="2025-08-01T00:00:00"/>
    <s v="Q2"/>
    <x v="1"/>
    <n v="0.43168291756363175"/>
    <n v="12708"/>
    <n v="5"/>
    <n v="0"/>
  </r>
  <r>
    <x v="4"/>
    <s v="RDU"/>
    <x v="0"/>
    <s v="FRIMLEY HEALTH NHS FOUNDATION TRUST"/>
    <n v="21592"/>
    <n v="11268"/>
    <n v="8450"/>
    <n v="295"/>
    <n v="1438"/>
    <n v="260"/>
    <d v="2025-08-01T00:00:00"/>
    <s v="Q2"/>
    <x v="1"/>
    <n v="0.39134864764727678"/>
    <n v="32860"/>
    <n v="5"/>
    <n v="1.2041496850685439E-2"/>
  </r>
  <r>
    <x v="4"/>
    <s v="RET"/>
    <x v="3"/>
    <s v="THE WALTON CENTRE NHS FOUNDATION TRUST"/>
    <n v="0"/>
    <n v="0"/>
    <n v="0"/>
    <n v="0"/>
    <n v="0"/>
    <n v="0"/>
    <d v="2025-08-01T00:00:00"/>
    <s v="Q2"/>
    <x v="1"/>
    <n v="0"/>
    <n v="0"/>
    <n v="5"/>
    <n v="0"/>
  </r>
  <r>
    <x v="4"/>
    <s v="RFS"/>
    <x v="5"/>
    <s v="CHESTERFIELD ROYAL HOSPITAL NHS FOUNDATION TRUST"/>
    <n v="6336"/>
    <n v="6177"/>
    <n v="3353"/>
    <n v="274"/>
    <n v="738"/>
    <n v="141"/>
    <d v="2025-08-01T00:00:00"/>
    <s v="Q2"/>
    <x v="1"/>
    <n v="0.52919823232323238"/>
    <n v="12513"/>
    <n v="5"/>
    <n v="2.225378787878788E-2"/>
  </r>
  <r>
    <x v="4"/>
    <s v="RGN"/>
    <x v="2"/>
    <s v="NORTH WEST ANGLIA NHS FOUNDATION TRUST"/>
    <n v="14143"/>
    <n v="4627"/>
    <n v="5568"/>
    <n v="179"/>
    <n v="599"/>
    <n v="601"/>
    <d v="2025-08-01T00:00:00"/>
    <s v="Q2"/>
    <x v="1"/>
    <n v="0.39369299300007071"/>
    <n v="18770"/>
    <n v="5"/>
    <n v="4.2494520257371139E-2"/>
  </r>
  <r>
    <x v="4"/>
    <s v="RH5"/>
    <x v="1"/>
    <s v="SOMERSET NHS FOUNDATION TRUST"/>
    <n v="12732"/>
    <n v="9212"/>
    <n v="5663"/>
    <n v="161"/>
    <n v="371"/>
    <n v="75"/>
    <d v="2025-08-01T00:00:00"/>
    <s v="Q2"/>
    <x v="1"/>
    <n v="0.44478479421928996"/>
    <n v="21944"/>
    <n v="5"/>
    <n v="5.8906691800188499E-3"/>
  </r>
  <r>
    <x v="4"/>
    <s v="RHQ"/>
    <x v="6"/>
    <s v="SHEFFIELD TEACHING HOSPITALS NHS FOUNDATION TRUST"/>
    <n v="8548"/>
    <n v="6683"/>
    <n v="4509"/>
    <n v="479"/>
    <n v="869"/>
    <n v="11"/>
    <d v="2025-08-01T00:00:00"/>
    <s v="Q2"/>
    <x v="1"/>
    <n v="0.52749181094992981"/>
    <n v="15231"/>
    <n v="5"/>
    <n v="1.2868507253158633E-3"/>
  </r>
  <r>
    <x v="4"/>
    <s v="RYG"/>
    <x v="5"/>
    <s v="COVENTRY AND WARWICKSHIRE PARTNERSHIP NHS TRUST"/>
    <n v="0"/>
    <n v="0"/>
    <n v="0"/>
    <n v="0"/>
    <n v="0"/>
    <n v="0"/>
    <d v="2025-08-01T00:00:00"/>
    <s v="Q2"/>
    <x v="1"/>
    <n v="0"/>
    <n v="0"/>
    <n v="5"/>
    <n v="0"/>
  </r>
  <r>
    <x v="4"/>
    <s v="RJ7"/>
    <x v="4"/>
    <s v="ST GEORGE'S UNIVERSITY HOSPITALS NHS FOUNDATION TRUST"/>
    <n v="8178"/>
    <n v="3711"/>
    <n v="2502"/>
    <n v="127"/>
    <n v="407"/>
    <n v="498"/>
    <d v="2025-08-01T00:00:00"/>
    <s v="Q2"/>
    <x v="1"/>
    <n v="0.30594277329420394"/>
    <n v="11889"/>
    <n v="5"/>
    <n v="6.0895084372707263E-2"/>
  </r>
  <r>
    <x v="4"/>
    <s v="RY7"/>
    <x v="3"/>
    <s v="WIRRAL COMMUNITY HEALTH AND CARE NHS FOUNDATION TRUST"/>
    <n v="0"/>
    <n v="4252"/>
    <n v="0"/>
    <n v="175"/>
    <n v="0"/>
    <n v="0"/>
    <d v="2025-08-01T00:00:00"/>
    <s v="Q2"/>
    <x v="1"/>
    <n v="0"/>
    <n v="4252"/>
    <n v="5"/>
    <n v="0"/>
  </r>
  <r>
    <x v="4"/>
    <s v="RY4"/>
    <x v="2"/>
    <s v="HERTFORDSHIRE COMMUNITY NHS TRUST"/>
    <n v="0"/>
    <n v="1061"/>
    <n v="0"/>
    <n v="19"/>
    <n v="0"/>
    <n v="0"/>
    <d v="2025-08-01T00:00:00"/>
    <s v="Q2"/>
    <x v="1"/>
    <n v="0"/>
    <n v="1061"/>
    <n v="5"/>
    <n v="0"/>
  </r>
  <r>
    <x v="4"/>
    <s v="RH8"/>
    <x v="1"/>
    <s v="ROYAL DEVON UNIVERSITY HEALTHCARE NHS FOUNDATION TRUST"/>
    <n v="13530"/>
    <n v="4517"/>
    <n v="5694"/>
    <n v="24"/>
    <n v="724"/>
    <n v="136"/>
    <d v="2025-08-01T00:00:00"/>
    <s v="Q2"/>
    <x v="1"/>
    <n v="0.42084257206208425"/>
    <n v="18047"/>
    <n v="5"/>
    <n v="1.0051736881005174E-2"/>
  </r>
  <r>
    <x v="4"/>
    <s v="RJ2"/>
    <x v="4"/>
    <s v="LEWISHAM AND GREENWICH NHS TRUST"/>
    <n v="14926"/>
    <n v="8876"/>
    <n v="7482"/>
    <n v="185"/>
    <n v="1087"/>
    <n v="571"/>
    <d v="2025-08-01T00:00:00"/>
    <s v="Q2"/>
    <x v="1"/>
    <n v="0.50127294653624543"/>
    <n v="23802"/>
    <n v="5"/>
    <n v="3.8255393273482513E-2"/>
  </r>
  <r>
    <x v="4"/>
    <s v="RJ6"/>
    <x v="4"/>
    <s v="CROYDON HEALTH SERVICES NHS TRUST"/>
    <n v="12011"/>
    <n v="4757"/>
    <n v="4177"/>
    <n v="0"/>
    <n v="245"/>
    <n v="565"/>
    <d v="2025-08-01T00:00:00"/>
    <s v="Q2"/>
    <x v="1"/>
    <n v="0.34776454916326699"/>
    <n v="16768"/>
    <n v="5"/>
    <n v="4.7040213137956872E-2"/>
  </r>
  <r>
    <x v="4"/>
    <s v="RJC"/>
    <x v="5"/>
    <s v="SOUTH WARWICKSHIRE UNIVERSITY NHS FOUNDATION TRUST"/>
    <n v="8133"/>
    <n v="396"/>
    <n v="1769"/>
    <n v="0"/>
    <n v="314"/>
    <n v="14"/>
    <d v="2025-08-01T00:00:00"/>
    <s v="Q2"/>
    <x v="1"/>
    <n v="0.21750891429976638"/>
    <n v="8529"/>
    <n v="5"/>
    <n v="1.7213820238534366E-3"/>
  </r>
  <r>
    <x v="4"/>
    <s v="RJE"/>
    <x v="5"/>
    <s v="UNIVERSITY HOSPITALS OF NORTH MIDLANDS NHS TRUST"/>
    <n v="14640"/>
    <n v="7982"/>
    <n v="7035"/>
    <n v="63"/>
    <n v="1120"/>
    <n v="443"/>
    <d v="2025-08-01T00:00:00"/>
    <s v="Q2"/>
    <x v="1"/>
    <n v="0.48053278688524592"/>
    <n v="22622"/>
    <n v="5"/>
    <n v="3.0259562841530054E-2"/>
  </r>
  <r>
    <x v="4"/>
    <s v="RJZ"/>
    <x v="4"/>
    <s v="KING'S COLLEGE HOSPITAL NHS FOUNDATION TRUST"/>
    <n v="14770"/>
    <n v="8831"/>
    <n v="5957"/>
    <n v="507"/>
    <n v="1386"/>
    <n v="572"/>
    <d v="2025-08-01T00:00:00"/>
    <s v="Q2"/>
    <x v="1"/>
    <n v="0.4033175355450237"/>
    <n v="23601"/>
    <n v="5"/>
    <n v="3.872714962762356E-2"/>
  </r>
  <r>
    <x v="4"/>
    <s v="RMP"/>
    <x v="3"/>
    <s v="TAMESIDE AND GLOSSOP INTEGRATED CARE NHS FOUNDATION TRUST"/>
    <n v="7961"/>
    <n v="2319"/>
    <n v="3629"/>
    <n v="9"/>
    <n v="561"/>
    <n v="381"/>
    <d v="2025-08-01T00:00:00"/>
    <s v="Q2"/>
    <x v="1"/>
    <n v="0.45584725536992843"/>
    <n v="10280"/>
    <n v="5"/>
    <n v="4.7858309257630953E-2"/>
  </r>
  <r>
    <x v="4"/>
    <s v="RN3"/>
    <x v="1"/>
    <s v="GREAT WESTERN HOSPITALS NHS FOUNDATION TRUST"/>
    <n v="5788"/>
    <n v="5189"/>
    <n v="2994"/>
    <n v="540"/>
    <n v="700"/>
    <n v="157"/>
    <d v="2025-08-01T00:00:00"/>
    <s v="Q2"/>
    <x v="1"/>
    <n v="0.51727712508638568"/>
    <n v="10977"/>
    <n v="5"/>
    <n v="2.7125086385625431E-2"/>
  </r>
  <r>
    <x v="4"/>
    <s v="RN5"/>
    <x v="0"/>
    <s v="HAMPSHIRE HOSPITALS NHS FOUNDATION TRUST"/>
    <n v="10479"/>
    <n v="3333"/>
    <n v="4015"/>
    <n v="24"/>
    <n v="110"/>
    <n v="11"/>
    <d v="2025-08-01T00:00:00"/>
    <s v="Q2"/>
    <x v="1"/>
    <n v="0.38314724687470181"/>
    <n v="13812"/>
    <n v="5"/>
    <n v="1.049718484588224E-3"/>
  </r>
  <r>
    <x v="4"/>
    <s v="RN7"/>
    <x v="0"/>
    <s v="DARTFORD AND GRAVESHAM NHS TRUST"/>
    <n v="10751"/>
    <n v="3638"/>
    <n v="2782"/>
    <n v="10"/>
    <n v="576"/>
    <n v="17"/>
    <d v="2025-08-01T00:00:00"/>
    <s v="Q2"/>
    <x v="1"/>
    <n v="0.25876662636033859"/>
    <n v="14389"/>
    <n v="5"/>
    <n v="1.5812482559761883E-3"/>
  </r>
  <r>
    <x v="4"/>
    <s v="RNZ"/>
    <x v="1"/>
    <s v="SALISBURY NHS FOUNDATION TRUST"/>
    <n v="4767"/>
    <n v="1883"/>
    <n v="1763"/>
    <n v="0"/>
    <n v="329"/>
    <n v="25"/>
    <d v="2025-08-01T00:00:00"/>
    <s v="Q2"/>
    <x v="1"/>
    <n v="0.36983427732326413"/>
    <n v="6650"/>
    <n v="5"/>
    <n v="5.2443885043003983E-3"/>
  </r>
  <r>
    <x v="4"/>
    <s v="RR7"/>
    <x v="6"/>
    <s v="GATESHEAD HEALTH NHS FOUNDATION TRUST"/>
    <n v="5545"/>
    <n v="4202"/>
    <n v="1701"/>
    <n v="28"/>
    <n v="397"/>
    <n v="0"/>
    <d v="2025-08-01T00:00:00"/>
    <s v="Q2"/>
    <x v="1"/>
    <n v="0.30676284941388637"/>
    <n v="9747"/>
    <n v="5"/>
    <n v="0"/>
  </r>
  <r>
    <x v="4"/>
    <s v="RR8"/>
    <x v="6"/>
    <s v="LEEDS TEACHING HOSPITALS NHS TRUST"/>
    <n v="16690"/>
    <n v="10848"/>
    <n v="6048"/>
    <n v="111"/>
    <n v="1686"/>
    <n v="119"/>
    <d v="2025-08-01T00:00:00"/>
    <s v="Q2"/>
    <x v="1"/>
    <n v="0.36237267825044939"/>
    <n v="27538"/>
    <n v="5"/>
    <n v="7.1300179748352305E-3"/>
  </r>
  <r>
    <x v="4"/>
    <s v="RRK"/>
    <x v="5"/>
    <s v="UNIVERSITY HOSPITALS BIRMINGHAM NHS FOUNDATION TRUST"/>
    <n v="33886"/>
    <n v="1779"/>
    <n v="13154"/>
    <n v="33"/>
    <n v="2674"/>
    <n v="1593"/>
    <d v="2025-08-01T00:00:00"/>
    <s v="Q2"/>
    <x v="1"/>
    <n v="0.38818391075960573"/>
    <n v="35665"/>
    <n v="5"/>
    <n v="4.7010564835035115E-2"/>
  </r>
  <r>
    <x v="4"/>
    <s v="RTF"/>
    <x v="6"/>
    <s v="NORTHUMBRIA HEALTHCARE NHS FOUNDATION TRUST"/>
    <n v="9949"/>
    <n v="13869"/>
    <n v="2291"/>
    <n v="4"/>
    <n v="3"/>
    <n v="0"/>
    <d v="2025-08-01T00:00:00"/>
    <s v="Q2"/>
    <x v="1"/>
    <n v="0.23027439943712935"/>
    <n v="23818"/>
    <n v="5"/>
    <n v="0"/>
  </r>
  <r>
    <x v="4"/>
    <s v="RVV"/>
    <x v="0"/>
    <s v="EAST KENT HOSPITALS UNIVERSITY NHS FOUNDATION TRUST"/>
    <n v="12118"/>
    <n v="12969"/>
    <n v="6199"/>
    <n v="276"/>
    <n v="384"/>
    <n v="1311"/>
    <d v="2025-08-01T00:00:00"/>
    <s v="Q2"/>
    <x v="1"/>
    <n v="0.51155306156131375"/>
    <n v="25087"/>
    <n v="5"/>
    <n v="0.10818616933487374"/>
  </r>
  <r>
    <x v="4"/>
    <s v="RVW"/>
    <x v="6"/>
    <s v="NORTH TEES AND HARTLEPOOL NHS FOUNDATION TRUST"/>
    <n v="4856"/>
    <n v="10490"/>
    <n v="2340"/>
    <n v="20"/>
    <n v="160"/>
    <n v="6"/>
    <d v="2025-08-01T00:00:00"/>
    <s v="Q2"/>
    <x v="1"/>
    <n v="0.48187808896210871"/>
    <n v="15346"/>
    <n v="5"/>
    <n v="1.2355848434925864E-3"/>
  </r>
  <r>
    <x v="4"/>
    <s v="RWJ"/>
    <x v="3"/>
    <s v="STOCKPORT NHS FOUNDATION TRUST"/>
    <n v="7677"/>
    <n v="1012"/>
    <n v="2936"/>
    <n v="47"/>
    <n v="495"/>
    <n v="198"/>
    <d v="2025-08-01T00:00:00"/>
    <s v="Q2"/>
    <x v="1"/>
    <n v="0.38244105770483261"/>
    <n v="8689"/>
    <n v="5"/>
    <n v="2.5791324736225089E-2"/>
  </r>
  <r>
    <x v="4"/>
    <s v="RWX"/>
    <x v="0"/>
    <s v="BERKSHIRE HEALTHCARE NHS FOUNDATION TRUST"/>
    <n v="0"/>
    <n v="1435"/>
    <n v="0"/>
    <n v="7"/>
    <n v="0"/>
    <n v="0"/>
    <d v="2025-08-01T00:00:00"/>
    <s v="Q2"/>
    <x v="1"/>
    <n v="0"/>
    <n v="1435"/>
    <n v="5"/>
    <n v="0"/>
  </r>
  <r>
    <x v="4"/>
    <s v="RXG"/>
    <x v="6"/>
    <s v="SOUTH WEST YORKSHIRE PARTNERSHIP NHS FOUNDATION TRUST"/>
    <n v="0"/>
    <n v="0"/>
    <n v="0"/>
    <n v="0"/>
    <n v="0"/>
    <n v="0"/>
    <d v="2025-08-01T00:00:00"/>
    <s v="Q2"/>
    <x v="1"/>
    <n v="0"/>
    <n v="0"/>
    <n v="5"/>
    <n v="0"/>
  </r>
  <r>
    <x v="4"/>
    <s v="RXW"/>
    <x v="5"/>
    <s v="THE SHREWSBURY AND TELFORD HOSPITAL NHS TRUST"/>
    <n v="10809"/>
    <n v="2433"/>
    <n v="5879"/>
    <n v="468"/>
    <n v="612"/>
    <n v="1300"/>
    <d v="2025-08-01T00:00:00"/>
    <s v="Q2"/>
    <x v="1"/>
    <n v="0.54389860301600523"/>
    <n v="13242"/>
    <n v="5"/>
    <n v="0.12027014524932926"/>
  </r>
  <r>
    <x v="4"/>
    <s v="RY5"/>
    <x v="5"/>
    <s v="LINCOLNSHIRE COMMUNITY HEALTH SERVICES NHS TRUST"/>
    <n v="0"/>
    <n v="9050"/>
    <n v="0"/>
    <n v="265"/>
    <n v="0"/>
    <n v="0"/>
    <d v="2025-08-01T00:00:00"/>
    <s v="Q2"/>
    <x v="1"/>
    <n v="0"/>
    <n v="9050"/>
    <n v="5"/>
    <n v="0"/>
  </r>
  <r>
    <x v="4"/>
    <s v="RF4"/>
    <x v="4"/>
    <s v="BARKING, HAVERING AND REDBRIDGE UNIVERSITY HOSPITALS NHS TRUST"/>
    <n v="12899"/>
    <n v="12956"/>
    <n v="5551"/>
    <n v="91"/>
    <n v="613"/>
    <n v="677"/>
    <d v="2025-08-01T00:00:00"/>
    <s v="Q2"/>
    <x v="1"/>
    <n v="0.4303434374757733"/>
    <n v="25855"/>
    <n v="5"/>
    <n v="5.2484688735560898E-2"/>
  </r>
  <r>
    <x v="4"/>
    <s v="RL4"/>
    <x v="5"/>
    <s v="THE ROYAL WOLVERHAMPTON NHS TRUST"/>
    <n v="12593"/>
    <n v="6773"/>
    <n v="3693"/>
    <n v="201"/>
    <n v="1084"/>
    <n v="172"/>
    <d v="2025-08-01T00:00:00"/>
    <s v="Q2"/>
    <x v="1"/>
    <n v="0.29325815929484633"/>
    <n v="19366"/>
    <n v="5"/>
    <n v="1.3658381640593981E-2"/>
  </r>
  <r>
    <x v="4"/>
    <s v="RM1"/>
    <x v="2"/>
    <s v="NORFOLK AND NORWICH UNIVERSITY HOSPITALS NHS FOUNDATION TRUST"/>
    <n v="12652"/>
    <n v="8082"/>
    <n v="3830"/>
    <n v="2"/>
    <n v="733"/>
    <n v="162"/>
    <d v="2025-08-01T00:00:00"/>
    <s v="Q2"/>
    <x v="1"/>
    <n v="0.30271893771735692"/>
    <n v="20734"/>
    <n v="5"/>
    <n v="1.2804299715460007E-2"/>
  </r>
  <r>
    <x v="4"/>
    <s v="RDR"/>
    <x v="0"/>
    <s v="SUSSEX COMMUNITY NHS FOUNDATION TRUST"/>
    <n v="0"/>
    <n v="11693"/>
    <n v="0"/>
    <n v="164"/>
    <n v="0"/>
    <n v="0"/>
    <d v="2025-08-01T00:00:00"/>
    <s v="Q2"/>
    <x v="1"/>
    <n v="0"/>
    <n v="11693"/>
    <n v="5"/>
    <n v="0"/>
  </r>
  <r>
    <x v="4"/>
    <s v="RGT"/>
    <x v="2"/>
    <s v="CAMBRIDGE UNIVERSITY HOSPITALS NHS FOUNDATION TRUST"/>
    <n v="10179"/>
    <n v="5448"/>
    <n v="4045"/>
    <n v="51"/>
    <n v="537"/>
    <n v="309"/>
    <d v="2025-08-01T00:00:00"/>
    <s v="Q2"/>
    <x v="1"/>
    <n v="0.39738677669712152"/>
    <n v="15627"/>
    <n v="5"/>
    <n v="3.0356616563513114E-2"/>
  </r>
  <r>
    <x v="4"/>
    <s v="RHM"/>
    <x v="0"/>
    <s v="UNIVERSITY HOSPITAL SOUTHAMPTON NHS FOUNDATION TRUST"/>
    <n v="11290"/>
    <n v="0"/>
    <n v="3822"/>
    <n v="0"/>
    <n v="271"/>
    <n v="14"/>
    <d v="2025-08-01T00:00:00"/>
    <s v="Q2"/>
    <x v="1"/>
    <n v="0.33852967227635078"/>
    <n v="11290"/>
    <n v="5"/>
    <n v="1.2400354295837024E-3"/>
  </r>
  <r>
    <x v="4"/>
    <s v="RHW"/>
    <x v="0"/>
    <s v="ROYAL BERKSHIRE NHS FOUNDATION TRUST"/>
    <n v="10133"/>
    <n v="2836"/>
    <n v="3508"/>
    <n v="0"/>
    <n v="377"/>
    <n v="1"/>
    <d v="2025-08-01T00:00:00"/>
    <s v="Q2"/>
    <x v="1"/>
    <n v="0.34619559853942566"/>
    <n v="12969"/>
    <n v="5"/>
    <n v="9.8687456824237644E-5"/>
  </r>
  <r>
    <x v="4"/>
    <s v="RK5"/>
    <x v="5"/>
    <s v="SHERWOOD FOREST HOSPITALS NHS FOUNDATION TRUST"/>
    <n v="10497"/>
    <n v="5389"/>
    <n v="4638"/>
    <n v="306"/>
    <n v="704"/>
    <n v="346"/>
    <d v="2025-08-01T00:00:00"/>
    <s v="Q2"/>
    <x v="1"/>
    <n v="0.44184052586453271"/>
    <n v="15886"/>
    <n v="5"/>
    <n v="3.2961798609126416E-2"/>
  </r>
  <r>
    <x v="4"/>
    <s v="RNQ"/>
    <x v="5"/>
    <s v="KETTERING GENERAL HOSPITAL NHS FOUNDATION TRUST"/>
    <n v="9509"/>
    <n v="7752"/>
    <n v="3416"/>
    <n v="79"/>
    <n v="532"/>
    <n v="626"/>
    <d v="2025-08-01T00:00:00"/>
    <s v="Q2"/>
    <x v="1"/>
    <n v="0.3592386160479546"/>
    <n v="17261"/>
    <n v="5"/>
    <n v="6.5832369334314855E-2"/>
  </r>
  <r>
    <x v="4"/>
    <s v="RVR"/>
    <x v="4"/>
    <s v="EPSOM AND ST HELIER UNIVERSITY HOSPITALS NHS TRUST"/>
    <n v="10186"/>
    <n v="2468"/>
    <n v="2878"/>
    <n v="197"/>
    <n v="930"/>
    <n v="642"/>
    <d v="2025-08-01T00:00:00"/>
    <s v="Q2"/>
    <x v="1"/>
    <n v="0.28254466915374044"/>
    <n v="12654"/>
    <n v="5"/>
    <n v="6.3027685057922639E-2"/>
  </r>
  <r>
    <x v="4"/>
    <s v="RXN"/>
    <x v="3"/>
    <s v="LANCASHIRE TEACHING HOSPITALS NHS FOUNDATION TRUST"/>
    <n v="11574"/>
    <n v="3051"/>
    <n v="4473"/>
    <n v="81"/>
    <n v="1048"/>
    <n v="410"/>
    <d v="2025-08-01T00:00:00"/>
    <s v="Q2"/>
    <x v="1"/>
    <n v="0.38646967340590982"/>
    <n v="14625"/>
    <n v="5"/>
    <n v="3.5424226715050973E-2"/>
  </r>
  <r>
    <x v="4"/>
    <s v="RXQ"/>
    <x v="0"/>
    <s v="BUCKINGHAMSHIRE HEALTHCARE NHS TRUST"/>
    <n v="10063"/>
    <n v="3030"/>
    <n v="2802"/>
    <n v="58"/>
    <n v="189"/>
    <n v="261"/>
    <d v="2025-08-01T00:00:00"/>
    <s v="Q2"/>
    <x v="1"/>
    <n v="0.27844579151346516"/>
    <n v="13093"/>
    <n v="5"/>
    <n v="2.5936599423631124E-2"/>
  </r>
  <r>
    <x v="4"/>
    <s v="RNA"/>
    <x v="5"/>
    <s v="THE DUDLEY GROUP NHS FOUNDATION TRUST"/>
    <n v="9641"/>
    <n v="3598"/>
    <n v="3211"/>
    <n v="51"/>
    <n v="1812"/>
    <n v="78"/>
    <d v="2025-08-01T00:00:00"/>
    <s v="Q2"/>
    <x v="1"/>
    <n v="0.33305673685302356"/>
    <n v="13239"/>
    <n v="5"/>
    <n v="8.0904470490613008E-3"/>
  </r>
  <r>
    <x v="4"/>
    <s v="RNS"/>
    <x v="5"/>
    <s v="NORTHAMPTON GENERAL HOSPITAL NHS TRUST"/>
    <n v="9943"/>
    <n v="1700"/>
    <n v="4224"/>
    <n v="84"/>
    <n v="558"/>
    <n v="667"/>
    <d v="2025-08-01T00:00:00"/>
    <s v="Q2"/>
    <x v="1"/>
    <n v="0.42482148244996482"/>
    <n v="11643"/>
    <n v="5"/>
    <n v="6.7082369506185249E-2"/>
  </r>
  <r>
    <x v="4"/>
    <s v="RAT"/>
    <x v="4"/>
    <s v="NORTH EAST LONDON NHS FOUNDATION TRUST"/>
    <n v="0"/>
    <n v="1827"/>
    <n v="0"/>
    <n v="87"/>
    <n v="0"/>
    <n v="0"/>
    <d v="2025-08-01T00:00:00"/>
    <s v="Q2"/>
    <x v="1"/>
    <n v="0"/>
    <n v="1827"/>
    <n v="5"/>
    <n v="0"/>
  </r>
  <r>
    <x v="4"/>
    <s v="RNN"/>
    <x v="6"/>
    <s v="NORTH CUMBRIA INTEGRATED CARE NHS FOUNDATION TRUST"/>
    <n v="8627"/>
    <n v="2024"/>
    <n v="3510"/>
    <n v="55"/>
    <n v="441"/>
    <n v="309"/>
    <d v="2025-08-01T00:00:00"/>
    <s v="Q2"/>
    <x v="1"/>
    <n v="0.40686217688651904"/>
    <n v="10651"/>
    <n v="5"/>
    <n v="3.5817781384026894E-2"/>
  </r>
  <r>
    <x v="4"/>
    <s v="R1K"/>
    <x v="4"/>
    <s v="LONDON NORTH WEST UNIVERSITY HEALTHCARE NHS TRUST"/>
    <n v="13561"/>
    <n v="14231"/>
    <n v="6568"/>
    <n v="189"/>
    <n v="621"/>
    <n v="517"/>
    <d v="2025-08-01T00:00:00"/>
    <s v="Q2"/>
    <x v="1"/>
    <n v="0.48433006415456087"/>
    <n v="27792"/>
    <n v="5"/>
    <n v="3.8124032151021309E-2"/>
  </r>
  <r>
    <x v="4"/>
    <s v="RBL"/>
    <x v="3"/>
    <s v="WIRRAL UNIVERSITY TEACHING HOSPITAL NHS FOUNDATION TRUST"/>
    <n v="7825"/>
    <n v="2889"/>
    <n v="4186"/>
    <n v="96"/>
    <n v="711"/>
    <n v="450"/>
    <d v="2025-08-01T00:00:00"/>
    <s v="Q2"/>
    <x v="1"/>
    <n v="0.53495207667731626"/>
    <n v="10714"/>
    <n v="5"/>
    <n v="5.7507987220447282E-2"/>
  </r>
  <r>
    <x v="4"/>
    <s v="RYX"/>
    <x v="4"/>
    <s v="CENTRAL LONDON COMMUNITY HEALTHCARE NHS TRUST"/>
    <n v="0"/>
    <n v="11651"/>
    <n v="0"/>
    <n v="123"/>
    <n v="0"/>
    <n v="0"/>
    <d v="2025-08-01T00:00:00"/>
    <s v="Q2"/>
    <x v="1"/>
    <n v="0"/>
    <n v="11651"/>
    <n v="5"/>
    <n v="0"/>
  </r>
  <r>
    <x v="4"/>
    <s v="RTG"/>
    <x v="5"/>
    <s v="UNIVERSITY HOSPITALS OF DERBY AND BURTON NHS FOUNDATION TRUST"/>
    <n v="17915"/>
    <n v="9428"/>
    <n v="8093"/>
    <n v="1"/>
    <n v="979"/>
    <n v="521"/>
    <d v="2025-08-01T00:00:00"/>
    <s v="Q2"/>
    <x v="1"/>
    <n v="0.45174434831147081"/>
    <n v="27343"/>
    <n v="5"/>
    <n v="2.9081775048841754E-2"/>
  </r>
  <r>
    <x v="4"/>
    <s v="RHU"/>
    <x v="0"/>
    <s v="PORTSMOUTH HOSPITALS UNIVERSITY NHS TRUST"/>
    <n v="10329"/>
    <n v="2870"/>
    <n v="4125"/>
    <n v="19"/>
    <n v="900"/>
    <n v="933"/>
    <d v="2025-08-01T00:00:00"/>
    <s v="Q2"/>
    <x v="1"/>
    <n v="0.39936102236421728"/>
    <n v="13199"/>
    <n v="5"/>
    <n v="9.0328202149288411E-2"/>
  </r>
  <r>
    <x v="4"/>
    <s v="RM3"/>
    <x v="3"/>
    <s v="NORTHERN CARE ALLIANCE NHS FOUNDATION TRUST"/>
    <n v="25001"/>
    <n v="9576"/>
    <n v="9353"/>
    <n v="245"/>
    <n v="1063"/>
    <n v="958"/>
    <d v="2025-08-01T00:00:00"/>
    <s v="Q2"/>
    <x v="1"/>
    <n v="0.37410503579856808"/>
    <n v="34577"/>
    <n v="5"/>
    <n v="3.8318467261309545E-2"/>
  </r>
  <r>
    <x v="4"/>
    <s v="RTH"/>
    <x v="0"/>
    <s v="OXFORD UNIVERSITY HOSPITALS NHS FOUNDATION TRUST"/>
    <n v="11803"/>
    <n v="3273"/>
    <n v="3313"/>
    <n v="99"/>
    <n v="411"/>
    <n v="0"/>
    <d v="2025-08-01T00:00:00"/>
    <s v="Q2"/>
    <x v="1"/>
    <n v="0.28069134965686687"/>
    <n v="15076"/>
    <n v="5"/>
    <n v="0"/>
  </r>
  <r>
    <x v="4"/>
    <s v="RTD"/>
    <x v="6"/>
    <s v="THE NEWCASTLE UPON TYNE HOSPITALS NHS FOUNDATION TRUST"/>
    <n v="11603"/>
    <n v="5845"/>
    <n v="4166"/>
    <n v="0"/>
    <n v="356"/>
    <n v="41"/>
    <d v="2025-08-01T00:00:00"/>
    <s v="Q2"/>
    <x v="1"/>
    <n v="0.35904507454968543"/>
    <n v="17448"/>
    <n v="5"/>
    <n v="3.5335689045936395E-3"/>
  </r>
  <r>
    <x v="4"/>
    <s v="RDE"/>
    <x v="2"/>
    <s v="EAST SUFFOLK AND NORTH ESSEX NHS FOUNDATION TRUST"/>
    <n v="12119"/>
    <n v="13420"/>
    <n v="5908"/>
    <n v="502"/>
    <n v="886"/>
    <n v="356"/>
    <d v="2025-08-01T00:00:00"/>
    <s v="Q2"/>
    <x v="1"/>
    <n v="0.4874989685617625"/>
    <n v="25539"/>
    <n v="5"/>
    <n v="2.9375361003383116E-2"/>
  </r>
  <r>
    <x v="4"/>
    <s v="RLT"/>
    <x v="5"/>
    <s v="GEORGE ELIOT HOSPITAL NHS TRUST"/>
    <n v="6371"/>
    <n v="1621"/>
    <n v="2175"/>
    <n v="49"/>
    <n v="269"/>
    <n v="441"/>
    <d v="2025-08-01T00:00:00"/>
    <s v="Q2"/>
    <x v="1"/>
    <n v="0.34139067650290378"/>
    <n v="7992"/>
    <n v="5"/>
    <n v="6.9219902684037049E-2"/>
  </r>
  <r>
    <x v="4"/>
    <s v="RAX"/>
    <x v="4"/>
    <s v="KINGSTON AND RICHMOND NHS FOUNDATION TRUST"/>
    <n v="6570"/>
    <n v="8123"/>
    <n v="3420"/>
    <n v="267"/>
    <n v="288"/>
    <n v="222"/>
    <d v="2025-08-01T00:00:00"/>
    <s v="Q2"/>
    <x v="1"/>
    <n v="0.52054794520547942"/>
    <n v="14693"/>
    <n v="5"/>
    <n v="3.3789954337899546E-2"/>
  </r>
  <r>
    <x v="4"/>
    <s v="NTPAD"/>
    <x v="0"/>
    <s v="PRACTICE PLUS GROUP SURGICAL CENTRE - ST MARYS PORTSMOUTH"/>
    <n v="0"/>
    <n v="5095"/>
    <n v="0"/>
    <n v="167"/>
    <n v="0"/>
    <n v="0"/>
    <d v="2025-08-01T00:00:00"/>
    <s v="Q2"/>
    <x v="1"/>
    <n v="0"/>
    <n v="5095"/>
    <n v="5"/>
    <n v="0"/>
  </r>
  <r>
    <x v="4"/>
    <s v="RP5"/>
    <x v="6"/>
    <s v="DONCASTER AND BASSETLAW TEACHING HOSPITALS NHS FOUNDATION TRUST"/>
    <n v="13912"/>
    <n v="3919"/>
    <n v="4851"/>
    <n v="5"/>
    <n v="1164"/>
    <n v="108"/>
    <d v="2025-08-01T00:00:00"/>
    <s v="Q2"/>
    <x v="1"/>
    <n v="0.34869177688326625"/>
    <n v="17831"/>
    <n v="5"/>
    <n v="7.7630822311673372E-3"/>
  </r>
  <r>
    <x v="4"/>
    <s v="RP6"/>
    <x v="4"/>
    <s v="MOORFIELDS EYE HOSPITAL NHS FOUNDATION TRUST"/>
    <n v="0"/>
    <n v="0"/>
    <n v="0"/>
    <n v="0"/>
    <n v="0"/>
    <n v="0"/>
    <d v="2025-08-01T00:00:00"/>
    <s v="Q2"/>
    <x v="1"/>
    <n v="0"/>
    <n v="0"/>
    <n v="5"/>
    <n v="0"/>
  </r>
  <r>
    <x v="4"/>
    <s v="RQM"/>
    <x v="4"/>
    <s v="CHELSEA AND WESTMINSTER HOSPITAL NHS FOUNDATION TRUST"/>
    <n v="18603"/>
    <n v="5508"/>
    <n v="5678"/>
    <n v="42"/>
    <n v="679"/>
    <n v="39"/>
    <d v="2025-08-01T00:00:00"/>
    <s v="Q2"/>
    <x v="1"/>
    <n v="0.30521958823845619"/>
    <n v="24111"/>
    <n v="5"/>
    <n v="2.0964360587002098E-3"/>
  </r>
  <r>
    <x v="4"/>
    <s v="RTR"/>
    <x v="6"/>
    <s v="SOUTH TEES HOSPITALS NHS FOUNDATION TRUST"/>
    <n v="7133"/>
    <n v="9234"/>
    <n v="3730"/>
    <n v="302"/>
    <n v="381"/>
    <n v="11"/>
    <d v="2025-08-01T00:00:00"/>
    <s v="Q2"/>
    <x v="1"/>
    <n v="0.52292163185195573"/>
    <n v="16367"/>
    <n v="5"/>
    <n v="1.5421281368288237E-3"/>
  </r>
  <r>
    <x v="4"/>
    <s v="RVJ"/>
    <x v="1"/>
    <s v="NORTH BRISTOL NHS TRUST"/>
    <n v="9415"/>
    <n v="0"/>
    <n v="3069"/>
    <n v="0"/>
    <n v="553"/>
    <n v="126"/>
    <d v="2025-08-01T00:00:00"/>
    <s v="Q2"/>
    <x v="1"/>
    <n v="0.32596919808815722"/>
    <n v="9415"/>
    <n v="5"/>
    <n v="1.3382899628252789E-2"/>
  </r>
  <r>
    <x v="4"/>
    <s v="RW4"/>
    <x v="3"/>
    <s v="MERSEY CARE NHS FOUNDATION TRUST"/>
    <n v="0"/>
    <n v="12199"/>
    <n v="0"/>
    <n v="174"/>
    <n v="0"/>
    <n v="0"/>
    <d v="2025-08-01T00:00:00"/>
    <s v="Q2"/>
    <x v="1"/>
    <n v="0"/>
    <n v="12199"/>
    <n v="5"/>
    <n v="0"/>
  </r>
  <r>
    <x v="4"/>
    <s v="RWA"/>
    <x v="6"/>
    <s v="HULL UNIVERSITY TEACHING HOSPITALS NHS TRUST"/>
    <n v="9446"/>
    <n v="4336"/>
    <n v="5071"/>
    <n v="183"/>
    <n v="932"/>
    <n v="337"/>
    <d v="2025-08-01T00:00:00"/>
    <s v="Q2"/>
    <x v="1"/>
    <n v="0.53684099089561721"/>
    <n v="13782"/>
    <n v="5"/>
    <n v="3.5676476815583315E-2"/>
  </r>
  <r>
    <x v="4"/>
    <s v="RWD"/>
    <x v="5"/>
    <s v="UNITED LINCOLNSHIRE TEACHING HOSPITALS NHS TRUST"/>
    <n v="16973"/>
    <n v="3804"/>
    <n v="6965"/>
    <n v="328"/>
    <n v="1042"/>
    <n v="1061"/>
    <d v="2025-08-01T00:00:00"/>
    <s v="Q2"/>
    <x v="1"/>
    <n v="0.41035762681906557"/>
    <n v="20777"/>
    <n v="5"/>
    <n v="6.2511046956931604E-2"/>
  </r>
  <r>
    <x v="4"/>
    <s v="RWF"/>
    <x v="0"/>
    <s v="MAIDSTONE AND TUNBRIDGE WELLS NHS TRUST"/>
    <n v="18957"/>
    <n v="2245"/>
    <n v="4236"/>
    <n v="20"/>
    <n v="932"/>
    <n v="130"/>
    <d v="2025-08-01T00:00:00"/>
    <s v="Q2"/>
    <x v="1"/>
    <n v="0.22345307801867384"/>
    <n v="21202"/>
    <n v="5"/>
    <n v="6.8576251516590178E-3"/>
  </r>
  <r>
    <x v="4"/>
    <s v="RWG"/>
    <x v="2"/>
    <s v="WEST HERTFORDSHIRE TEACHING HOSPITALS NHS TRUST"/>
    <n v="7834"/>
    <n v="7109"/>
    <n v="2415"/>
    <n v="47"/>
    <n v="591"/>
    <n v="27"/>
    <d v="2025-08-01T00:00:00"/>
    <s v="Q2"/>
    <x v="1"/>
    <n v="0.30827163645647176"/>
    <n v="14943"/>
    <n v="5"/>
    <n v="3.4465151901965792E-3"/>
  </r>
  <r>
    <x v="4"/>
    <s v="RWP"/>
    <x v="5"/>
    <s v="WORCESTERSHIRE ACUTE HOSPITALS NHS TRUST"/>
    <n v="13741"/>
    <n v="6029"/>
    <n v="6939"/>
    <n v="79"/>
    <n v="1186"/>
    <n v="846"/>
    <d v="2025-08-01T00:00:00"/>
    <s v="Q2"/>
    <x v="1"/>
    <n v="0.50498508114402152"/>
    <n v="19770"/>
    <n v="5"/>
    <n v="6.1567571501346334E-2"/>
  </r>
  <r>
    <x v="4"/>
    <s v="RWW"/>
    <x v="3"/>
    <s v="WARRINGTON AND HALTON TEACHING HOSPITALS NHS FOUNDATION TRUST"/>
    <n v="6781"/>
    <n v="2860"/>
    <n v="3543"/>
    <n v="37"/>
    <n v="729"/>
    <n v="825"/>
    <d v="2025-08-01T00:00:00"/>
    <s v="Q2"/>
    <x v="1"/>
    <n v="0.52248930836159857"/>
    <n v="9641"/>
    <n v="5"/>
    <n v="0.12166347146438579"/>
  </r>
  <r>
    <x v="4"/>
    <s v="RX1"/>
    <x v="5"/>
    <s v="NOTTINGHAM UNIVERSITY HOSPITALS NHS TRUST"/>
    <n v="12151"/>
    <n v="0"/>
    <n v="6909"/>
    <n v="0"/>
    <n v="251"/>
    <n v="566"/>
    <d v="2025-08-01T00:00:00"/>
    <s v="Q2"/>
    <x v="1"/>
    <n v="0.56859517735165832"/>
    <n v="12151"/>
    <n v="5"/>
    <n v="4.6580528351576E-2"/>
  </r>
  <r>
    <x v="4"/>
    <s v="RXC"/>
    <x v="0"/>
    <s v="EAST SUSSEX HEALTHCARE NHS TRUST"/>
    <n v="8785"/>
    <n v="2555"/>
    <n v="3560"/>
    <n v="44"/>
    <n v="204"/>
    <n v="6"/>
    <d v="2025-08-01T00:00:00"/>
    <s v="Q2"/>
    <x v="1"/>
    <n v="0.40523619806488331"/>
    <n v="11340"/>
    <n v="5"/>
    <n v="6.8298235628912922E-4"/>
  </r>
  <r>
    <x v="4"/>
    <s v="RXF"/>
    <x v="6"/>
    <s v="MID YORKSHIRE TEACHING NHS TRUST"/>
    <n v="15988"/>
    <n v="6316"/>
    <n v="5760"/>
    <n v="146"/>
    <n v="1544"/>
    <n v="9"/>
    <d v="2025-08-01T00:00:00"/>
    <s v="Q2"/>
    <x v="1"/>
    <n v="0.360270202651989"/>
    <n v="22304"/>
    <n v="5"/>
    <n v="5.6292219164373277E-4"/>
  </r>
  <r>
    <x v="4"/>
    <s v="RXP"/>
    <x v="6"/>
    <s v="COUNTY DURHAM AND DARLINGTON NHS FOUNDATION TRUST"/>
    <n v="12390"/>
    <n v="4169"/>
    <n v="4837"/>
    <n v="0"/>
    <n v="1701"/>
    <n v="9"/>
    <d v="2025-08-01T00:00:00"/>
    <s v="Q2"/>
    <x v="1"/>
    <n v="0.39039548022598869"/>
    <n v="16559"/>
    <n v="5"/>
    <n v="7.2639225181598058E-4"/>
  </r>
  <r>
    <x v="4"/>
    <s v="RY2"/>
    <x v="3"/>
    <s v="BRIDGEWATER COMMUNITY HEALTHCARE NHS FOUNDATION TRUST"/>
    <n v="0"/>
    <n v="2740"/>
    <n v="0"/>
    <n v="41"/>
    <n v="0"/>
    <n v="0"/>
    <d v="2025-08-01T00:00:00"/>
    <s v="Q2"/>
    <x v="1"/>
    <n v="0"/>
    <n v="2740"/>
    <n v="5"/>
    <n v="0"/>
  </r>
  <r>
    <x v="4"/>
    <s v="RYJ"/>
    <x v="4"/>
    <s v="IMPERIAL COLLEGE HEALTHCARE NHS TRUST"/>
    <n v="11631"/>
    <n v="6812"/>
    <n v="5103"/>
    <n v="226"/>
    <n v="645"/>
    <n v="0"/>
    <d v="2025-08-01T00:00:00"/>
    <s v="Q2"/>
    <x v="1"/>
    <n v="0.43874129481557905"/>
    <n v="18443"/>
    <n v="5"/>
    <n v="0"/>
  </r>
  <r>
    <x v="4"/>
    <s v="AJN"/>
    <x v="6"/>
    <s v="WORKINGTON HEALTH LIMITED"/>
    <n v="0"/>
    <n v="343"/>
    <n v="0"/>
    <n v="0"/>
    <n v="0"/>
    <n v="0"/>
    <d v="2025-08-01T00:00:00"/>
    <s v="Q2"/>
    <x v="1"/>
    <n v="0"/>
    <n v="343"/>
    <n v="5"/>
    <n v="0"/>
  </r>
  <r>
    <x v="4"/>
    <s v="C83023"/>
    <x v="5"/>
    <s v="SLEAFORD MEDICAL GROUP"/>
    <n v="0"/>
    <n v="531"/>
    <n v="0"/>
    <n v="0"/>
    <n v="0"/>
    <n v="0"/>
    <d v="2025-08-01T00:00:00"/>
    <s v="Q2"/>
    <x v="1"/>
    <n v="0"/>
    <n v="531"/>
    <n v="5"/>
    <n v="0"/>
  </r>
  <r>
    <x v="4"/>
    <s v="NNJ"/>
    <x v="5"/>
    <s v="DHU HEALTH CARE C.I.C"/>
    <n v="0"/>
    <n v="1904"/>
    <n v="0"/>
    <n v="1"/>
    <n v="0"/>
    <n v="0"/>
    <d v="2025-08-01T00:00:00"/>
    <s v="Q2"/>
    <x v="1"/>
    <n v="0"/>
    <n v="1904"/>
    <n v="5"/>
    <n v="0"/>
  </r>
  <r>
    <x v="4"/>
    <s v="R1H"/>
    <x v="4"/>
    <s v="BARTS HEALTH NHS TRUST"/>
    <n v="24190"/>
    <n v="17263"/>
    <n v="10598"/>
    <n v="1175"/>
    <n v="1234"/>
    <n v="799"/>
    <d v="2025-08-01T00:00:00"/>
    <s v="Q2"/>
    <x v="1"/>
    <n v="0.43811492352211656"/>
    <n v="41453"/>
    <n v="5"/>
    <n v="3.3030177759404714E-2"/>
  </r>
  <r>
    <x v="4"/>
    <s v="RBQ"/>
    <x v="3"/>
    <s v="LIVERPOOL HEART AND CHEST HOSPITAL NHS FOUNDATION TRUST"/>
    <n v="0"/>
    <n v="0"/>
    <n v="0"/>
    <n v="0"/>
    <n v="0"/>
    <n v="0"/>
    <d v="2025-08-01T00:00:00"/>
    <s v="Q2"/>
    <x v="1"/>
    <n v="0"/>
    <n v="0"/>
    <n v="5"/>
    <n v="0"/>
  </r>
  <r>
    <x v="4"/>
    <s v="REF"/>
    <x v="1"/>
    <s v="ROYAL CORNWALL HOSPITALS NHS TRUST"/>
    <n v="7624"/>
    <n v="13575"/>
    <n v="3456"/>
    <n v="810"/>
    <n v="613"/>
    <n v="303"/>
    <d v="2025-08-01T00:00:00"/>
    <s v="Q2"/>
    <x v="1"/>
    <n v="0.45330535152151102"/>
    <n v="21199"/>
    <n v="5"/>
    <n v="3.9742917103882475E-2"/>
  </r>
  <r>
    <x v="4"/>
    <s v="RC9"/>
    <x v="2"/>
    <s v="BEDFORDSHIRE HOSPITALS NHS FOUNDATION TRUST"/>
    <n v="16039"/>
    <n v="7600"/>
    <n v="5896"/>
    <n v="0"/>
    <n v="82"/>
    <n v="3"/>
    <d v="2025-08-01T00:00:00"/>
    <s v="Q2"/>
    <x v="1"/>
    <n v="0.36760396533449718"/>
    <n v="23639"/>
    <n v="5"/>
    <n v="1.8704408005486625E-4"/>
  </r>
  <r>
    <x v="4"/>
    <s v="C82009"/>
    <x v="5"/>
    <s v="MARKET HARBOROUGH MED.CTR"/>
    <n v="0"/>
    <n v="306"/>
    <n v="0"/>
    <n v="0"/>
    <n v="0"/>
    <n v="0"/>
    <d v="2025-08-01T00:00:00"/>
    <s v="Q2"/>
    <x v="1"/>
    <n v="0"/>
    <n v="306"/>
    <n v="5"/>
    <n v="0"/>
  </r>
  <r>
    <x v="4"/>
    <s v="NTP11"/>
    <x v="0"/>
    <s v="PRACTICE PLUS GROUP HOSPITAL - SOUTHAMPTON"/>
    <n v="0"/>
    <n v="5076"/>
    <n v="0"/>
    <n v="48"/>
    <n v="0"/>
    <n v="0"/>
    <d v="2025-08-01T00:00:00"/>
    <s v="Q2"/>
    <x v="1"/>
    <n v="0"/>
    <n v="5076"/>
    <n v="5"/>
    <n v="0"/>
  </r>
  <r>
    <x v="4"/>
    <s v="RBT"/>
    <x v="3"/>
    <s v="MID CHESHIRE HOSPITALS NHS FOUNDATION TRUST"/>
    <n v="6896"/>
    <n v="2901"/>
    <n v="4340"/>
    <n v="16"/>
    <n v="611"/>
    <n v="378"/>
    <d v="2025-08-01T00:00:00"/>
    <s v="Q2"/>
    <x v="1"/>
    <n v="0.62935034802784218"/>
    <n v="9797"/>
    <n v="5"/>
    <n v="5.4814385150812064E-2"/>
  </r>
  <r>
    <x v="4"/>
    <s v="RL1"/>
    <x v="5"/>
    <s v="THE ROBERT JONES AND AGNES HUNT ORTHOPAEDIC HOSPITAL NHS FOUNDATION TRUST"/>
    <n v="0"/>
    <n v="0"/>
    <n v="0"/>
    <n v="0"/>
    <n v="0"/>
    <n v="0"/>
    <d v="2025-08-01T00:00:00"/>
    <s v="Q2"/>
    <x v="1"/>
    <n v="0"/>
    <n v="0"/>
    <n v="5"/>
    <n v="0"/>
  </r>
  <r>
    <x v="4"/>
    <s v="RQ3"/>
    <x v="5"/>
    <s v="BIRMINGHAM WOMEN'S AND CHILDREN'S NHS FOUNDATION TRUST"/>
    <n v="3491"/>
    <n v="0"/>
    <n v="155"/>
    <n v="0"/>
    <n v="7"/>
    <n v="1"/>
    <d v="2025-08-01T00:00:00"/>
    <s v="Q2"/>
    <x v="1"/>
    <n v="4.439988541965053E-2"/>
    <n v="3491"/>
    <n v="5"/>
    <n v="2.8645087367516471E-4"/>
  </r>
  <r>
    <x v="4"/>
    <s v="RY8"/>
    <x v="5"/>
    <s v="DERBYSHIRE COMMUNITY HEALTH SERVICES NHS FOUNDATION TRUST"/>
    <n v="0"/>
    <n v="7623"/>
    <n v="0"/>
    <n v="226"/>
    <n v="0"/>
    <n v="0"/>
    <d v="2025-08-01T00:00:00"/>
    <s v="Q2"/>
    <x v="1"/>
    <n v="0"/>
    <n v="7623"/>
    <n v="5"/>
    <n v="0"/>
  </r>
  <r>
    <x v="4"/>
    <s v="ACH01"/>
    <x v="0"/>
    <s v="WHITSTABLE MEDICAL PRACTICE"/>
    <n v="0"/>
    <n v="4916"/>
    <n v="0"/>
    <n v="0"/>
    <n v="0"/>
    <n v="0"/>
    <d v="2025-08-01T00:00:00"/>
    <s v="Q2"/>
    <x v="1"/>
    <n v="0"/>
    <n v="4916"/>
    <n v="5"/>
    <n v="0"/>
  </r>
  <r>
    <x v="4"/>
    <s v="RAS"/>
    <x v="4"/>
    <s v="THE HILLINGDON HOSPITALS NHS FOUNDATION TRUST"/>
    <n v="5574"/>
    <n v="6493"/>
    <n v="2127"/>
    <n v="64"/>
    <n v="181"/>
    <n v="8"/>
    <d v="2025-08-01T00:00:00"/>
    <s v="Q2"/>
    <x v="1"/>
    <n v="0.38159311087190528"/>
    <n v="12067"/>
    <n v="5"/>
    <n v="1.4352350197344816E-3"/>
  </r>
  <r>
    <x v="4"/>
    <s v="RLQ"/>
    <x v="5"/>
    <s v="WYE VALLEY NHS TRUST"/>
    <n v="5759"/>
    <n v="201"/>
    <n v="2318"/>
    <n v="0"/>
    <n v="454"/>
    <n v="207"/>
    <d v="2025-08-01T00:00:00"/>
    <s v="Q2"/>
    <x v="1"/>
    <n v="0.4025004341031429"/>
    <n v="5960"/>
    <n v="5"/>
    <n v="3.5943740232679287E-2"/>
  </r>
  <r>
    <x v="4"/>
    <s v="RNU"/>
    <x v="0"/>
    <s v="OXFORD HEALTH NHS FOUNDATION TRUST"/>
    <n v="0"/>
    <n v="4244"/>
    <n v="0"/>
    <n v="116"/>
    <n v="0"/>
    <n v="0"/>
    <d v="2025-08-01T00:00:00"/>
    <s v="Q2"/>
    <x v="1"/>
    <n v="0"/>
    <n v="4244"/>
    <n v="5"/>
    <n v="0"/>
  </r>
  <r>
    <x v="4"/>
    <s v="RQX"/>
    <x v="4"/>
    <s v="HOMERTON HEALTHCARE NHS FOUNDATION TRUST"/>
    <n v="10343"/>
    <n v="0"/>
    <n v="1958"/>
    <n v="0"/>
    <n v="224"/>
    <n v="35"/>
    <d v="2025-08-01T00:00:00"/>
    <s v="Q2"/>
    <x v="1"/>
    <n v="0.18930677753069708"/>
    <n v="10343"/>
    <n v="5"/>
    <n v="3.383931161171807E-3"/>
  </r>
  <r>
    <x v="4"/>
    <s v="RTQ"/>
    <x v="1"/>
    <s v="GLOUCESTERSHIRE HEALTH AND CARE NHS FOUNDATION TRUST"/>
    <n v="0"/>
    <n v="8680"/>
    <n v="0"/>
    <n v="125"/>
    <n v="0"/>
    <n v="0"/>
    <d v="2025-08-01T00:00:00"/>
    <s v="Q2"/>
    <x v="1"/>
    <n v="0"/>
    <n v="8680"/>
    <n v="5"/>
    <n v="0"/>
  </r>
  <r>
    <x v="4"/>
    <s v="Y00751"/>
    <x v="0"/>
    <s v="EAST BERKS PRIMARY CARE OOH(WAM)"/>
    <n v="0"/>
    <n v="0"/>
    <n v="0"/>
    <n v="0"/>
    <n v="0"/>
    <n v="0"/>
    <d v="2025-08-01T00:00:00"/>
    <s v="Q2"/>
    <x v="1"/>
    <n v="0"/>
    <n v="0"/>
    <n v="5"/>
    <n v="0"/>
  </r>
  <r>
    <x v="4"/>
    <s v="Y02147"/>
    <x v="4"/>
    <s v="URGENT CARE CENTRE (QMS)"/>
    <n v="0"/>
    <n v="7556"/>
    <n v="0"/>
    <n v="113"/>
    <n v="0"/>
    <n v="0"/>
    <d v="2025-08-01T00:00:00"/>
    <s v="Q2"/>
    <x v="1"/>
    <n v="0"/>
    <n v="7556"/>
    <n v="5"/>
    <n v="0"/>
  </r>
  <r>
    <x v="4"/>
    <s v="NDJ"/>
    <x v="0"/>
    <s v="FIRST COMMUNITY HEALTH AND CARE CIC"/>
    <n v="0"/>
    <n v="2599"/>
    <n v="0"/>
    <n v="0"/>
    <n v="0"/>
    <n v="0"/>
    <d v="2025-08-01T00:00:00"/>
    <s v="Q2"/>
    <x v="1"/>
    <n v="0"/>
    <n v="2599"/>
    <n v="5"/>
    <n v="0"/>
  </r>
  <r>
    <x v="4"/>
    <s v="NLX"/>
    <x v="1"/>
    <s v="SIRONA CARE &amp; HEALTH"/>
    <n v="0"/>
    <n v="8674"/>
    <n v="0"/>
    <n v="264"/>
    <n v="0"/>
    <n v="0"/>
    <d v="2025-08-01T00:00:00"/>
    <s v="Q2"/>
    <x v="1"/>
    <n v="0"/>
    <n v="8674"/>
    <n v="5"/>
    <n v="0"/>
  </r>
  <r>
    <x v="4"/>
    <s v="NNF09"/>
    <x v="6"/>
    <s v="BRANSHOLME HEALTH CENTRE"/>
    <n v="0"/>
    <n v="3507"/>
    <n v="0"/>
    <n v="262"/>
    <n v="0"/>
    <n v="0"/>
    <d v="2025-08-01T00:00:00"/>
    <s v="Q2"/>
    <x v="1"/>
    <n v="0"/>
    <n v="3507"/>
    <n v="5"/>
    <n v="0"/>
  </r>
  <r>
    <x v="4"/>
    <s v="NNF16"/>
    <x v="6"/>
    <s v="BRIDLINGTON HOSPITAL"/>
    <n v="0"/>
    <n v="1732"/>
    <n v="0"/>
    <n v="73"/>
    <n v="0"/>
    <n v="0"/>
    <d v="2025-08-01T00:00:00"/>
    <s v="Q2"/>
    <x v="1"/>
    <n v="0"/>
    <n v="1732"/>
    <n v="5"/>
    <n v="0"/>
  </r>
  <r>
    <x v="4"/>
    <s v="NNF94"/>
    <x v="6"/>
    <s v="EAST RIDING COMMUNITY HOSPITAL"/>
    <n v="0"/>
    <n v="2699"/>
    <n v="0"/>
    <n v="156"/>
    <n v="0"/>
    <n v="0"/>
    <d v="2025-08-01T00:00:00"/>
    <s v="Q2"/>
    <x v="1"/>
    <n v="0"/>
    <n v="2699"/>
    <n v="5"/>
    <n v="0"/>
  </r>
  <r>
    <x v="4"/>
    <s v="NNFA7"/>
    <x v="6"/>
    <s v="GOOLE &amp; DISTRICT HOSPITAL"/>
    <n v="0"/>
    <n v="1554"/>
    <n v="0"/>
    <n v="7"/>
    <n v="0"/>
    <n v="0"/>
    <d v="2025-08-01T00:00:00"/>
    <s v="Q2"/>
    <x v="1"/>
    <n v="0"/>
    <n v="1554"/>
    <n v="5"/>
    <n v="0"/>
  </r>
  <r>
    <x v="4"/>
    <s v="RA7"/>
    <x v="1"/>
    <s v="UNIVERSITY HOSPITALS BRISTOL AND WESTON NHS FOUNDATION TRUST"/>
    <n v="14677"/>
    <n v="0"/>
    <n v="5119"/>
    <n v="0"/>
    <n v="885"/>
    <n v="188"/>
    <d v="2025-08-01T00:00:00"/>
    <s v="Q2"/>
    <x v="1"/>
    <n v="0.34877699802411938"/>
    <n v="14677"/>
    <n v="5"/>
    <n v="1.2809157184710773E-2"/>
  </r>
  <r>
    <x v="4"/>
    <s v="A5D4Q"/>
    <x v="5"/>
    <s v="NEMS CBS (UTC)"/>
    <n v="0"/>
    <n v="3664"/>
    <n v="0"/>
    <n v="871"/>
    <n v="0"/>
    <n v="0"/>
    <d v="2025-08-01T00:00:00"/>
    <s v="Q2"/>
    <x v="1"/>
    <n v="0"/>
    <n v="3664"/>
    <n v="5"/>
    <n v="0"/>
  </r>
  <r>
    <x v="4"/>
    <s v="RBD"/>
    <x v="1"/>
    <s v="DORSET COUNTY HOSPITAL NHS FOUNDATION TRUST"/>
    <n v="5127"/>
    <n v="0"/>
    <n v="1675"/>
    <n v="0"/>
    <n v="196"/>
    <n v="44"/>
    <d v="2025-08-01T00:00:00"/>
    <s v="Q2"/>
    <x v="1"/>
    <n v="0.3267017749171055"/>
    <n v="5127"/>
    <n v="5"/>
    <n v="8.5820167739418772E-3"/>
  </r>
  <r>
    <x v="4"/>
    <s v="RGP"/>
    <x v="2"/>
    <s v="JAMES PAGET UNIVERSITY HOSPITALS NHS FOUNDATION TRUST"/>
    <n v="7618"/>
    <n v="1350"/>
    <n v="3025"/>
    <n v="0"/>
    <n v="521"/>
    <n v="230"/>
    <d v="2025-08-01T00:00:00"/>
    <s v="Q2"/>
    <x v="1"/>
    <n v="0.39708584930427931"/>
    <n v="8968"/>
    <n v="5"/>
    <n v="3.0191651352060908E-2"/>
  </r>
  <r>
    <x v="4"/>
    <s v="RDY"/>
    <x v="1"/>
    <s v="DORSET HEALTHCARE UNIVERSITY NHS FOUNDATION TRUST"/>
    <n v="0"/>
    <n v="0"/>
    <n v="0"/>
    <n v="0"/>
    <n v="0"/>
    <n v="0"/>
    <d v="2025-08-01T00:00:00"/>
    <s v="Q2"/>
    <x v="1"/>
    <n v="0"/>
    <n v="0"/>
    <n v="5"/>
    <n v="0"/>
  </r>
  <r>
    <x v="4"/>
    <s v="Y02676"/>
    <x v="0"/>
    <s v="BRIGHTON STATION HEALTH CENTRE"/>
    <n v="0"/>
    <n v="1869"/>
    <n v="0"/>
    <n v="0"/>
    <n v="0"/>
    <n v="0"/>
    <d v="2025-08-01T00:00:00"/>
    <s v="Q2"/>
    <x v="1"/>
    <n v="0"/>
    <n v="1869"/>
    <n v="5"/>
    <n v="0"/>
  </r>
  <r>
    <x v="4"/>
    <s v="DJV01"/>
    <x v="0"/>
    <s v="HERNE BAY HEALTH CARE LTD"/>
    <n v="0"/>
    <n v="2531"/>
    <n v="0"/>
    <n v="0"/>
    <n v="0"/>
    <n v="0"/>
    <d v="2025-08-01T00:00:00"/>
    <s v="Q2"/>
    <x v="1"/>
    <n v="0"/>
    <n v="2531"/>
    <n v="5"/>
    <n v="0"/>
  </r>
  <r>
    <x v="4"/>
    <s v="NL7"/>
    <x v="5"/>
    <s v="ASSURA VERTIS URGENT CARE CENTRES (BIRMINGHAM)"/>
    <n v="0"/>
    <n v="3085"/>
    <n v="0"/>
    <n v="0"/>
    <n v="0"/>
    <n v="0"/>
    <d v="2025-08-01T00:00:00"/>
    <s v="Q2"/>
    <x v="1"/>
    <n v="0"/>
    <n v="3085"/>
    <n v="5"/>
    <n v="0"/>
  </r>
  <r>
    <x v="4"/>
    <s v="NQT51"/>
    <x v="0"/>
    <s v="STATION PLAZA HEALTH CENTRE"/>
    <n v="0"/>
    <n v="1089"/>
    <n v="0"/>
    <n v="0"/>
    <n v="0"/>
    <n v="0"/>
    <d v="2025-08-01T00:00:00"/>
    <s v="Q2"/>
    <x v="1"/>
    <n v="0"/>
    <n v="1089"/>
    <n v="5"/>
    <n v="0"/>
  </r>
  <r>
    <x v="4"/>
    <s v="NQTE4"/>
    <x v="5"/>
    <s v="SUMMERFIELD URGENT CARE CENTRE"/>
    <n v="0"/>
    <n v="2916"/>
    <n v="0"/>
    <n v="0"/>
    <n v="0"/>
    <n v="0"/>
    <d v="2025-08-01T00:00:00"/>
    <s v="Q2"/>
    <x v="1"/>
    <n v="0"/>
    <n v="2916"/>
    <n v="5"/>
    <n v="0"/>
  </r>
  <r>
    <x v="4"/>
    <s v="NTV0B"/>
    <x v="0"/>
    <s v="ASHFORD WALK-IN-CENTRE"/>
    <n v="0"/>
    <n v="2325"/>
    <n v="0"/>
    <n v="23"/>
    <n v="0"/>
    <n v="0"/>
    <d v="2025-08-01T00:00:00"/>
    <s v="Q2"/>
    <x v="1"/>
    <n v="0"/>
    <n v="2325"/>
    <n v="5"/>
    <n v="0"/>
  </r>
  <r>
    <x v="4"/>
    <s v="NTV0W"/>
    <x v="0"/>
    <s v="WOKING WALK IN CENTRE"/>
    <n v="0"/>
    <n v="2325"/>
    <n v="0"/>
    <n v="23"/>
    <n v="0"/>
    <n v="0"/>
    <d v="2025-08-01T00:00:00"/>
    <s v="Q2"/>
    <x v="1"/>
    <n v="0"/>
    <n v="2325"/>
    <n v="5"/>
    <n v="0"/>
  </r>
  <r>
    <x v="4"/>
    <s v="RCD"/>
    <x v="6"/>
    <s v="HARROGATE AND DISTRICT NHS FOUNDATION TRUST"/>
    <n v="5031"/>
    <n v="1100"/>
    <n v="1103"/>
    <n v="0"/>
    <n v="95"/>
    <n v="0"/>
    <d v="2025-08-01T00:00:00"/>
    <s v="Q2"/>
    <x v="1"/>
    <n v="0.21924070761280062"/>
    <n v="6131"/>
    <n v="5"/>
    <n v="0"/>
  </r>
  <r>
    <x v="4"/>
    <s v="RWY"/>
    <x v="6"/>
    <s v="CALDERDALE AND HUDDERSFIELD NHS FOUNDATION TRUST"/>
    <n v="15446"/>
    <n v="0"/>
    <n v="2708"/>
    <n v="0"/>
    <n v="846"/>
    <n v="16"/>
    <d v="2025-08-01T00:00:00"/>
    <s v="Q2"/>
    <x v="1"/>
    <n v="0.17532047131943546"/>
    <n v="15446"/>
    <n v="5"/>
    <n v="1.035866891104493E-3"/>
  </r>
  <r>
    <x v="4"/>
    <s v="Y02532"/>
    <x v="3"/>
    <s v="MIRIAM MINOR EMERGENCY"/>
    <n v="0"/>
    <n v="1643"/>
    <n v="0"/>
    <n v="2"/>
    <n v="0"/>
    <n v="0"/>
    <d v="2025-08-01T00:00:00"/>
    <s v="Q2"/>
    <x v="1"/>
    <n v="0"/>
    <n v="1643"/>
    <n v="5"/>
    <n v="0"/>
  </r>
  <r>
    <x v="4"/>
    <s v="Y02615"/>
    <x v="5"/>
    <s v="SOUTH BIRMINGHAM GP WALK IN CENTRE"/>
    <n v="0"/>
    <n v="5641"/>
    <n v="0"/>
    <n v="0"/>
    <n v="0"/>
    <n v="0"/>
    <d v="2025-08-01T00:00:00"/>
    <s v="Q2"/>
    <x v="1"/>
    <n v="0"/>
    <n v="5641"/>
    <n v="5"/>
    <n v="0"/>
  </r>
  <r>
    <x v="4"/>
    <s v="AAH"/>
    <x v="1"/>
    <s v="TETBURY HOSPITAL TRUST LTD"/>
    <n v="0"/>
    <n v="482"/>
    <n v="0"/>
    <n v="0"/>
    <n v="0"/>
    <n v="0"/>
    <d v="2025-08-01T00:00:00"/>
    <s v="Q2"/>
    <x v="1"/>
    <n v="0"/>
    <n v="482"/>
    <n v="5"/>
    <n v="0"/>
  </r>
  <r>
    <x v="4"/>
    <s v="RPA"/>
    <x v="0"/>
    <s v="MEDWAY NHS FOUNDATION TRUST"/>
    <n v="9278"/>
    <n v="5843"/>
    <n v="3599"/>
    <n v="689"/>
    <n v="334"/>
    <n v="696"/>
    <d v="2025-08-01T00:00:00"/>
    <s v="Q2"/>
    <x v="1"/>
    <n v="0.38790687648200045"/>
    <n v="15121"/>
    <n v="5"/>
    <n v="7.5016167277430476E-2"/>
  </r>
  <r>
    <x v="4"/>
    <s v="RTP"/>
    <x v="0"/>
    <s v="SURREY AND SUSSEX HEALTHCARE NHS TRUST"/>
    <n v="10052"/>
    <n v="0"/>
    <n v="3904"/>
    <n v="0"/>
    <n v="552"/>
    <n v="538"/>
    <d v="2025-08-01T00:00:00"/>
    <s v="Q2"/>
    <x v="1"/>
    <n v="0.38838042180660565"/>
    <n v="10052"/>
    <n v="5"/>
    <n v="5.3521687226422601E-2"/>
  </r>
  <r>
    <x v="4"/>
    <s v="RW1"/>
    <x v="0"/>
    <s v="HAMPSHIRE AND ISLE OF WIGHT HEALTHCARE NHS FOUNDATION TRUST"/>
    <n v="0"/>
    <n v="2986"/>
    <n v="0"/>
    <n v="65"/>
    <n v="0"/>
    <n v="0"/>
    <d v="2025-08-01T00:00:00"/>
    <s v="Q2"/>
    <x v="1"/>
    <n v="0"/>
    <n v="2986"/>
    <n v="5"/>
    <n v="0"/>
  </r>
  <r>
    <x v="4"/>
    <s v="RYY"/>
    <x v="0"/>
    <s v="KENT COMMUNITY HEALTH NHS FOUNDATION TRUST"/>
    <n v="0"/>
    <n v="6264"/>
    <n v="0"/>
    <n v="21"/>
    <n v="0"/>
    <n v="0"/>
    <d v="2025-08-01T00:00:00"/>
    <s v="Q2"/>
    <x v="1"/>
    <n v="0"/>
    <n v="6264"/>
    <n v="5"/>
    <n v="0"/>
  </r>
  <r>
    <x v="4"/>
    <s v="Y03218"/>
    <x v="4"/>
    <s v="THE PINN UNREGISTERED WIC"/>
    <n v="0"/>
    <n v="998"/>
    <n v="0"/>
    <n v="0"/>
    <n v="0"/>
    <n v="0"/>
    <d v="2025-08-01T00:00:00"/>
    <s v="Q2"/>
    <x v="1"/>
    <n v="0"/>
    <n v="998"/>
    <n v="5"/>
    <n v="0"/>
  </r>
  <r>
    <x v="4"/>
    <s v="DT301"/>
    <x v="2"/>
    <s v="HERTS URGENT CARE (ASCOTS LANE)"/>
    <n v="0"/>
    <n v="2050"/>
    <n v="0"/>
    <n v="98"/>
    <n v="0"/>
    <n v="0"/>
    <d v="2025-08-01T00:00:00"/>
    <s v="Q2"/>
    <x v="1"/>
    <n v="0"/>
    <n v="2050"/>
    <n v="5"/>
    <n v="0"/>
  </r>
  <r>
    <x v="4"/>
    <s v="L83087"/>
    <x v="1"/>
    <s v="OKEHAMPTON MEDICAL CENTRE"/>
    <n v="0"/>
    <n v="103"/>
    <n v="0"/>
    <n v="0"/>
    <n v="0"/>
    <n v="0"/>
    <d v="2025-08-01T00:00:00"/>
    <s v="Q2"/>
    <x v="1"/>
    <n v="0"/>
    <n v="103"/>
    <n v="5"/>
    <n v="0"/>
  </r>
  <r>
    <x v="4"/>
    <s v="R0B"/>
    <x v="6"/>
    <s v="SOUTH TYNESIDE AND SUNDERLAND NHS FOUNDATION TRUST"/>
    <n v="10927"/>
    <n v="5708"/>
    <n v="5402"/>
    <n v="132"/>
    <n v="663"/>
    <n v="4"/>
    <d v="2025-08-01T00:00:00"/>
    <s v="Q2"/>
    <x v="1"/>
    <n v="0.49437173972728105"/>
    <n v="16635"/>
    <n v="5"/>
    <n v="3.6606570879472864E-4"/>
  </r>
  <r>
    <x v="4"/>
    <s v="RBS"/>
    <x v="3"/>
    <s v="ALDER HEY CHILDREN'S NHS FOUNDATION TRUST"/>
    <n v="4303"/>
    <n v="0"/>
    <n v="424"/>
    <n v="0"/>
    <n v="0"/>
    <n v="0"/>
    <d v="2025-08-01T00:00:00"/>
    <s v="Q2"/>
    <x v="1"/>
    <n v="9.8535905182430869E-2"/>
    <n v="4303"/>
    <n v="5"/>
    <n v="0"/>
  </r>
  <r>
    <x v="4"/>
    <s v="RFF"/>
    <x v="6"/>
    <s v="BARNSLEY HOSPITAL NHS FOUNDATION TRUST"/>
    <n v="9140"/>
    <n v="0"/>
    <n v="1992"/>
    <n v="0"/>
    <n v="260"/>
    <n v="0"/>
    <d v="2025-08-01T00:00:00"/>
    <s v="Q2"/>
    <x v="1"/>
    <n v="0.21794310722100657"/>
    <n v="9140"/>
    <n v="5"/>
    <n v="0"/>
  </r>
  <r>
    <x v="4"/>
    <s v="RCU"/>
    <x v="6"/>
    <s v="SHEFFIELD CHILDREN'S NHS FOUNDATION TRUST"/>
    <n v="3594"/>
    <n v="0"/>
    <n v="173"/>
    <n v="0"/>
    <n v="8"/>
    <n v="0"/>
    <d v="2025-08-01T00:00:00"/>
    <s v="Q2"/>
    <x v="1"/>
    <n v="4.8135781858653311E-2"/>
    <n v="3594"/>
    <n v="5"/>
    <n v="0"/>
  </r>
  <r>
    <x v="4"/>
    <s v="RBV"/>
    <x v="3"/>
    <s v="THE CHRISTIE NHS FOUNDATION TRUST"/>
    <n v="0"/>
    <n v="0"/>
    <n v="0"/>
    <n v="0"/>
    <n v="0"/>
    <n v="0"/>
    <d v="2025-08-01T00:00:00"/>
    <s v="Q2"/>
    <x v="1"/>
    <n v="0"/>
    <n v="0"/>
    <n v="5"/>
    <n v="0"/>
  </r>
  <r>
    <x v="4"/>
    <s v="REP"/>
    <x v="3"/>
    <s v="LIVERPOOL WOMEN'S NHS FOUNDATION TRUST"/>
    <n v="0"/>
    <n v="0"/>
    <n v="0"/>
    <n v="0"/>
    <n v="0"/>
    <n v="0"/>
    <d v="2025-08-01T00:00:00"/>
    <s v="Q2"/>
    <x v="1"/>
    <n v="0"/>
    <n v="0"/>
    <n v="5"/>
    <n v="0"/>
  </r>
  <r>
    <x v="4"/>
    <s v="RJ1"/>
    <x v="4"/>
    <s v="GUY'S AND ST THOMAS' NHS FOUNDATION TRUST"/>
    <n v="9878"/>
    <n v="6783"/>
    <n v="3438"/>
    <n v="168"/>
    <n v="107"/>
    <n v="61"/>
    <d v="2025-08-01T00:00:00"/>
    <s v="Q2"/>
    <x v="1"/>
    <n v="0.34804616319092935"/>
    <n v="16661"/>
    <n v="5"/>
    <n v="6.1753391374772225E-3"/>
  </r>
  <r>
    <x v="4"/>
    <s v="RJL"/>
    <x v="6"/>
    <s v="NORTHERN LINCOLNSHIRE AND GOOLE NHS FOUNDATION TRUST"/>
    <n v="9249"/>
    <n v="6912"/>
    <n v="4275"/>
    <n v="53"/>
    <n v="653"/>
    <n v="594"/>
    <d v="2025-08-01T00:00:00"/>
    <s v="Q2"/>
    <x v="1"/>
    <n v="0.46221213104119363"/>
    <n v="16161"/>
    <n v="5"/>
    <n v="6.4223159260460586E-2"/>
  </r>
  <r>
    <x v="4"/>
    <s v="RJN"/>
    <x v="3"/>
    <s v="EAST CHESHIRE NHS TRUST"/>
    <n v="4192"/>
    <n v="0"/>
    <n v="2265"/>
    <n v="0"/>
    <n v="214"/>
    <n v="432"/>
    <d v="2025-08-01T00:00:00"/>
    <s v="Q2"/>
    <x v="1"/>
    <n v="0.54031488549618323"/>
    <n v="4192"/>
    <n v="5"/>
    <n v="0.10305343511450382"/>
  </r>
  <r>
    <x v="4"/>
    <s v="RJR"/>
    <x v="3"/>
    <s v="COUNTESS OF CHESTER HOSPITAL NHS FOUNDATION TRUST"/>
    <n v="5200"/>
    <n v="2249"/>
    <n v="2523"/>
    <n v="127"/>
    <n v="763"/>
    <n v="330"/>
    <d v="2025-08-01T00:00:00"/>
    <s v="Q2"/>
    <x v="1"/>
    <n v="0.4851923076923077"/>
    <n v="7449"/>
    <n v="5"/>
    <n v="6.3461538461538458E-2"/>
  </r>
  <r>
    <x v="4"/>
    <s v="RKE"/>
    <x v="4"/>
    <s v="WHITTINGTON HEALTH NHS TRUST"/>
    <n v="8361"/>
    <n v="0"/>
    <n v="2409"/>
    <n v="0"/>
    <n v="235"/>
    <n v="137"/>
    <d v="2025-08-01T00:00:00"/>
    <s v="Q2"/>
    <x v="1"/>
    <n v="0.28812343021169717"/>
    <n v="8361"/>
    <n v="5"/>
    <n v="1.638559980863533E-2"/>
  </r>
  <r>
    <x v="4"/>
    <s v="RQW"/>
    <x v="2"/>
    <s v="THE PRINCESS ALEXANDRA HOSPITAL NHS TRUST"/>
    <n v="7952"/>
    <n v="1746"/>
    <n v="2556"/>
    <n v="0"/>
    <n v="484"/>
    <n v="195"/>
    <d v="2025-08-01T00:00:00"/>
    <s v="Q2"/>
    <x v="1"/>
    <n v="0.32142857142857145"/>
    <n v="9698"/>
    <n v="5"/>
    <n v="2.4522132796780685E-2"/>
  </r>
  <r>
    <x v="4"/>
    <s v="RRF"/>
    <x v="3"/>
    <s v="WRIGHTINGTON, WIGAN AND LEIGH NHS FOUNDATION TRUST"/>
    <n v="7288"/>
    <n v="4956"/>
    <n v="2788"/>
    <n v="30"/>
    <n v="530"/>
    <n v="260"/>
    <d v="2025-08-01T00:00:00"/>
    <s v="Q2"/>
    <x v="1"/>
    <n v="0.38254665203073546"/>
    <n v="12244"/>
    <n v="5"/>
    <n v="3.5675082327113063E-2"/>
  </r>
  <r>
    <x v="4"/>
    <s v="RTX"/>
    <x v="3"/>
    <s v="UNIVERSITY HOSPITALS OF MORECAMBE BAY NHS FOUNDATION TRUST"/>
    <n v="9279"/>
    <n v="3181"/>
    <n v="3434"/>
    <n v="78"/>
    <n v="684"/>
    <n v="360"/>
    <d v="2025-08-01T00:00:00"/>
    <s v="Q2"/>
    <x v="1"/>
    <n v="0.37008298308007326"/>
    <n v="12460"/>
    <n v="5"/>
    <n v="3.8797284190106696E-2"/>
  </r>
  <r>
    <x v="4"/>
    <s v="RV9"/>
    <x v="6"/>
    <s v="HUMBER TEACHING NHS FOUNDATION TRUST"/>
    <n v="0"/>
    <n v="1210"/>
    <n v="0"/>
    <n v="7"/>
    <n v="0"/>
    <n v="0"/>
    <d v="2025-08-01T00:00:00"/>
    <s v="Q2"/>
    <x v="1"/>
    <n v="0"/>
    <n v="1210"/>
    <n v="5"/>
    <n v="0"/>
  </r>
  <r>
    <x v="4"/>
    <s v="RWE"/>
    <x v="5"/>
    <s v="UNIVERSITY HOSPITALS OF LEICESTER NHS TRUST"/>
    <n v="20916"/>
    <n v="0"/>
    <n v="8251"/>
    <n v="0"/>
    <n v="1161"/>
    <n v="964"/>
    <d v="2025-08-01T00:00:00"/>
    <s v="Q2"/>
    <x v="1"/>
    <n v="0.39448269267546376"/>
    <n v="20916"/>
    <n v="5"/>
    <n v="4.6089118378275007E-2"/>
  </r>
  <r>
    <x v="4"/>
    <s v="RWH"/>
    <x v="2"/>
    <s v="EAST AND NORTH HERTFORDSHIRE NHS TRUST"/>
    <n v="8370"/>
    <n v="8102"/>
    <n v="3609"/>
    <n v="42"/>
    <n v="192"/>
    <n v="23"/>
    <d v="2025-08-01T00:00:00"/>
    <s v="Q2"/>
    <x v="1"/>
    <n v="0.4311827956989247"/>
    <n v="16472"/>
    <n v="5"/>
    <n v="2.7479091995221026E-3"/>
  </r>
  <r>
    <x v="4"/>
    <s v="RXK"/>
    <x v="5"/>
    <s v="SANDWELL AND WEST BIRMINGHAM HOSPITALS NHS TRUST"/>
    <n v="10876"/>
    <n v="7706"/>
    <n v="3770"/>
    <n v="133"/>
    <n v="645"/>
    <n v="102"/>
    <d v="2025-08-01T00:00:00"/>
    <s v="Q2"/>
    <x v="1"/>
    <n v="0.3466347922030158"/>
    <n v="18582"/>
    <n v="5"/>
    <n v="9.3784479588083849E-3"/>
  </r>
  <r>
    <x v="4"/>
    <s v="RXL"/>
    <x v="3"/>
    <s v="BLACKPOOL TEACHING HOSPITALS NHS FOUNDATION TRUST"/>
    <n v="9421"/>
    <n v="10199"/>
    <n v="4240"/>
    <n v="56"/>
    <n v="820"/>
    <n v="262"/>
    <d v="2025-08-01T00:00:00"/>
    <s v="Q2"/>
    <x v="1"/>
    <n v="0.45005838021441463"/>
    <n v="19620"/>
    <n v="5"/>
    <n v="2.7810211230230336E-2"/>
  </r>
  <r>
    <x v="4"/>
    <s v="RXR"/>
    <x v="3"/>
    <s v="EAST LANCASHIRE HOSPITALS NHS TRUST"/>
    <n v="13281"/>
    <n v="10655"/>
    <n v="4442"/>
    <n v="595"/>
    <n v="577"/>
    <n v="925"/>
    <d v="2025-08-01T00:00:00"/>
    <s v="Q2"/>
    <x v="1"/>
    <n v="0.33446276635795497"/>
    <n v="23936"/>
    <n v="5"/>
    <n v="6.9648369851667793E-2"/>
  </r>
  <r>
    <x v="4"/>
    <s v="RYR"/>
    <x v="0"/>
    <s v="UNIVERSITY HOSPITALS SUSSEX NHS FOUNDATION TRUST"/>
    <n v="26764"/>
    <n v="2094"/>
    <n v="10519"/>
    <n v="235"/>
    <n v="632"/>
    <n v="534"/>
    <d v="2025-08-01T00:00:00"/>
    <s v="Q2"/>
    <x v="1"/>
    <n v="0.39302794798983709"/>
    <n v="28858"/>
    <n v="5"/>
    <n v="1.9952174562845613E-2"/>
  </r>
  <r>
    <x v="4"/>
    <s v="Y03007"/>
    <x v="5"/>
    <s v="ERDINGTON GP HEALTH &amp; WELLBEING WIC"/>
    <n v="0"/>
    <n v="0"/>
    <n v="0"/>
    <n v="0"/>
    <n v="0"/>
    <n v="0"/>
    <d v="2025-08-01T00:00:00"/>
    <s v="Q2"/>
    <x v="1"/>
    <n v="0"/>
    <n v="0"/>
    <n v="5"/>
    <n v="0"/>
  </r>
  <r>
    <x v="4"/>
    <s v="AQM01"/>
    <x v="0"/>
    <s v="FAVERSHAM MEDICAL PRACTICE MIU"/>
    <n v="0"/>
    <n v="2864"/>
    <n v="0"/>
    <n v="0"/>
    <n v="0"/>
    <n v="0"/>
    <d v="2025-08-01T00:00:00"/>
    <s v="Q2"/>
    <x v="1"/>
    <n v="0"/>
    <n v="2864"/>
    <n v="5"/>
    <n v="0"/>
  </r>
  <r>
    <x v="4"/>
    <s v="R0D"/>
    <x v="1"/>
    <s v="UNIVERSITY HOSPITALS DORSET NHS FOUNDATION TRUST"/>
    <n v="14621"/>
    <n v="5370"/>
    <n v="5621"/>
    <n v="0"/>
    <n v="617"/>
    <n v="57"/>
    <d v="2025-08-01T00:00:00"/>
    <s v="Q2"/>
    <x v="1"/>
    <n v="0.38444702824704191"/>
    <n v="19991"/>
    <n v="5"/>
    <n v="3.898502154435401E-3"/>
  </r>
  <r>
    <x v="4"/>
    <s v="R1F"/>
    <x v="0"/>
    <s v="ISLE OF WIGHT NHS TRUST"/>
    <n v="4420"/>
    <n v="1844"/>
    <n v="1619"/>
    <n v="65"/>
    <n v="228"/>
    <n v="100"/>
    <d v="2025-08-01T00:00:00"/>
    <s v="Q2"/>
    <x v="1"/>
    <n v="0.36628959276018097"/>
    <n v="6264"/>
    <n v="5"/>
    <n v="2.2624434389140271E-2"/>
  </r>
  <r>
    <x v="4"/>
    <s v="RAJ"/>
    <x v="2"/>
    <s v="MID AND SOUTH ESSEX NHS FOUNDATION TRUST"/>
    <n v="28878"/>
    <n v="4089"/>
    <n v="7915"/>
    <n v="106"/>
    <n v="1943"/>
    <n v="303"/>
    <d v="2025-08-01T00:00:00"/>
    <s v="Q2"/>
    <x v="1"/>
    <n v="0.2740840778447261"/>
    <n v="32967"/>
    <n v="5"/>
    <n v="1.0492416372324953E-2"/>
  </r>
  <r>
    <x v="4"/>
    <s v="RBN"/>
    <x v="3"/>
    <s v="MERSEY AND WEST LANCASHIRE TEACHING HOSPITALS NHS TRUST"/>
    <n v="16472"/>
    <n v="7270"/>
    <n v="6432"/>
    <n v="79"/>
    <n v="566"/>
    <n v="290"/>
    <d v="2025-08-01T00:00:00"/>
    <s v="Q2"/>
    <x v="1"/>
    <n v="0.39048081593006312"/>
    <n v="23742"/>
    <n v="5"/>
    <n v="1.7605633802816902E-2"/>
  </r>
  <r>
    <x v="4"/>
    <s v="RFR"/>
    <x v="6"/>
    <s v="THE ROTHERHAM NHS FOUNDATION TRUST"/>
    <n v="8638"/>
    <n v="0"/>
    <n v="2524"/>
    <n v="0"/>
    <n v="318"/>
    <n v="0"/>
    <d v="2025-08-01T00:00:00"/>
    <s v="Q2"/>
    <x v="1"/>
    <n v="0.29219726788608474"/>
    <n v="8638"/>
    <n v="5"/>
    <n v="0"/>
  </r>
  <r>
    <x v="4"/>
    <s v="RCF"/>
    <x v="6"/>
    <s v="AIREDALE NHS FOUNDATION TRUST"/>
    <n v="6036"/>
    <n v="0"/>
    <n v="2246"/>
    <n v="0"/>
    <n v="424"/>
    <n v="61"/>
    <d v="2025-08-01T00:00:00"/>
    <s v="Q2"/>
    <x v="1"/>
    <n v="0.37210072895957585"/>
    <n v="6036"/>
    <n v="5"/>
    <n v="1.0106030483764083E-2"/>
  </r>
  <r>
    <x v="4"/>
    <s v="RCX"/>
    <x v="2"/>
    <s v="THE QUEEN ELIZABETH HOSPITAL, KING'S LYNN, NHS FOUNDATION TRUST"/>
    <n v="6802"/>
    <n v="1151"/>
    <n v="3245"/>
    <n v="0"/>
    <n v="702"/>
    <n v="124"/>
    <d v="2025-08-01T00:00:00"/>
    <s v="Q2"/>
    <x v="1"/>
    <n v="0.47706556895030872"/>
    <n v="7953"/>
    <n v="5"/>
    <n v="1.822993237283152E-2"/>
  </r>
  <r>
    <x v="4"/>
    <s v="RA9"/>
    <x v="1"/>
    <s v="TORBAY AND SOUTH DEVON NHS FOUNDATION TRUST"/>
    <n v="6928"/>
    <n v="3552"/>
    <n v="2700"/>
    <n v="17"/>
    <n v="179"/>
    <n v="31"/>
    <d v="2025-08-01T00:00:00"/>
    <s v="Q2"/>
    <x v="1"/>
    <n v="0.38972286374133946"/>
    <n v="10480"/>
    <n v="5"/>
    <n v="4.4745958429561203E-3"/>
  </r>
  <r>
    <x v="4"/>
    <s v="RGR"/>
    <x v="2"/>
    <s v="WEST SUFFOLK NHS FOUNDATION TRUST"/>
    <n v="7826"/>
    <n v="649"/>
    <n v="2231"/>
    <n v="0"/>
    <n v="438"/>
    <n v="199"/>
    <d v="2025-08-01T00:00:00"/>
    <s v="Q2"/>
    <x v="1"/>
    <n v="0.2850753897265525"/>
    <n v="8475"/>
    <n v="5"/>
    <n v="2.5428060311781242E-2"/>
  </r>
  <r>
    <x v="4"/>
    <s v="RK9"/>
    <x v="1"/>
    <s v="UNIVERSITY HOSPITALS PLYMOUTH NHS TRUST"/>
    <n v="9265"/>
    <n v="5765"/>
    <n v="4281"/>
    <n v="95"/>
    <n v="680"/>
    <n v="329"/>
    <d v="2025-08-01T00:00:00"/>
    <s v="Q2"/>
    <x v="1"/>
    <n v="0.462061521856449"/>
    <n v="15030"/>
    <n v="5"/>
    <n v="3.5509983810037775E-2"/>
  </r>
  <r>
    <x v="4"/>
    <s v="RKB"/>
    <x v="5"/>
    <s v="UNIVERSITY HOSPITALS COVENTRY AND WARWICKSHIRE NHS TRUST"/>
    <n v="11743"/>
    <n v="5448"/>
    <n v="4495"/>
    <n v="82"/>
    <n v="74"/>
    <n v="9"/>
    <d v="2025-08-01T00:00:00"/>
    <s v="Q2"/>
    <x v="1"/>
    <n v="0.38278123137188114"/>
    <n v="17191"/>
    <n v="5"/>
    <n v="7.6641403389253167E-4"/>
  </r>
  <r>
    <x v="4"/>
    <s v="RMC"/>
    <x v="3"/>
    <s v="BOLTON NHS FOUNDATION TRUST"/>
    <n v="7488"/>
    <n v="3890"/>
    <n v="3709"/>
    <n v="318"/>
    <n v="481"/>
    <n v="331"/>
    <d v="2025-08-01T00:00:00"/>
    <s v="Q2"/>
    <x v="1"/>
    <n v="0.49532585470085472"/>
    <n v="11378"/>
    <n v="5"/>
    <n v="4.4204059829059832E-2"/>
  </r>
  <r>
    <x v="4"/>
    <s v="RPC"/>
    <x v="0"/>
    <s v="QUEEN VICTORIA HOSPITAL NHS FOUNDATION TRUST"/>
    <n v="0"/>
    <n v="1387"/>
    <n v="0"/>
    <n v="2"/>
    <n v="0"/>
    <n v="0"/>
    <d v="2025-08-01T00:00:00"/>
    <s v="Q2"/>
    <x v="1"/>
    <n v="0"/>
    <n v="1387"/>
    <n v="5"/>
    <n v="0"/>
  </r>
  <r>
    <x v="4"/>
    <s v="RRV"/>
    <x v="4"/>
    <s v="UNIVERSITY COLLEGE LONDON HOSPITALS NHS FOUNDATION TRUST"/>
    <n v="12926"/>
    <n v="0"/>
    <n v="3381"/>
    <n v="0"/>
    <n v="299"/>
    <n v="72"/>
    <d v="2025-08-01T00:00:00"/>
    <s v="Q2"/>
    <x v="1"/>
    <n v="0.26156583629893237"/>
    <n v="12926"/>
    <n v="5"/>
    <n v="5.5701686523286402E-3"/>
  </r>
  <r>
    <x v="4"/>
    <s v="RTE"/>
    <x v="1"/>
    <s v="GLOUCESTERSHIRE HOSPITALS NHS FOUNDATION TRUST"/>
    <n v="13420"/>
    <n v="0"/>
    <n v="5301"/>
    <n v="0"/>
    <n v="439"/>
    <n v="221"/>
    <d v="2025-08-01T00:00:00"/>
    <s v="Q2"/>
    <x v="1"/>
    <n v="0.39500745156482864"/>
    <n v="13420"/>
    <n v="5"/>
    <n v="1.6467958271236961E-2"/>
  </r>
  <r>
    <x v="4"/>
    <s v="RTK"/>
    <x v="0"/>
    <s v="ASHFORD AND ST PETER'S HOSPITALS NHS FOUNDATION TRUST"/>
    <n v="6990"/>
    <n v="2820"/>
    <n v="3499"/>
    <n v="31"/>
    <n v="535"/>
    <n v="118"/>
    <d v="2025-08-01T00:00:00"/>
    <s v="Q2"/>
    <x v="1"/>
    <n v="0.5005722460658083"/>
    <n v="9810"/>
    <n v="5"/>
    <n v="1.688125894134478E-2"/>
  </r>
  <r>
    <x v="4"/>
    <s v="RYF"/>
    <x v="1"/>
    <s v="SOUTH WESTERN AMBULANCE SERVICE NHS FOUNDATION TRUST"/>
    <n v="0"/>
    <n v="1972"/>
    <n v="0"/>
    <n v="47"/>
    <n v="0"/>
    <n v="0"/>
    <d v="2025-08-01T00:00:00"/>
    <s v="Q2"/>
    <x v="1"/>
    <n v="0"/>
    <n v="1972"/>
    <n v="5"/>
    <n v="0"/>
  </r>
  <r>
    <x v="4"/>
    <s v="Y02428"/>
    <x v="2"/>
    <s v="PUTNOE WALK IN CENTRE"/>
    <n v="0"/>
    <n v="2334"/>
    <n v="0"/>
    <n v="0"/>
    <n v="0"/>
    <n v="0"/>
    <d v="2025-08-01T00:00:00"/>
    <s v="Q2"/>
    <x v="1"/>
    <n v="0"/>
    <n v="2334"/>
    <n v="5"/>
    <n v="0"/>
  </r>
  <r>
    <x v="4"/>
    <s v="8J094"/>
    <x v="5"/>
    <s v="BADGER LTD"/>
    <n v="0"/>
    <n v="0"/>
    <n v="0"/>
    <n v="0"/>
    <n v="0"/>
    <n v="0"/>
    <d v="2025-08-01T00:00:00"/>
    <s v="Q2"/>
    <x v="1"/>
    <n v="0"/>
    <n v="0"/>
    <n v="5"/>
    <n v="0"/>
  </r>
  <r>
    <x v="4"/>
    <s v="AD913"/>
    <x v="4"/>
    <s v="BECKENHAM BEACON UCC"/>
    <n v="0"/>
    <n v="3363"/>
    <n v="0"/>
    <n v="13"/>
    <n v="0"/>
    <n v="0"/>
    <d v="2025-08-01T00:00:00"/>
    <s v="Q2"/>
    <x v="1"/>
    <n v="0"/>
    <n v="3363"/>
    <n v="5"/>
    <n v="0"/>
  </r>
  <r>
    <x v="4"/>
    <s v="G3P9C"/>
    <x v="1"/>
    <s v="TROWBRIDGE MINOR INJURIES UNIT"/>
    <n v="0"/>
    <n v="1058"/>
    <n v="0"/>
    <n v="7"/>
    <n v="0"/>
    <n v="0"/>
    <d v="2025-08-01T00:00:00"/>
    <s v="Q2"/>
    <x v="1"/>
    <n v="0"/>
    <n v="1058"/>
    <n v="5"/>
    <n v="0"/>
  </r>
  <r>
    <x v="4"/>
    <s v="NQT1I"/>
    <x v="1"/>
    <s v="CHIPPENHAM COMMUNITY HOSPITAL"/>
    <n v="0"/>
    <n v="1685"/>
    <n v="0"/>
    <n v="9"/>
    <n v="0"/>
    <n v="0"/>
    <d v="2025-08-01T00:00:00"/>
    <s v="Q2"/>
    <x v="1"/>
    <n v="0"/>
    <n v="1685"/>
    <n v="5"/>
    <n v="0"/>
  </r>
  <r>
    <x v="4"/>
    <s v="NQT5F"/>
    <x v="3"/>
    <s v="SKELMERSDALE WALK IN CENTRE"/>
    <n v="0"/>
    <n v="1584"/>
    <n v="0"/>
    <n v="7"/>
    <n v="0"/>
    <n v="0"/>
    <d v="2025-08-01T00:00:00"/>
    <s v="Q2"/>
    <x v="1"/>
    <n v="0"/>
    <n v="1584"/>
    <n v="5"/>
    <n v="0"/>
  </r>
  <r>
    <x v="4"/>
    <s v="NQT5H"/>
    <x v="1"/>
    <s v="PAULTON MEMORIAL HOSPITAL"/>
    <n v="0"/>
    <n v="1148"/>
    <n v="0"/>
    <n v="2"/>
    <n v="0"/>
    <n v="0"/>
    <d v="2025-08-01T00:00:00"/>
    <s v="Q2"/>
    <x v="1"/>
    <n v="0"/>
    <n v="1148"/>
    <n v="5"/>
    <n v="0"/>
  </r>
  <r>
    <x v="4"/>
    <s v="NR3"/>
    <x v="5"/>
    <s v="NOTTINGHAM CITYCARE PARTNERSHIP"/>
    <n v="0"/>
    <n v="4694"/>
    <n v="0"/>
    <n v="231"/>
    <n v="0"/>
    <n v="0"/>
    <d v="2025-08-01T00:00:00"/>
    <s v="Q2"/>
    <x v="1"/>
    <n v="0"/>
    <n v="4694"/>
    <n v="5"/>
    <n v="0"/>
  </r>
  <r>
    <x v="4"/>
    <s v="NV693"/>
    <x v="3"/>
    <s v="ROSSENDALE MIU &amp; OOH"/>
    <n v="0"/>
    <n v="1018"/>
    <n v="0"/>
    <n v="0"/>
    <n v="0"/>
    <n v="0"/>
    <d v="2025-08-01T00:00:00"/>
    <s v="Q2"/>
    <x v="1"/>
    <n v="0"/>
    <n v="1018"/>
    <n v="5"/>
    <n v="0"/>
  </r>
  <r>
    <x v="4"/>
    <s v="R0A"/>
    <x v="3"/>
    <s v="MANCHESTER UNIVERSITY NHS FOUNDATION TRUST"/>
    <n v="23856"/>
    <n v="10819"/>
    <n v="10063"/>
    <n v="284"/>
    <n v="2881"/>
    <n v="69"/>
    <d v="2025-08-01T00:00:00"/>
    <s v="Q2"/>
    <x v="1"/>
    <n v="0.42182260228034874"/>
    <n v="34675"/>
    <n v="5"/>
    <n v="2.8923541247484908E-3"/>
  </r>
  <r>
    <x v="4"/>
    <s v="R1D"/>
    <x v="5"/>
    <s v="SHROPSHIRE COMMUNITY HEALTH NHS TRUST"/>
    <n v="0"/>
    <n v="3193"/>
    <n v="0"/>
    <n v="52"/>
    <n v="0"/>
    <n v="0"/>
    <d v="2025-08-01T00:00:00"/>
    <s v="Q2"/>
    <x v="1"/>
    <n v="0"/>
    <n v="3193"/>
    <n v="5"/>
    <n v="0"/>
  </r>
  <r>
    <x v="4"/>
    <s v="RA2"/>
    <x v="0"/>
    <s v="ROYAL SURREY COUNTY HOSPITAL NHS FOUNDATION TRUST"/>
    <n v="6430"/>
    <n v="1629"/>
    <n v="2023"/>
    <n v="0"/>
    <n v="376"/>
    <n v="5"/>
    <d v="2025-08-01T00:00:00"/>
    <s v="Q2"/>
    <x v="1"/>
    <n v="0.31461897356143081"/>
    <n v="8059"/>
    <n v="5"/>
    <n v="7.776049766718507E-4"/>
  </r>
  <r>
    <x v="4"/>
    <s v="RBK"/>
    <x v="5"/>
    <s v="WALSALL HEALTHCARE NHS TRUST"/>
    <n v="8935"/>
    <n v="4373"/>
    <n v="2943"/>
    <n v="10"/>
    <n v="949"/>
    <n v="117"/>
    <d v="2025-08-01T00:00:00"/>
    <s v="Q2"/>
    <x v="1"/>
    <n v="0.32937884722999439"/>
    <n v="13308"/>
    <n v="5"/>
    <n v="1.3094571908226077E-2"/>
  </r>
  <r>
    <x v="4"/>
    <s v="RJ8"/>
    <x v="1"/>
    <s v="CORNWALL PARTNERSHIP NHS FOUNDATION TRUST"/>
    <n v="0"/>
    <n v="0"/>
    <n v="0"/>
    <n v="0"/>
    <n v="0"/>
    <n v="0"/>
    <d v="2025-08-01T00:00:00"/>
    <s v="Q2"/>
    <x v="1"/>
    <n v="0"/>
    <n v="0"/>
    <n v="5"/>
    <n v="0"/>
  </r>
  <r>
    <x v="4"/>
    <s v="REM"/>
    <x v="3"/>
    <s v="LIVERPOOL UNIVERSITY HOSPITALS NHS FOUNDATION TRUST"/>
    <n v="16163"/>
    <n v="7505"/>
    <n v="7501"/>
    <n v="150"/>
    <n v="1433"/>
    <n v="477"/>
    <d v="2025-08-01T00:00:00"/>
    <s v="Q2"/>
    <x v="1"/>
    <n v="0.46408463775289238"/>
    <n v="23668"/>
    <n v="5"/>
    <n v="2.9511848048010891E-2"/>
  </r>
  <r>
    <x v="4"/>
    <s v="AQN04"/>
    <x v="0"/>
    <s v="PHL LYMINGTON UTC"/>
    <n v="0"/>
    <n v="3395"/>
    <n v="0"/>
    <n v="50"/>
    <n v="0"/>
    <n v="0"/>
    <d v="2025-08-01T00:00:00"/>
    <s v="Q2"/>
    <x v="1"/>
    <n v="0"/>
    <n v="3395"/>
    <n v="5"/>
    <n v="0"/>
  </r>
  <r>
    <x v="4"/>
    <s v="RAN"/>
    <x v="4"/>
    <s v="ROYAL NATIONAL ORTHOPAEDIC HOSPITAL NHS TRUST"/>
    <n v="0"/>
    <n v="0"/>
    <n v="0"/>
    <n v="0"/>
    <n v="0"/>
    <n v="0"/>
    <d v="2025-08-01T00:00:00"/>
    <s v="Q2"/>
    <x v="1"/>
    <n v="0"/>
    <n v="0"/>
    <n v="5"/>
    <n v="0"/>
  </r>
  <r>
    <x v="5"/>
    <s v="RJE"/>
    <x v="5"/>
    <s v="UNIVERSITY HOSPITALS OF NORTH MIDLANDS NHS TRUST"/>
    <n v="14776"/>
    <n v="8096"/>
    <n v="7469"/>
    <n v="146"/>
    <n v="1062"/>
    <n v="1003"/>
    <d v="2025-09-01T00:00:00"/>
    <s v="Q2"/>
    <x v="2"/>
    <n v="0.50548186247969684"/>
    <n v="22872"/>
    <n v="6"/>
    <n v="6.7880346507850575E-2"/>
  </r>
  <r>
    <x v="5"/>
    <s v="RJC"/>
    <x v="5"/>
    <s v="SOUTH WARWICKSHIRE UNIVERSITY NHS FOUNDATION TRUST"/>
    <n v="8326"/>
    <n v="449"/>
    <n v="2163"/>
    <n v="0"/>
    <n v="432"/>
    <n v="57"/>
    <d v="2025-09-01T00:00:00"/>
    <s v="Q2"/>
    <x v="2"/>
    <n v="0.25978861398030267"/>
    <n v="8775"/>
    <n v="6"/>
    <n v="6.8460245015613741E-3"/>
  </r>
  <r>
    <x v="5"/>
    <s v="RJ1"/>
    <x v="4"/>
    <s v="GUY'S AND ST THOMAS' NHS FOUNDATION TRUST"/>
    <n v="10047"/>
    <n v="6766"/>
    <n v="3541"/>
    <n v="153"/>
    <n v="137"/>
    <n v="67"/>
    <d v="2025-09-01T00:00:00"/>
    <s v="Q2"/>
    <x v="2"/>
    <n v="0.35244351547725689"/>
    <n v="16813"/>
    <n v="6"/>
    <n v="6.6686573106399917E-3"/>
  </r>
  <r>
    <x v="5"/>
    <s v="RGP"/>
    <x v="2"/>
    <s v="JAMES PAGET UNIVERSITY HOSPITALS NHS FOUNDATION TRUST"/>
    <n v="7390"/>
    <n v="1352"/>
    <n v="2629"/>
    <n v="0"/>
    <n v="493"/>
    <n v="381"/>
    <d v="2025-09-01T00:00:00"/>
    <s v="Q2"/>
    <x v="2"/>
    <n v="0.35575101488497968"/>
    <n v="8742"/>
    <n v="6"/>
    <n v="5.155615696887686E-2"/>
  </r>
  <r>
    <x v="5"/>
    <s v="RDE"/>
    <x v="2"/>
    <s v="EAST SUFFOLK AND NORTH ESSEX NHS FOUNDATION TRUST"/>
    <n v="12269"/>
    <n v="13229"/>
    <n v="6644"/>
    <n v="698"/>
    <n v="1073"/>
    <n v="597"/>
    <d v="2025-09-01T00:00:00"/>
    <s v="Q2"/>
    <x v="2"/>
    <n v="0.54152742684815391"/>
    <n v="25498"/>
    <n v="6"/>
    <n v="4.8659222430515937E-2"/>
  </r>
  <r>
    <x v="5"/>
    <s v="RCX"/>
    <x v="2"/>
    <s v="THE QUEEN ELIZABETH HOSPITAL, KING'S LYNN, NHS FOUNDATION TRUST"/>
    <n v="6525"/>
    <n v="1242"/>
    <n v="2857"/>
    <n v="0"/>
    <n v="620"/>
    <n v="153"/>
    <d v="2025-09-01T00:00:00"/>
    <s v="Q2"/>
    <x v="2"/>
    <n v="0.43785440613026821"/>
    <n v="7767"/>
    <n v="6"/>
    <n v="2.3448275862068966E-2"/>
  </r>
  <r>
    <x v="5"/>
    <s v="RAX"/>
    <x v="4"/>
    <s v="KINGSTON AND RICHMOND NHS FOUNDATION TRUST"/>
    <n v="7000"/>
    <n v="8430"/>
    <n v="4257"/>
    <n v="342"/>
    <n v="316"/>
    <n v="320"/>
    <d v="2025-09-01T00:00:00"/>
    <s v="Q2"/>
    <x v="2"/>
    <n v="0.6081428571428571"/>
    <n v="15430"/>
    <n v="6"/>
    <n v="4.5714285714285714E-2"/>
  </r>
  <r>
    <x v="5"/>
    <s v="RA2"/>
    <x v="0"/>
    <s v="ROYAL SURREY NHS FOUNDATION TRUST"/>
    <n v="6802"/>
    <n v="1813"/>
    <n v="2360"/>
    <n v="0"/>
    <n v="422"/>
    <n v="7"/>
    <d v="2025-09-01T00:00:00"/>
    <s v="Q2"/>
    <x v="2"/>
    <n v="0.34695677741840636"/>
    <n v="8615"/>
    <n v="6"/>
    <n v="1.0291090855630697E-3"/>
  </r>
  <r>
    <x v="5"/>
    <s v="NTV0W"/>
    <x v="0"/>
    <s v="WOKING WALK IN CENTRE"/>
    <n v="0"/>
    <n v="2621"/>
    <n v="0"/>
    <n v="70"/>
    <n v="0"/>
    <n v="0"/>
    <d v="2025-09-01T00:00:00"/>
    <s v="Q2"/>
    <x v="2"/>
    <n v="0"/>
    <n v="2621"/>
    <n v="6"/>
    <n v="0"/>
  </r>
  <r>
    <x v="5"/>
    <s v="NTV0B"/>
    <x v="0"/>
    <s v="ASHFORD WALK-IN-CENTRE"/>
    <n v="0"/>
    <n v="2374"/>
    <n v="0"/>
    <n v="34"/>
    <n v="0"/>
    <n v="0"/>
    <d v="2025-09-01T00:00:00"/>
    <s v="Q2"/>
    <x v="2"/>
    <n v="0"/>
    <n v="2374"/>
    <n v="6"/>
    <n v="0"/>
  </r>
  <r>
    <x v="5"/>
    <s v="NR3"/>
    <x v="5"/>
    <s v="NOTTINGHAM CITYCARE PARTNERSHIP"/>
    <n v="0"/>
    <n v="5001"/>
    <n v="0"/>
    <n v="281"/>
    <n v="0"/>
    <n v="0"/>
    <d v="2025-09-01T00:00:00"/>
    <s v="Q2"/>
    <x v="2"/>
    <n v="0"/>
    <n v="5001"/>
    <n v="6"/>
    <n v="0"/>
  </r>
  <r>
    <x v="5"/>
    <s v="C82009"/>
    <x v="5"/>
    <s v="MARKET HARBOROUGH MED.CTR"/>
    <n v="0"/>
    <n v="304"/>
    <n v="0"/>
    <n v="0"/>
    <n v="0"/>
    <n v="0"/>
    <d v="2025-09-01T00:00:00"/>
    <s v="Q2"/>
    <x v="2"/>
    <n v="0"/>
    <n v="304"/>
    <n v="6"/>
    <n v="0"/>
  </r>
  <r>
    <x v="5"/>
    <s v="RYF"/>
    <x v="1"/>
    <s v="SOUTH WESTERN AMBULANCE SERVICE NHS FOUNDATION TRUST"/>
    <n v="0"/>
    <n v="1871"/>
    <n v="0"/>
    <n v="40"/>
    <n v="0"/>
    <n v="0"/>
    <d v="2025-09-01T00:00:00"/>
    <s v="Q2"/>
    <x v="2"/>
    <n v="0"/>
    <n v="1871"/>
    <n v="6"/>
    <n v="0"/>
  </r>
  <r>
    <x v="5"/>
    <s v="RY7"/>
    <x v="3"/>
    <s v="WIRRAL COMMUNITY HEALTH AND CARE NHS FOUNDATION TRUST"/>
    <n v="0"/>
    <n v="4025"/>
    <n v="0"/>
    <n v="218"/>
    <n v="0"/>
    <n v="0"/>
    <d v="2025-09-01T00:00:00"/>
    <s v="Q2"/>
    <x v="2"/>
    <n v="0"/>
    <n v="4025"/>
    <n v="6"/>
    <n v="0"/>
  </r>
  <r>
    <x v="5"/>
    <s v="RXR"/>
    <x v="3"/>
    <s v="EAST LANCASHIRE HOSPITALS NHS TRUST"/>
    <n v="13452"/>
    <n v="10742"/>
    <n v="4441"/>
    <n v="527"/>
    <n v="365"/>
    <n v="978"/>
    <d v="2025-09-01T00:00:00"/>
    <s v="Q2"/>
    <x v="2"/>
    <n v="0.33013678263455248"/>
    <n v="24194"/>
    <n v="6"/>
    <n v="7.2702943800178416E-2"/>
  </r>
  <r>
    <x v="5"/>
    <s v="RWP"/>
    <x v="5"/>
    <s v="WORCESTERSHIRE ACUTE HOSPITALS NHS TRUST"/>
    <n v="13774"/>
    <n v="5944"/>
    <n v="7203"/>
    <n v="86"/>
    <n v="1068"/>
    <n v="1160"/>
    <d v="2025-09-01T00:00:00"/>
    <s v="Q2"/>
    <x v="2"/>
    <n v="0.52294177435748512"/>
    <n v="19718"/>
    <n v="6"/>
    <n v="8.4216640046464356E-2"/>
  </r>
  <r>
    <x v="5"/>
    <s v="RV9"/>
    <x v="6"/>
    <s v="HUMBER TEACHING NHS FOUNDATION TRUST"/>
    <n v="0"/>
    <n v="1116"/>
    <n v="0"/>
    <n v="9"/>
    <n v="0"/>
    <n v="0"/>
    <d v="2025-09-01T00:00:00"/>
    <s v="Q2"/>
    <x v="2"/>
    <n v="0"/>
    <n v="1116"/>
    <n v="6"/>
    <n v="0"/>
  </r>
  <r>
    <x v="5"/>
    <s v="RTQ"/>
    <x v="1"/>
    <s v="GLOUCESTERSHIRE HEALTH AND CARE NHS FOUNDATION TRUST"/>
    <n v="0"/>
    <n v="8097"/>
    <n v="0"/>
    <n v="141"/>
    <n v="0"/>
    <n v="0"/>
    <d v="2025-09-01T00:00:00"/>
    <s v="Q2"/>
    <x v="2"/>
    <n v="0"/>
    <n v="8097"/>
    <n v="6"/>
    <n v="0"/>
  </r>
  <r>
    <x v="5"/>
    <s v="RRV"/>
    <x v="4"/>
    <s v="UNIVERSITY COLLEGE LONDON HOSPITALS NHS FOUNDATION TRUST"/>
    <n v="13081"/>
    <n v="0"/>
    <n v="4117"/>
    <n v="0"/>
    <n v="444"/>
    <n v="194"/>
    <d v="2025-09-01T00:00:00"/>
    <s v="Q2"/>
    <x v="2"/>
    <n v="0.31473128965675407"/>
    <n v="13081"/>
    <n v="6"/>
    <n v="1.4830670438039905E-2"/>
  </r>
  <r>
    <x v="5"/>
    <s v="RR7"/>
    <x v="6"/>
    <s v="GATESHEAD HEALTH NHS FOUNDATION TRUST"/>
    <n v="5635"/>
    <n v="4063"/>
    <n v="2161"/>
    <n v="24"/>
    <n v="643"/>
    <n v="2"/>
    <d v="2025-09-01T00:00:00"/>
    <s v="Q2"/>
    <x v="2"/>
    <n v="0.38349600709849158"/>
    <n v="9698"/>
    <n v="6"/>
    <n v="3.5492457852706301E-4"/>
  </r>
  <r>
    <x v="5"/>
    <s v="RJZ"/>
    <x v="4"/>
    <s v="KING'S COLLEGE HOSPITAL NHS FOUNDATION TRUST"/>
    <n v="15522"/>
    <n v="9115"/>
    <n v="7143"/>
    <n v="703"/>
    <n v="1604"/>
    <n v="664"/>
    <d v="2025-09-01T00:00:00"/>
    <s v="Q2"/>
    <x v="2"/>
    <n v="0.46018554310011595"/>
    <n v="24637"/>
    <n v="6"/>
    <n v="4.2777992526736246E-2"/>
  </r>
  <r>
    <x v="5"/>
    <s v="RK9"/>
    <x v="1"/>
    <s v="UNIVERSITY HOSPITALS PLYMOUTH NHS TRUST"/>
    <n v="8381"/>
    <n v="7353"/>
    <n v="4936"/>
    <n v="81"/>
    <n v="538"/>
    <n v="667"/>
    <d v="2025-09-01T00:00:00"/>
    <s v="Q2"/>
    <x v="2"/>
    <n v="0.58895119914091398"/>
    <n v="15734"/>
    <n v="6"/>
    <n v="7.9584775086505188E-2"/>
  </r>
  <r>
    <x v="5"/>
    <s v="RMP"/>
    <x v="3"/>
    <s v="TAMESIDE AND GLOSSOP INTEGRATED CARE NHS FOUNDATION TRUST"/>
    <n v="8516"/>
    <n v="2379"/>
    <n v="3902"/>
    <n v="42"/>
    <n v="405"/>
    <n v="650"/>
    <d v="2025-09-01T00:00:00"/>
    <s v="Q2"/>
    <x v="2"/>
    <n v="0.4581963363081259"/>
    <n v="10895"/>
    <n v="6"/>
    <n v="7.6326914044152178E-2"/>
  </r>
  <r>
    <x v="5"/>
    <s v="RNQ"/>
    <x v="5"/>
    <s v="KETTERING GENERAL HOSPITAL NHS FOUNDATION TRUST"/>
    <n v="9876"/>
    <n v="8117"/>
    <n v="3536"/>
    <n v="75"/>
    <n v="759"/>
    <n v="438"/>
    <d v="2025-09-01T00:00:00"/>
    <s v="Q2"/>
    <x v="2"/>
    <n v="0.35803969218307008"/>
    <n v="17993"/>
    <n v="6"/>
    <n v="4.4349939246658567E-2"/>
  </r>
  <r>
    <x v="5"/>
    <s v="RJL"/>
    <x v="6"/>
    <s v="NORTHERN LINCOLNSHIRE AND GOOLE NHS FOUNDATION TRUST"/>
    <n v="9382"/>
    <n v="7076"/>
    <n v="4831"/>
    <n v="42"/>
    <n v="745"/>
    <n v="689"/>
    <d v="2025-09-01T00:00:00"/>
    <s v="Q2"/>
    <x v="2"/>
    <n v="0.51492219143039863"/>
    <n v="16458"/>
    <n v="6"/>
    <n v="7.3438499253890427E-2"/>
  </r>
  <r>
    <x v="5"/>
    <s v="RHM"/>
    <x v="0"/>
    <s v="UNIVERSITY HOSPITAL SOUTHAMPTON NHS FOUNDATION TRUST"/>
    <n v="11703"/>
    <n v="0"/>
    <n v="4114"/>
    <n v="0"/>
    <n v="442"/>
    <n v="13"/>
    <d v="2025-09-01T00:00:00"/>
    <s v="Q2"/>
    <x v="2"/>
    <n v="0.35153379475348201"/>
    <n v="11703"/>
    <n v="6"/>
    <n v="1.1108262838588395E-3"/>
  </r>
  <r>
    <x v="5"/>
    <s v="RH8"/>
    <x v="1"/>
    <s v="ROYAL DEVON UNIVERSITY HEALTHCARE NHS FOUNDATION TRUST"/>
    <n v="13032"/>
    <n v="4214"/>
    <n v="5967"/>
    <n v="36"/>
    <n v="974"/>
    <n v="180"/>
    <d v="2025-09-01T00:00:00"/>
    <s v="Q2"/>
    <x v="2"/>
    <n v="0.45787292817679559"/>
    <n v="17246"/>
    <n v="6"/>
    <n v="1.3812154696132596E-2"/>
  </r>
  <r>
    <x v="5"/>
    <s v="RET"/>
    <x v="3"/>
    <s v="THE WALTON CENTRE NHS FOUNDATION TRUST"/>
    <n v="0"/>
    <n v="0"/>
    <n v="0"/>
    <n v="0"/>
    <n v="0"/>
    <n v="0"/>
    <d v="2025-09-01T00:00:00"/>
    <s v="Q2"/>
    <x v="2"/>
    <n v="0"/>
    <n v="0"/>
    <n v="6"/>
    <n v="0"/>
  </r>
  <r>
    <x v="5"/>
    <s v="REP"/>
    <x v="3"/>
    <s v="LIVERPOOL WOMEN'S NHS FOUNDATION TRUST"/>
    <n v="0"/>
    <n v="0"/>
    <n v="0"/>
    <n v="0"/>
    <n v="0"/>
    <n v="0"/>
    <d v="2025-09-01T00:00:00"/>
    <s v="Q2"/>
    <x v="2"/>
    <n v="0"/>
    <n v="0"/>
    <n v="6"/>
    <n v="0"/>
  </r>
  <r>
    <x v="5"/>
    <s v="RDU"/>
    <x v="0"/>
    <s v="FRIMLEY HEALTH NHS FOUNDATION TRUST"/>
    <n v="22763"/>
    <n v="12113"/>
    <n v="9408"/>
    <n v="246"/>
    <n v="1435"/>
    <n v="325"/>
    <d v="2025-09-01T00:00:00"/>
    <s v="Q2"/>
    <x v="2"/>
    <n v="0.41330228880200326"/>
    <n v="34876"/>
    <n v="6"/>
    <n v="1.4277555682467162E-2"/>
  </r>
  <r>
    <x v="5"/>
    <s v="RC9"/>
    <x v="2"/>
    <s v="BEDFORDSHIRE HOSPITALS NHS FOUNDATION TRUST"/>
    <n v="16618"/>
    <n v="8009"/>
    <n v="6124"/>
    <n v="0"/>
    <n v="80"/>
    <n v="2"/>
    <d v="2025-09-01T00:00:00"/>
    <s v="Q2"/>
    <x v="2"/>
    <n v="0.36851606691539296"/>
    <n v="24627"/>
    <n v="6"/>
    <n v="1.2035142616440005E-4"/>
  </r>
  <r>
    <x v="5"/>
    <s v="RBN"/>
    <x v="3"/>
    <s v="MERSEY AND WEST LANCASHIRE TEACHING HOSPITALS NHS TRUST"/>
    <n v="17140"/>
    <n v="6989"/>
    <n v="6435"/>
    <n v="84"/>
    <n v="564"/>
    <n v="367"/>
    <d v="2025-09-01T00:00:00"/>
    <s v="Q2"/>
    <x v="2"/>
    <n v="0.37543757292882146"/>
    <n v="24129"/>
    <n v="6"/>
    <n v="2.1411901983663943E-2"/>
  </r>
  <r>
    <x v="5"/>
    <s v="RBD"/>
    <x v="1"/>
    <s v="DORSET COUNTY HOSPITAL NHS FOUNDATION TRUST"/>
    <n v="4529"/>
    <n v="0"/>
    <n v="1710"/>
    <n v="0"/>
    <n v="209"/>
    <n v="74"/>
    <d v="2025-09-01T00:00:00"/>
    <s v="Q2"/>
    <x v="2"/>
    <n v="0.37756679178626629"/>
    <n v="4529"/>
    <n v="6"/>
    <n v="1.6339147714727314E-2"/>
  </r>
  <r>
    <x v="5"/>
    <s v="RGR"/>
    <x v="2"/>
    <s v="WEST SUFFOLK NHS FOUNDATION TRUST"/>
    <n v="7969"/>
    <n v="648"/>
    <n v="2637"/>
    <n v="0"/>
    <n v="534"/>
    <n v="373"/>
    <d v="2025-09-01T00:00:00"/>
    <s v="Q2"/>
    <x v="2"/>
    <n v="0.33090726565441086"/>
    <n v="8617"/>
    <n v="6"/>
    <n v="4.6806374701970133E-2"/>
  </r>
  <r>
    <x v="5"/>
    <s v="RAE"/>
    <x v="6"/>
    <s v="BRADFORD TEACHING HOSPITALS NHS FOUNDATION TRUST"/>
    <n v="9085"/>
    <n v="3316"/>
    <n v="2193"/>
    <n v="0"/>
    <n v="670"/>
    <n v="76"/>
    <d v="2025-09-01T00:00:00"/>
    <s v="Q2"/>
    <x v="2"/>
    <n v="0.24138690148596587"/>
    <n v="12401"/>
    <n v="6"/>
    <n v="8.3654375343973578E-3"/>
  </r>
  <r>
    <x v="5"/>
    <s v="NQT51"/>
    <x v="0"/>
    <s v="STATION PLAZA HEALTH CENTRE"/>
    <n v="0"/>
    <n v="856"/>
    <n v="0"/>
    <n v="0"/>
    <n v="0"/>
    <n v="0"/>
    <d v="2025-09-01T00:00:00"/>
    <s v="Q2"/>
    <x v="2"/>
    <n v="0"/>
    <n v="856"/>
    <n v="6"/>
    <n v="0"/>
  </r>
  <r>
    <x v="5"/>
    <s v="RYX"/>
    <x v="4"/>
    <s v="CENTRAL LONDON COMMUNITY HEALTHCARE NHS TRUST"/>
    <n v="0"/>
    <n v="11653"/>
    <n v="0"/>
    <n v="170"/>
    <n v="0"/>
    <n v="0"/>
    <d v="2025-09-01T00:00:00"/>
    <s v="Q2"/>
    <x v="2"/>
    <n v="0"/>
    <n v="11653"/>
    <n v="6"/>
    <n v="0"/>
  </r>
  <r>
    <x v="5"/>
    <s v="RY4"/>
    <x v="2"/>
    <s v="HERTFORDSHIRE COMMUNITY NHS TRUST"/>
    <n v="0"/>
    <n v="1169"/>
    <n v="0"/>
    <n v="67"/>
    <n v="0"/>
    <n v="0"/>
    <d v="2025-09-01T00:00:00"/>
    <s v="Q2"/>
    <x v="2"/>
    <n v="0"/>
    <n v="1169"/>
    <n v="6"/>
    <n v="0"/>
  </r>
  <r>
    <x v="5"/>
    <s v="RXL"/>
    <x v="3"/>
    <s v="BLACKPOOL TEACHING HOSPITALS NHS FOUNDATION TRUST"/>
    <n v="8782"/>
    <n v="9722"/>
    <n v="4275"/>
    <n v="74"/>
    <n v="729"/>
    <n v="415"/>
    <d v="2025-09-01T00:00:00"/>
    <s v="Q2"/>
    <x v="2"/>
    <n v="0.48679116374402187"/>
    <n v="18504"/>
    <n v="6"/>
    <n v="4.7255750398542476E-2"/>
  </r>
  <r>
    <x v="5"/>
    <s v="RXC"/>
    <x v="0"/>
    <s v="EAST SUSSEX HEALTHCARE NHS TRUST"/>
    <n v="8997"/>
    <n v="2484"/>
    <n v="3277"/>
    <n v="31"/>
    <n v="185"/>
    <n v="19"/>
    <d v="2025-09-01T00:00:00"/>
    <s v="Q2"/>
    <x v="2"/>
    <n v="0.3642325219517617"/>
    <n v="11481"/>
    <n v="6"/>
    <n v="2.1118150494609314E-3"/>
  </r>
  <r>
    <x v="5"/>
    <s v="RVW"/>
    <x v="6"/>
    <s v="NORTH TEES AND HARTLEPOOL NHS FOUNDATION TRUST"/>
    <n v="4801"/>
    <n v="11009"/>
    <n v="2574"/>
    <n v="53"/>
    <n v="221"/>
    <n v="26"/>
    <d v="2025-09-01T00:00:00"/>
    <s v="Q2"/>
    <x v="2"/>
    <n v="0.53613830451989164"/>
    <n v="15810"/>
    <n v="6"/>
    <n v="5.4155384294938555E-3"/>
  </r>
  <r>
    <x v="5"/>
    <s v="RTX"/>
    <x v="3"/>
    <s v="UNIVERSITY HOSPITALS OF MORECAMBE BAY NHS FOUNDATION TRUST"/>
    <n v="9043"/>
    <n v="2724"/>
    <n v="3480"/>
    <n v="62"/>
    <n v="631"/>
    <n v="591"/>
    <d v="2025-09-01T00:00:00"/>
    <s v="Q2"/>
    <x v="2"/>
    <n v="0.3848280437907774"/>
    <n v="11767"/>
    <n v="6"/>
    <n v="6.5354417781709612E-2"/>
  </r>
  <r>
    <x v="5"/>
    <s v="RTR"/>
    <x v="6"/>
    <s v="SOUTH TEES HOSPITALS NHS FOUNDATION TRUST"/>
    <n v="7342"/>
    <n v="9220"/>
    <n v="3918"/>
    <n v="331"/>
    <n v="348"/>
    <n v="28"/>
    <d v="2025-09-01T00:00:00"/>
    <s v="Q2"/>
    <x v="2"/>
    <n v="0.53364205938436393"/>
    <n v="16562"/>
    <n v="6"/>
    <n v="3.8136747480250611E-3"/>
  </r>
  <r>
    <x v="5"/>
    <s v="RPA"/>
    <x v="0"/>
    <s v="MEDWAY NHS FOUNDATION TRUST"/>
    <n v="9817"/>
    <n v="5974"/>
    <n v="3316"/>
    <n v="794"/>
    <n v="369"/>
    <n v="630"/>
    <d v="2025-09-01T00:00:00"/>
    <s v="Q2"/>
    <x v="2"/>
    <n v="0.33778139961291637"/>
    <n v="15791"/>
    <n v="6"/>
    <n v="6.4174391361923197E-2"/>
  </r>
  <r>
    <x v="5"/>
    <s v="R1F"/>
    <x v="0"/>
    <s v="ISLE OF WIGHT NHS TRUST"/>
    <n v="4275"/>
    <n v="1669"/>
    <n v="1297"/>
    <n v="55"/>
    <n v="163"/>
    <n v="86"/>
    <d v="2025-09-01T00:00:00"/>
    <s v="Q2"/>
    <x v="2"/>
    <n v="0.3033918128654971"/>
    <n v="5944"/>
    <n v="6"/>
    <n v="2.0116959064327485E-2"/>
  </r>
  <r>
    <x v="5"/>
    <s v="RFR"/>
    <x v="6"/>
    <s v="THE ROTHERHAM NHS FOUNDATION TRUST"/>
    <n v="8932"/>
    <n v="0"/>
    <n v="2550"/>
    <n v="0"/>
    <n v="401"/>
    <n v="1"/>
    <d v="2025-09-01T00:00:00"/>
    <s v="Q2"/>
    <x v="2"/>
    <n v="0.28549037169726826"/>
    <n v="8932"/>
    <n v="6"/>
    <n v="1.1195700850873264E-4"/>
  </r>
  <r>
    <x v="5"/>
    <s v="RCU"/>
    <x v="6"/>
    <s v="SHEFFIELD CHILDREN'S NHS FOUNDATION TRUST"/>
    <n v="4136"/>
    <n v="321"/>
    <n v="262"/>
    <n v="0"/>
    <n v="14"/>
    <n v="0"/>
    <d v="2025-09-01T00:00:00"/>
    <s v="Q2"/>
    <x v="2"/>
    <n v="6.3346228239845259E-2"/>
    <n v="4457"/>
    <n v="6"/>
    <n v="0"/>
  </r>
  <r>
    <x v="5"/>
    <s v="RCD"/>
    <x v="6"/>
    <s v="HARROGATE AND DISTRICT NHS FOUNDATION TRUST"/>
    <n v="5219"/>
    <n v="1039"/>
    <n v="1416"/>
    <n v="0"/>
    <n v="58"/>
    <n v="0"/>
    <d v="2025-09-01T00:00:00"/>
    <s v="Q2"/>
    <x v="2"/>
    <n v="0.27131634412722744"/>
    <n v="6258"/>
    <n v="6"/>
    <n v="0"/>
  </r>
  <r>
    <x v="5"/>
    <s v="DT301"/>
    <x v="2"/>
    <s v="HERTS URGENT CARE (ASCOTS LANE)"/>
    <n v="0"/>
    <n v="2249"/>
    <n v="0"/>
    <n v="207"/>
    <n v="0"/>
    <n v="0"/>
    <d v="2025-09-01T00:00:00"/>
    <s v="Q2"/>
    <x v="2"/>
    <n v="0"/>
    <n v="2249"/>
    <n v="6"/>
    <n v="0"/>
  </r>
  <r>
    <x v="5"/>
    <s v="8J094"/>
    <x v="5"/>
    <s v="BADGER LTD"/>
    <n v="0"/>
    <n v="0"/>
    <n v="0"/>
    <n v="0"/>
    <n v="0"/>
    <n v="0"/>
    <d v="2025-09-01T00:00:00"/>
    <s v="Q2"/>
    <x v="2"/>
    <n v="0"/>
    <n v="0"/>
    <n v="6"/>
    <n v="0"/>
  </r>
  <r>
    <x v="5"/>
    <s v="RY8"/>
    <x v="5"/>
    <s v="DERBYSHIRE COMMUNITY HEALTH SERVICES NHS FOUNDATION TRUST"/>
    <n v="0"/>
    <n v="7613"/>
    <n v="0"/>
    <n v="213"/>
    <n v="0"/>
    <n v="0"/>
    <d v="2025-09-01T00:00:00"/>
    <s v="Q2"/>
    <x v="2"/>
    <n v="0"/>
    <n v="7613"/>
    <n v="6"/>
    <n v="0"/>
  </r>
  <r>
    <x v="5"/>
    <s v="RWY"/>
    <x v="6"/>
    <s v="CALDERDALE AND HUDDERSFIELD NHS FOUNDATION TRUST"/>
    <n v="16024"/>
    <n v="0"/>
    <n v="2314"/>
    <n v="0"/>
    <n v="874"/>
    <n v="9"/>
    <d v="2025-09-01T00:00:00"/>
    <s v="Q2"/>
    <x v="2"/>
    <n v="0.14440838741887169"/>
    <n v="16024"/>
    <n v="6"/>
    <n v="5.6165751372940593E-4"/>
  </r>
  <r>
    <x v="5"/>
    <s v="RNU"/>
    <x v="0"/>
    <s v="OXFORD HEALTH NHS FOUNDATION TRUST"/>
    <n v="0"/>
    <n v="4426"/>
    <n v="0"/>
    <n v="245"/>
    <n v="0"/>
    <n v="0"/>
    <d v="2025-09-01T00:00:00"/>
    <s v="Q2"/>
    <x v="2"/>
    <n v="0"/>
    <n v="4426"/>
    <n v="6"/>
    <n v="0"/>
  </r>
  <r>
    <x v="5"/>
    <s v="RL4"/>
    <x v="5"/>
    <s v="THE ROYAL WOLVERHAMPTON NHS TRUST"/>
    <n v="10776"/>
    <n v="5627"/>
    <n v="3134"/>
    <n v="107"/>
    <n v="556"/>
    <n v="486"/>
    <d v="2025-09-01T00:00:00"/>
    <s v="Q2"/>
    <x v="2"/>
    <n v="0.29083147735708981"/>
    <n v="16403"/>
    <n v="6"/>
    <n v="4.5100222717149217E-2"/>
  </r>
  <r>
    <x v="5"/>
    <s v="RL1"/>
    <x v="5"/>
    <s v="THE ROBERT JONES AND AGNES HUNT ORTHOPAEDIC HOSPITAL NHS FOUNDATION TRUST"/>
    <n v="0"/>
    <n v="0"/>
    <n v="0"/>
    <n v="0"/>
    <n v="0"/>
    <n v="0"/>
    <d v="2025-09-01T00:00:00"/>
    <s v="Q2"/>
    <x v="2"/>
    <n v="0"/>
    <n v="0"/>
    <n v="6"/>
    <n v="0"/>
  </r>
  <r>
    <x v="5"/>
    <s v="RFF"/>
    <x v="6"/>
    <s v="BARNSLEY HOSPITAL NHS FOUNDATION TRUST"/>
    <n v="9034"/>
    <n v="0"/>
    <n v="2326"/>
    <n v="0"/>
    <n v="199"/>
    <n v="1"/>
    <d v="2025-09-01T00:00:00"/>
    <s v="Q2"/>
    <x v="2"/>
    <n v="0.2574717733008634"/>
    <n v="9034"/>
    <n v="6"/>
    <n v="1.1069293779056896E-4"/>
  </r>
  <r>
    <x v="5"/>
    <s v="NDJ"/>
    <x v="0"/>
    <s v="FIRST COMMUNITY HEALTH AND CARE CIC"/>
    <n v="0"/>
    <n v="2403"/>
    <n v="0"/>
    <n v="14"/>
    <n v="0"/>
    <n v="0"/>
    <d v="2025-09-01T00:00:00"/>
    <s v="Q2"/>
    <x v="2"/>
    <n v="0"/>
    <n v="2403"/>
    <n v="6"/>
    <n v="0"/>
  </r>
  <r>
    <x v="5"/>
    <s v="L83087"/>
    <x v="1"/>
    <s v="OKEHAMPTON MEDICAL CENTRE"/>
    <n v="0"/>
    <n v="93"/>
    <n v="0"/>
    <n v="0"/>
    <n v="0"/>
    <n v="0"/>
    <d v="2025-09-01T00:00:00"/>
    <s v="Q2"/>
    <x v="2"/>
    <n v="0"/>
    <n v="93"/>
    <n v="6"/>
    <n v="0"/>
  </r>
  <r>
    <x v="5"/>
    <s v="DJV01"/>
    <x v="0"/>
    <s v="HERNE BAY HEALTH CARE LTD"/>
    <n v="0"/>
    <n v="2454"/>
    <n v="0"/>
    <n v="0"/>
    <n v="0"/>
    <n v="0"/>
    <d v="2025-09-01T00:00:00"/>
    <s v="Q2"/>
    <x v="2"/>
    <n v="0"/>
    <n v="2454"/>
    <n v="6"/>
    <n v="0"/>
  </r>
  <r>
    <x v="5"/>
    <s v="Y02676"/>
    <x v="0"/>
    <s v="BRIGHTON STATION HEALTH CENTRE"/>
    <n v="0"/>
    <n v="1825"/>
    <n v="0"/>
    <n v="0"/>
    <n v="0"/>
    <n v="0"/>
    <d v="2025-09-01T00:00:00"/>
    <s v="Q2"/>
    <x v="2"/>
    <n v="0"/>
    <n v="1825"/>
    <n v="6"/>
    <n v="0"/>
  </r>
  <r>
    <x v="5"/>
    <s v="RBT"/>
    <x v="3"/>
    <s v="MID CHESHIRE HOSPITALS NHS FOUNDATION TRUST"/>
    <n v="6842"/>
    <n v="2996"/>
    <n v="3886"/>
    <n v="9"/>
    <n v="455"/>
    <n v="497"/>
    <d v="2025-09-01T00:00:00"/>
    <s v="Q2"/>
    <x v="2"/>
    <n v="0.56796258403975441"/>
    <n v="9838"/>
    <n v="6"/>
    <n v="7.2639579070447241E-2"/>
  </r>
  <r>
    <x v="5"/>
    <s v="RA9"/>
    <x v="1"/>
    <s v="TORBAY AND SOUTH DEVON NHS FOUNDATION TRUST"/>
    <n v="6648"/>
    <n v="3322"/>
    <n v="3160"/>
    <n v="3"/>
    <n v="255"/>
    <n v="78"/>
    <d v="2025-09-01T00:00:00"/>
    <s v="Q2"/>
    <x v="2"/>
    <n v="0.47533092659446452"/>
    <n v="9970"/>
    <n v="6"/>
    <n v="1.1732851985559567E-2"/>
  </r>
  <r>
    <x v="5"/>
    <s v="Y03218"/>
    <x v="4"/>
    <s v="THE PINN UNREGISTERED WIC"/>
    <n v="0"/>
    <n v="1044"/>
    <n v="0"/>
    <n v="0"/>
    <n v="0"/>
    <n v="0"/>
    <d v="2025-09-01T00:00:00"/>
    <s v="Q2"/>
    <x v="2"/>
    <n v="0"/>
    <n v="1044"/>
    <n v="6"/>
    <n v="0"/>
  </r>
  <r>
    <x v="5"/>
    <s v="Y02532"/>
    <x v="3"/>
    <s v="MIRIAM MINOR EMERGENCY"/>
    <n v="0"/>
    <n v="1605"/>
    <n v="0"/>
    <n v="0"/>
    <n v="0"/>
    <n v="0"/>
    <d v="2025-09-01T00:00:00"/>
    <s v="Q2"/>
    <x v="2"/>
    <n v="0"/>
    <n v="1605"/>
    <n v="6"/>
    <n v="0"/>
  </r>
  <r>
    <x v="5"/>
    <s v="Y00751"/>
    <x v="0"/>
    <s v="EAST BERKS PRIMARY CARE OOH(WAM)"/>
    <n v="0"/>
    <n v="0"/>
    <n v="0"/>
    <n v="0"/>
    <n v="0"/>
    <n v="0"/>
    <d v="2025-09-01T00:00:00"/>
    <s v="Q2"/>
    <x v="2"/>
    <n v="0"/>
    <n v="0"/>
    <n v="6"/>
    <n v="0"/>
  </r>
  <r>
    <x v="5"/>
    <s v="RYY"/>
    <x v="0"/>
    <s v="KENT COMMUNITY HEALTH NHS FOUNDATION TRUST"/>
    <n v="0"/>
    <n v="6480"/>
    <n v="0"/>
    <n v="22"/>
    <n v="0"/>
    <n v="0"/>
    <d v="2025-09-01T00:00:00"/>
    <s v="Q2"/>
    <x v="2"/>
    <n v="0"/>
    <n v="6480"/>
    <n v="6"/>
    <n v="0"/>
  </r>
  <r>
    <x v="5"/>
    <s v="RWF"/>
    <x v="0"/>
    <s v="MAIDSTONE AND TUNBRIDGE WELLS NHS TRUST"/>
    <n v="19916"/>
    <n v="2105"/>
    <n v="4113"/>
    <n v="69"/>
    <n v="839"/>
    <n v="96"/>
    <d v="2025-09-01T00:00:00"/>
    <s v="Q2"/>
    <x v="2"/>
    <n v="0.20651737296645914"/>
    <n v="22021"/>
    <n v="6"/>
    <n v="4.8202450291223138E-3"/>
  </r>
  <r>
    <x v="5"/>
    <s v="RW1"/>
    <x v="0"/>
    <s v="HAMPSHIRE AND ISLE OF WIGHT HEALTHCARE NHS FOUNDATION TRUST"/>
    <n v="0"/>
    <n v="2793"/>
    <n v="0"/>
    <n v="64"/>
    <n v="0"/>
    <n v="0"/>
    <d v="2025-09-01T00:00:00"/>
    <s v="Q2"/>
    <x v="2"/>
    <n v="0"/>
    <n v="2793"/>
    <n v="6"/>
    <n v="0"/>
  </r>
  <r>
    <x v="5"/>
    <s v="RJ8"/>
    <x v="1"/>
    <s v="CORNWALL PARTNERSHIP NHS FOUNDATION TRUST"/>
    <n v="0"/>
    <n v="0"/>
    <n v="0"/>
    <n v="0"/>
    <n v="0"/>
    <n v="0"/>
    <d v="2025-09-01T00:00:00"/>
    <s v="Q2"/>
    <x v="2"/>
    <n v="0"/>
    <n v="0"/>
    <n v="6"/>
    <n v="0"/>
  </r>
  <r>
    <x v="5"/>
    <s v="NNF09"/>
    <x v="6"/>
    <s v="BRANSHOLME HEALTH CENTRE"/>
    <n v="0"/>
    <n v="3484"/>
    <n v="0"/>
    <n v="315"/>
    <n v="0"/>
    <n v="0"/>
    <d v="2025-09-01T00:00:00"/>
    <s v="Q2"/>
    <x v="2"/>
    <n v="0"/>
    <n v="3484"/>
    <n v="6"/>
    <n v="0"/>
  </r>
  <r>
    <x v="5"/>
    <s v="RKE"/>
    <x v="4"/>
    <s v="WHITTINGTON HEALTH NHS TRUST"/>
    <n v="8812"/>
    <n v="0"/>
    <n v="2582"/>
    <n v="0"/>
    <n v="261"/>
    <n v="261"/>
    <d v="2025-09-01T00:00:00"/>
    <s v="Q2"/>
    <x v="2"/>
    <n v="0.29300953245574218"/>
    <n v="8812"/>
    <n v="6"/>
    <n v="2.961870177031321E-2"/>
  </r>
  <r>
    <x v="5"/>
    <s v="NNF16"/>
    <x v="6"/>
    <s v="BRIDLINGTON HOSPITAL"/>
    <n v="0"/>
    <n v="1462"/>
    <n v="0"/>
    <n v="26"/>
    <n v="0"/>
    <n v="0"/>
    <d v="2025-09-01T00:00:00"/>
    <s v="Q2"/>
    <x v="2"/>
    <n v="0"/>
    <n v="1462"/>
    <n v="6"/>
    <n v="0"/>
  </r>
  <r>
    <x v="5"/>
    <s v="NNFA7"/>
    <x v="6"/>
    <s v="GOOLE &amp; DISTRICT HOSPITAL"/>
    <n v="0"/>
    <n v="1644"/>
    <n v="0"/>
    <n v="37"/>
    <n v="0"/>
    <n v="0"/>
    <d v="2025-09-01T00:00:00"/>
    <s v="Q2"/>
    <x v="2"/>
    <n v="0"/>
    <n v="1644"/>
    <n v="6"/>
    <n v="0"/>
  </r>
  <r>
    <x v="5"/>
    <s v="RBS"/>
    <x v="3"/>
    <s v="ALDER HEY CHILDREN'S NHS FOUNDATION TRUST"/>
    <n v="5271"/>
    <n v="0"/>
    <n v="669"/>
    <n v="0"/>
    <n v="0"/>
    <n v="0"/>
    <d v="2025-09-01T00:00:00"/>
    <s v="Q2"/>
    <x v="2"/>
    <n v="0.12692088787706318"/>
    <n v="5271"/>
    <n v="6"/>
    <n v="0"/>
  </r>
  <r>
    <x v="5"/>
    <s v="RAN"/>
    <x v="4"/>
    <s v="ROYAL NATIONAL ORTHOPAEDIC HOSPITAL NHS TRUST"/>
    <n v="0"/>
    <n v="0"/>
    <n v="0"/>
    <n v="0"/>
    <n v="0"/>
    <n v="0"/>
    <d v="2025-09-01T00:00:00"/>
    <s v="Q2"/>
    <x v="2"/>
    <n v="0"/>
    <n v="0"/>
    <n v="6"/>
    <n v="0"/>
  </r>
  <r>
    <x v="5"/>
    <s v="RAJ"/>
    <x v="2"/>
    <s v="MID AND SOUTH ESSEX NHS FOUNDATION TRUST"/>
    <n v="30199"/>
    <n v="4085"/>
    <n v="8720"/>
    <n v="122"/>
    <n v="2024"/>
    <n v="483"/>
    <d v="2025-09-01T00:00:00"/>
    <s v="Q2"/>
    <x v="2"/>
    <n v="0.28875128315507137"/>
    <n v="34284"/>
    <n v="6"/>
    <n v="1.5993907083015995E-2"/>
  </r>
  <r>
    <x v="5"/>
    <s v="R1D"/>
    <x v="5"/>
    <s v="SHROPSHIRE COMMUNITY HEALTH NHS TRUST"/>
    <n v="0"/>
    <n v="3451"/>
    <n v="0"/>
    <n v="12"/>
    <n v="0"/>
    <n v="0"/>
    <d v="2025-09-01T00:00:00"/>
    <s v="Q2"/>
    <x v="2"/>
    <n v="0"/>
    <n v="3451"/>
    <n v="6"/>
    <n v="0"/>
  </r>
  <r>
    <x v="5"/>
    <s v="NV693"/>
    <x v="3"/>
    <s v="ROSSENDALE MIU &amp; OOH"/>
    <n v="0"/>
    <n v="1041"/>
    <n v="0"/>
    <n v="2"/>
    <n v="0"/>
    <n v="0"/>
    <d v="2025-09-01T00:00:00"/>
    <s v="Q2"/>
    <x v="2"/>
    <n v="0"/>
    <n v="1041"/>
    <n v="6"/>
    <n v="0"/>
  </r>
  <r>
    <x v="5"/>
    <s v="NTP11"/>
    <x v="0"/>
    <s v="PRACTICE PLUS GROUP HOSPITAL - SOUTHAMPTON"/>
    <n v="0"/>
    <n v="4769"/>
    <n v="0"/>
    <n v="107"/>
    <n v="0"/>
    <n v="0"/>
    <d v="2025-09-01T00:00:00"/>
    <s v="Q2"/>
    <x v="2"/>
    <n v="0"/>
    <n v="4769"/>
    <n v="6"/>
    <n v="0"/>
  </r>
  <r>
    <x v="5"/>
    <s v="NQT5H"/>
    <x v="1"/>
    <s v="PAULTON MEMORIAL HOSPITAL"/>
    <n v="0"/>
    <n v="1175"/>
    <n v="0"/>
    <n v="9"/>
    <n v="0"/>
    <n v="0"/>
    <d v="2025-09-01T00:00:00"/>
    <s v="Q2"/>
    <x v="2"/>
    <n v="0"/>
    <n v="1175"/>
    <n v="6"/>
    <n v="0"/>
  </r>
  <r>
    <x v="5"/>
    <s v="NQT5F"/>
    <x v="3"/>
    <s v="SKELMERSDALE WALK IN CENTRE"/>
    <n v="0"/>
    <n v="1565"/>
    <n v="0"/>
    <n v="7"/>
    <n v="0"/>
    <n v="0"/>
    <d v="2025-09-01T00:00:00"/>
    <s v="Q2"/>
    <x v="2"/>
    <n v="0"/>
    <n v="1565"/>
    <n v="6"/>
    <n v="0"/>
  </r>
  <r>
    <x v="5"/>
    <s v="NQT1I"/>
    <x v="1"/>
    <s v="CHIPPENHAM COMMUNITY HOSPITAL"/>
    <n v="0"/>
    <n v="1799"/>
    <n v="0"/>
    <n v="21"/>
    <n v="0"/>
    <n v="0"/>
    <d v="2025-09-01T00:00:00"/>
    <s v="Q2"/>
    <x v="2"/>
    <n v="0"/>
    <n v="1799"/>
    <n v="6"/>
    <n v="0"/>
  </r>
  <r>
    <x v="5"/>
    <s v="NLX"/>
    <x v="1"/>
    <s v="SIRONA CARE &amp; HEALTH"/>
    <n v="0"/>
    <n v="8757"/>
    <n v="0"/>
    <n v="285"/>
    <n v="0"/>
    <n v="0"/>
    <d v="2025-09-01T00:00:00"/>
    <s v="Q2"/>
    <x v="2"/>
    <n v="0"/>
    <n v="8757"/>
    <n v="6"/>
    <n v="0"/>
  </r>
  <r>
    <x v="5"/>
    <s v="G3P9C"/>
    <x v="1"/>
    <s v="TROWBRIDGE MINOR INJURIES UNIT"/>
    <n v="0"/>
    <n v="936"/>
    <n v="0"/>
    <n v="7"/>
    <n v="0"/>
    <n v="0"/>
    <d v="2025-09-01T00:00:00"/>
    <s v="Q2"/>
    <x v="2"/>
    <n v="0"/>
    <n v="936"/>
    <n v="6"/>
    <n v="0"/>
  </r>
  <r>
    <x v="5"/>
    <s v="Y02428"/>
    <x v="2"/>
    <s v="PUTNOE WALK IN CENTRE"/>
    <n v="0"/>
    <n v="2266"/>
    <n v="0"/>
    <n v="0"/>
    <n v="0"/>
    <n v="0"/>
    <d v="2025-09-01T00:00:00"/>
    <s v="Q2"/>
    <x v="2"/>
    <n v="0"/>
    <n v="2266"/>
    <n v="6"/>
    <n v="0"/>
  </r>
  <r>
    <x v="5"/>
    <s v="RYR"/>
    <x v="0"/>
    <s v="UNIVERSITY HOSPITALS SUSSEX NHS FOUNDATION TRUST"/>
    <n v="26515"/>
    <n v="1755"/>
    <n v="10655"/>
    <n v="188"/>
    <n v="754"/>
    <n v="589"/>
    <d v="2025-09-01T00:00:00"/>
    <s v="Q2"/>
    <x v="2"/>
    <n v="0.40184801056006036"/>
    <n v="28270"/>
    <n v="6"/>
    <n v="2.2213841221949839E-2"/>
  </r>
  <r>
    <x v="5"/>
    <s v="RTP"/>
    <x v="0"/>
    <s v="SURREY AND SUSSEX HEALTHCARE NHS TRUST"/>
    <n v="10355"/>
    <n v="0"/>
    <n v="3916"/>
    <n v="0"/>
    <n v="569"/>
    <n v="441"/>
    <d v="2025-09-01T00:00:00"/>
    <s v="Q2"/>
    <x v="2"/>
    <n v="0.37817479478512794"/>
    <n v="10355"/>
    <n v="6"/>
    <n v="4.258812168034766E-2"/>
  </r>
  <r>
    <x v="5"/>
    <s v="RQX"/>
    <x v="4"/>
    <s v="HOMERTON HEALTHCARE NHS FOUNDATION TRUST"/>
    <n v="10890"/>
    <n v="0"/>
    <n v="1947"/>
    <n v="0"/>
    <n v="168"/>
    <n v="28"/>
    <d v="2025-09-01T00:00:00"/>
    <s v="Q2"/>
    <x v="2"/>
    <n v="0.1787878787878788"/>
    <n v="10890"/>
    <n v="6"/>
    <n v="2.5711662075298437E-3"/>
  </r>
  <r>
    <x v="5"/>
    <s v="RHW"/>
    <x v="0"/>
    <s v="ROYAL BERKSHIRE NHS FOUNDATION TRUST"/>
    <n v="10741"/>
    <n v="2797"/>
    <n v="3913"/>
    <n v="0"/>
    <n v="625"/>
    <n v="12"/>
    <d v="2025-09-01T00:00:00"/>
    <s v="Q2"/>
    <x v="2"/>
    <n v="0.36430499953449397"/>
    <n v="13538"/>
    <n v="6"/>
    <n v="1.1172144120659157E-3"/>
  </r>
  <r>
    <x v="5"/>
    <s v="REF"/>
    <x v="1"/>
    <s v="ROYAL CORNWALL HOSPITALS NHS TRUST"/>
    <n v="6655"/>
    <n v="11805"/>
    <n v="2843"/>
    <n v="485"/>
    <n v="474"/>
    <n v="545"/>
    <d v="2025-09-01T00:00:00"/>
    <s v="Q2"/>
    <x v="2"/>
    <n v="0.42719759579263711"/>
    <n v="18460"/>
    <n v="6"/>
    <n v="8.1893313298271972E-2"/>
  </r>
  <r>
    <x v="5"/>
    <s v="NL7"/>
    <x v="5"/>
    <s v="ASSURA VERTIS URGENT CARE CENTRES (BIRMINGHAM)"/>
    <n v="0"/>
    <n v="3412"/>
    <n v="0"/>
    <n v="0"/>
    <n v="0"/>
    <n v="0"/>
    <d v="2025-09-01T00:00:00"/>
    <s v="Q2"/>
    <x v="2"/>
    <n v="0"/>
    <n v="3412"/>
    <n v="6"/>
    <n v="0"/>
  </r>
  <r>
    <x v="5"/>
    <s v="Y03007"/>
    <x v="5"/>
    <s v="ERDINGTON GP HEALTH &amp; WELLBEING WIC"/>
    <n v="0"/>
    <n v="0"/>
    <n v="0"/>
    <n v="0"/>
    <n v="0"/>
    <n v="0"/>
    <d v="2025-09-01T00:00:00"/>
    <s v="Q2"/>
    <x v="2"/>
    <n v="0"/>
    <n v="0"/>
    <n v="6"/>
    <n v="0"/>
  </r>
  <r>
    <x v="5"/>
    <s v="RJN"/>
    <x v="3"/>
    <s v="EAST CHESHIRE NHS TRUST"/>
    <n v="4449"/>
    <n v="0"/>
    <n v="2500"/>
    <n v="0"/>
    <n v="245"/>
    <n v="385"/>
    <d v="2025-09-01T00:00:00"/>
    <s v="Q2"/>
    <x v="2"/>
    <n v="0.56192402787143181"/>
    <n v="4449"/>
    <n v="6"/>
    <n v="8.6536300292200496E-2"/>
  </r>
  <r>
    <x v="5"/>
    <s v="R0B"/>
    <x v="6"/>
    <s v="SOUTH TYNESIDE AND SUNDERLAND NHS FOUNDATION TRUST"/>
    <n v="10956"/>
    <n v="5666"/>
    <n v="4858"/>
    <n v="169"/>
    <n v="650"/>
    <n v="3"/>
    <d v="2025-09-01T00:00:00"/>
    <s v="Q2"/>
    <x v="2"/>
    <n v="0.4434100036509675"/>
    <n v="16622"/>
    <n v="6"/>
    <n v="2.7382256297918948E-4"/>
  </r>
  <r>
    <x v="5"/>
    <s v="NNF94"/>
    <x v="6"/>
    <s v="EAST RIDING COMMUNITY HOSPITAL"/>
    <n v="0"/>
    <n v="2668"/>
    <n v="0"/>
    <n v="194"/>
    <n v="0"/>
    <n v="0"/>
    <d v="2025-09-01T00:00:00"/>
    <s v="Q2"/>
    <x v="2"/>
    <n v="0"/>
    <n v="2668"/>
    <n v="6"/>
    <n v="0"/>
  </r>
  <r>
    <x v="5"/>
    <s v="RN3"/>
    <x v="1"/>
    <s v="GREAT WESTERN HOSPITALS NHS FOUNDATION TRUST"/>
    <n v="5928"/>
    <n v="5521"/>
    <n v="3032"/>
    <n v="598"/>
    <n v="692"/>
    <n v="266"/>
    <d v="2025-09-01T00:00:00"/>
    <s v="Q2"/>
    <x v="2"/>
    <n v="0.51147098515519573"/>
    <n v="11449"/>
    <n v="6"/>
    <n v="4.4871794871794872E-2"/>
  </r>
  <r>
    <x v="5"/>
    <s v="RN5"/>
    <x v="0"/>
    <s v="HAMPSHIRE HOSPITALS NHS FOUNDATION TRUST"/>
    <n v="10808"/>
    <n v="3417"/>
    <n v="4547"/>
    <n v="154"/>
    <n v="186"/>
    <n v="17"/>
    <d v="2025-09-01T00:00:00"/>
    <s v="Q2"/>
    <x v="2"/>
    <n v="0.42070688378978532"/>
    <n v="14225"/>
    <n v="6"/>
    <n v="1.5729089563286454E-3"/>
  </r>
  <r>
    <x v="5"/>
    <s v="RNA"/>
    <x v="5"/>
    <s v="THE DUDLEY GROUP NHS FOUNDATION TRUST"/>
    <n v="9774"/>
    <n v="3850"/>
    <n v="3028"/>
    <n v="46"/>
    <n v="2415"/>
    <n v="135"/>
    <d v="2025-09-01T00:00:00"/>
    <s v="Q2"/>
    <x v="2"/>
    <n v="0.30980151422140373"/>
    <n v="13624"/>
    <n v="6"/>
    <n v="1.3812154696132596E-2"/>
  </r>
  <r>
    <x v="5"/>
    <s v="RM1"/>
    <x v="2"/>
    <s v="NORFOLK AND NORWICH UNIVERSITY HOSPITALS NHS FOUNDATION TRUST"/>
    <n v="12782"/>
    <n v="7275"/>
    <n v="3924"/>
    <n v="5"/>
    <n v="616"/>
    <n v="145"/>
    <d v="2025-09-01T00:00:00"/>
    <s v="Q2"/>
    <x v="2"/>
    <n v="0.30699421060866844"/>
    <n v="20057"/>
    <n v="6"/>
    <n v="1.1344077609137851E-2"/>
  </r>
  <r>
    <x v="5"/>
    <s v="RHQ"/>
    <x v="6"/>
    <s v="SHEFFIELD TEACHING HOSPITALS NHS FOUNDATION TRUST"/>
    <n v="8761"/>
    <n v="7121"/>
    <n v="4508"/>
    <n v="396"/>
    <n v="1146"/>
    <n v="7"/>
    <d v="2025-09-01T00:00:00"/>
    <s v="Q2"/>
    <x v="2"/>
    <n v="0.51455313320397211"/>
    <n v="15882"/>
    <n v="6"/>
    <n v="7.9899554845337293E-4"/>
  </r>
  <r>
    <x v="5"/>
    <s v="RGT"/>
    <x v="2"/>
    <s v="CAMBRIDGE UNIVERSITY HOSPITALS NHS FOUNDATION TRUST"/>
    <n v="10918"/>
    <n v="5495"/>
    <n v="4607"/>
    <n v="61"/>
    <n v="648"/>
    <n v="428"/>
    <d v="2025-09-01T00:00:00"/>
    <s v="Q2"/>
    <x v="2"/>
    <n v="0.42196372962080969"/>
    <n v="16413"/>
    <n v="6"/>
    <n v="3.9201318922879647E-2"/>
  </r>
  <r>
    <x v="5"/>
    <s v="RGN"/>
    <x v="2"/>
    <s v="NORTH WEST ANGLIA NHS FOUNDATION TRUST"/>
    <n v="14958"/>
    <n v="4919"/>
    <n v="5793"/>
    <n v="188"/>
    <n v="651"/>
    <n v="689"/>
    <d v="2025-09-01T00:00:00"/>
    <s v="Q2"/>
    <x v="2"/>
    <n v="0.38728439630966704"/>
    <n v="19877"/>
    <n v="6"/>
    <n v="4.6062307795159782E-2"/>
  </r>
  <r>
    <x v="5"/>
    <s v="RCF"/>
    <x v="6"/>
    <s v="AIREDALE NHS FOUNDATION TRUST"/>
    <n v="5960"/>
    <n v="0"/>
    <n v="2336"/>
    <n v="0"/>
    <n v="456"/>
    <n v="154"/>
    <d v="2025-09-01T00:00:00"/>
    <s v="Q2"/>
    <x v="2"/>
    <n v="0.39194630872483222"/>
    <n v="5960"/>
    <n v="6"/>
    <n v="2.5838926174496644E-2"/>
  </r>
  <r>
    <x v="5"/>
    <s v="RBV"/>
    <x v="3"/>
    <s v="THE CHRISTIE NHS FOUNDATION TRUST"/>
    <n v="0"/>
    <n v="0"/>
    <n v="0"/>
    <n v="0"/>
    <n v="0"/>
    <n v="0"/>
    <d v="2025-09-01T00:00:00"/>
    <s v="Q2"/>
    <x v="2"/>
    <n v="0"/>
    <n v="0"/>
    <n v="6"/>
    <n v="0"/>
  </r>
  <r>
    <x v="5"/>
    <s v="NNJ15"/>
    <x v="5"/>
    <s v="OAKHAM"/>
    <n v="0"/>
    <n v="48"/>
    <n v="0"/>
    <n v="0"/>
    <n v="0"/>
    <n v="0"/>
    <d v="2025-09-01T00:00:00"/>
    <s v="Q2"/>
    <x v="2"/>
    <n v="0"/>
    <n v="48"/>
    <n v="6"/>
    <n v="0"/>
  </r>
  <r>
    <x v="5"/>
    <s v="NNJ14"/>
    <x v="5"/>
    <s v="OADBY"/>
    <n v="0"/>
    <n v="512"/>
    <n v="0"/>
    <n v="1"/>
    <n v="0"/>
    <n v="0"/>
    <d v="2025-09-01T00:00:00"/>
    <s v="Q2"/>
    <x v="2"/>
    <n v="0"/>
    <n v="512"/>
    <n v="6"/>
    <n v="0"/>
  </r>
  <r>
    <x v="5"/>
    <s v="NNJ13"/>
    <x v="5"/>
    <s v="MELTON MOWBRAY"/>
    <n v="0"/>
    <n v="46"/>
    <n v="0"/>
    <n v="0"/>
    <n v="0"/>
    <n v="0"/>
    <d v="2025-09-01T00:00:00"/>
    <s v="Q2"/>
    <x v="2"/>
    <n v="0"/>
    <n v="46"/>
    <n v="6"/>
    <n v="0"/>
  </r>
  <r>
    <x v="5"/>
    <s v="NNJ12"/>
    <x v="5"/>
    <s v="MARKET HARBOROUGH"/>
    <n v="0"/>
    <n v="75"/>
    <n v="0"/>
    <n v="0"/>
    <n v="0"/>
    <n v="0"/>
    <d v="2025-09-01T00:00:00"/>
    <s v="Q2"/>
    <x v="2"/>
    <n v="0"/>
    <n v="75"/>
    <n v="6"/>
    <n v="0"/>
  </r>
  <r>
    <x v="5"/>
    <s v="NNJ0H"/>
    <x v="5"/>
    <s v="LLR EA - THE MERLYN VAZ HEALTH &amp; SOCIAL CARE CENTRE"/>
    <n v="0"/>
    <n v="345"/>
    <n v="0"/>
    <n v="1"/>
    <n v="0"/>
    <n v="0"/>
    <d v="2025-09-01T00:00:00"/>
    <s v="Q2"/>
    <x v="2"/>
    <n v="0"/>
    <n v="345"/>
    <n v="6"/>
    <n v="0"/>
  </r>
  <r>
    <x v="5"/>
    <s v="NNJ07"/>
    <x v="5"/>
    <s v="LOUGHBOROUGH URGENT CARE CENTRE"/>
    <n v="0"/>
    <n v="6494"/>
    <n v="0"/>
    <n v="471"/>
    <n v="0"/>
    <n v="0"/>
    <d v="2025-09-01T00:00:00"/>
    <s v="Q2"/>
    <x v="2"/>
    <n v="0"/>
    <n v="6494"/>
    <n v="6"/>
    <n v="0"/>
  </r>
  <r>
    <x v="5"/>
    <s v="K6K0R"/>
    <x v="4"/>
    <s v="HAROLD WOOD POLYCLINIC UTC"/>
    <n v="0"/>
    <n v="2669"/>
    <n v="0"/>
    <n v="2"/>
    <n v="0"/>
    <n v="0"/>
    <d v="2025-09-01T00:00:00"/>
    <s v="Q2"/>
    <x v="2"/>
    <n v="0"/>
    <n v="2669"/>
    <n v="6"/>
    <n v="0"/>
  </r>
  <r>
    <x v="5"/>
    <s v="G0Q0L"/>
    <x v="4"/>
    <s v="BARKING HOSPITAL UTC"/>
    <n v="0"/>
    <n v="2853"/>
    <n v="0"/>
    <n v="24"/>
    <n v="0"/>
    <n v="0"/>
    <d v="2025-09-01T00:00:00"/>
    <s v="Q2"/>
    <x v="2"/>
    <n v="0"/>
    <n v="2853"/>
    <n v="6"/>
    <n v="0"/>
  </r>
  <r>
    <x v="5"/>
    <s v="C83023"/>
    <x v="5"/>
    <s v="SLEAFORD MEDICAL GROUP"/>
    <n v="0"/>
    <n v="488"/>
    <n v="0"/>
    <n v="0"/>
    <n v="0"/>
    <n v="0"/>
    <d v="2025-09-01T00:00:00"/>
    <s v="Q2"/>
    <x v="2"/>
    <n v="0"/>
    <n v="488"/>
    <n v="6"/>
    <n v="0"/>
  </r>
  <r>
    <x v="5"/>
    <s v="ARN03"/>
    <x v="6"/>
    <s v="LOCAL CARE DIRECT"/>
    <n v="0"/>
    <n v="2151"/>
    <n v="0"/>
    <n v="9"/>
    <n v="0"/>
    <n v="0"/>
    <d v="2025-09-01T00:00:00"/>
    <s v="Q2"/>
    <x v="2"/>
    <n v="0"/>
    <n v="2151"/>
    <n v="6"/>
    <n v="0"/>
  </r>
  <r>
    <x v="5"/>
    <s v="RXP"/>
    <x v="6"/>
    <s v="COUNTY DURHAM AND DARLINGTON NHS FOUNDATION TRUST"/>
    <n v="12654"/>
    <n v="4047"/>
    <n v="4903"/>
    <n v="0"/>
    <n v="1789"/>
    <n v="42"/>
    <d v="2025-09-01T00:00:00"/>
    <s v="Q2"/>
    <x v="2"/>
    <n v="0.38746641378220326"/>
    <n v="16701"/>
    <n v="6"/>
    <n v="3.3191085822664771E-3"/>
  </r>
  <r>
    <x v="5"/>
    <s v="RXF"/>
    <x v="6"/>
    <s v="MID YORKSHIRE TEACHING NHS TRUST"/>
    <n v="16641"/>
    <n v="6350"/>
    <n v="6123"/>
    <n v="150"/>
    <n v="1711"/>
    <n v="76"/>
    <d v="2025-09-01T00:00:00"/>
    <s v="Q2"/>
    <x v="2"/>
    <n v="0.36794663782224624"/>
    <n v="22991"/>
    <n v="6"/>
    <n v="4.5670332311760114E-3"/>
  </r>
  <r>
    <x v="5"/>
    <s v="RWW"/>
    <x v="3"/>
    <s v="WARRINGTON AND HALTON TEACHING HOSPITALS NHS FOUNDATION TRUST"/>
    <n v="6814"/>
    <n v="2955"/>
    <n v="3428"/>
    <n v="46"/>
    <n v="534"/>
    <n v="891"/>
    <d v="2025-09-01T00:00:00"/>
    <s v="Q2"/>
    <x v="2"/>
    <n v="0.50308189022600525"/>
    <n v="9769"/>
    <n v="6"/>
    <n v="0.13076019958908131"/>
  </r>
  <r>
    <x v="5"/>
    <s v="RWH"/>
    <x v="2"/>
    <s v="EAST AND NORTH HERTFORDSHIRE TEACHING NHS TRUST"/>
    <n v="8701"/>
    <n v="8295"/>
    <n v="4036"/>
    <n v="101"/>
    <n v="351"/>
    <n v="96"/>
    <d v="2025-09-01T00:00:00"/>
    <s v="Q2"/>
    <x v="2"/>
    <n v="0.463854729341455"/>
    <n v="16996"/>
    <n v="6"/>
    <n v="1.1033214573037582E-2"/>
  </r>
  <r>
    <x v="5"/>
    <s v="RWG"/>
    <x v="2"/>
    <s v="WEST HERTFORDSHIRE TEACHING HOSPITALS NHS TRUST"/>
    <n v="7950"/>
    <n v="7699"/>
    <n v="2427"/>
    <n v="104"/>
    <n v="627"/>
    <n v="26"/>
    <d v="2025-09-01T00:00:00"/>
    <s v="Q2"/>
    <x v="2"/>
    <n v="0.30528301886792453"/>
    <n v="15649"/>
    <n v="6"/>
    <n v="3.2704402515723271E-3"/>
  </r>
  <r>
    <x v="5"/>
    <s v="RPC"/>
    <x v="0"/>
    <s v="QUEEN VICTORIA HOSPITAL NHS FOUNDATION TRUST"/>
    <n v="0"/>
    <n v="1342"/>
    <n v="0"/>
    <n v="25"/>
    <n v="0"/>
    <n v="0"/>
    <d v="2025-09-01T00:00:00"/>
    <s v="Q2"/>
    <x v="2"/>
    <n v="0"/>
    <n v="1342"/>
    <n v="6"/>
    <n v="0"/>
  </r>
  <r>
    <x v="5"/>
    <s v="RWE"/>
    <x v="5"/>
    <s v="UNIVERSITY HOSPITALS OF LEICESTER NHS TRUST"/>
    <n v="21979"/>
    <n v="0"/>
    <n v="8933"/>
    <n v="0"/>
    <n v="1336"/>
    <n v="619"/>
    <d v="2025-09-01T00:00:00"/>
    <s v="Q2"/>
    <x v="2"/>
    <n v="0.40643341371308978"/>
    <n v="21979"/>
    <n v="6"/>
    <n v="2.8163246735520269E-2"/>
  </r>
  <r>
    <x v="5"/>
    <s v="RRK"/>
    <x v="5"/>
    <s v="UNIVERSITY HOSPITALS BIRMINGHAM NHS FOUNDATION TRUST"/>
    <n v="34990"/>
    <n v="3254"/>
    <n v="13697"/>
    <n v="57"/>
    <n v="2739"/>
    <n v="1692"/>
    <d v="2025-09-01T00:00:00"/>
    <s v="Q2"/>
    <x v="2"/>
    <n v="0.39145470134324095"/>
    <n v="38244"/>
    <n v="6"/>
    <n v="4.8356673335238638E-2"/>
  </r>
  <r>
    <x v="5"/>
    <s v="RWX"/>
    <x v="0"/>
    <s v="BERKSHIRE HEALTHCARE NHS FOUNDATION TRUST"/>
    <n v="0"/>
    <n v="1480"/>
    <n v="0"/>
    <n v="10"/>
    <n v="0"/>
    <n v="0"/>
    <d v="2025-09-01T00:00:00"/>
    <s v="Q2"/>
    <x v="2"/>
    <n v="0"/>
    <n v="1480"/>
    <n v="6"/>
    <n v="0"/>
  </r>
  <r>
    <x v="5"/>
    <s v="AQN04"/>
    <x v="0"/>
    <s v="PHL LYMINGTON UTC"/>
    <n v="0"/>
    <n v="2988"/>
    <n v="0"/>
    <n v="15"/>
    <n v="0"/>
    <n v="0"/>
    <d v="2025-09-01T00:00:00"/>
    <s v="Q2"/>
    <x v="2"/>
    <n v="0"/>
    <n v="2988"/>
    <n v="6"/>
    <n v="0"/>
  </r>
  <r>
    <x v="5"/>
    <s v="RBQ"/>
    <x v="3"/>
    <s v="LIVERPOOL HEART AND CHEST HOSPITAL NHS FOUNDATION TRUST"/>
    <n v="0"/>
    <n v="0"/>
    <n v="0"/>
    <n v="0"/>
    <n v="0"/>
    <n v="0"/>
    <d v="2025-09-01T00:00:00"/>
    <s v="Q2"/>
    <x v="2"/>
    <n v="0"/>
    <n v="0"/>
    <n v="6"/>
    <n v="0"/>
  </r>
  <r>
    <x v="5"/>
    <s v="RLQ"/>
    <x v="5"/>
    <s v="WYE VALLEY NHS TRUST"/>
    <n v="5972"/>
    <n v="155"/>
    <n v="2510"/>
    <n v="0"/>
    <n v="443"/>
    <n v="274"/>
    <d v="2025-09-01T00:00:00"/>
    <s v="Q2"/>
    <x v="2"/>
    <n v="0.42029470864032148"/>
    <n v="6127"/>
    <n v="6"/>
    <n v="4.5880776959142666E-2"/>
  </r>
  <r>
    <x v="5"/>
    <s v="RX1"/>
    <x v="5"/>
    <s v="NOTTINGHAM UNIVERSITY HOSPITALS NHS TRUST"/>
    <n v="12732"/>
    <n v="0"/>
    <n v="6930"/>
    <n v="0"/>
    <n v="255"/>
    <n v="634"/>
    <d v="2025-09-01T00:00:00"/>
    <s v="Q2"/>
    <x v="2"/>
    <n v="0.54429783223374173"/>
    <n v="12732"/>
    <n v="6"/>
    <n v="4.979579013509268E-2"/>
  </r>
  <r>
    <x v="5"/>
    <s v="RH5"/>
    <x v="1"/>
    <s v="SOMERSET NHS FOUNDATION TRUST"/>
    <n v="12710"/>
    <n v="8427"/>
    <n v="6042"/>
    <n v="127"/>
    <n v="205"/>
    <n v="100"/>
    <d v="2025-09-01T00:00:00"/>
    <s v="Q2"/>
    <x v="2"/>
    <n v="0.4753737214791503"/>
    <n v="21137"/>
    <n v="6"/>
    <n v="7.8678206136900079E-3"/>
  </r>
  <r>
    <x v="5"/>
    <s v="Y02147"/>
    <x v="4"/>
    <s v="URGENT CARE CENTRE (QMS)"/>
    <n v="0"/>
    <n v="7801"/>
    <n v="0"/>
    <n v="123"/>
    <n v="0"/>
    <n v="0"/>
    <d v="2025-09-01T00:00:00"/>
    <s v="Q2"/>
    <x v="2"/>
    <n v="0"/>
    <n v="7801"/>
    <n v="6"/>
    <n v="0"/>
  </r>
  <r>
    <x v="5"/>
    <s v="RYJ"/>
    <x v="4"/>
    <s v="IMPERIAL COLLEGE HEALTHCARE NHS TRUST"/>
    <n v="11866"/>
    <n v="7038"/>
    <n v="5300"/>
    <n v="333"/>
    <n v="588"/>
    <n v="0"/>
    <d v="2025-09-01T00:00:00"/>
    <s v="Q2"/>
    <x v="2"/>
    <n v="0.44665430642170906"/>
    <n v="18904"/>
    <n v="6"/>
    <n v="0"/>
  </r>
  <r>
    <x v="5"/>
    <s v="RJ7"/>
    <x v="4"/>
    <s v="ST GEORGE'S UNIVERSITY HOSPITALS NHS FOUNDATION TRUST"/>
    <n v="8302"/>
    <n v="4055"/>
    <n v="2580"/>
    <n v="172"/>
    <n v="376"/>
    <n v="500"/>
    <d v="2025-09-01T00:00:00"/>
    <s v="Q2"/>
    <x v="2"/>
    <n v="0.31076848952059744"/>
    <n v="12357"/>
    <n v="6"/>
    <n v="6.0226451457480124E-2"/>
  </r>
  <r>
    <x v="5"/>
    <s v="RBL"/>
    <x v="3"/>
    <s v="WIRRAL UNIVERSITY TEACHING HOSPITAL NHS FOUNDATION TRUST"/>
    <n v="8030"/>
    <n v="2802"/>
    <n v="4600"/>
    <n v="95"/>
    <n v="563"/>
    <n v="696"/>
    <d v="2025-09-01T00:00:00"/>
    <s v="Q2"/>
    <x v="2"/>
    <n v="0.57285180572851802"/>
    <n v="10832"/>
    <n v="6"/>
    <n v="8.6674968866749691E-2"/>
  </r>
  <r>
    <x v="5"/>
    <s v="RWJ"/>
    <x v="3"/>
    <s v="STOCKPORT NHS FOUNDATION TRUST"/>
    <n v="7974"/>
    <n v="1010"/>
    <n v="3249"/>
    <n v="42"/>
    <n v="687"/>
    <n v="324"/>
    <d v="2025-09-01T00:00:00"/>
    <s v="Q2"/>
    <x v="2"/>
    <n v="0.4074492099322799"/>
    <n v="8984"/>
    <n v="6"/>
    <n v="4.0632054176072234E-2"/>
  </r>
  <r>
    <x v="5"/>
    <s v="RMC"/>
    <x v="3"/>
    <s v="BOLTON NHS FOUNDATION TRUST"/>
    <n v="8141"/>
    <n v="3746"/>
    <n v="3816"/>
    <n v="269"/>
    <n v="536"/>
    <n v="213"/>
    <d v="2025-09-01T00:00:00"/>
    <s v="Q2"/>
    <x v="2"/>
    <n v="0.4687384842156983"/>
    <n v="11887"/>
    <n v="6"/>
    <n v="2.6163861933423412E-2"/>
  </r>
  <r>
    <x v="5"/>
    <s v="RM3"/>
    <x v="3"/>
    <s v="NORTHERN CARE ALLIANCE NHS FOUNDATION TRUST"/>
    <n v="26117"/>
    <n v="9791"/>
    <n v="9870"/>
    <n v="401"/>
    <n v="1017"/>
    <n v="1095"/>
    <d v="2025-09-01T00:00:00"/>
    <s v="Q2"/>
    <x v="2"/>
    <n v="0.37791476815867059"/>
    <n v="35908"/>
    <n v="6"/>
    <n v="4.1926714400581995E-2"/>
  </r>
  <r>
    <x v="5"/>
    <s v="RHU"/>
    <x v="0"/>
    <s v="PORTSMOUTH HOSPITALS UNIVERSITY NHS TRUST"/>
    <n v="10993"/>
    <n v="2982"/>
    <n v="4170"/>
    <n v="9"/>
    <n v="801"/>
    <n v="1170"/>
    <d v="2025-09-01T00:00:00"/>
    <s v="Q2"/>
    <x v="2"/>
    <n v="0.37933230237423815"/>
    <n v="13975"/>
    <n v="6"/>
    <n v="0.10643136541435459"/>
  </r>
  <r>
    <x v="5"/>
    <s v="R1K"/>
    <x v="4"/>
    <s v="LONDON NORTH WEST UNIVERSITY HEALTHCARE NHS TRUST"/>
    <n v="13596"/>
    <n v="15146"/>
    <n v="6518"/>
    <n v="526"/>
    <n v="633"/>
    <n v="419"/>
    <d v="2025-09-01T00:00:00"/>
    <s v="Q2"/>
    <x v="2"/>
    <n v="0.47940570756104739"/>
    <n v="28742"/>
    <n v="6"/>
    <n v="3.0817887614004121E-2"/>
  </r>
  <r>
    <x v="5"/>
    <s v="NNJ"/>
    <x v="5"/>
    <s v="DHU HEALTH CARE C.I.C"/>
    <n v="0"/>
    <n v="1727"/>
    <n v="0"/>
    <n v="0"/>
    <n v="0"/>
    <n v="0"/>
    <d v="2025-09-01T00:00:00"/>
    <s v="Q2"/>
    <x v="2"/>
    <n v="0"/>
    <n v="1727"/>
    <n v="6"/>
    <n v="0"/>
  </r>
  <r>
    <x v="5"/>
    <s v="RTH"/>
    <x v="0"/>
    <s v="OXFORD UNIVERSITY HOSPITALS NHS FOUNDATION TRUST"/>
    <n v="12153"/>
    <n v="3273"/>
    <n v="3679"/>
    <n v="73"/>
    <n v="397"/>
    <n v="3"/>
    <d v="2025-09-01T00:00:00"/>
    <s v="Q2"/>
    <x v="2"/>
    <n v="0.30272360733975151"/>
    <n v="15426"/>
    <n v="6"/>
    <n v="2.4685262898049864E-4"/>
  </r>
  <r>
    <x v="5"/>
    <s v="RDR"/>
    <x v="0"/>
    <s v="SUSSEX COMMUNITY NHS FOUNDATION TRUST"/>
    <n v="0"/>
    <n v="11738"/>
    <n v="0"/>
    <n v="131"/>
    <n v="0"/>
    <n v="0"/>
    <d v="2025-09-01T00:00:00"/>
    <s v="Q2"/>
    <x v="2"/>
    <n v="0"/>
    <n v="11738"/>
    <n v="6"/>
    <n v="0"/>
  </r>
  <r>
    <x v="5"/>
    <s v="RAS"/>
    <x v="4"/>
    <s v="THE HILLINGDON HOSPITALS NHS FOUNDATION TRUST"/>
    <n v="5135"/>
    <n v="7323"/>
    <n v="2453"/>
    <n v="99"/>
    <n v="460"/>
    <n v="37"/>
    <d v="2025-09-01T00:00:00"/>
    <s v="Q2"/>
    <x v="2"/>
    <n v="0.47770204479065237"/>
    <n v="12458"/>
    <n v="6"/>
    <n v="7.2054527750730285E-3"/>
  </r>
  <r>
    <x v="5"/>
    <s v="RXQ"/>
    <x v="0"/>
    <s v="BUCKINGHAMSHIRE HEALTHCARE NHS TRUST"/>
    <n v="10740"/>
    <n v="3058"/>
    <n v="4079"/>
    <n v="98"/>
    <n v="195"/>
    <n v="337"/>
    <d v="2025-09-01T00:00:00"/>
    <s v="Q2"/>
    <x v="2"/>
    <n v="0.3797951582867784"/>
    <n v="13798"/>
    <n v="6"/>
    <n v="3.1378026070763503E-2"/>
  </r>
  <r>
    <x v="5"/>
    <s v="RXN"/>
    <x v="3"/>
    <s v="LANCASHIRE TEACHING HOSPITALS NHS FOUNDATION TRUST"/>
    <n v="12119"/>
    <n v="3016"/>
    <n v="4631"/>
    <n v="101"/>
    <n v="1109"/>
    <n v="465"/>
    <d v="2025-09-01T00:00:00"/>
    <s v="Q2"/>
    <x v="2"/>
    <n v="0.38212723822097533"/>
    <n v="15135"/>
    <n v="6"/>
    <n v="3.8369502434194243E-2"/>
  </r>
  <r>
    <x v="5"/>
    <s v="RXK"/>
    <x v="5"/>
    <s v="SANDWELL AND WEST BIRMINGHAM HOSPITALS NHS TRUST"/>
    <n v="11092"/>
    <n v="8078"/>
    <n v="4432"/>
    <n v="161"/>
    <n v="894"/>
    <n v="299"/>
    <d v="2025-09-01T00:00:00"/>
    <s v="Q2"/>
    <x v="2"/>
    <n v="0.3995672556797692"/>
    <n v="19170"/>
    <n v="6"/>
    <n v="2.695636494771006E-2"/>
  </r>
  <r>
    <x v="5"/>
    <s v="RVR"/>
    <x v="4"/>
    <s v="EPSOM AND ST HELIER UNIVERSITY HOSPITALS NHS TRUST"/>
    <n v="10989"/>
    <n v="2368"/>
    <n v="3292"/>
    <n v="195"/>
    <n v="871"/>
    <n v="778"/>
    <d v="2025-09-01T00:00:00"/>
    <s v="Q2"/>
    <x v="2"/>
    <n v="0.29957229957229958"/>
    <n v="13357"/>
    <n v="6"/>
    <n v="7.0798070798070795E-2"/>
  </r>
  <r>
    <x v="5"/>
    <s v="NQTE4"/>
    <x v="5"/>
    <s v="SUMMERFIELD URGENT CARE CENTRE"/>
    <n v="0"/>
    <n v="3150"/>
    <n v="0"/>
    <n v="0"/>
    <n v="0"/>
    <n v="0"/>
    <d v="2025-09-01T00:00:00"/>
    <s v="Q2"/>
    <x v="2"/>
    <n v="0"/>
    <n v="3150"/>
    <n v="6"/>
    <n v="0"/>
  </r>
  <r>
    <x v="5"/>
    <s v="RWD"/>
    <x v="5"/>
    <s v="UNITED LINCOLNSHIRE TEACHING HOSPITALS NHS TRUST"/>
    <n v="16570"/>
    <n v="3896"/>
    <n v="6887"/>
    <n v="267"/>
    <n v="985"/>
    <n v="946"/>
    <d v="2025-09-01T00:00:00"/>
    <s v="Q2"/>
    <x v="2"/>
    <n v="0.41563065781532893"/>
    <n v="20466"/>
    <n v="6"/>
    <n v="5.7091128545564272E-2"/>
  </r>
  <r>
    <x v="5"/>
    <s v="RW4"/>
    <x v="3"/>
    <s v="MERSEY CARE NHS FOUNDATION TRUST"/>
    <n v="0"/>
    <n v="13214"/>
    <n v="0"/>
    <n v="235"/>
    <n v="0"/>
    <n v="0"/>
    <d v="2025-09-01T00:00:00"/>
    <s v="Q2"/>
    <x v="2"/>
    <n v="0"/>
    <n v="13214"/>
    <n v="6"/>
    <n v="0"/>
  </r>
  <r>
    <x v="5"/>
    <s v="R0D"/>
    <x v="1"/>
    <s v="UNIVERSITY HOSPITALS DORSET NHS FOUNDATION TRUST"/>
    <n v="13867"/>
    <n v="4973"/>
    <n v="5538"/>
    <n v="0"/>
    <n v="936"/>
    <n v="169"/>
    <d v="2025-09-01T00:00:00"/>
    <s v="Q2"/>
    <x v="2"/>
    <n v="0.39936539987019543"/>
    <n v="18840"/>
    <n v="6"/>
    <n v="1.2187207038292349E-2"/>
  </r>
  <r>
    <x v="5"/>
    <s v="R0A"/>
    <x v="3"/>
    <s v="MANCHESTER UNIVERSITY NHS FOUNDATION TRUST"/>
    <n v="25360"/>
    <n v="10810"/>
    <n v="11008"/>
    <n v="296"/>
    <n v="3225"/>
    <n v="105"/>
    <d v="2025-09-01T00:00:00"/>
    <s v="Q2"/>
    <x v="2"/>
    <n v="0.43406940063091481"/>
    <n v="36170"/>
    <n v="6"/>
    <n v="4.1403785488958993E-3"/>
  </r>
  <r>
    <x v="5"/>
    <s v="NTPAD"/>
    <x v="0"/>
    <s v="PRACTICE PLUS GROUP SURGICAL CENTRE - ST MARYS PORTSMOUTH"/>
    <n v="0"/>
    <n v="5205"/>
    <n v="0"/>
    <n v="390"/>
    <n v="0"/>
    <n v="0"/>
    <d v="2025-09-01T00:00:00"/>
    <s v="Q2"/>
    <x v="2"/>
    <n v="0"/>
    <n v="5205"/>
    <n v="6"/>
    <n v="0"/>
  </r>
  <r>
    <x v="5"/>
    <s v="AQM01"/>
    <x v="0"/>
    <s v="FAVERSHAM MEDICAL PRACTICE MIU"/>
    <n v="0"/>
    <n v="2934"/>
    <n v="0"/>
    <n v="0"/>
    <n v="0"/>
    <n v="0"/>
    <d v="2025-09-01T00:00:00"/>
    <s v="Q2"/>
    <x v="2"/>
    <n v="0"/>
    <n v="2934"/>
    <n v="6"/>
    <n v="0"/>
  </r>
  <r>
    <x v="5"/>
    <s v="AJN"/>
    <x v="6"/>
    <s v="WORKINGTON HEALTH LIMITED"/>
    <n v="0"/>
    <n v="392"/>
    <n v="0"/>
    <n v="0"/>
    <n v="0"/>
    <n v="0"/>
    <d v="2025-09-01T00:00:00"/>
    <s v="Q2"/>
    <x v="2"/>
    <n v="0"/>
    <n v="392"/>
    <n v="6"/>
    <n v="0"/>
  </r>
  <r>
    <x v="5"/>
    <s v="AD913"/>
    <x v="4"/>
    <s v="BECKENHAM BEACON UCC"/>
    <n v="0"/>
    <n v="3395"/>
    <n v="0"/>
    <n v="30"/>
    <n v="0"/>
    <n v="0"/>
    <d v="2025-09-01T00:00:00"/>
    <s v="Q2"/>
    <x v="2"/>
    <n v="0"/>
    <n v="3395"/>
    <n v="6"/>
    <n v="0"/>
  </r>
  <r>
    <x v="5"/>
    <s v="ACH01"/>
    <x v="0"/>
    <s v="WHITSTABLE MEDICAL PRACTICE"/>
    <n v="0"/>
    <n v="4919"/>
    <n v="0"/>
    <n v="0"/>
    <n v="0"/>
    <n v="0"/>
    <d v="2025-09-01T00:00:00"/>
    <s v="Q2"/>
    <x v="2"/>
    <n v="0"/>
    <n v="4919"/>
    <n v="6"/>
    <n v="0"/>
  </r>
  <r>
    <x v="5"/>
    <s v="A5D4Q"/>
    <x v="5"/>
    <s v="NEMS CBS (UTC)"/>
    <n v="0"/>
    <n v="4240"/>
    <n v="0"/>
    <n v="991"/>
    <n v="0"/>
    <n v="0"/>
    <d v="2025-09-01T00:00:00"/>
    <s v="Q2"/>
    <x v="2"/>
    <n v="0"/>
    <n v="4240"/>
    <n v="6"/>
    <n v="0"/>
  </r>
  <r>
    <x v="5"/>
    <s v="RYG"/>
    <x v="5"/>
    <s v="COVENTRY AND WARWICKSHIRE PARTNERSHIP NHS TRUST"/>
    <n v="0"/>
    <n v="0"/>
    <n v="0"/>
    <n v="0"/>
    <n v="0"/>
    <n v="0"/>
    <d v="2025-09-01T00:00:00"/>
    <s v="Q2"/>
    <x v="2"/>
    <n v="0"/>
    <n v="0"/>
    <n v="6"/>
    <n v="0"/>
  </r>
  <r>
    <x v="5"/>
    <s v="RY5"/>
    <x v="5"/>
    <s v="LINCOLNSHIRE COMMUNITY HEALTH SERVICES NHS TRUST"/>
    <n v="0"/>
    <n v="8314"/>
    <n v="0"/>
    <n v="187"/>
    <n v="0"/>
    <n v="0"/>
    <d v="2025-09-01T00:00:00"/>
    <s v="Q2"/>
    <x v="2"/>
    <n v="0"/>
    <n v="8314"/>
    <n v="6"/>
    <n v="0"/>
  </r>
  <r>
    <x v="5"/>
    <s v="RY2"/>
    <x v="3"/>
    <s v="BRIDGEWATER COMMUNITY HEALTHCARE NHS FOUNDATION TRUST"/>
    <n v="0"/>
    <n v="2781"/>
    <n v="0"/>
    <n v="52"/>
    <n v="0"/>
    <n v="0"/>
    <d v="2025-09-01T00:00:00"/>
    <s v="Q2"/>
    <x v="2"/>
    <n v="0"/>
    <n v="2781"/>
    <n v="6"/>
    <n v="0"/>
  </r>
  <r>
    <x v="5"/>
    <s v="RXW"/>
    <x v="5"/>
    <s v="THE SHREWSBURY AND TELFORD HOSPITAL NHS TRUST"/>
    <n v="10459"/>
    <n v="2507"/>
    <n v="5685"/>
    <n v="312"/>
    <n v="392"/>
    <n v="1492"/>
    <d v="2025-09-01T00:00:00"/>
    <s v="Q2"/>
    <x v="2"/>
    <n v="0.54355100870064055"/>
    <n v="12966"/>
    <n v="6"/>
    <n v="0.14265226121044078"/>
  </r>
  <r>
    <x v="5"/>
    <s v="RXG"/>
    <x v="6"/>
    <s v="SOUTH WEST YORKSHIRE PARTNERSHIP NHS FOUNDATION TRUST"/>
    <n v="0"/>
    <n v="0"/>
    <n v="0"/>
    <n v="0"/>
    <n v="0"/>
    <n v="0"/>
    <d v="2025-09-01T00:00:00"/>
    <s v="Q2"/>
    <x v="2"/>
    <n v="0"/>
    <n v="0"/>
    <n v="6"/>
    <n v="0"/>
  </r>
  <r>
    <x v="5"/>
    <s v="RTK"/>
    <x v="0"/>
    <s v="ASHFORD AND ST PETER'S HOSPITALS NHS FOUNDATION TRUST"/>
    <n v="7056"/>
    <n v="2773"/>
    <n v="3397"/>
    <n v="23"/>
    <n v="518"/>
    <n v="299"/>
    <d v="2025-09-01T00:00:00"/>
    <s v="Q2"/>
    <x v="2"/>
    <n v="0.48143424036281179"/>
    <n v="9829"/>
    <n v="6"/>
    <n v="4.2375283446712021E-2"/>
  </r>
  <r>
    <x v="5"/>
    <s v="RRF"/>
    <x v="3"/>
    <s v="WRIGHTINGTON, WIGAN AND LEIGH NHS FOUNDATION TRUST"/>
    <n v="7389"/>
    <n v="4941"/>
    <n v="3087"/>
    <n v="41"/>
    <n v="640"/>
    <n v="439"/>
    <d v="2025-09-01T00:00:00"/>
    <s v="Q2"/>
    <x v="2"/>
    <n v="0.41778319123020707"/>
    <n v="12330"/>
    <n v="6"/>
    <n v="5.9412640411422385E-2"/>
  </r>
  <r>
    <x v="5"/>
    <s v="RR8"/>
    <x v="6"/>
    <s v="LEEDS TEACHING HOSPITALS NHS TRUST"/>
    <n v="17702"/>
    <n v="11080"/>
    <n v="6911"/>
    <n v="153"/>
    <n v="1435"/>
    <n v="552"/>
    <d v="2025-09-01T00:00:00"/>
    <s v="Q2"/>
    <x v="2"/>
    <n v="0.39040786351824652"/>
    <n v="28782"/>
    <n v="6"/>
    <n v="3.1182917184498928E-2"/>
  </r>
  <r>
    <x v="5"/>
    <s v="RQW"/>
    <x v="2"/>
    <s v="THE PRINCESS ALEXANDRA HOSPITAL NHS TRUST"/>
    <n v="8343"/>
    <n v="1926"/>
    <n v="2187"/>
    <n v="0"/>
    <n v="547"/>
    <n v="279"/>
    <d v="2025-09-01T00:00:00"/>
    <s v="Q2"/>
    <x v="2"/>
    <n v="0.26213592233009708"/>
    <n v="10269"/>
    <n v="6"/>
    <n v="3.3441208198489752E-2"/>
  </r>
  <r>
    <x v="5"/>
    <s v="RQM"/>
    <x v="4"/>
    <s v="CHELSEA AND WESTMINSTER HOSPITAL NHS FOUNDATION TRUST"/>
    <n v="19591"/>
    <n v="6102"/>
    <n v="5703"/>
    <n v="135"/>
    <n v="937"/>
    <n v="46"/>
    <d v="2025-09-01T00:00:00"/>
    <s v="Q2"/>
    <x v="2"/>
    <n v="0.29110305752641519"/>
    <n v="25693"/>
    <n v="6"/>
    <n v="2.3480169465570923E-3"/>
  </r>
  <r>
    <x v="5"/>
    <s v="RP6"/>
    <x v="4"/>
    <s v="MOORFIELDS EYE HOSPITAL NHS FOUNDATION TRUST"/>
    <n v="0"/>
    <n v="0"/>
    <n v="0"/>
    <n v="0"/>
    <n v="0"/>
    <n v="0"/>
    <d v="2025-09-01T00:00:00"/>
    <s v="Q2"/>
    <x v="2"/>
    <n v="0"/>
    <n v="0"/>
    <n v="6"/>
    <n v="0"/>
  </r>
  <r>
    <x v="5"/>
    <s v="RNS"/>
    <x v="5"/>
    <s v="NORTHAMPTON GENERAL HOSPITAL NHS TRUST"/>
    <n v="10254"/>
    <n v="1764"/>
    <n v="4221"/>
    <n v="81"/>
    <n v="603"/>
    <n v="628"/>
    <d v="2025-09-01T00:00:00"/>
    <s v="Q2"/>
    <x v="2"/>
    <n v="0.41164423639555298"/>
    <n v="12018"/>
    <n v="6"/>
    <n v="6.1244392432221573E-2"/>
  </r>
  <r>
    <x v="5"/>
    <s v="RNN"/>
    <x v="6"/>
    <s v="NORTH CUMBRIA INTEGRATED CARE NHS FOUNDATION TRUST"/>
    <n v="8864"/>
    <n v="1987"/>
    <n v="4042"/>
    <n v="9"/>
    <n v="647"/>
    <n v="277"/>
    <d v="2025-09-01T00:00:00"/>
    <s v="Q2"/>
    <x v="2"/>
    <n v="0.45600180505415161"/>
    <n v="10851"/>
    <n v="6"/>
    <n v="3.125E-2"/>
  </r>
  <r>
    <x v="5"/>
    <s v="R1H"/>
    <x v="4"/>
    <s v="BARTS HEALTH NHS TRUST"/>
    <n v="24887"/>
    <n v="17931"/>
    <n v="10741"/>
    <n v="1565"/>
    <n v="1162"/>
    <n v="951"/>
    <d v="2025-09-01T00:00:00"/>
    <s v="Q2"/>
    <x v="2"/>
    <n v="0.4315907903724836"/>
    <n v="42818"/>
    <n v="6"/>
    <n v="3.8212721501185355E-2"/>
  </r>
  <r>
    <x v="5"/>
    <s v="RWA"/>
    <x v="6"/>
    <s v="HULL UNIVERSITY TEACHING HOSPITALS NHS TRUST"/>
    <n v="9658"/>
    <n v="4482"/>
    <n v="5594"/>
    <n v="280"/>
    <n v="972"/>
    <n v="600"/>
    <d v="2025-09-01T00:00:00"/>
    <s v="Q2"/>
    <x v="2"/>
    <n v="0.57920894595154271"/>
    <n v="14140"/>
    <n v="6"/>
    <n v="6.2124663491406086E-2"/>
  </r>
  <r>
    <x v="5"/>
    <s v="RA7"/>
    <x v="1"/>
    <s v="UNIVERSITY HOSPITALS BRISTOL AND WESTON NHS FOUNDATION TRUST"/>
    <n v="15522"/>
    <n v="0"/>
    <n v="5293"/>
    <n v="0"/>
    <n v="1027"/>
    <n v="213"/>
    <d v="2025-09-01T00:00:00"/>
    <s v="Q2"/>
    <x v="2"/>
    <n v="0.34099987115062491"/>
    <n v="15522"/>
    <n v="6"/>
    <n v="1.3722458446076537E-2"/>
  </r>
  <r>
    <x v="5"/>
    <s v="RBK"/>
    <x v="5"/>
    <s v="WALSALL HEALTHCARE NHS TRUST"/>
    <n v="9406"/>
    <n v="4107"/>
    <n v="3357"/>
    <n v="47"/>
    <n v="1030"/>
    <n v="198"/>
    <d v="2025-09-01T00:00:00"/>
    <s v="Q2"/>
    <x v="2"/>
    <n v="0.35689985115883477"/>
    <n v="13513"/>
    <n v="6"/>
    <n v="2.1050393365936636E-2"/>
  </r>
  <r>
    <x v="5"/>
    <s v="RVV"/>
    <x v="0"/>
    <s v="EAST KENT HOSPITALS UNIVERSITY NHS FOUNDATION TRUST"/>
    <n v="12369"/>
    <n v="12759"/>
    <n v="5916"/>
    <n v="311"/>
    <n v="519"/>
    <n v="1172"/>
    <d v="2025-09-01T00:00:00"/>
    <s v="Q2"/>
    <x v="2"/>
    <n v="0.47829250545719137"/>
    <n v="25128"/>
    <n v="6"/>
    <n v="9.4753011561160963E-2"/>
  </r>
  <r>
    <x v="5"/>
    <s v="RVJ"/>
    <x v="1"/>
    <s v="NORTH BRISTOL NHS TRUST"/>
    <n v="9147"/>
    <n v="0"/>
    <n v="3238"/>
    <n v="0"/>
    <n v="570"/>
    <n v="197"/>
    <d v="2025-09-01T00:00:00"/>
    <s v="Q2"/>
    <x v="2"/>
    <n v="0.35399584563244779"/>
    <n v="9147"/>
    <n v="6"/>
    <n v="2.1537115994315077E-2"/>
  </r>
  <r>
    <x v="5"/>
    <s v="RTG"/>
    <x v="5"/>
    <s v="UNIVERSITY HOSPITALS OF DERBY AND BURTON NHS FOUNDATION TRUST"/>
    <n v="18343"/>
    <n v="9024"/>
    <n v="8755"/>
    <n v="0"/>
    <n v="918"/>
    <n v="557"/>
    <d v="2025-09-01T00:00:00"/>
    <s v="Q2"/>
    <x v="2"/>
    <n v="0.4772937905468026"/>
    <n v="27367"/>
    <n v="6"/>
    <n v="3.0365807119882245E-2"/>
  </r>
  <r>
    <x v="5"/>
    <s v="RTF"/>
    <x v="6"/>
    <s v="NORTHUMBRIA HEALTHCARE NHS FOUNDATION TRUST"/>
    <n v="10222"/>
    <n v="13360"/>
    <n v="2584"/>
    <n v="4"/>
    <n v="18"/>
    <n v="0"/>
    <d v="2025-09-01T00:00:00"/>
    <s v="Q2"/>
    <x v="2"/>
    <n v="0.25278810408921931"/>
    <n v="23582"/>
    <n v="6"/>
    <n v="0"/>
  </r>
  <r>
    <x v="5"/>
    <s v="RTE"/>
    <x v="1"/>
    <s v="GLOUCESTERSHIRE HOSPITALS NHS FOUNDATION TRUST"/>
    <n v="13772"/>
    <n v="0"/>
    <n v="5165"/>
    <n v="0"/>
    <n v="502"/>
    <n v="281"/>
    <d v="2025-09-01T00:00:00"/>
    <s v="Q2"/>
    <x v="2"/>
    <n v="0.37503630554748768"/>
    <n v="13772"/>
    <n v="6"/>
    <n v="2.0403717688062737E-2"/>
  </r>
  <r>
    <x v="5"/>
    <s v="RQ3"/>
    <x v="5"/>
    <s v="BIRMINGHAM WOMEN'S AND CHILDREN'S NHS FOUNDATION TRUST"/>
    <n v="4565"/>
    <n v="0"/>
    <n v="611"/>
    <n v="0"/>
    <n v="20"/>
    <n v="2"/>
    <d v="2025-09-01T00:00:00"/>
    <s v="Q2"/>
    <x v="2"/>
    <n v="0.13384446878422782"/>
    <n v="4565"/>
    <n v="6"/>
    <n v="4.381161007667032E-4"/>
  </r>
  <r>
    <x v="5"/>
    <s v="RP5"/>
    <x v="6"/>
    <s v="DONCASTER AND BASSETLAW TEACHING HOSPITALS NHS FOUNDATION TRUST"/>
    <n v="13811"/>
    <n v="4142"/>
    <n v="5411"/>
    <n v="6"/>
    <n v="1194"/>
    <n v="162"/>
    <d v="2025-09-01T00:00:00"/>
    <s v="Q2"/>
    <x v="2"/>
    <n v="0.39178915357323874"/>
    <n v="17953"/>
    <n v="6"/>
    <n v="1.1729780609658968E-2"/>
  </r>
  <r>
    <x v="5"/>
    <s v="RNZ"/>
    <x v="1"/>
    <s v="SALISBURY NHS FOUNDATION TRUST"/>
    <n v="4822"/>
    <n v="1678"/>
    <n v="2233"/>
    <n v="0"/>
    <n v="418"/>
    <n v="78"/>
    <d v="2025-09-01T00:00:00"/>
    <s v="Q2"/>
    <x v="2"/>
    <n v="0.46308585649108253"/>
    <n v="6500"/>
    <n v="6"/>
    <n v="1.6175860638739114E-2"/>
  </r>
  <r>
    <x v="5"/>
    <s v="RN7"/>
    <x v="0"/>
    <s v="DARTFORD AND GRAVESHAM NHS TRUST"/>
    <n v="11172"/>
    <n v="3811"/>
    <n v="2488"/>
    <n v="19"/>
    <n v="620"/>
    <n v="129"/>
    <d v="2025-09-01T00:00:00"/>
    <s v="Q2"/>
    <x v="2"/>
    <n v="0.22269960615825277"/>
    <n v="14983"/>
    <n v="6"/>
    <n v="1.154672395273899E-2"/>
  </r>
  <r>
    <x v="5"/>
    <s v="RLT"/>
    <x v="5"/>
    <s v="GEORGE ELIOT HOSPITAL NHS TRUST"/>
    <n v="6824"/>
    <n v="1627"/>
    <n v="1973"/>
    <n v="17"/>
    <n v="256"/>
    <n v="499"/>
    <d v="2025-09-01T00:00:00"/>
    <s v="Q2"/>
    <x v="2"/>
    <n v="0.28912661195779599"/>
    <n v="8451"/>
    <n v="6"/>
    <n v="7.3124267291910905E-2"/>
  </r>
  <r>
    <x v="5"/>
    <s v="RK5"/>
    <x v="5"/>
    <s v="SHERWOOD FOREST HOSPITALS NHS FOUNDATION TRUST"/>
    <n v="10728"/>
    <n v="5227"/>
    <n v="4743"/>
    <n v="355"/>
    <n v="832"/>
    <n v="204"/>
    <d v="2025-09-01T00:00:00"/>
    <s v="Q2"/>
    <x v="2"/>
    <n v="0.44211409395973156"/>
    <n v="15955"/>
    <n v="6"/>
    <n v="1.901565995525727E-2"/>
  </r>
  <r>
    <x v="5"/>
    <s v="RJR"/>
    <x v="3"/>
    <s v="COUNTESS OF CHESTER HOSPITAL NHS FOUNDATION TRUST"/>
    <n v="5335"/>
    <n v="2421"/>
    <n v="2746"/>
    <n v="187"/>
    <n v="368"/>
    <n v="747"/>
    <d v="2025-09-01T00:00:00"/>
    <s v="Q2"/>
    <x v="2"/>
    <n v="0.51471415182755387"/>
    <n v="7756"/>
    <n v="6"/>
    <n v="0.14001874414245549"/>
  </r>
  <r>
    <x v="5"/>
    <s v="RJ6"/>
    <x v="4"/>
    <s v="CROYDON HEALTH SERVICES NHS TRUST"/>
    <n v="12725"/>
    <n v="4746"/>
    <n v="4327"/>
    <n v="0"/>
    <n v="275"/>
    <n v="609"/>
    <d v="2025-09-01T00:00:00"/>
    <s v="Q2"/>
    <x v="2"/>
    <n v="0.34003929273084477"/>
    <n v="17471"/>
    <n v="6"/>
    <n v="4.7858546168958745E-2"/>
  </r>
  <r>
    <x v="5"/>
    <s v="RJ2"/>
    <x v="4"/>
    <s v="LEWISHAM AND GREENWICH NHS TRUST"/>
    <n v="15359"/>
    <n v="9033"/>
    <n v="7333"/>
    <n v="290"/>
    <n v="1189"/>
    <n v="598"/>
    <d v="2025-09-01T00:00:00"/>
    <s v="Q2"/>
    <x v="2"/>
    <n v="0.47743993749593072"/>
    <n v="24392"/>
    <n v="6"/>
    <n v="3.8934826486099354E-2"/>
  </r>
  <r>
    <x v="5"/>
    <s v="RFS"/>
    <x v="5"/>
    <s v="CHESTERFIELD ROYAL HOSPITAL NHS FOUNDATION TRUST"/>
    <n v="5270"/>
    <n v="4692"/>
    <n v="2840"/>
    <n v="230"/>
    <n v="867"/>
    <n v="254"/>
    <d v="2025-09-01T00:00:00"/>
    <s v="Q2"/>
    <x v="2"/>
    <n v="0.53889943074003799"/>
    <n v="9962"/>
    <n v="6"/>
    <n v="4.8197343453510434E-2"/>
  </r>
  <r>
    <x v="5"/>
    <s v="RF4"/>
    <x v="4"/>
    <s v="BARKING, HAVERING AND REDBRIDGE UNIVERSITY HOSPITALS NHS TRUST"/>
    <n v="13173"/>
    <n v="13732"/>
    <n v="5665"/>
    <n v="116"/>
    <n v="646"/>
    <n v="772"/>
    <d v="2025-09-01T00:00:00"/>
    <s v="Q2"/>
    <x v="2"/>
    <n v="0.43004630683974798"/>
    <n v="26905"/>
    <n v="6"/>
    <n v="5.8604721779397254E-2"/>
  </r>
  <r>
    <x v="5"/>
    <s v="REM"/>
    <x v="3"/>
    <s v="LIVERPOOL UNIVERSITY HOSPITALS NHS FOUNDATION TRUST"/>
    <n v="16233"/>
    <n v="8245"/>
    <n v="8032"/>
    <n v="232"/>
    <n v="1994"/>
    <n v="887"/>
    <d v="2025-09-01T00:00:00"/>
    <s v="Q2"/>
    <x v="2"/>
    <n v="0.4947945543029631"/>
    <n v="24478"/>
    <n v="6"/>
    <n v="5.4641779091973139E-2"/>
  </r>
  <r>
    <x v="5"/>
    <s v="RDY"/>
    <x v="1"/>
    <s v="DORSET HEALTHCARE UNIVERSITY NHS FOUNDATION TRUST"/>
    <n v="0"/>
    <n v="0"/>
    <n v="0"/>
    <n v="0"/>
    <n v="0"/>
    <n v="0"/>
    <d v="2025-09-01T00:00:00"/>
    <s v="Q2"/>
    <x v="2"/>
    <n v="0"/>
    <n v="0"/>
    <n v="6"/>
    <n v="0"/>
  </r>
  <r>
    <x v="5"/>
    <s v="RD8"/>
    <x v="2"/>
    <s v="MILTON KEYNES UNIVERSITY HOSPITAL NHS FOUNDATION TRUST"/>
    <n v="8199"/>
    <n v="4703"/>
    <n v="3248"/>
    <n v="26"/>
    <n v="563"/>
    <n v="0"/>
    <d v="2025-09-01T00:00:00"/>
    <s v="Q2"/>
    <x v="2"/>
    <n v="0.39614587144773755"/>
    <n v="12902"/>
    <n v="6"/>
    <n v="0"/>
  </r>
  <r>
    <x v="5"/>
    <s v="RD1"/>
    <x v="1"/>
    <s v="ROYAL UNITED HOSPITALS BATH NHS FOUNDATION TRUST"/>
    <n v="8897"/>
    <n v="0"/>
    <n v="3776"/>
    <n v="0"/>
    <n v="970"/>
    <n v="113"/>
    <d v="2025-09-01T00:00:00"/>
    <s v="Q2"/>
    <x v="2"/>
    <n v="0.42441272338990671"/>
    <n v="8897"/>
    <n v="6"/>
    <n v="1.2700910419242442E-2"/>
  </r>
  <r>
    <x v="5"/>
    <s v="RCB"/>
    <x v="6"/>
    <s v="YORK AND SCARBOROUGH TEACHING HOSPITALS NHS FOUNDATION TRUST"/>
    <n v="10917"/>
    <n v="7767"/>
    <n v="5694"/>
    <n v="461"/>
    <n v="800"/>
    <n v="535"/>
    <d v="2025-09-01T00:00:00"/>
    <s v="Q2"/>
    <x v="2"/>
    <n v="0.52157186040120918"/>
    <n v="18684"/>
    <n v="6"/>
    <n v="4.9006137217184206E-2"/>
  </r>
  <r>
    <x v="5"/>
    <s v="RAT"/>
    <x v="4"/>
    <s v="NORTH EAST LONDON NHS FOUNDATION TRUST"/>
    <n v="0"/>
    <n v="1849"/>
    <n v="0"/>
    <n v="88"/>
    <n v="0"/>
    <n v="0"/>
    <d v="2025-09-01T00:00:00"/>
    <s v="Q2"/>
    <x v="2"/>
    <n v="0"/>
    <n v="1849"/>
    <n v="6"/>
    <n v="0"/>
  </r>
  <r>
    <x v="5"/>
    <s v="C82038"/>
    <x v="5"/>
    <s v="LATHAM HOUSE MEDICAL PRACTICE"/>
    <n v="0"/>
    <n v="363"/>
    <n v="0"/>
    <n v="0"/>
    <n v="0"/>
    <n v="0"/>
    <d v="2025-09-01T00:00:00"/>
    <s v="Q2"/>
    <x v="2"/>
    <n v="0"/>
    <n v="363"/>
    <n v="6"/>
    <n v="0"/>
  </r>
  <r>
    <x v="5"/>
    <s v="RKB"/>
    <x v="5"/>
    <s v="UNIVERSITY HOSPITALS COVENTRY AND WARWICKSHIRE NHS TRUST"/>
    <n v="12527"/>
    <n v="5585"/>
    <n v="5074"/>
    <n v="46"/>
    <n v="57"/>
    <n v="14"/>
    <d v="2025-09-01T00:00:00"/>
    <s v="Q2"/>
    <x v="2"/>
    <n v="0.40504510257843057"/>
    <n v="18112"/>
    <n v="6"/>
    <n v="1.1175860142093078E-3"/>
  </r>
  <r>
    <x v="5"/>
    <s v="RAL"/>
    <x v="4"/>
    <s v="ROYAL FREE LONDON NHS FOUNDATION TRUST"/>
    <n v="26019"/>
    <n v="14950"/>
    <n v="8625"/>
    <n v="603"/>
    <n v="1018"/>
    <n v="1975"/>
    <d v="2025-09-01T00:00:00"/>
    <s v="Q2"/>
    <x v="2"/>
    <n v="0.33148852761443559"/>
    <n v="40969"/>
    <n v="6"/>
    <n v="7.5906068642146121E-2"/>
  </r>
  <r>
    <x v="5"/>
    <s v="Y02615"/>
    <x v="5"/>
    <s v="SOUTH BIRMINGHAM GP WALK IN CENTRE"/>
    <n v="0"/>
    <n v="6084"/>
    <n v="0"/>
    <n v="0"/>
    <n v="0"/>
    <n v="0"/>
    <d v="2025-09-01T00:00:00"/>
    <s v="Q2"/>
    <x v="2"/>
    <n v="0"/>
    <n v="6084"/>
    <n v="6"/>
    <n v="0"/>
  </r>
  <r>
    <x v="5"/>
    <s v="AAH"/>
    <x v="1"/>
    <s v="TETBURY HOSPITAL TRUST LTD"/>
    <n v="0"/>
    <n v="593"/>
    <n v="0"/>
    <n v="0"/>
    <n v="0"/>
    <n v="0"/>
    <d v="2025-09-01T00:00:00"/>
    <s v="Q2"/>
    <x v="2"/>
    <n v="0"/>
    <n v="593"/>
    <n v="6"/>
    <n v="0"/>
  </r>
  <r>
    <x v="5"/>
    <s v="RTD"/>
    <x v="6"/>
    <s v="THE NEWCASTLE UPON TYNE HOSPITALS NHS FOUNDATION TRUST"/>
    <n v="12773"/>
    <n v="6244"/>
    <n v="5163"/>
    <n v="0"/>
    <n v="541"/>
    <n v="12"/>
    <d v="2025-09-01T00:00:00"/>
    <s v="Q2"/>
    <x v="2"/>
    <n v="0.40421200970797777"/>
    <n v="19017"/>
    <n v="6"/>
    <n v="9.3948171925154627E-4"/>
  </r>
  <r>
    <x v="6"/>
    <s v="RCB"/>
    <x v="6"/>
    <s v="YORK AND SCARBOROUGH TEACHING HOSPITALS NHS FOUNDATION TRUST"/>
    <n v="11343"/>
    <n v="7942"/>
    <n v="5778"/>
    <n v="367"/>
    <n v="945"/>
    <n v="628"/>
    <d v="2025-10-01T00:00:00"/>
    <s v="Q3"/>
    <x v="2"/>
    <n v="0.50938905051573657"/>
    <n v="19285"/>
    <n v="7"/>
    <n v="5.5364542008287047E-2"/>
  </r>
  <r>
    <x v="6"/>
    <s v="RCU"/>
    <x v="6"/>
    <s v="SHEFFIELD CHILDREN'S NHS FOUNDATION TRUST"/>
    <n v="4674"/>
    <n v="586"/>
    <n v="356"/>
    <n v="0"/>
    <n v="8"/>
    <n v="0"/>
    <d v="2025-10-01T00:00:00"/>
    <s v="Q3"/>
    <x v="2"/>
    <n v="7.6166024818142913E-2"/>
    <n v="5260"/>
    <n v="7"/>
    <n v="0"/>
  </r>
  <r>
    <x v="6"/>
    <s v="RD1"/>
    <x v="1"/>
    <s v="ROYAL UNITED HOSPITALS BATH NHS FOUNDATION TRUST"/>
    <n v="9562"/>
    <n v="0"/>
    <n v="4229"/>
    <n v="0"/>
    <n v="982"/>
    <n v="112"/>
    <d v="2025-10-01T00:00:00"/>
    <s v="Q3"/>
    <x v="2"/>
    <n v="0.44227149131980759"/>
    <n v="9562"/>
    <n v="7"/>
    <n v="1.171303074670571E-2"/>
  </r>
  <r>
    <x v="6"/>
    <s v="RD8"/>
    <x v="2"/>
    <s v="MILTON KEYNES UNIVERSITY HOSPITAL NHS FOUNDATION TRUST"/>
    <n v="8428"/>
    <n v="5222"/>
    <n v="3454"/>
    <n v="43"/>
    <n v="706"/>
    <n v="0"/>
    <d v="2025-10-01T00:00:00"/>
    <s v="Q3"/>
    <x v="2"/>
    <n v="0.40982439487422878"/>
    <n v="13650"/>
    <n v="7"/>
    <n v="0"/>
  </r>
  <r>
    <x v="6"/>
    <s v="RDE"/>
    <x v="2"/>
    <s v="EAST SUFFOLK AND NORTH ESSEX NHS FOUNDATION TRUST"/>
    <n v="11567"/>
    <n v="13288"/>
    <n v="6210"/>
    <n v="1213"/>
    <n v="819"/>
    <n v="556"/>
    <d v="2025-10-01T00:00:00"/>
    <s v="Q3"/>
    <x v="2"/>
    <n v="0.53687213624967578"/>
    <n v="24855"/>
    <n v="7"/>
    <n v="4.8067779026541024E-2"/>
  </r>
  <r>
    <x v="6"/>
    <s v="RDU"/>
    <x v="0"/>
    <s v="FRIMLEY HEALTH NHS FOUNDATION TRUST"/>
    <n v="23647"/>
    <n v="12660"/>
    <n v="9661"/>
    <n v="222"/>
    <n v="1387"/>
    <n v="492"/>
    <d v="2025-10-01T00:00:00"/>
    <s v="Q3"/>
    <x v="2"/>
    <n v="0.40855076753922276"/>
    <n v="36307"/>
    <n v="7"/>
    <n v="2.080602190552713E-2"/>
  </r>
  <r>
    <x v="6"/>
    <s v="RET"/>
    <x v="3"/>
    <s v="THE WALTON CENTRE NHS FOUNDATION TRUST"/>
    <n v="0"/>
    <n v="0"/>
    <n v="0"/>
    <n v="0"/>
    <n v="0"/>
    <n v="0"/>
    <d v="2025-10-01T00:00:00"/>
    <s v="Q3"/>
    <x v="2"/>
    <n v="0"/>
    <n v="0"/>
    <n v="7"/>
    <n v="0"/>
  </r>
  <r>
    <x v="6"/>
    <s v="RF4"/>
    <x v="4"/>
    <s v="BARKING, HAVERING AND REDBRIDGE UNIVERSITY HOSPITALS NHS TRUST"/>
    <n v="14159"/>
    <n v="14559"/>
    <n v="6429"/>
    <n v="179"/>
    <n v="690"/>
    <n v="949"/>
    <d v="2025-10-01T00:00:00"/>
    <s v="Q3"/>
    <x v="2"/>
    <n v="0.45405748993572992"/>
    <n v="28718"/>
    <n v="7"/>
    <n v="6.7024507380464726E-2"/>
  </r>
  <r>
    <x v="6"/>
    <s v="RFS"/>
    <x v="5"/>
    <s v="CHESTERFIELD ROYAL HOSPITAL NHS FOUNDATION TRUST"/>
    <n v="5372"/>
    <n v="5404"/>
    <n v="2895"/>
    <n v="257"/>
    <n v="963"/>
    <n v="276"/>
    <d v="2025-10-01T00:00:00"/>
    <s v="Q3"/>
    <x v="2"/>
    <n v="0.53890543559195825"/>
    <n v="10776"/>
    <n v="7"/>
    <n v="5.137751303052867E-2"/>
  </r>
  <r>
    <x v="6"/>
    <s v="RGN"/>
    <x v="2"/>
    <s v="NORTH WEST ANGLIA NHS FOUNDATION TRUST"/>
    <n v="15528"/>
    <n v="4796"/>
    <n v="5883"/>
    <n v="96"/>
    <n v="560"/>
    <n v="945"/>
    <d v="2025-10-01T00:00:00"/>
    <s v="Q3"/>
    <x v="2"/>
    <n v="0.37886398763523954"/>
    <n v="20324"/>
    <n v="7"/>
    <n v="6.0857805255023184E-2"/>
  </r>
  <r>
    <x v="6"/>
    <s v="RJ2"/>
    <x v="4"/>
    <s v="LEWISHAM AND GREENWICH NHS TRUST"/>
    <n v="16150"/>
    <n v="16657"/>
    <n v="7660"/>
    <n v="380"/>
    <n v="1253"/>
    <n v="652"/>
    <d v="2025-10-01T00:00:00"/>
    <s v="Q3"/>
    <x v="2"/>
    <n v="0.47430340557275541"/>
    <n v="32807"/>
    <n v="7"/>
    <n v="4.0371517027863776E-2"/>
  </r>
  <r>
    <x v="6"/>
    <s v="RBS"/>
    <x v="3"/>
    <s v="ALDER HEY CHILDREN'S NHS FOUNDATION TRUST"/>
    <n v="6441"/>
    <n v="0"/>
    <n v="841"/>
    <n v="0"/>
    <n v="0"/>
    <n v="0"/>
    <d v="2025-10-01T00:00:00"/>
    <s v="Q3"/>
    <x v="2"/>
    <n v="0.13056978730010868"/>
    <n v="6441"/>
    <n v="7"/>
    <n v="0"/>
  </r>
  <r>
    <x v="6"/>
    <s v="RJ7"/>
    <x v="4"/>
    <s v="ST GEORGE'S UNIVERSITY HOSPITALS NHS FOUNDATION TRUST"/>
    <n v="8936"/>
    <n v="3900"/>
    <n v="2633"/>
    <n v="106"/>
    <n v="408"/>
    <n v="651"/>
    <d v="2025-10-01T00:00:00"/>
    <s v="Q3"/>
    <x v="2"/>
    <n v="0.29465085049239031"/>
    <n v="12836"/>
    <n v="7"/>
    <n v="7.2851387645478966E-2"/>
  </r>
  <r>
    <x v="6"/>
    <s v="RJE"/>
    <x v="5"/>
    <s v="UNIVERSITY HOSPITALS OF NORTH MIDLANDS NHS TRUST"/>
    <n v="15284"/>
    <n v="9167"/>
    <n v="8226"/>
    <n v="321"/>
    <n v="852"/>
    <n v="1384"/>
    <d v="2025-10-01T00:00:00"/>
    <s v="Q3"/>
    <x v="2"/>
    <n v="0.53820989269824648"/>
    <n v="24451"/>
    <n v="7"/>
    <n v="9.055221146296781E-2"/>
  </r>
  <r>
    <x v="6"/>
    <s v="RK5"/>
    <x v="5"/>
    <s v="SHERWOOD FOREST HOSPITALS NHS FOUNDATION TRUST"/>
    <n v="11208"/>
    <n v="5679"/>
    <n v="5069"/>
    <n v="445"/>
    <n v="917"/>
    <n v="606"/>
    <d v="2025-10-01T00:00:00"/>
    <s v="Q3"/>
    <x v="2"/>
    <n v="0.45226623840114205"/>
    <n v="16887"/>
    <n v="7"/>
    <n v="5.4068522483940042E-2"/>
  </r>
  <r>
    <x v="6"/>
    <s v="RKB"/>
    <x v="5"/>
    <s v="UNIVERSITY HOSPITALS COVENTRY AND WARWICKSHIRE NHS TRUST"/>
    <n v="12851"/>
    <n v="5876"/>
    <n v="5414"/>
    <n v="105"/>
    <n v="73"/>
    <n v="22"/>
    <d v="2025-10-01T00:00:00"/>
    <s v="Q3"/>
    <x v="2"/>
    <n v="0.42129017197105284"/>
    <n v="18727"/>
    <n v="7"/>
    <n v="1.7119290327600966E-3"/>
  </r>
  <r>
    <x v="6"/>
    <s v="RN5"/>
    <x v="0"/>
    <s v="HAMPSHIRE HOSPITALS NHS FOUNDATION TRUST"/>
    <n v="11240"/>
    <n v="3567"/>
    <n v="5158"/>
    <n v="149"/>
    <n v="192"/>
    <n v="29"/>
    <d v="2025-10-01T00:00:00"/>
    <s v="Q3"/>
    <x v="2"/>
    <n v="0.45889679715302489"/>
    <n v="14807"/>
    <n v="7"/>
    <n v="2.5800711743772242E-3"/>
  </r>
  <r>
    <x v="6"/>
    <s v="RP5"/>
    <x v="6"/>
    <s v="DONCASTER AND BASSETLAW TEACHING HOSPITALS NHS FOUNDATION TRUST"/>
    <n v="14193"/>
    <n v="3954"/>
    <n v="5556"/>
    <n v="1"/>
    <n v="1283"/>
    <n v="142"/>
    <d v="2025-10-01T00:00:00"/>
    <s v="Q3"/>
    <x v="2"/>
    <n v="0.39146057915874022"/>
    <n v="18147"/>
    <n v="7"/>
    <n v="1.0004932008736702E-2"/>
  </r>
  <r>
    <x v="6"/>
    <s v="RP6"/>
    <x v="4"/>
    <s v="MOORFIELDS EYE HOSPITAL NHS FOUNDATION TRUST"/>
    <n v="0"/>
    <n v="0"/>
    <n v="0"/>
    <n v="0"/>
    <n v="0"/>
    <n v="0"/>
    <d v="2025-10-01T00:00:00"/>
    <s v="Q3"/>
    <x v="2"/>
    <n v="0"/>
    <n v="0"/>
    <n v="7"/>
    <n v="0"/>
  </r>
  <r>
    <x v="6"/>
    <s v="RQW"/>
    <x v="2"/>
    <s v="THE PRINCESS ALEXANDRA HOSPITAL NHS TRUST"/>
    <n v="8233"/>
    <n v="2322"/>
    <n v="2351"/>
    <n v="0"/>
    <n v="549"/>
    <n v="240"/>
    <d v="2025-10-01T00:00:00"/>
    <s v="Q3"/>
    <x v="2"/>
    <n v="0.28555811976193368"/>
    <n v="10555"/>
    <n v="7"/>
    <n v="2.915097777237945E-2"/>
  </r>
  <r>
    <x v="6"/>
    <s v="RHQ"/>
    <x v="6"/>
    <s v="SHEFFIELD TEACHING HOSPITALS NHS FOUNDATION TRUST"/>
    <n v="8972"/>
    <n v="7773"/>
    <n v="4759"/>
    <n v="244"/>
    <n v="1193"/>
    <n v="13"/>
    <d v="2025-10-01T00:00:00"/>
    <s v="Q3"/>
    <x v="2"/>
    <n v="0.53042799821667408"/>
    <n v="16745"/>
    <n v="7"/>
    <n v="1.4489522960321E-3"/>
  </r>
  <r>
    <x v="6"/>
    <s v="RAL"/>
    <x v="4"/>
    <s v="ROYAL FREE LONDON NHS FOUNDATION TRUST"/>
    <n v="27391"/>
    <n v="15885"/>
    <n v="9137"/>
    <n v="700"/>
    <n v="899"/>
    <n v="2109"/>
    <d v="2025-10-01T00:00:00"/>
    <s v="Q3"/>
    <x v="2"/>
    <n v="0.33357672228104124"/>
    <n v="43276"/>
    <n v="7"/>
    <n v="7.6996093607389293E-2"/>
  </r>
  <r>
    <x v="6"/>
    <s v="NNJ15"/>
    <x v="5"/>
    <s v="OAKHAM"/>
    <n v="0"/>
    <n v="53"/>
    <n v="0"/>
    <n v="0"/>
    <n v="0"/>
    <n v="0"/>
    <d v="2025-10-01T00:00:00"/>
    <s v="Q3"/>
    <x v="2"/>
    <n v="0"/>
    <n v="53"/>
    <n v="7"/>
    <n v="0"/>
  </r>
  <r>
    <x v="6"/>
    <s v="RR8"/>
    <x v="6"/>
    <s v="LEEDS TEACHING HOSPITALS NHS TRUST"/>
    <n v="18939"/>
    <n v="11826"/>
    <n v="7529"/>
    <n v="453"/>
    <n v="1447"/>
    <n v="714"/>
    <d v="2025-10-01T00:00:00"/>
    <s v="Q3"/>
    <x v="2"/>
    <n v="0.39753946882095148"/>
    <n v="30765"/>
    <n v="7"/>
    <n v="3.7699984159670519E-2"/>
  </r>
  <r>
    <x v="6"/>
    <s v="REP"/>
    <x v="3"/>
    <s v="LIVERPOOL WOMEN'S NHS FOUNDATION TRUST"/>
    <n v="0"/>
    <n v="0"/>
    <n v="0"/>
    <n v="0"/>
    <n v="0"/>
    <n v="0"/>
    <d v="2025-10-01T00:00:00"/>
    <s v="Q3"/>
    <x v="2"/>
    <n v="0"/>
    <n v="0"/>
    <n v="7"/>
    <n v="0"/>
  </r>
  <r>
    <x v="6"/>
    <s v="RGR"/>
    <x v="2"/>
    <s v="WEST SUFFOLK NHS FOUNDATION TRUST"/>
    <n v="7944"/>
    <n v="730"/>
    <n v="2673"/>
    <n v="0"/>
    <n v="511"/>
    <n v="406"/>
    <d v="2025-10-01T00:00:00"/>
    <s v="Q3"/>
    <x v="2"/>
    <n v="0.33648036253776437"/>
    <n v="8674"/>
    <n v="7"/>
    <n v="5.110775427995972E-2"/>
  </r>
  <r>
    <x v="6"/>
    <s v="RH8"/>
    <x v="1"/>
    <s v="ROYAL DEVON UNIVERSITY HEALTHCARE NHS FOUNDATION TRUST"/>
    <n v="13317"/>
    <n v="4221"/>
    <n v="5806"/>
    <n v="4"/>
    <n v="946"/>
    <n v="207"/>
    <d v="2025-10-01T00:00:00"/>
    <s v="Q3"/>
    <x v="2"/>
    <n v="0.43598408049861082"/>
    <n v="17538"/>
    <n v="7"/>
    <n v="1.5544041450777202E-2"/>
  </r>
  <r>
    <x v="6"/>
    <s v="RJZ"/>
    <x v="4"/>
    <s v="KING'S COLLEGE HOSPITAL NHS FOUNDATION TRUST"/>
    <n v="16287"/>
    <n v="8678"/>
    <n v="6934"/>
    <n v="358"/>
    <n v="1512"/>
    <n v="593"/>
    <d v="2025-10-01T00:00:00"/>
    <s v="Q3"/>
    <x v="2"/>
    <n v="0.42573831890464786"/>
    <n v="24965"/>
    <n v="7"/>
    <n v="3.6409406274943205E-2"/>
  </r>
  <r>
    <x v="6"/>
    <s v="RL1"/>
    <x v="5"/>
    <s v="THE ROBERT JONES AND AGNES HUNT ORTHOPAEDIC HOSPITAL NHS FOUNDATION TRUST"/>
    <n v="0"/>
    <n v="0"/>
    <n v="0"/>
    <n v="0"/>
    <n v="0"/>
    <n v="0"/>
    <d v="2025-10-01T00:00:00"/>
    <s v="Q3"/>
    <x v="2"/>
    <n v="0"/>
    <n v="0"/>
    <n v="7"/>
    <n v="0"/>
  </r>
  <r>
    <x v="6"/>
    <s v="RN3"/>
    <x v="1"/>
    <s v="GREAT WESTERN HOSPITALS NHS FOUNDATION TRUST"/>
    <n v="6185"/>
    <n v="5911"/>
    <n v="3152"/>
    <n v="486"/>
    <n v="702"/>
    <n v="326"/>
    <d v="2025-10-01T00:00:00"/>
    <s v="Q3"/>
    <x v="2"/>
    <n v="0.5096200485044462"/>
    <n v="12096"/>
    <n v="7"/>
    <n v="5.270816491511722E-2"/>
  </r>
  <r>
    <x v="6"/>
    <s v="RNS"/>
    <x v="5"/>
    <s v="NORTHAMPTON GENERAL HOSPITAL NHS TRUST"/>
    <n v="10636"/>
    <n v="1921"/>
    <n v="4524"/>
    <n v="49"/>
    <n v="571"/>
    <n v="764"/>
    <d v="2025-10-01T00:00:00"/>
    <s v="Q3"/>
    <x v="2"/>
    <n v="0.42534787514103045"/>
    <n v="12557"/>
    <n v="7"/>
    <n v="7.1831515607371194E-2"/>
  </r>
  <r>
    <x v="6"/>
    <s v="RPC"/>
    <x v="0"/>
    <s v="QUEEN VICTORIA HOSPITAL NHS FOUNDATION TRUST"/>
    <n v="0"/>
    <n v="1395"/>
    <n v="0"/>
    <n v="19"/>
    <n v="0"/>
    <n v="0"/>
    <d v="2025-10-01T00:00:00"/>
    <s v="Q3"/>
    <x v="2"/>
    <n v="0"/>
    <n v="1395"/>
    <n v="7"/>
    <n v="0"/>
  </r>
  <r>
    <x v="6"/>
    <s v="RTH"/>
    <x v="0"/>
    <s v="OXFORD UNIVERSITY HOSPITALS NHS FOUNDATION TRUST"/>
    <n v="12950"/>
    <n v="3269"/>
    <n v="3808"/>
    <n v="110"/>
    <n v="450"/>
    <n v="0"/>
    <d v="2025-10-01T00:00:00"/>
    <s v="Q3"/>
    <x v="2"/>
    <n v="0.29405405405405405"/>
    <n v="16219"/>
    <n v="7"/>
    <n v="0"/>
  </r>
  <r>
    <x v="6"/>
    <s v="RVV"/>
    <x v="0"/>
    <s v="EAST KENT HOSPITALS UNIVERSITY NHS FOUNDATION TRUST"/>
    <n v="13171"/>
    <n v="13017"/>
    <n v="6372"/>
    <n v="357"/>
    <n v="406"/>
    <n v="1238"/>
    <d v="2025-10-01T00:00:00"/>
    <s v="Q3"/>
    <x v="2"/>
    <n v="0.4837901450155645"/>
    <n v="26188"/>
    <n v="7"/>
    <n v="9.399438159593046E-2"/>
  </r>
  <r>
    <x v="6"/>
    <s v="RWJ"/>
    <x v="3"/>
    <s v="STOCKPORT NHS FOUNDATION TRUST"/>
    <n v="8296"/>
    <n v="1162"/>
    <n v="3528"/>
    <n v="59"/>
    <n v="802"/>
    <n v="447"/>
    <d v="2025-10-01T00:00:00"/>
    <s v="Q3"/>
    <x v="2"/>
    <n v="0.42526518804243008"/>
    <n v="9458"/>
    <n v="7"/>
    <n v="5.388138862102218E-2"/>
  </r>
  <r>
    <x v="6"/>
    <s v="RWX"/>
    <x v="0"/>
    <s v="BERKSHIRE HEALTHCARE NHS FOUNDATION TRUST"/>
    <n v="0"/>
    <n v="1447"/>
    <n v="0"/>
    <n v="12"/>
    <n v="0"/>
    <n v="0"/>
    <d v="2025-10-01T00:00:00"/>
    <s v="Q3"/>
    <x v="2"/>
    <n v="0"/>
    <n v="1447"/>
    <n v="7"/>
    <n v="0"/>
  </r>
  <r>
    <x v="6"/>
    <s v="RXF"/>
    <x v="6"/>
    <s v="MID YORKSHIRE TEACHING NHS TRUST"/>
    <n v="17426"/>
    <n v="6725"/>
    <n v="6729"/>
    <n v="263"/>
    <n v="2098"/>
    <n v="125"/>
    <d v="2025-10-01T00:00:00"/>
    <s v="Q3"/>
    <x v="2"/>
    <n v="0.38614713646275678"/>
    <n v="24151"/>
    <n v="7"/>
    <n v="7.1731894869734875E-3"/>
  </r>
  <r>
    <x v="6"/>
    <s v="RXP"/>
    <x v="6"/>
    <s v="COUNTY DURHAM AND DARLINGTON NHS FOUNDATION TRUST"/>
    <n v="13410"/>
    <n v="4086"/>
    <n v="5620"/>
    <n v="0"/>
    <n v="2278"/>
    <n v="19"/>
    <d v="2025-10-01T00:00:00"/>
    <s v="Q3"/>
    <x v="2"/>
    <n v="0.4190902311707681"/>
    <n v="17496"/>
    <n v="7"/>
    <n v="1.4168530947054436E-3"/>
  </r>
  <r>
    <x v="6"/>
    <s v="RXW"/>
    <x v="5"/>
    <s v="THE SHREWSBURY AND TELFORD HOSPITAL NHS TRUST"/>
    <n v="10982"/>
    <n v="2637"/>
    <n v="5893"/>
    <n v="340"/>
    <n v="429"/>
    <n v="1618"/>
    <d v="2025-10-01T00:00:00"/>
    <s v="Q3"/>
    <x v="2"/>
    <n v="0.53660535421598976"/>
    <n v="13619"/>
    <n v="7"/>
    <n v="0.14733199781460571"/>
  </r>
  <r>
    <x v="6"/>
    <s v="RYG"/>
    <x v="5"/>
    <s v="COVENTRY AND WARWICKSHIRE PARTNERSHIP NHS TRUST"/>
    <n v="0"/>
    <n v="0"/>
    <n v="0"/>
    <n v="0"/>
    <n v="0"/>
    <n v="0"/>
    <d v="2025-10-01T00:00:00"/>
    <s v="Q3"/>
    <x v="2"/>
    <n v="0"/>
    <n v="0"/>
    <n v="7"/>
    <n v="0"/>
  </r>
  <r>
    <x v="6"/>
    <s v="Y02615"/>
    <x v="5"/>
    <s v="SOUTH BIRMINGHAM GP WALK IN CENTRE"/>
    <n v="0"/>
    <n v="6420"/>
    <n v="0"/>
    <n v="0"/>
    <n v="0"/>
    <n v="0"/>
    <d v="2025-10-01T00:00:00"/>
    <s v="Q3"/>
    <x v="2"/>
    <n v="0"/>
    <n v="6420"/>
    <n v="7"/>
    <n v="0"/>
  </r>
  <r>
    <x v="6"/>
    <s v="NNJ0H"/>
    <x v="5"/>
    <s v="LLR EA - THE MERLYN VAZ HEALTH &amp; SOCIAL CARE CENTRE"/>
    <n v="0"/>
    <n v="329"/>
    <n v="0"/>
    <n v="3"/>
    <n v="0"/>
    <n v="0"/>
    <d v="2025-10-01T00:00:00"/>
    <s v="Q3"/>
    <x v="2"/>
    <n v="0"/>
    <n v="329"/>
    <n v="7"/>
    <n v="0"/>
  </r>
  <r>
    <x v="6"/>
    <s v="NNJ12"/>
    <x v="5"/>
    <s v="MARKET HARBOROUGH"/>
    <n v="0"/>
    <n v="89"/>
    <n v="0"/>
    <n v="0"/>
    <n v="0"/>
    <n v="0"/>
    <d v="2025-10-01T00:00:00"/>
    <s v="Q3"/>
    <x v="2"/>
    <n v="0"/>
    <n v="89"/>
    <n v="7"/>
    <n v="0"/>
  </r>
  <r>
    <x v="6"/>
    <s v="NNJ13"/>
    <x v="5"/>
    <s v="MELTON MOWBRAY"/>
    <n v="0"/>
    <n v="54"/>
    <n v="0"/>
    <n v="0"/>
    <n v="0"/>
    <n v="0"/>
    <d v="2025-10-01T00:00:00"/>
    <s v="Q3"/>
    <x v="2"/>
    <n v="0"/>
    <n v="54"/>
    <n v="7"/>
    <n v="0"/>
  </r>
  <r>
    <x v="6"/>
    <s v="NNJ14"/>
    <x v="5"/>
    <s v="OADBY"/>
    <n v="0"/>
    <n v="534"/>
    <n v="0"/>
    <n v="0"/>
    <n v="0"/>
    <n v="0"/>
    <d v="2025-10-01T00:00:00"/>
    <s v="Q3"/>
    <x v="2"/>
    <n v="0"/>
    <n v="534"/>
    <n v="7"/>
    <n v="0"/>
  </r>
  <r>
    <x v="6"/>
    <s v="RA7"/>
    <x v="1"/>
    <s v="UNIVERSITY HOSPITALS BRISTOL AND WESTON NHS FOUNDATION TRUST"/>
    <n v="16671"/>
    <n v="0"/>
    <n v="6315"/>
    <n v="0"/>
    <n v="1187"/>
    <n v="562"/>
    <d v="2025-10-01T00:00:00"/>
    <s v="Q3"/>
    <x v="2"/>
    <n v="0.37880151160698217"/>
    <n v="16671"/>
    <n v="7"/>
    <n v="3.3711235078879492E-2"/>
  </r>
  <r>
    <x v="6"/>
    <s v="RRF"/>
    <x v="3"/>
    <s v="WRIGHTINGTON, WIGAN AND LEIGH NHS FOUNDATION TRUST"/>
    <n v="8009"/>
    <n v="5045"/>
    <n v="3531"/>
    <n v="54"/>
    <n v="647"/>
    <n v="434"/>
    <d v="2025-10-01T00:00:00"/>
    <s v="Q3"/>
    <x v="2"/>
    <n v="0.44087901111249844"/>
    <n v="13054"/>
    <n v="7"/>
    <n v="5.4189037333000373E-2"/>
  </r>
  <r>
    <x v="6"/>
    <s v="RTE"/>
    <x v="1"/>
    <s v="GLOUCESTERSHIRE HOSPITALS NHS FOUNDATION TRUST"/>
    <n v="13881"/>
    <n v="0"/>
    <n v="5212"/>
    <n v="0"/>
    <n v="451"/>
    <n v="348"/>
    <d v="2025-10-01T00:00:00"/>
    <s v="Q3"/>
    <x v="2"/>
    <n v="0.37547727108997908"/>
    <n v="13881"/>
    <n v="7"/>
    <n v="2.5070239896261077E-2"/>
  </r>
  <r>
    <x v="6"/>
    <s v="RAN"/>
    <x v="4"/>
    <s v="ROYAL NATIONAL ORTHOPAEDIC HOSPITAL NHS TRUST"/>
    <n v="0"/>
    <n v="0"/>
    <n v="0"/>
    <n v="0"/>
    <n v="0"/>
    <n v="0"/>
    <d v="2025-10-01T00:00:00"/>
    <s v="Q3"/>
    <x v="2"/>
    <n v="0"/>
    <n v="0"/>
    <n v="7"/>
    <n v="0"/>
  </r>
  <r>
    <x v="6"/>
    <s v="AQM01"/>
    <x v="0"/>
    <s v="FAVERSHAM MEDICAL PRACTICE MIU"/>
    <n v="0"/>
    <n v="2943"/>
    <n v="0"/>
    <n v="0"/>
    <n v="0"/>
    <n v="0"/>
    <d v="2025-10-01T00:00:00"/>
    <s v="Q3"/>
    <x v="2"/>
    <n v="0"/>
    <n v="2943"/>
    <n v="7"/>
    <n v="0"/>
  </r>
  <r>
    <x v="6"/>
    <s v="DJV01"/>
    <x v="0"/>
    <s v="HERNE BAY HEALTH CARE LTD"/>
    <n v="0"/>
    <n v="2567"/>
    <n v="0"/>
    <n v="0"/>
    <n v="0"/>
    <n v="0"/>
    <d v="2025-10-01T00:00:00"/>
    <s v="Q3"/>
    <x v="2"/>
    <n v="0"/>
    <n v="2567"/>
    <n v="7"/>
    <n v="0"/>
  </r>
  <r>
    <x v="6"/>
    <s v="G0Q0L"/>
    <x v="4"/>
    <s v="BARKING HOSPITAL UTC"/>
    <n v="0"/>
    <n v="2914"/>
    <n v="0"/>
    <n v="9"/>
    <n v="0"/>
    <n v="0"/>
    <d v="2025-10-01T00:00:00"/>
    <s v="Q3"/>
    <x v="2"/>
    <n v="0"/>
    <n v="2914"/>
    <n v="7"/>
    <n v="0"/>
  </r>
  <r>
    <x v="6"/>
    <s v="K6K0R"/>
    <x v="4"/>
    <s v="HAROLD WOOD POLYCLINIC UTC"/>
    <n v="0"/>
    <n v="2792"/>
    <n v="0"/>
    <n v="6"/>
    <n v="0"/>
    <n v="0"/>
    <d v="2025-10-01T00:00:00"/>
    <s v="Q3"/>
    <x v="2"/>
    <n v="0"/>
    <n v="2792"/>
    <n v="7"/>
    <n v="0"/>
  </r>
  <r>
    <x v="6"/>
    <s v="RJ1"/>
    <x v="4"/>
    <s v="GUY'S AND ST THOMAS' NHS FOUNDATION TRUST"/>
    <n v="10559"/>
    <n v="6955"/>
    <n v="3780"/>
    <n v="192"/>
    <n v="129"/>
    <n v="94"/>
    <d v="2025-10-01T00:00:00"/>
    <s v="Q3"/>
    <x v="2"/>
    <n v="0.35798844587555639"/>
    <n v="17514"/>
    <n v="7"/>
    <n v="8.9023581778577519E-3"/>
  </r>
  <r>
    <x v="6"/>
    <s v="RX1"/>
    <x v="5"/>
    <s v="NOTTINGHAM UNIVERSITY HOSPITALS NHS TRUST"/>
    <n v="12936"/>
    <n v="9888"/>
    <n v="7207"/>
    <n v="2314"/>
    <n v="195"/>
    <n v="859"/>
    <d v="2025-10-01T00:00:00"/>
    <s v="Q3"/>
    <x v="2"/>
    <n v="0.55712739641311071"/>
    <n v="22824"/>
    <n v="7"/>
    <n v="6.6403834260977124E-2"/>
  </r>
  <r>
    <x v="6"/>
    <s v="Y02532"/>
    <x v="3"/>
    <s v="MIRIAM MINOR EMERGENCY"/>
    <n v="0"/>
    <n v="1766"/>
    <n v="0"/>
    <n v="0"/>
    <n v="0"/>
    <n v="0"/>
    <d v="2025-10-01T00:00:00"/>
    <s v="Q3"/>
    <x v="2"/>
    <n v="0"/>
    <n v="1766"/>
    <n v="7"/>
    <n v="0"/>
  </r>
  <r>
    <x v="6"/>
    <s v="RC9"/>
    <x v="2"/>
    <s v="BEDFORDSHIRE HOSPITALS NHS FOUNDATION TRUST"/>
    <n v="17663"/>
    <n v="8549"/>
    <n v="7164"/>
    <n v="0"/>
    <n v="82"/>
    <n v="40"/>
    <d v="2025-10-01T00:00:00"/>
    <s v="Q3"/>
    <x v="2"/>
    <n v="0.40559361376889541"/>
    <n v="26212"/>
    <n v="7"/>
    <n v="2.2646209590669762E-3"/>
  </r>
  <r>
    <x v="6"/>
    <s v="Y03218"/>
    <x v="4"/>
    <s v="THE PINN UNREGISTERED WIC"/>
    <n v="0"/>
    <n v="1094"/>
    <n v="0"/>
    <n v="0"/>
    <n v="0"/>
    <n v="0"/>
    <d v="2025-10-01T00:00:00"/>
    <s v="Q3"/>
    <x v="2"/>
    <n v="0"/>
    <n v="1094"/>
    <n v="7"/>
    <n v="0"/>
  </r>
  <r>
    <x v="6"/>
    <s v="RBL"/>
    <x v="3"/>
    <s v="WIRRAL UNIVERSITY TEACHING HOSPITAL NHS FOUNDATION TRUST"/>
    <n v="8314"/>
    <n v="2815"/>
    <n v="4670"/>
    <n v="118"/>
    <n v="646"/>
    <n v="822"/>
    <d v="2025-10-01T00:00:00"/>
    <s v="Q3"/>
    <x v="2"/>
    <n v="0.56170315131104165"/>
    <n v="11129"/>
    <n v="7"/>
    <n v="9.8869376954534516E-2"/>
  </r>
  <r>
    <x v="6"/>
    <s v="RM3"/>
    <x v="3"/>
    <s v="NORTHERN CARE ALLIANCE NHS FOUNDATION TRUST"/>
    <n v="27521"/>
    <n v="9475"/>
    <n v="11063"/>
    <n v="271"/>
    <n v="1130"/>
    <n v="1237"/>
    <d v="2025-10-01T00:00:00"/>
    <s v="Q3"/>
    <x v="2"/>
    <n v="0.40198393953708078"/>
    <n v="36996"/>
    <n v="7"/>
    <n v="4.494749464045638E-2"/>
  </r>
  <r>
    <x v="6"/>
    <s v="R1H"/>
    <x v="4"/>
    <s v="BARTS HEALTH NHS TRUST"/>
    <n v="26298"/>
    <n v="19094"/>
    <n v="11870"/>
    <n v="2032"/>
    <n v="1062"/>
    <n v="1241"/>
    <d v="2025-10-01T00:00:00"/>
    <s v="Q3"/>
    <x v="2"/>
    <n v="0.45136512282302838"/>
    <n v="45392"/>
    <n v="7"/>
    <n v="4.7189900372651909E-2"/>
  </r>
  <r>
    <x v="6"/>
    <s v="RHM"/>
    <x v="0"/>
    <s v="UNIVERSITY HOSPITAL SOUTHAMPTON NHS FOUNDATION TRUST"/>
    <n v="12327"/>
    <n v="0"/>
    <n v="5600"/>
    <n v="0"/>
    <n v="583"/>
    <n v="1"/>
    <d v="2025-10-01T00:00:00"/>
    <s v="Q3"/>
    <x v="2"/>
    <n v="0.45428733674048838"/>
    <n v="12327"/>
    <n v="7"/>
    <n v="8.112273870365864E-5"/>
  </r>
  <r>
    <x v="6"/>
    <s v="RHU"/>
    <x v="0"/>
    <s v="PORTSMOUTH HOSPITALS UNIVERSITY NHS TRUST"/>
    <n v="11157"/>
    <n v="3091"/>
    <n v="4450"/>
    <n v="21"/>
    <n v="784"/>
    <n v="1232"/>
    <d v="2025-10-01T00:00:00"/>
    <s v="Q3"/>
    <x v="2"/>
    <n v="0.39885273819127004"/>
    <n v="14248"/>
    <n v="7"/>
    <n v="0.11042394909025724"/>
  </r>
  <r>
    <x v="6"/>
    <s v="R1K"/>
    <x v="4"/>
    <s v="LONDON NORTH WEST UNIVERSITY HEALTHCARE NHS TRUST"/>
    <n v="14426"/>
    <n v="16111"/>
    <n v="7089"/>
    <n v="1291"/>
    <n v="677"/>
    <n v="446"/>
    <d v="2025-10-01T00:00:00"/>
    <s v="Q3"/>
    <x v="2"/>
    <n v="0.49140440870650215"/>
    <n v="30537"/>
    <n v="7"/>
    <n v="3.091640094274227E-2"/>
  </r>
  <r>
    <x v="6"/>
    <s v="RXQ"/>
    <x v="0"/>
    <s v="BUCKINGHAMSHIRE HEALTHCARE NHS TRUST"/>
    <n v="9939"/>
    <n v="3127"/>
    <n v="3693"/>
    <n v="96"/>
    <n v="190"/>
    <n v="336"/>
    <d v="2025-10-01T00:00:00"/>
    <s v="Q3"/>
    <x v="2"/>
    <n v="0.37156655599154842"/>
    <n v="13066"/>
    <n v="7"/>
    <n v="3.3806217929369151E-2"/>
  </r>
  <r>
    <x v="6"/>
    <s v="RYF"/>
    <x v="1"/>
    <s v="SOUTH WESTERN AMBULANCE SERVICE NHS FOUNDATION TRUST"/>
    <n v="0"/>
    <n v="1898"/>
    <n v="0"/>
    <n v="42"/>
    <n v="0"/>
    <n v="0"/>
    <d v="2025-10-01T00:00:00"/>
    <s v="Q3"/>
    <x v="2"/>
    <n v="0"/>
    <n v="1898"/>
    <n v="7"/>
    <n v="0"/>
  </r>
  <r>
    <x v="6"/>
    <s v="RYX"/>
    <x v="4"/>
    <s v="CENTRAL LONDON COMMUNITY HEALTHCARE NHS TRUST"/>
    <n v="0"/>
    <n v="12138"/>
    <n v="0"/>
    <n v="133"/>
    <n v="0"/>
    <n v="0"/>
    <d v="2025-10-01T00:00:00"/>
    <s v="Q3"/>
    <x v="2"/>
    <n v="0"/>
    <n v="12138"/>
    <n v="7"/>
    <n v="0"/>
  </r>
  <r>
    <x v="6"/>
    <s v="RHW"/>
    <x v="0"/>
    <s v="ROYAL BERKSHIRE NHS FOUNDATION TRUST"/>
    <n v="11773"/>
    <n v="2670"/>
    <n v="4120"/>
    <n v="0"/>
    <n v="691"/>
    <n v="13"/>
    <d v="2025-10-01T00:00:00"/>
    <s v="Q3"/>
    <x v="2"/>
    <n v="0.34995328293553046"/>
    <n v="14443"/>
    <n v="7"/>
    <n v="1.1042215238257029E-3"/>
  </r>
  <r>
    <x v="6"/>
    <s v="C83023"/>
    <x v="5"/>
    <s v="SLEAFORD MEDICAL GROUP"/>
    <n v="0"/>
    <n v="501"/>
    <n v="0"/>
    <n v="0"/>
    <n v="0"/>
    <n v="0"/>
    <d v="2025-10-01T00:00:00"/>
    <s v="Q3"/>
    <x v="2"/>
    <n v="0"/>
    <n v="501"/>
    <n v="7"/>
    <n v="0"/>
  </r>
  <r>
    <x v="6"/>
    <s v="DT301"/>
    <x v="2"/>
    <s v="HERTS URGENT CARE (ASCOTS LANE)"/>
    <n v="0"/>
    <n v="2189"/>
    <n v="0"/>
    <n v="100"/>
    <n v="0"/>
    <n v="0"/>
    <d v="2025-10-01T00:00:00"/>
    <s v="Q3"/>
    <x v="2"/>
    <n v="0"/>
    <n v="2189"/>
    <n v="7"/>
    <n v="0"/>
  </r>
  <r>
    <x v="6"/>
    <s v="RY2"/>
    <x v="3"/>
    <s v="BRIDGEWATER COMMUNITY HEALTHCARE NHS FOUNDATION TRUST"/>
    <n v="0"/>
    <n v="2951"/>
    <n v="0"/>
    <n v="51"/>
    <n v="0"/>
    <n v="0"/>
    <d v="2025-10-01T00:00:00"/>
    <s v="Q3"/>
    <x v="2"/>
    <n v="0"/>
    <n v="2951"/>
    <n v="7"/>
    <n v="0"/>
  </r>
  <r>
    <x v="6"/>
    <s v="RRK"/>
    <x v="5"/>
    <s v="UNIVERSITY HOSPITALS BIRMINGHAM NHS FOUNDATION TRUST"/>
    <n v="36434"/>
    <n v="3395"/>
    <n v="14338"/>
    <n v="46"/>
    <n v="2442"/>
    <n v="2030"/>
    <d v="2025-10-01T00:00:00"/>
    <s v="Q3"/>
    <x v="2"/>
    <n v="0.39353351265301639"/>
    <n v="39829"/>
    <n v="7"/>
    <n v="5.5717187242685401E-2"/>
  </r>
  <r>
    <x v="6"/>
    <s v="RWF"/>
    <x v="0"/>
    <s v="MAIDSTONE AND TUNBRIDGE WELLS NHS TRUST"/>
    <n v="20896"/>
    <n v="1822"/>
    <n v="4634"/>
    <n v="29"/>
    <n v="1046"/>
    <n v="317"/>
    <d v="2025-10-01T00:00:00"/>
    <s v="Q3"/>
    <x v="2"/>
    <n v="0.22176493108728942"/>
    <n v="22718"/>
    <n v="7"/>
    <n v="1.5170367534456355E-2"/>
  </r>
  <r>
    <x v="6"/>
    <s v="RVJ"/>
    <x v="1"/>
    <s v="NORTH BRISTOL NHS TRUST"/>
    <n v="9818"/>
    <n v="0"/>
    <n v="3786"/>
    <n v="0"/>
    <n v="631"/>
    <n v="401"/>
    <d v="2025-10-01T00:00:00"/>
    <s v="Q3"/>
    <x v="2"/>
    <n v="0.38561825218985535"/>
    <n v="9818"/>
    <n v="7"/>
    <n v="4.0843348950906501E-2"/>
  </r>
  <r>
    <x v="6"/>
    <s v="RTF"/>
    <x v="6"/>
    <s v="NORTHUMBRIA HEALTHCARE NHS FOUNDATION TRUST"/>
    <n v="11014"/>
    <n v="13208"/>
    <n v="2985"/>
    <n v="0"/>
    <n v="49"/>
    <n v="0"/>
    <d v="2025-10-01T00:00:00"/>
    <s v="Q3"/>
    <x v="2"/>
    <n v="0.27101870346831308"/>
    <n v="24222"/>
    <n v="7"/>
    <n v="0"/>
  </r>
  <r>
    <x v="6"/>
    <s v="RWD"/>
    <x v="5"/>
    <s v="UNITED LINCOLNSHIRE TEACHING HOSPITALS NHS TRUST"/>
    <n v="17436"/>
    <n v="4099"/>
    <n v="6972"/>
    <n v="374"/>
    <n v="965"/>
    <n v="1196"/>
    <d v="2025-10-01T00:00:00"/>
    <s v="Q3"/>
    <x v="2"/>
    <n v="0.39986235375086027"/>
    <n v="21535"/>
    <n v="7"/>
    <n v="6.859371415462262E-2"/>
  </r>
  <r>
    <x v="6"/>
    <s v="RWE"/>
    <x v="5"/>
    <s v="UNIVERSITY HOSPITALS OF LEICESTER NHS TRUST"/>
    <n v="23885"/>
    <n v="0"/>
    <n v="9536"/>
    <n v="0"/>
    <n v="1182"/>
    <n v="844"/>
    <d v="2025-10-01T00:00:00"/>
    <s v="Q3"/>
    <x v="2"/>
    <n v="0.3992463889470379"/>
    <n v="23885"/>
    <n v="7"/>
    <n v="3.5335984927778938E-2"/>
  </r>
  <r>
    <x v="6"/>
    <s v="RWG"/>
    <x v="2"/>
    <s v="WEST HERTFORDSHIRE TEACHING HOSPITALS NHS TRUST"/>
    <n v="8532"/>
    <n v="7389"/>
    <n v="2749"/>
    <n v="65"/>
    <n v="779"/>
    <n v="22"/>
    <d v="2025-10-01T00:00:00"/>
    <s v="Q3"/>
    <x v="2"/>
    <n v="0.32219878105954053"/>
    <n v="15921"/>
    <n v="7"/>
    <n v="2.5785278949835913E-3"/>
  </r>
  <r>
    <x v="6"/>
    <s v="RWH"/>
    <x v="2"/>
    <s v="EAST AND NORTH HERTFORDSHIRE TEACHING NHS TRUST"/>
    <n v="9294"/>
    <n v="8403"/>
    <n v="4574"/>
    <n v="27"/>
    <n v="545"/>
    <n v="172"/>
    <d v="2025-10-01T00:00:00"/>
    <s v="Q3"/>
    <x v="2"/>
    <n v="0.49214547019582527"/>
    <n v="17697"/>
    <n v="7"/>
    <n v="1.8506563374219926E-2"/>
  </r>
  <r>
    <x v="6"/>
    <s v="RWW"/>
    <x v="3"/>
    <s v="WARRINGTON AND HALTON TEACHING HOSPITALS NHS FOUNDATION TRUST"/>
    <n v="7210"/>
    <n v="3092"/>
    <n v="3769"/>
    <n v="86"/>
    <n v="579"/>
    <n v="988"/>
    <d v="2025-10-01T00:00:00"/>
    <s v="Q3"/>
    <x v="2"/>
    <n v="0.52274618585298194"/>
    <n v="10302"/>
    <n v="7"/>
    <n v="0.13703190013869626"/>
  </r>
  <r>
    <x v="6"/>
    <s v="RXC"/>
    <x v="0"/>
    <s v="EAST SUSSEX HEALTHCARE NHS TRUST"/>
    <n v="9250"/>
    <n v="2428"/>
    <n v="3788"/>
    <n v="28"/>
    <n v="275"/>
    <n v="117"/>
    <d v="2025-10-01T00:00:00"/>
    <s v="Q3"/>
    <x v="2"/>
    <n v="0.40951351351351351"/>
    <n v="11678"/>
    <n v="7"/>
    <n v="1.2648648648648649E-2"/>
  </r>
  <r>
    <x v="6"/>
    <s v="RXL"/>
    <x v="3"/>
    <s v="BLACKPOOL TEACHING HOSPITALS NHS FOUNDATION TRUST"/>
    <n v="9263"/>
    <n v="10484"/>
    <n v="4480"/>
    <n v="153"/>
    <n v="524"/>
    <n v="544"/>
    <d v="2025-10-01T00:00:00"/>
    <s v="Q3"/>
    <x v="2"/>
    <n v="0.48364460757853828"/>
    <n v="19747"/>
    <n v="7"/>
    <n v="5.8728273777393931E-2"/>
  </r>
  <r>
    <x v="6"/>
    <s v="RYJ"/>
    <x v="4"/>
    <s v="IMPERIAL COLLEGE HEALTHCARE NHS TRUST"/>
    <n v="12719"/>
    <n v="7454"/>
    <n v="5375"/>
    <n v="416"/>
    <n v="575"/>
    <n v="0"/>
    <d v="2025-10-01T00:00:00"/>
    <s v="Q3"/>
    <x v="2"/>
    <n v="0.42259611604685904"/>
    <n v="20173"/>
    <n v="7"/>
    <n v="0"/>
  </r>
  <r>
    <x v="6"/>
    <s v="ARN03"/>
    <x v="6"/>
    <s v="LOCAL CARE DIRECT"/>
    <n v="0"/>
    <n v="2371"/>
    <n v="0"/>
    <n v="9"/>
    <n v="0"/>
    <n v="0"/>
    <d v="2025-10-01T00:00:00"/>
    <s v="Q3"/>
    <x v="2"/>
    <n v="0"/>
    <n v="2371"/>
    <n v="7"/>
    <n v="0"/>
  </r>
  <r>
    <x v="6"/>
    <s v="R0D"/>
    <x v="1"/>
    <s v="UNIVERSITY HOSPITALS DORSET NHS FOUNDATION TRUST"/>
    <n v="14481"/>
    <n v="4810"/>
    <n v="6026"/>
    <n v="0"/>
    <n v="1171"/>
    <n v="434"/>
    <d v="2025-10-01T00:00:00"/>
    <s v="Q3"/>
    <x v="2"/>
    <n v="0.4161314826324149"/>
    <n v="19291"/>
    <n v="7"/>
    <n v="2.9970305918099578E-2"/>
  </r>
  <r>
    <x v="6"/>
    <s v="RDR"/>
    <x v="0"/>
    <s v="SUSSEX COMMUNITY NHS FOUNDATION TRUST"/>
    <n v="0"/>
    <n v="11779"/>
    <n v="0"/>
    <n v="173"/>
    <n v="0"/>
    <n v="0"/>
    <d v="2025-10-01T00:00:00"/>
    <s v="Q3"/>
    <x v="2"/>
    <n v="0"/>
    <n v="11779"/>
    <n v="7"/>
    <n v="0"/>
  </r>
  <r>
    <x v="6"/>
    <s v="RGT"/>
    <x v="2"/>
    <s v="CAMBRIDGE UNIVERSITY HOSPITALS NHS FOUNDATION TRUST"/>
    <n v="11309"/>
    <n v="5334"/>
    <n v="4661"/>
    <n v="48"/>
    <n v="546"/>
    <n v="568"/>
    <d v="2025-10-01T00:00:00"/>
    <s v="Q3"/>
    <x v="2"/>
    <n v="0.41214961535060574"/>
    <n v="16643"/>
    <n v="7"/>
    <n v="5.0225484127685911E-2"/>
  </r>
  <r>
    <x v="6"/>
    <s v="RH5"/>
    <x v="1"/>
    <s v="SOMERSET NHS FOUNDATION TRUST"/>
    <n v="12856"/>
    <n v="8360"/>
    <n v="6024"/>
    <n v="139"/>
    <n v="610"/>
    <n v="207"/>
    <d v="2025-10-01T00:00:00"/>
    <s v="Q3"/>
    <x v="2"/>
    <n v="0.46857498444306162"/>
    <n v="21216"/>
    <n v="7"/>
    <n v="1.6101431238332298E-2"/>
  </r>
  <r>
    <x v="6"/>
    <s v="RJ6"/>
    <x v="4"/>
    <s v="CROYDON HEALTH SERVICES NHS TRUST"/>
    <n v="13542"/>
    <n v="5354"/>
    <n v="4873"/>
    <n v="0"/>
    <n v="292"/>
    <n v="751"/>
    <d v="2025-10-01T00:00:00"/>
    <s v="Q3"/>
    <x v="2"/>
    <n v="0.35984345000738444"/>
    <n v="18896"/>
    <n v="7"/>
    <n v="5.5457096440702999E-2"/>
  </r>
  <r>
    <x v="6"/>
    <s v="RJN"/>
    <x v="3"/>
    <s v="EAST CHESHIRE NHS TRUST"/>
    <n v="4646"/>
    <n v="0"/>
    <n v="2459"/>
    <n v="0"/>
    <n v="298"/>
    <n v="256"/>
    <d v="2025-10-01T00:00:00"/>
    <s v="Q3"/>
    <x v="2"/>
    <n v="0.52927249246663799"/>
    <n v="4646"/>
    <n v="7"/>
    <n v="5.5101162290142058E-2"/>
  </r>
  <r>
    <x v="6"/>
    <s v="RKE"/>
    <x v="4"/>
    <s v="WHITTINGTON HEALTH NHS TRUST"/>
    <n v="9130"/>
    <n v="0"/>
    <n v="2753"/>
    <n v="0"/>
    <n v="248"/>
    <n v="296"/>
    <d v="2025-10-01T00:00:00"/>
    <s v="Q3"/>
    <x v="2"/>
    <n v="0.30153340635268344"/>
    <n v="9130"/>
    <n v="7"/>
    <n v="3.2420591456736036E-2"/>
  </r>
  <r>
    <x v="6"/>
    <s v="RM1"/>
    <x v="2"/>
    <s v="NORFOLK AND NORWICH UNIVERSITY HOSPITALS NHS FOUNDATION TRUST"/>
    <n v="12942"/>
    <n v="7670"/>
    <n v="4125"/>
    <n v="1"/>
    <n v="741"/>
    <n v="215"/>
    <d v="2025-10-01T00:00:00"/>
    <s v="Q3"/>
    <x v="2"/>
    <n v="0.31872971719981458"/>
    <n v="20612"/>
    <n v="7"/>
    <n v="1.6612579199505487E-2"/>
  </r>
  <r>
    <x v="6"/>
    <s v="RN7"/>
    <x v="0"/>
    <s v="DARTFORD AND GRAVESHAM NHS TRUST"/>
    <n v="11792"/>
    <n v="3883"/>
    <n v="3066"/>
    <n v="9"/>
    <n v="713"/>
    <n v="112"/>
    <d v="2025-10-01T00:00:00"/>
    <s v="Q3"/>
    <x v="2"/>
    <n v="0.2600067842605156"/>
    <n v="15675"/>
    <n v="7"/>
    <n v="9.497964721845319E-3"/>
  </r>
  <r>
    <x v="6"/>
    <s v="RNZ"/>
    <x v="1"/>
    <s v="SALISBURY NHS FOUNDATION TRUST"/>
    <n v="4719"/>
    <n v="1568"/>
    <n v="2093"/>
    <n v="0"/>
    <n v="464"/>
    <n v="80"/>
    <d v="2025-10-01T00:00:00"/>
    <s v="Q3"/>
    <x v="2"/>
    <n v="0.44352617079889806"/>
    <n v="6287"/>
    <n v="7"/>
    <n v="1.6952744225471498E-2"/>
  </r>
  <r>
    <x v="6"/>
    <s v="RQ3"/>
    <x v="5"/>
    <s v="BIRMINGHAM WOMEN'S AND CHILDREN'S NHS FOUNDATION TRUST"/>
    <n v="5419"/>
    <n v="0"/>
    <n v="1065"/>
    <n v="0"/>
    <n v="10"/>
    <n v="2"/>
    <d v="2025-10-01T00:00:00"/>
    <s v="Q3"/>
    <x v="2"/>
    <n v="0.19653072522605647"/>
    <n v="5419"/>
    <n v="7"/>
    <n v="3.6907178446207787E-4"/>
  </r>
  <r>
    <x v="6"/>
    <s v="RVR"/>
    <x v="4"/>
    <s v="EPSOM AND ST HELIER UNIVERSITY HOSPITALS NHS TRUST"/>
    <n v="11208"/>
    <n v="2251"/>
    <n v="3363"/>
    <n v="199"/>
    <n v="908"/>
    <n v="890"/>
    <d v="2025-10-01T00:00:00"/>
    <s v="Q3"/>
    <x v="2"/>
    <n v="0.30005353319057815"/>
    <n v="13459"/>
    <n v="7"/>
    <n v="7.9407566024268378E-2"/>
  </r>
  <r>
    <x v="6"/>
    <s v="RDY"/>
    <x v="1"/>
    <s v="DORSET HEALTHCARE UNIVERSITY NHS FOUNDATION TRUST"/>
    <n v="0"/>
    <n v="0"/>
    <n v="0"/>
    <n v="0"/>
    <n v="0"/>
    <n v="0"/>
    <d v="2025-10-01T00:00:00"/>
    <s v="Q3"/>
    <x v="2"/>
    <n v="0"/>
    <n v="0"/>
    <n v="7"/>
    <n v="0"/>
  </r>
  <r>
    <x v="6"/>
    <s v="RAJ"/>
    <x v="2"/>
    <s v="MID AND SOUTH ESSEX NHS FOUNDATION TRUST"/>
    <n v="27691"/>
    <n v="7669"/>
    <n v="9186"/>
    <n v="130"/>
    <n v="2393"/>
    <n v="610"/>
    <d v="2025-10-01T00:00:00"/>
    <s v="Q3"/>
    <x v="2"/>
    <n v="0.33173233180455741"/>
    <n v="35360"/>
    <n v="7"/>
    <n v="2.2028818027517966E-2"/>
  </r>
  <r>
    <x v="6"/>
    <s v="NNJ07"/>
    <x v="5"/>
    <s v="LOUGHBOROUGH URGENT CARE CENTRE"/>
    <n v="0"/>
    <n v="0"/>
    <n v="0"/>
    <n v="0"/>
    <n v="0"/>
    <n v="0"/>
    <d v="2025-10-01T00:00:00"/>
    <s v="Q3"/>
    <x v="2"/>
    <n v="0"/>
    <n v="0"/>
    <n v="7"/>
    <n v="0"/>
  </r>
  <r>
    <x v="6"/>
    <s v="RCF"/>
    <x v="6"/>
    <s v="AIREDALE NHS FOUNDATION TRUST"/>
    <n v="6305"/>
    <n v="0"/>
    <n v="2412"/>
    <n v="0"/>
    <n v="517"/>
    <n v="139"/>
    <d v="2025-10-01T00:00:00"/>
    <s v="Q3"/>
    <x v="2"/>
    <n v="0.3825535289452815"/>
    <n v="6305"/>
    <n v="7"/>
    <n v="2.2045995241871532E-2"/>
  </r>
  <r>
    <x v="6"/>
    <s v="RFF"/>
    <x v="6"/>
    <s v="BARNSLEY HOSPITAL NHS FOUNDATION TRUST"/>
    <n v="9681"/>
    <n v="0"/>
    <n v="3103"/>
    <n v="0"/>
    <n v="422"/>
    <n v="0"/>
    <d v="2025-10-01T00:00:00"/>
    <s v="Q3"/>
    <x v="2"/>
    <n v="0.32052473917983682"/>
    <n v="9681"/>
    <n v="7"/>
    <n v="0"/>
  </r>
  <r>
    <x v="6"/>
    <s v="RNU"/>
    <x v="0"/>
    <s v="OXFORD HEALTH NHS FOUNDATION TRUST"/>
    <n v="0"/>
    <n v="4218"/>
    <n v="0"/>
    <n v="235"/>
    <n v="0"/>
    <n v="0"/>
    <d v="2025-10-01T00:00:00"/>
    <s v="Q3"/>
    <x v="2"/>
    <n v="0"/>
    <n v="4218"/>
    <n v="7"/>
    <n v="0"/>
  </r>
  <r>
    <x v="6"/>
    <s v="RVW"/>
    <x v="6"/>
    <s v="NORTH TEES AND HARTLEPOOL NHS FOUNDATION TRUST"/>
    <n v="4983"/>
    <n v="11225"/>
    <n v="2889"/>
    <n v="28"/>
    <n v="286"/>
    <n v="47"/>
    <d v="2025-10-01T00:00:00"/>
    <s v="Q3"/>
    <x v="2"/>
    <n v="0.57977122215532817"/>
    <n v="16208"/>
    <n v="7"/>
    <n v="9.4320690347180422E-3"/>
  </r>
  <r>
    <x v="6"/>
    <s v="RXR"/>
    <x v="3"/>
    <s v="EAST LANCASHIRE HOSPITALS NHS TRUST"/>
    <n v="14603"/>
    <n v="11378"/>
    <n v="4992"/>
    <n v="618"/>
    <n v="271"/>
    <n v="1380"/>
    <d v="2025-10-01T00:00:00"/>
    <s v="Q3"/>
    <x v="2"/>
    <n v="0.34184756556871876"/>
    <n v="25981"/>
    <n v="7"/>
    <n v="9.4501129904814074E-2"/>
  </r>
  <r>
    <x v="6"/>
    <s v="RY5"/>
    <x v="5"/>
    <s v="LINCOLNSHIRE COMMUNITY HEALTH SERVICES NHS TRUST"/>
    <n v="0"/>
    <n v="8124"/>
    <n v="0"/>
    <n v="121"/>
    <n v="0"/>
    <n v="0"/>
    <d v="2025-10-01T00:00:00"/>
    <s v="Q3"/>
    <x v="2"/>
    <n v="0"/>
    <n v="8124"/>
    <n v="7"/>
    <n v="0"/>
  </r>
  <r>
    <x v="6"/>
    <s v="RY8"/>
    <x v="5"/>
    <s v="DERBYSHIRE COMMUNITY HEALTH SERVICES NHS FOUNDATION TRUST"/>
    <n v="0"/>
    <n v="7561"/>
    <n v="0"/>
    <n v="288"/>
    <n v="0"/>
    <n v="0"/>
    <d v="2025-10-01T00:00:00"/>
    <s v="Q3"/>
    <x v="2"/>
    <n v="0"/>
    <n v="7561"/>
    <n v="7"/>
    <n v="0"/>
  </r>
  <r>
    <x v="6"/>
    <s v="8J094"/>
    <x v="5"/>
    <s v="BADGER LTD"/>
    <n v="0"/>
    <n v="0"/>
    <n v="0"/>
    <n v="0"/>
    <n v="0"/>
    <n v="0"/>
    <d v="2025-10-01T00:00:00"/>
    <s v="Q3"/>
    <x v="2"/>
    <n v="0"/>
    <n v="0"/>
    <n v="7"/>
    <n v="0"/>
  </r>
  <r>
    <x v="6"/>
    <s v="C82009"/>
    <x v="5"/>
    <s v="MARKET HARBOROUGH MED.CTR"/>
    <n v="0"/>
    <n v="412"/>
    <n v="0"/>
    <n v="0"/>
    <n v="0"/>
    <n v="0"/>
    <d v="2025-10-01T00:00:00"/>
    <s v="Q3"/>
    <x v="2"/>
    <n v="0"/>
    <n v="412"/>
    <n v="7"/>
    <n v="0"/>
  </r>
  <r>
    <x v="6"/>
    <s v="R0B"/>
    <x v="6"/>
    <s v="SOUTH TYNESIDE AND SUNDERLAND NHS FOUNDATION TRUST"/>
    <n v="11600"/>
    <n v="5852"/>
    <n v="5505"/>
    <n v="233"/>
    <n v="865"/>
    <n v="2"/>
    <d v="2025-10-01T00:00:00"/>
    <s v="Q3"/>
    <x v="2"/>
    <n v="0.47456896551724137"/>
    <n v="17452"/>
    <n v="7"/>
    <n v="1.7241379310344826E-4"/>
  </r>
  <r>
    <x v="6"/>
    <s v="L83087"/>
    <x v="1"/>
    <s v="OKEHAMPTON MEDICAL CENTRE"/>
    <n v="0"/>
    <n v="88"/>
    <n v="0"/>
    <n v="0"/>
    <n v="0"/>
    <n v="0"/>
    <d v="2025-10-01T00:00:00"/>
    <s v="Q3"/>
    <x v="2"/>
    <n v="0"/>
    <n v="88"/>
    <n v="7"/>
    <n v="0"/>
  </r>
  <r>
    <x v="6"/>
    <s v="RQX"/>
    <x v="4"/>
    <s v="HOMERTON HEALTHCARE NHS FOUNDATION TRUST"/>
    <n v="11547"/>
    <n v="0"/>
    <n v="2351"/>
    <n v="0"/>
    <n v="269"/>
    <n v="20"/>
    <d v="2025-10-01T00:00:00"/>
    <s v="Q3"/>
    <x v="2"/>
    <n v="0.20360266735948732"/>
    <n v="11547"/>
    <n v="7"/>
    <n v="1.732051615138131E-3"/>
  </r>
  <r>
    <x v="6"/>
    <s v="RV9"/>
    <x v="6"/>
    <s v="HUMBER TEACHING NHS FOUNDATION TRUST"/>
    <n v="0"/>
    <n v="1118"/>
    <n v="0"/>
    <n v="3"/>
    <n v="0"/>
    <n v="0"/>
    <d v="2025-10-01T00:00:00"/>
    <s v="Q3"/>
    <x v="2"/>
    <n v="0"/>
    <n v="1118"/>
    <n v="7"/>
    <n v="0"/>
  </r>
  <r>
    <x v="6"/>
    <s v="RXG"/>
    <x v="6"/>
    <s v="SOUTH WEST YORKSHIRE PARTNERSHIP NHS FOUNDATION TRUST"/>
    <n v="0"/>
    <n v="0"/>
    <n v="0"/>
    <n v="0"/>
    <n v="0"/>
    <n v="0"/>
    <d v="2025-10-01T00:00:00"/>
    <s v="Q3"/>
    <x v="2"/>
    <n v="0"/>
    <n v="0"/>
    <n v="7"/>
    <n v="0"/>
  </r>
  <r>
    <x v="6"/>
    <s v="RXK"/>
    <x v="5"/>
    <s v="SANDWELL AND WEST BIRMINGHAM HOSPITALS NHS TRUST"/>
    <n v="11927"/>
    <n v="9016"/>
    <n v="5468"/>
    <n v="114"/>
    <n v="768"/>
    <n v="380"/>
    <d v="2025-10-01T00:00:00"/>
    <s v="Q3"/>
    <x v="2"/>
    <n v="0.45845560492999077"/>
    <n v="20943"/>
    <n v="7"/>
    <n v="3.1860484614739663E-2"/>
  </r>
  <r>
    <x v="6"/>
    <s v="Y03007"/>
    <x v="5"/>
    <s v="ERDINGTON GP HEALTH &amp; WELLBEING WIC"/>
    <n v="0"/>
    <n v="0"/>
    <n v="0"/>
    <n v="0"/>
    <n v="0"/>
    <n v="0"/>
    <d v="2025-10-01T00:00:00"/>
    <s v="Q3"/>
    <x v="2"/>
    <n v="0"/>
    <n v="0"/>
    <n v="7"/>
    <n v="0"/>
  </r>
  <r>
    <x v="6"/>
    <s v="RBD"/>
    <x v="1"/>
    <s v="DORSET COUNTY HOSPITAL NHS FOUNDATION TRUST"/>
    <n v="4757"/>
    <n v="0"/>
    <n v="1564"/>
    <n v="0"/>
    <n v="192"/>
    <n v="80"/>
    <d v="2025-10-01T00:00:00"/>
    <s v="Q3"/>
    <x v="2"/>
    <n v="0.32877864200126128"/>
    <n v="4757"/>
    <n v="7"/>
    <n v="1.681732184149674E-2"/>
  </r>
  <r>
    <x v="6"/>
    <s v="REM"/>
    <x v="3"/>
    <s v="LIVERPOOL UNIVERSITY HOSPITALS NHS FOUNDATION TRUST"/>
    <n v="17001"/>
    <n v="8706"/>
    <n v="8937"/>
    <n v="433"/>
    <n v="1439"/>
    <n v="962"/>
    <d v="2025-10-01T00:00:00"/>
    <s v="Q3"/>
    <x v="2"/>
    <n v="0.52567496029645311"/>
    <n v="25707"/>
    <n v="7"/>
    <n v="5.6584906770189985E-2"/>
  </r>
  <r>
    <x v="6"/>
    <s v="RNQ"/>
    <x v="5"/>
    <s v="KETTERING GENERAL HOSPITAL NHS FOUNDATION TRUST"/>
    <n v="10327"/>
    <n v="8329"/>
    <n v="3898"/>
    <n v="110"/>
    <n v="559"/>
    <n v="695"/>
    <d v="2025-10-01T00:00:00"/>
    <s v="Q3"/>
    <x v="2"/>
    <n v="0.37745715115716083"/>
    <n v="18656"/>
    <n v="7"/>
    <n v="6.7299312481843704E-2"/>
  </r>
  <r>
    <x v="6"/>
    <s v="RR7"/>
    <x v="6"/>
    <s v="GATESHEAD HEALTH NHS FOUNDATION TRUST"/>
    <n v="5933"/>
    <n v="4258"/>
    <n v="2653"/>
    <n v="26"/>
    <n v="886"/>
    <n v="21"/>
    <d v="2025-10-01T00:00:00"/>
    <s v="Q3"/>
    <x v="2"/>
    <n v="0.44715995280633741"/>
    <n v="10191"/>
    <n v="7"/>
    <n v="3.5395246923984494E-3"/>
  </r>
  <r>
    <x v="6"/>
    <s v="RCD"/>
    <x v="6"/>
    <s v="HARROGATE AND DISTRICT NHS FOUNDATION TRUST"/>
    <n v="5321"/>
    <n v="1063"/>
    <n v="1651"/>
    <n v="2"/>
    <n v="135"/>
    <n v="6"/>
    <d v="2025-10-01T00:00:00"/>
    <s v="Q3"/>
    <x v="2"/>
    <n v="0.31028002255215187"/>
    <n v="6384"/>
    <n v="7"/>
    <n v="1.1276075925577898E-3"/>
  </r>
  <r>
    <x v="6"/>
    <s v="NV693"/>
    <x v="3"/>
    <s v="ROSSENDALE MIU &amp; OOH"/>
    <n v="0"/>
    <n v="1009"/>
    <n v="0"/>
    <n v="0"/>
    <n v="0"/>
    <n v="0"/>
    <d v="2025-10-01T00:00:00"/>
    <s v="Q3"/>
    <x v="2"/>
    <n v="0"/>
    <n v="1009"/>
    <n v="7"/>
    <n v="0"/>
  </r>
  <r>
    <x v="6"/>
    <s v="AJN"/>
    <x v="6"/>
    <s v="WORKINGTON HEALTH LIMITED"/>
    <n v="0"/>
    <n v="436"/>
    <n v="0"/>
    <n v="0"/>
    <n v="0"/>
    <n v="0"/>
    <d v="2025-10-01T00:00:00"/>
    <s v="Q3"/>
    <x v="2"/>
    <n v="0"/>
    <n v="436"/>
    <n v="7"/>
    <n v="0"/>
  </r>
  <r>
    <x v="6"/>
    <s v="Y02676"/>
    <x v="0"/>
    <s v="BRIGHTON STATION HEALTH CENTRE"/>
    <n v="0"/>
    <n v="2161"/>
    <n v="0"/>
    <n v="0"/>
    <n v="0"/>
    <n v="0"/>
    <d v="2025-10-01T00:00:00"/>
    <s v="Q3"/>
    <x v="2"/>
    <n v="0"/>
    <n v="2161"/>
    <n v="7"/>
    <n v="0"/>
  </r>
  <r>
    <x v="6"/>
    <s v="RBQ"/>
    <x v="3"/>
    <s v="LIVERPOOL HEART AND CHEST HOSPITAL NHS FOUNDATION TRUST"/>
    <n v="0"/>
    <n v="0"/>
    <n v="0"/>
    <n v="0"/>
    <n v="0"/>
    <n v="0"/>
    <d v="2025-10-01T00:00:00"/>
    <s v="Q3"/>
    <x v="2"/>
    <n v="0"/>
    <n v="0"/>
    <n v="7"/>
    <n v="0"/>
  </r>
  <r>
    <x v="6"/>
    <s v="RLQ"/>
    <x v="5"/>
    <s v="WYE VALLEY NHS TRUST"/>
    <n v="6138"/>
    <n v="127"/>
    <n v="2478"/>
    <n v="0"/>
    <n v="417"/>
    <n v="272"/>
    <d v="2025-10-01T00:00:00"/>
    <s v="Q3"/>
    <x v="2"/>
    <n v="0.40371456500488756"/>
    <n v="6265"/>
    <n v="7"/>
    <n v="4.4314108830237862E-2"/>
  </r>
  <r>
    <x v="6"/>
    <s v="RYY"/>
    <x v="0"/>
    <s v="KENT COMMUNITY HEALTH NHS FOUNDATION TRUST"/>
    <n v="0"/>
    <n v="6140"/>
    <n v="0"/>
    <n v="13"/>
    <n v="0"/>
    <n v="0"/>
    <d v="2025-10-01T00:00:00"/>
    <s v="Q3"/>
    <x v="2"/>
    <n v="0"/>
    <n v="6140"/>
    <n v="7"/>
    <n v="0"/>
  </r>
  <r>
    <x v="6"/>
    <s v="AAH"/>
    <x v="1"/>
    <s v="TETBURY HOSPITAL TRUST LTD"/>
    <n v="0"/>
    <n v="609"/>
    <n v="0"/>
    <n v="0"/>
    <n v="0"/>
    <n v="0"/>
    <d v="2025-10-01T00:00:00"/>
    <s v="Q3"/>
    <x v="2"/>
    <n v="0"/>
    <n v="609"/>
    <n v="7"/>
    <n v="0"/>
  </r>
  <r>
    <x v="6"/>
    <s v="AQN04"/>
    <x v="0"/>
    <s v="PHL LYMINGTON UTC"/>
    <n v="0"/>
    <n v="2858"/>
    <n v="0"/>
    <n v="12"/>
    <n v="0"/>
    <n v="0"/>
    <d v="2025-10-01T00:00:00"/>
    <s v="Q3"/>
    <x v="2"/>
    <n v="0"/>
    <n v="2858"/>
    <n v="7"/>
    <n v="0"/>
  </r>
  <r>
    <x v="6"/>
    <s v="C82038"/>
    <x v="5"/>
    <s v="LATHAM HOUSE MEDICAL PRACTICE"/>
    <n v="0"/>
    <n v="362"/>
    <n v="0"/>
    <n v="0"/>
    <n v="0"/>
    <n v="0"/>
    <d v="2025-10-01T00:00:00"/>
    <s v="Q3"/>
    <x v="2"/>
    <n v="0"/>
    <n v="362"/>
    <n v="7"/>
    <n v="0"/>
  </r>
  <r>
    <x v="6"/>
    <s v="NTV0B"/>
    <x v="0"/>
    <s v="ASHFORD WALK-IN-CENTRE"/>
    <n v="0"/>
    <n v="2427"/>
    <n v="0"/>
    <n v="28"/>
    <n v="0"/>
    <n v="0"/>
    <d v="2025-10-01T00:00:00"/>
    <s v="Q3"/>
    <x v="2"/>
    <n v="0"/>
    <n v="2427"/>
    <n v="7"/>
    <n v="0"/>
  </r>
  <r>
    <x v="6"/>
    <s v="NTV0W"/>
    <x v="0"/>
    <s v="WOKING WALK IN CENTRE"/>
    <n v="0"/>
    <n v="2622"/>
    <n v="0"/>
    <n v="64"/>
    <n v="0"/>
    <n v="0"/>
    <d v="2025-10-01T00:00:00"/>
    <s v="Q3"/>
    <x v="2"/>
    <n v="0"/>
    <n v="2622"/>
    <n v="7"/>
    <n v="0"/>
  </r>
  <r>
    <x v="6"/>
    <s v="R1D"/>
    <x v="5"/>
    <s v="SHROPSHIRE COMMUNITY HEALTH NHS TRUST"/>
    <n v="0"/>
    <n v="3152"/>
    <n v="0"/>
    <n v="24"/>
    <n v="0"/>
    <n v="0"/>
    <d v="2025-10-01T00:00:00"/>
    <s v="Q3"/>
    <x v="2"/>
    <n v="0"/>
    <n v="3152"/>
    <n v="7"/>
    <n v="0"/>
  </r>
  <r>
    <x v="6"/>
    <s v="RBT"/>
    <x v="3"/>
    <s v="MID CHESHIRE HOSPITALS NHS FOUNDATION TRUST"/>
    <n v="7318"/>
    <n v="2950"/>
    <n v="4048"/>
    <n v="4"/>
    <n v="471"/>
    <n v="510"/>
    <d v="2025-10-01T00:00:00"/>
    <s v="Q3"/>
    <x v="2"/>
    <n v="0.55315660016397927"/>
    <n v="10268"/>
    <n v="7"/>
    <n v="6.969117245148948E-2"/>
  </r>
  <r>
    <x v="6"/>
    <s v="RJ8"/>
    <x v="1"/>
    <s v="CORNWALL PARTNERSHIP NHS FOUNDATION TRUST"/>
    <n v="0"/>
    <n v="0"/>
    <n v="0"/>
    <n v="0"/>
    <n v="0"/>
    <n v="0"/>
    <d v="2025-10-01T00:00:00"/>
    <s v="Q3"/>
    <x v="2"/>
    <n v="0"/>
    <n v="0"/>
    <n v="7"/>
    <n v="0"/>
  </r>
  <r>
    <x v="6"/>
    <s v="RW1"/>
    <x v="0"/>
    <s v="HAMPSHIRE AND ISLE OF WIGHT HEALTHCARE NHS FOUNDATION TRUST"/>
    <n v="0"/>
    <n v="2826"/>
    <n v="0"/>
    <n v="27"/>
    <n v="0"/>
    <n v="0"/>
    <d v="2025-10-01T00:00:00"/>
    <s v="Q3"/>
    <x v="2"/>
    <n v="0"/>
    <n v="2826"/>
    <n v="7"/>
    <n v="0"/>
  </r>
  <r>
    <x v="6"/>
    <s v="RWY"/>
    <x v="6"/>
    <s v="CALDERDALE AND HUDDERSFIELD NHS FOUNDATION TRUST"/>
    <n v="16644"/>
    <n v="0"/>
    <n v="2858"/>
    <n v="0"/>
    <n v="975"/>
    <n v="7"/>
    <d v="2025-10-01T00:00:00"/>
    <s v="Q3"/>
    <x v="2"/>
    <n v="0.17171353040134582"/>
    <n v="16644"/>
    <n v="7"/>
    <n v="4.2057197788993028E-4"/>
  </r>
  <r>
    <x v="6"/>
    <s v="NNF09"/>
    <x v="6"/>
    <s v="BRANSHOLME HEALTH CENTRE"/>
    <n v="0"/>
    <n v="3696"/>
    <n v="0"/>
    <n v="373"/>
    <n v="0"/>
    <n v="0"/>
    <d v="2025-10-01T00:00:00"/>
    <s v="Q3"/>
    <x v="2"/>
    <n v="0"/>
    <n v="3696"/>
    <n v="7"/>
    <n v="0"/>
  </r>
  <r>
    <x v="6"/>
    <s v="NNF16"/>
    <x v="6"/>
    <s v="BRIDLINGTON HOSPITAL"/>
    <n v="0"/>
    <n v="1455"/>
    <n v="0"/>
    <n v="33"/>
    <n v="0"/>
    <n v="0"/>
    <d v="2025-10-01T00:00:00"/>
    <s v="Q3"/>
    <x v="2"/>
    <n v="0"/>
    <n v="1455"/>
    <n v="7"/>
    <n v="0"/>
  </r>
  <r>
    <x v="6"/>
    <s v="NNF94"/>
    <x v="6"/>
    <s v="EAST RIDING COMMUNITY HOSPITAL"/>
    <n v="0"/>
    <n v="2680"/>
    <n v="0"/>
    <n v="75"/>
    <n v="0"/>
    <n v="0"/>
    <d v="2025-10-01T00:00:00"/>
    <s v="Q3"/>
    <x v="2"/>
    <n v="0"/>
    <n v="2680"/>
    <n v="7"/>
    <n v="0"/>
  </r>
  <r>
    <x v="6"/>
    <s v="NNFA7"/>
    <x v="6"/>
    <s v="GOOLE &amp; DISTRICT HOSPITAL"/>
    <n v="0"/>
    <n v="1707"/>
    <n v="0"/>
    <n v="7"/>
    <n v="0"/>
    <n v="0"/>
    <d v="2025-10-01T00:00:00"/>
    <s v="Q3"/>
    <x v="2"/>
    <n v="0"/>
    <n v="1707"/>
    <n v="7"/>
    <n v="0"/>
  </r>
  <r>
    <x v="6"/>
    <s v="NVE43"/>
    <x v="0"/>
    <s v="HASTINGS GP LED HEALTH CENTRE"/>
    <n v="0"/>
    <n v="1012"/>
    <n v="0"/>
    <n v="0"/>
    <n v="0"/>
    <n v="0"/>
    <d v="2025-10-01T00:00:00"/>
    <s v="Q3"/>
    <x v="2"/>
    <n v="0"/>
    <n v="1012"/>
    <n v="7"/>
    <n v="0"/>
  </r>
  <r>
    <x v="6"/>
    <s v="RA2"/>
    <x v="0"/>
    <s v="ROYAL SURREY NHS FOUNDATION TRUST"/>
    <n v="6976"/>
    <n v="1879"/>
    <n v="2548"/>
    <n v="0"/>
    <n v="508"/>
    <n v="12"/>
    <d v="2025-10-01T00:00:00"/>
    <s v="Q3"/>
    <x v="2"/>
    <n v="0.36525229357798167"/>
    <n v="8855"/>
    <n v="7"/>
    <n v="1.7201834862385322E-3"/>
  </r>
  <r>
    <x v="6"/>
    <s v="RA9"/>
    <x v="1"/>
    <s v="TORBAY AND SOUTH DEVON NHS FOUNDATION TRUST"/>
    <n v="6886"/>
    <n v="3271"/>
    <n v="3222"/>
    <n v="22"/>
    <n v="185"/>
    <n v="35"/>
    <d v="2025-10-01T00:00:00"/>
    <s v="Q3"/>
    <x v="2"/>
    <n v="0.46790589602091198"/>
    <n v="10157"/>
    <n v="7"/>
    <n v="5.0827766482718561E-3"/>
  </r>
  <r>
    <x v="6"/>
    <s v="RTP"/>
    <x v="0"/>
    <s v="SURREY AND SUSSEX HEALTHCARE NHS TRUST"/>
    <n v="10542"/>
    <n v="0"/>
    <n v="4261"/>
    <n v="0"/>
    <n v="587"/>
    <n v="757"/>
    <d v="2025-10-01T00:00:00"/>
    <s v="Q3"/>
    <x v="2"/>
    <n v="0.4041927527983305"/>
    <n v="10542"/>
    <n v="7"/>
    <n v="7.1808006070954278E-2"/>
  </r>
  <r>
    <x v="6"/>
    <s v="RW4"/>
    <x v="3"/>
    <s v="MERSEY CARE NHS FOUNDATION TRUST"/>
    <n v="0"/>
    <n v="14676"/>
    <n v="0"/>
    <n v="489"/>
    <n v="0"/>
    <n v="0"/>
    <d v="2025-10-01T00:00:00"/>
    <s v="Q3"/>
    <x v="2"/>
    <n v="0"/>
    <n v="14676"/>
    <n v="7"/>
    <n v="0"/>
  </r>
  <r>
    <x v="6"/>
    <s v="RWA"/>
    <x v="6"/>
    <s v="HULL UNIVERSITY TEACHING HOSPITALS NHS TRUST"/>
    <n v="9956"/>
    <n v="4361"/>
    <n v="5884"/>
    <n v="438"/>
    <n v="991"/>
    <n v="670"/>
    <d v="2025-10-01T00:00:00"/>
    <s v="Q3"/>
    <x v="2"/>
    <n v="0.59100040176777824"/>
    <n v="14317"/>
    <n v="7"/>
    <n v="6.7296102852551221E-2"/>
  </r>
  <r>
    <x v="6"/>
    <s v="RXN"/>
    <x v="3"/>
    <s v="LANCASHIRE TEACHING HOSPITALS NHS FOUNDATION TRUST"/>
    <n v="12893"/>
    <n v="3418"/>
    <n v="4637"/>
    <n v="133"/>
    <n v="1023"/>
    <n v="463"/>
    <d v="2025-10-01T00:00:00"/>
    <s v="Q3"/>
    <x v="2"/>
    <n v="0.35965252462576591"/>
    <n v="16311"/>
    <n v="7"/>
    <n v="3.5910959435352517E-2"/>
  </r>
  <r>
    <x v="6"/>
    <s v="RY4"/>
    <x v="2"/>
    <s v="HERTFORDSHIRE COMMUNITY NHS TRUST"/>
    <n v="0"/>
    <n v="1205"/>
    <n v="0"/>
    <n v="63"/>
    <n v="0"/>
    <n v="0"/>
    <d v="2025-10-01T00:00:00"/>
    <s v="Q3"/>
    <x v="2"/>
    <n v="0"/>
    <n v="1205"/>
    <n v="7"/>
    <n v="0"/>
  </r>
  <r>
    <x v="6"/>
    <s v="RAE"/>
    <x v="6"/>
    <s v="BRADFORD TEACHING HOSPITALS NHS FOUNDATION TRUST"/>
    <n v="9468"/>
    <n v="3244"/>
    <n v="2265"/>
    <n v="0"/>
    <n v="593"/>
    <n v="113"/>
    <d v="2025-10-01T00:00:00"/>
    <s v="Q3"/>
    <x v="2"/>
    <n v="0.23922686945500635"/>
    <n v="12712"/>
    <n v="7"/>
    <n v="1.1934938741022392E-2"/>
  </r>
  <r>
    <x v="6"/>
    <s v="RCX"/>
    <x v="2"/>
    <s v="THE QUEEN ELIZABETH HOSPITAL, KING'S LYNN, NHS FOUNDATION TRUST"/>
    <n v="6549"/>
    <n v="1257"/>
    <n v="2593"/>
    <n v="0"/>
    <n v="309"/>
    <n v="148"/>
    <d v="2025-10-01T00:00:00"/>
    <s v="Q3"/>
    <x v="2"/>
    <n v="0.39593831119254846"/>
    <n v="7806"/>
    <n v="7"/>
    <n v="2.2598870056497175E-2"/>
  </r>
  <r>
    <x v="6"/>
    <s v="RGP"/>
    <x v="2"/>
    <s v="JAMES PAGET UNIVERSITY HOSPITALS NHS FOUNDATION TRUST"/>
    <n v="7429"/>
    <n v="1286"/>
    <n v="2542"/>
    <n v="0"/>
    <n v="519"/>
    <n v="363"/>
    <d v="2025-10-01T00:00:00"/>
    <s v="Q3"/>
    <x v="2"/>
    <n v="0.34217256696729037"/>
    <n v="8715"/>
    <n v="7"/>
    <n v="4.886256562121416E-2"/>
  </r>
  <r>
    <x v="6"/>
    <s v="RJC"/>
    <x v="5"/>
    <s v="SOUTH WARWICKSHIRE UNIVERSITY NHS FOUNDATION TRUST"/>
    <n v="8934"/>
    <n v="422"/>
    <n v="2584"/>
    <n v="0"/>
    <n v="639"/>
    <n v="53"/>
    <d v="2025-10-01T00:00:00"/>
    <s v="Q3"/>
    <x v="2"/>
    <n v="0.28923214685471232"/>
    <n v="9356"/>
    <n v="7"/>
    <n v="5.9323931049921645E-3"/>
  </r>
  <r>
    <x v="6"/>
    <s v="RJL"/>
    <x v="6"/>
    <s v="NORTHERN LINCOLNSHIRE AND GOOLE NHS FOUNDATION TRUST"/>
    <n v="9779"/>
    <n v="7235"/>
    <n v="5154"/>
    <n v="59"/>
    <n v="785"/>
    <n v="738"/>
    <d v="2025-10-01T00:00:00"/>
    <s v="Q3"/>
    <x v="2"/>
    <n v="0.52704775539421211"/>
    <n v="17014"/>
    <n v="7"/>
    <n v="7.5467839247366802E-2"/>
  </r>
  <r>
    <x v="6"/>
    <s v="RJR"/>
    <x v="3"/>
    <s v="COUNTESS OF CHESTER HOSPITAL NHS FOUNDATION TRUST"/>
    <n v="5823"/>
    <n v="2231"/>
    <n v="2669"/>
    <n v="180"/>
    <n v="565"/>
    <n v="530"/>
    <d v="2025-10-01T00:00:00"/>
    <s v="Q3"/>
    <x v="2"/>
    <n v="0.4583547999313069"/>
    <n v="8054"/>
    <n v="7"/>
    <n v="9.1018375407865365E-2"/>
  </r>
  <r>
    <x v="6"/>
    <s v="RK9"/>
    <x v="1"/>
    <s v="UNIVERSITY HOSPITALS PLYMOUTH NHS TRUST"/>
    <n v="8855"/>
    <n v="7625"/>
    <n v="5258"/>
    <n v="62"/>
    <n v="647"/>
    <n v="528"/>
    <d v="2025-10-01T00:00:00"/>
    <s v="Q3"/>
    <x v="2"/>
    <n v="0.59378881987577636"/>
    <n v="16480"/>
    <n v="7"/>
    <n v="5.9627329192546583E-2"/>
  </r>
  <r>
    <x v="6"/>
    <s v="RLT"/>
    <x v="5"/>
    <s v="GEORGE ELIOT HOSPITAL NHS TRUST"/>
    <n v="7354"/>
    <n v="1640"/>
    <n v="1918"/>
    <n v="5"/>
    <n v="254"/>
    <n v="560"/>
    <d v="2025-10-01T00:00:00"/>
    <s v="Q3"/>
    <x v="2"/>
    <n v="0.26081044329616537"/>
    <n v="8994"/>
    <n v="7"/>
    <n v="7.6149034539026383E-2"/>
  </r>
  <r>
    <x v="6"/>
    <s v="RMC"/>
    <x v="3"/>
    <s v="BOLTON NHS FOUNDATION TRUST"/>
    <n v="8841"/>
    <n v="3894"/>
    <n v="4490"/>
    <n v="336"/>
    <n v="579"/>
    <n v="288"/>
    <d v="2025-10-01T00:00:00"/>
    <s v="Q3"/>
    <x v="2"/>
    <n v="0.50786110168532972"/>
    <n v="12735"/>
    <n v="7"/>
    <n v="3.2575500508992196E-2"/>
  </r>
  <r>
    <x v="6"/>
    <s v="RMP"/>
    <x v="3"/>
    <s v="TAMESIDE AND GLOSSOP INTEGRATED CARE NHS FOUNDATION TRUST"/>
    <n v="8957"/>
    <n v="2566"/>
    <n v="4543"/>
    <n v="146"/>
    <n v="502"/>
    <n v="590"/>
    <d v="2025-10-01T00:00:00"/>
    <s v="Q3"/>
    <x v="2"/>
    <n v="0.50720107178742879"/>
    <n v="11523"/>
    <n v="7"/>
    <n v="6.5870269063302442E-2"/>
  </r>
  <r>
    <x v="6"/>
    <s v="RNA"/>
    <x v="5"/>
    <s v="THE DUDLEY GROUP NHS FOUNDATION TRUST"/>
    <n v="10233"/>
    <n v="4270"/>
    <n v="3203"/>
    <n v="87"/>
    <n v="2600"/>
    <n v="141"/>
    <d v="2025-10-01T00:00:00"/>
    <s v="Q3"/>
    <x v="2"/>
    <n v="0.31300693833675364"/>
    <n v="14503"/>
    <n v="7"/>
    <n v="1.3778950454412195E-2"/>
  </r>
  <r>
    <x v="6"/>
    <s v="RNN"/>
    <x v="6"/>
    <s v="NORTH CUMBRIA INTEGRATED CARE NHS FOUNDATION TRUST"/>
    <n v="8931"/>
    <n v="1961"/>
    <n v="4126"/>
    <n v="45"/>
    <n v="610"/>
    <n v="318"/>
    <d v="2025-10-01T00:00:00"/>
    <s v="Q3"/>
    <x v="2"/>
    <n v="0.46198633971559738"/>
    <n v="10892"/>
    <n v="7"/>
    <n v="3.5606315082297613E-2"/>
  </r>
  <r>
    <x v="6"/>
    <s v="RPA"/>
    <x v="0"/>
    <s v="MEDWAY NHS FOUNDATION TRUST"/>
    <n v="10088"/>
    <n v="6025"/>
    <n v="3467"/>
    <n v="906"/>
    <n v="367"/>
    <n v="728"/>
    <d v="2025-10-01T00:00:00"/>
    <s v="Q3"/>
    <x v="2"/>
    <n v="0.34367565424266455"/>
    <n v="16113"/>
    <n v="7"/>
    <n v="7.2164948453608241E-2"/>
  </r>
  <r>
    <x v="6"/>
    <s v="RQM"/>
    <x v="4"/>
    <s v="CHELSEA AND WESTMINSTER HOSPITAL NHS FOUNDATION TRUST"/>
    <n v="20266"/>
    <n v="6584"/>
    <n v="5947"/>
    <n v="129"/>
    <n v="1040"/>
    <n v="45"/>
    <d v="2025-10-01T00:00:00"/>
    <s v="Q3"/>
    <x v="2"/>
    <n v="0.29344715286687062"/>
    <n v="26850"/>
    <n v="7"/>
    <n v="2.220467778545347E-3"/>
  </r>
  <r>
    <x v="6"/>
    <s v="RRV"/>
    <x v="4"/>
    <s v="UNIVERSITY COLLEGE LONDON HOSPITALS NHS FOUNDATION TRUST"/>
    <n v="14180"/>
    <n v="0"/>
    <n v="3951"/>
    <n v="0"/>
    <n v="449"/>
    <n v="219"/>
    <d v="2025-10-01T00:00:00"/>
    <s v="Q3"/>
    <x v="2"/>
    <n v="0.27863187588152327"/>
    <n v="14180"/>
    <n v="7"/>
    <n v="1.544428772919605E-2"/>
  </r>
  <r>
    <x v="6"/>
    <s v="RTD"/>
    <x v="6"/>
    <s v="THE NEWCASTLE UPON TYNE HOSPITALS NHS FOUNDATION TRUST"/>
    <n v="13761"/>
    <n v="6799"/>
    <n v="5390"/>
    <n v="0"/>
    <n v="595"/>
    <n v="42"/>
    <d v="2025-10-01T00:00:00"/>
    <s v="Q3"/>
    <x v="2"/>
    <n v="0.39168665067945646"/>
    <n v="20560"/>
    <n v="7"/>
    <n v="3.0521037715282319E-3"/>
  </r>
  <r>
    <x v="6"/>
    <s v="RTG"/>
    <x v="5"/>
    <s v="UNIVERSITY HOSPITALS OF DERBY AND BURTON NHS FOUNDATION TRUST"/>
    <n v="19491"/>
    <n v="9994"/>
    <n v="9255"/>
    <n v="4"/>
    <n v="935"/>
    <n v="1234"/>
    <d v="2025-10-01T00:00:00"/>
    <s v="Q3"/>
    <x v="2"/>
    <n v="0.47483453901800832"/>
    <n v="29485"/>
    <n v="7"/>
    <n v="6.3311271869067778E-2"/>
  </r>
  <r>
    <x v="6"/>
    <s v="RTQ"/>
    <x v="1"/>
    <s v="GLOUCESTERSHIRE HEALTH AND CARE NHS FOUNDATION TRUST"/>
    <n v="0"/>
    <n v="8164"/>
    <n v="0"/>
    <n v="113"/>
    <n v="0"/>
    <n v="0"/>
    <d v="2025-10-01T00:00:00"/>
    <s v="Q3"/>
    <x v="2"/>
    <n v="0"/>
    <n v="8164"/>
    <n v="7"/>
    <n v="0"/>
  </r>
  <r>
    <x v="6"/>
    <s v="RWP"/>
    <x v="5"/>
    <s v="WORCESTERSHIRE ACUTE HOSPITALS NHS TRUST"/>
    <n v="14072"/>
    <n v="5674"/>
    <n v="7317"/>
    <n v="106"/>
    <n v="935"/>
    <n v="1326"/>
    <d v="2025-10-01T00:00:00"/>
    <s v="Q3"/>
    <x v="2"/>
    <n v="0.51996873223422402"/>
    <n v="19746"/>
    <n v="7"/>
    <n v="9.4229675952245601E-2"/>
  </r>
  <r>
    <x v="6"/>
    <s v="NTPAD"/>
    <x v="0"/>
    <s v="PRACTICE PLUS GROUP SURGICAL CENTRE - ST MARYS PORTSMOUTH"/>
    <n v="0"/>
    <n v="5220"/>
    <n v="0"/>
    <n v="514"/>
    <n v="0"/>
    <n v="0"/>
    <d v="2025-10-01T00:00:00"/>
    <s v="Q3"/>
    <x v="2"/>
    <n v="0"/>
    <n v="5220"/>
    <n v="7"/>
    <n v="0"/>
  </r>
  <r>
    <x v="6"/>
    <s v="R1F"/>
    <x v="0"/>
    <s v="ISLE OF WIGHT NHS TRUST"/>
    <n v="4287"/>
    <n v="1632"/>
    <n v="1661"/>
    <n v="92"/>
    <n v="256"/>
    <n v="164"/>
    <d v="2025-10-01T00:00:00"/>
    <s v="Q3"/>
    <x v="2"/>
    <n v="0.38745043153720549"/>
    <n v="5919"/>
    <n v="7"/>
    <n v="3.8255190109633776E-2"/>
  </r>
  <r>
    <x v="6"/>
    <s v="R0A"/>
    <x v="3"/>
    <s v="MANCHESTER UNIVERSITY NHS FOUNDATION TRUST"/>
    <n v="27673"/>
    <n v="11284"/>
    <n v="11350"/>
    <n v="328"/>
    <n v="3619"/>
    <n v="85"/>
    <d v="2025-10-01T00:00:00"/>
    <s v="Q3"/>
    <x v="2"/>
    <n v="0.41014707476601742"/>
    <n v="38957"/>
    <n v="7"/>
    <n v="3.0715860224767824E-3"/>
  </r>
  <r>
    <x v="6"/>
    <s v="RBK"/>
    <x v="5"/>
    <s v="WALSALL HEALTHCARE NHS TRUST"/>
    <n v="9963"/>
    <n v="4428"/>
    <n v="3596"/>
    <n v="105"/>
    <n v="945"/>
    <n v="279"/>
    <d v="2025-10-01T00:00:00"/>
    <s v="Q3"/>
    <x v="2"/>
    <n v="0.36093546120646391"/>
    <n v="14391"/>
    <n v="7"/>
    <n v="2.8003613369467027E-2"/>
  </r>
  <r>
    <x v="6"/>
    <s v="NQTE4"/>
    <x v="5"/>
    <s v="SUMMERFIELD URGENT CARE CENTRE"/>
    <n v="0"/>
    <n v="3324"/>
    <n v="0"/>
    <n v="0"/>
    <n v="0"/>
    <n v="0"/>
    <d v="2025-10-01T00:00:00"/>
    <s v="Q3"/>
    <x v="2"/>
    <n v="0"/>
    <n v="3324"/>
    <n v="7"/>
    <n v="0"/>
  </r>
  <r>
    <x v="6"/>
    <s v="NLX"/>
    <x v="1"/>
    <s v="SIRONA CARE &amp; HEALTH"/>
    <n v="0"/>
    <n v="8430"/>
    <n v="0"/>
    <n v="328"/>
    <n v="0"/>
    <n v="0"/>
    <d v="2025-10-01T00:00:00"/>
    <s v="Q3"/>
    <x v="2"/>
    <n v="0"/>
    <n v="8430"/>
    <n v="7"/>
    <n v="0"/>
  </r>
  <r>
    <x v="6"/>
    <s v="RYR"/>
    <x v="0"/>
    <s v="UNIVERSITY HOSPITALS SUSSEX NHS FOUNDATION TRUST"/>
    <n v="27873"/>
    <n v="1887"/>
    <n v="10753"/>
    <n v="155"/>
    <n v="850"/>
    <n v="961"/>
    <d v="2025-10-01T00:00:00"/>
    <s v="Q3"/>
    <x v="2"/>
    <n v="0.38578552721271481"/>
    <n v="29760"/>
    <n v="7"/>
    <n v="3.4477810067090019E-2"/>
  </r>
  <r>
    <x v="6"/>
    <s v="ACH01"/>
    <x v="0"/>
    <s v="WHITSTABLE MEDICAL PRACTICE"/>
    <n v="0"/>
    <n v="4944"/>
    <n v="0"/>
    <n v="0"/>
    <n v="0"/>
    <n v="0"/>
    <d v="2025-10-01T00:00:00"/>
    <s v="Q3"/>
    <x v="2"/>
    <n v="0"/>
    <n v="4944"/>
    <n v="7"/>
    <n v="0"/>
  </r>
  <r>
    <x v="6"/>
    <s v="AD913"/>
    <x v="4"/>
    <s v="BECKENHAM BEACON UCC"/>
    <n v="0"/>
    <n v="3456"/>
    <n v="0"/>
    <n v="11"/>
    <n v="0"/>
    <n v="0"/>
    <d v="2025-10-01T00:00:00"/>
    <s v="Q3"/>
    <x v="2"/>
    <n v="0"/>
    <n v="3456"/>
    <n v="7"/>
    <n v="0"/>
  </r>
  <r>
    <x v="6"/>
    <s v="G3P9C"/>
    <x v="1"/>
    <s v="TROWBRIDGE MINOR INJURIES UNIT"/>
    <n v="0"/>
    <n v="889"/>
    <n v="0"/>
    <n v="1"/>
    <n v="0"/>
    <n v="0"/>
    <d v="2025-10-01T00:00:00"/>
    <s v="Q3"/>
    <x v="2"/>
    <n v="0"/>
    <n v="889"/>
    <n v="7"/>
    <n v="0"/>
  </r>
  <r>
    <x v="6"/>
    <s v="NDJ"/>
    <x v="0"/>
    <s v="FIRST COMMUNITY HEALTH AND CARE CIC"/>
    <n v="0"/>
    <n v="2218"/>
    <n v="0"/>
    <n v="8"/>
    <n v="0"/>
    <n v="0"/>
    <d v="2025-10-01T00:00:00"/>
    <s v="Q3"/>
    <x v="2"/>
    <n v="0"/>
    <n v="2218"/>
    <n v="7"/>
    <n v="0"/>
  </r>
  <r>
    <x v="6"/>
    <s v="NQT1I"/>
    <x v="1"/>
    <s v="CHIPPENHAM COMMUNITY HOSPITAL"/>
    <n v="0"/>
    <n v="1645"/>
    <n v="0"/>
    <n v="12"/>
    <n v="0"/>
    <n v="0"/>
    <d v="2025-10-01T00:00:00"/>
    <s v="Q3"/>
    <x v="2"/>
    <n v="0"/>
    <n v="1645"/>
    <n v="7"/>
    <n v="0"/>
  </r>
  <r>
    <x v="6"/>
    <s v="NQT5F"/>
    <x v="3"/>
    <s v="SKELMERSDALE WALK IN CENTRE"/>
    <n v="0"/>
    <n v="1718"/>
    <n v="0"/>
    <n v="24"/>
    <n v="0"/>
    <n v="0"/>
    <d v="2025-10-01T00:00:00"/>
    <s v="Q3"/>
    <x v="2"/>
    <n v="0"/>
    <n v="1718"/>
    <n v="7"/>
    <n v="0"/>
  </r>
  <r>
    <x v="6"/>
    <s v="NQT5H"/>
    <x v="1"/>
    <s v="PAULTON MEMORIAL HOSPITAL"/>
    <n v="0"/>
    <n v="1130"/>
    <n v="0"/>
    <n v="5"/>
    <n v="0"/>
    <n v="0"/>
    <d v="2025-10-01T00:00:00"/>
    <s v="Q3"/>
    <x v="2"/>
    <n v="0"/>
    <n v="1130"/>
    <n v="7"/>
    <n v="0"/>
  </r>
  <r>
    <x v="6"/>
    <s v="NTP11"/>
    <x v="0"/>
    <s v="PRACTICE PLUS GROUP HOSPITAL - SOUTHAMPTON"/>
    <n v="0"/>
    <n v="5502"/>
    <n v="0"/>
    <n v="113"/>
    <n v="0"/>
    <n v="0"/>
    <d v="2025-10-01T00:00:00"/>
    <s v="Q3"/>
    <x v="2"/>
    <n v="0"/>
    <n v="5502"/>
    <n v="7"/>
    <n v="0"/>
  </r>
  <r>
    <x v="6"/>
    <s v="RAS"/>
    <x v="4"/>
    <s v="THE HILLINGDON HOSPITALS NHS FOUNDATION TRUST"/>
    <n v="5359"/>
    <n v="6831"/>
    <n v="2771"/>
    <n v="58"/>
    <n v="516"/>
    <n v="42"/>
    <d v="2025-10-01T00:00:00"/>
    <s v="Q3"/>
    <x v="2"/>
    <n v="0.51707408098525842"/>
    <n v="12190"/>
    <n v="7"/>
    <n v="7.8372830752005979E-3"/>
  </r>
  <r>
    <x v="6"/>
    <s v="RAT"/>
    <x v="4"/>
    <s v="NORTH EAST LONDON NHS FOUNDATION TRUST"/>
    <n v="0"/>
    <n v="1899"/>
    <n v="0"/>
    <n v="36"/>
    <n v="0"/>
    <n v="0"/>
    <d v="2025-10-01T00:00:00"/>
    <s v="Q3"/>
    <x v="2"/>
    <n v="0"/>
    <n v="1899"/>
    <n v="7"/>
    <n v="0"/>
  </r>
  <r>
    <x v="6"/>
    <s v="RAX"/>
    <x v="4"/>
    <s v="KINGSTON AND RICHMOND NHS FOUNDATION TRUST"/>
    <n v="7042"/>
    <n v="8553"/>
    <n v="3867"/>
    <n v="365"/>
    <n v="218"/>
    <n v="579"/>
    <d v="2025-10-01T00:00:00"/>
    <s v="Q3"/>
    <x v="2"/>
    <n v="0.54913376881567733"/>
    <n v="15595"/>
    <n v="7"/>
    <n v="8.2220959954558359E-2"/>
  </r>
  <r>
    <x v="6"/>
    <s v="RBV"/>
    <x v="3"/>
    <s v="THE CHRISTIE NHS FOUNDATION TRUST"/>
    <n v="0"/>
    <n v="0"/>
    <n v="0"/>
    <n v="0"/>
    <n v="0"/>
    <n v="0"/>
    <d v="2025-10-01T00:00:00"/>
    <s v="Q3"/>
    <x v="2"/>
    <n v="0"/>
    <n v="0"/>
    <n v="7"/>
    <n v="0"/>
  </r>
  <r>
    <x v="6"/>
    <s v="REF"/>
    <x v="1"/>
    <s v="ROYAL CORNWALL HOSPITALS NHS TRUST"/>
    <n v="6727"/>
    <n v="11554"/>
    <n v="3087"/>
    <n v="526"/>
    <n v="431"/>
    <n v="626"/>
    <d v="2025-10-01T00:00:00"/>
    <s v="Q3"/>
    <x v="2"/>
    <n v="0.45889698231009363"/>
    <n v="18281"/>
    <n v="7"/>
    <n v="9.305782666864873E-2"/>
  </r>
  <r>
    <x v="6"/>
    <s v="RFR"/>
    <x v="6"/>
    <s v="THE ROTHERHAM NHS FOUNDATION TRUST"/>
    <n v="9550"/>
    <n v="0"/>
    <n v="3062"/>
    <n v="0"/>
    <n v="602"/>
    <n v="2"/>
    <d v="2025-10-01T00:00:00"/>
    <s v="Q3"/>
    <x v="2"/>
    <n v="0.32062827225130891"/>
    <n v="9550"/>
    <n v="7"/>
    <n v="2.094240837696335E-4"/>
  </r>
  <r>
    <x v="6"/>
    <s v="RL4"/>
    <x v="5"/>
    <s v="THE ROYAL WOLVERHAMPTON NHS TRUST"/>
    <n v="11729"/>
    <n v="6773"/>
    <n v="4517"/>
    <n v="201"/>
    <n v="794"/>
    <n v="581"/>
    <d v="2025-10-01T00:00:00"/>
    <s v="Q3"/>
    <x v="2"/>
    <n v="0.38511382044505071"/>
    <n v="18502"/>
    <n v="7"/>
    <n v="4.9535339756159945E-2"/>
  </r>
  <r>
    <x v="6"/>
    <s v="RTK"/>
    <x v="0"/>
    <s v="ASHFORD AND ST PETER'S HOSPITALS NHS FOUNDATION TRUST"/>
    <n v="7513"/>
    <n v="2868"/>
    <n v="3785"/>
    <n v="16"/>
    <n v="596"/>
    <n v="361"/>
    <d v="2025-10-01T00:00:00"/>
    <s v="Q3"/>
    <x v="2"/>
    <n v="0.50379342473046718"/>
    <n v="10381"/>
    <n v="7"/>
    <n v="4.8050046585917744E-2"/>
  </r>
  <r>
    <x v="6"/>
    <s v="RTR"/>
    <x v="6"/>
    <s v="SOUTH TEES HOSPITALS NHS FOUNDATION TRUST"/>
    <n v="7664"/>
    <n v="9064"/>
    <n v="3933"/>
    <n v="312"/>
    <n v="400"/>
    <n v="24"/>
    <d v="2025-10-01T00:00:00"/>
    <s v="Q3"/>
    <x v="2"/>
    <n v="0.51317849686847594"/>
    <n v="16728"/>
    <n v="7"/>
    <n v="3.1315240083507308E-3"/>
  </r>
  <r>
    <x v="6"/>
    <s v="RTX"/>
    <x v="3"/>
    <s v="UNIVERSITY HOSPITALS OF MORECAMBE BAY NHS FOUNDATION TRUST"/>
    <n v="9431"/>
    <n v="2798"/>
    <n v="3720"/>
    <n v="69"/>
    <n v="718"/>
    <n v="700"/>
    <d v="2025-10-01T00:00:00"/>
    <s v="Q3"/>
    <x v="2"/>
    <n v="0.39444385537058635"/>
    <n v="12229"/>
    <n v="7"/>
    <n v="7.4223306118121085E-2"/>
  </r>
  <r>
    <x v="6"/>
    <s v="RY7"/>
    <x v="3"/>
    <s v="WIRRAL COMMUNITY HEALTH AND CARE NHS FOUNDATION TRUST"/>
    <n v="0"/>
    <n v="4249"/>
    <n v="0"/>
    <n v="382"/>
    <n v="0"/>
    <n v="0"/>
    <d v="2025-10-01T00:00:00"/>
    <s v="Q3"/>
    <x v="2"/>
    <n v="0"/>
    <n v="4249"/>
    <n v="7"/>
    <n v="0"/>
  </r>
  <r>
    <x v="6"/>
    <s v="Y02428"/>
    <x v="2"/>
    <s v="PUTNOE WALK IN CENTRE"/>
    <n v="0"/>
    <n v="2619"/>
    <n v="0"/>
    <n v="0"/>
    <n v="0"/>
    <n v="0"/>
    <d v="2025-10-01T00:00:00"/>
    <s v="Q3"/>
    <x v="2"/>
    <n v="0"/>
    <n v="2619"/>
    <n v="7"/>
    <n v="0"/>
  </r>
  <r>
    <x v="6"/>
    <s v="NNJ"/>
    <x v="5"/>
    <s v="DHU HEALTH CARE C.I.C"/>
    <n v="0"/>
    <n v="1869"/>
    <n v="0"/>
    <n v="2"/>
    <n v="0"/>
    <n v="0"/>
    <d v="2025-10-01T00:00:00"/>
    <s v="Q3"/>
    <x v="2"/>
    <n v="0"/>
    <n v="1869"/>
    <n v="7"/>
    <n v="0"/>
  </r>
  <r>
    <x v="6"/>
    <s v="RBN"/>
    <x v="3"/>
    <s v="MERSEY AND WEST LANCASHIRE TEACHING HOSPITALS NHS TRUST"/>
    <n v="18638"/>
    <n v="7376"/>
    <n v="7006"/>
    <n v="66"/>
    <n v="515"/>
    <n v="508"/>
    <d v="2025-10-01T00:00:00"/>
    <s v="Q3"/>
    <x v="2"/>
    <n v="0.37589870157742244"/>
    <n v="26014"/>
    <n v="7"/>
    <n v="2.7256143363021783E-2"/>
  </r>
  <r>
    <x v="7"/>
    <s v="AQN04"/>
    <x v="0"/>
    <s v="PHL LYMINGTON UTC"/>
    <n v="0"/>
    <n v="2802"/>
    <n v="0"/>
    <n v="13"/>
    <n v="0"/>
    <n v="0"/>
    <d v="2025-11-01T00:00:00"/>
    <s v="Q3"/>
    <x v="2"/>
    <n v="0"/>
    <n v="2802"/>
    <n v="8"/>
    <n v="0"/>
  </r>
  <r>
    <x v="7"/>
    <s v="RW1"/>
    <x v="0"/>
    <s v="HAMPSHIRE AND ISLE OF WIGHT HEALTHCARE NHS FOUNDATION TRUST"/>
    <n v="0"/>
    <n v="2719"/>
    <n v="0"/>
    <n v="33"/>
    <n v="0"/>
    <n v="0"/>
    <d v="2025-11-01T00:00:00"/>
    <s v="Q3"/>
    <x v="2"/>
    <n v="0"/>
    <n v="2719"/>
    <n v="8"/>
    <n v="0"/>
  </r>
  <r>
    <x v="7"/>
    <s v="R1F"/>
    <x v="0"/>
    <s v="ISLE OF WIGHT NHS TRUST"/>
    <n v="4230"/>
    <n v="1528"/>
    <n v="1539"/>
    <n v="58"/>
    <n v="231"/>
    <n v="151"/>
    <d v="2025-11-01T00:00:00"/>
    <s v="Q3"/>
    <x v="2"/>
    <n v="0.36382978723404258"/>
    <n v="5758"/>
    <n v="8"/>
    <n v="3.5697399527186764E-2"/>
  </r>
  <r>
    <x v="7"/>
    <s v="RA7"/>
    <x v="1"/>
    <s v="UNIVERSITY HOSPITALS BRISTOL AND WESTON NHS FOUNDATION TRUST"/>
    <n v="16630"/>
    <n v="0"/>
    <n v="6196"/>
    <n v="0"/>
    <n v="1188"/>
    <n v="243"/>
    <d v="2025-11-01T00:00:00"/>
    <s v="Q3"/>
    <x v="2"/>
    <n v="0.37257967528562841"/>
    <n v="16630"/>
    <n v="8"/>
    <n v="1.4612146722790138E-2"/>
  </r>
  <r>
    <x v="7"/>
    <s v="RAX"/>
    <x v="4"/>
    <s v="KINGSTON AND RICHMOND NHS FOUNDATION TRUST"/>
    <n v="7192"/>
    <n v="8197"/>
    <n v="4095"/>
    <n v="451"/>
    <n v="340"/>
    <n v="362"/>
    <d v="2025-11-01T00:00:00"/>
    <s v="Q3"/>
    <x v="2"/>
    <n v="0.56938264738598443"/>
    <n v="15389"/>
    <n v="8"/>
    <n v="5.0333704115684094E-2"/>
  </r>
  <r>
    <x v="7"/>
    <s v="RD1"/>
    <x v="1"/>
    <s v="ROYAL UNITED HOSPITALS BATH NHS FOUNDATION TRUST"/>
    <n v="8866"/>
    <n v="0"/>
    <n v="3750"/>
    <n v="0"/>
    <n v="887"/>
    <n v="155"/>
    <d v="2025-11-01T00:00:00"/>
    <s v="Q3"/>
    <x v="2"/>
    <n v="0.42296413264155197"/>
    <n v="8866"/>
    <n v="8"/>
    <n v="1.7482517482517484E-2"/>
  </r>
  <r>
    <x v="7"/>
    <s v="RDE"/>
    <x v="2"/>
    <s v="EAST SUFFOLK AND NORTH ESSEX NHS FOUNDATION TRUST"/>
    <n v="10929"/>
    <n v="13304"/>
    <n v="5054"/>
    <n v="1413"/>
    <n v="770"/>
    <n v="461"/>
    <d v="2025-11-01T00:00:00"/>
    <s v="Q3"/>
    <x v="2"/>
    <n v="0.4624393814621649"/>
    <n v="24233"/>
    <n v="8"/>
    <n v="4.2181352365266725E-2"/>
  </r>
  <r>
    <x v="7"/>
    <s v="RDR"/>
    <x v="0"/>
    <s v="SUSSEX COMMUNITY NHS FOUNDATION TRUST"/>
    <n v="0"/>
    <n v="10995"/>
    <n v="0"/>
    <n v="168"/>
    <n v="0"/>
    <n v="0"/>
    <d v="2025-11-01T00:00:00"/>
    <s v="Q3"/>
    <x v="2"/>
    <n v="0"/>
    <n v="10995"/>
    <n v="8"/>
    <n v="0"/>
  </r>
  <r>
    <x v="7"/>
    <s v="RDU"/>
    <x v="0"/>
    <s v="FRIMLEY HEALTH NHS FOUNDATION TRUST"/>
    <n v="22861"/>
    <n v="11293"/>
    <n v="9459"/>
    <n v="345"/>
    <n v="1216"/>
    <n v="427"/>
    <d v="2025-11-01T00:00:00"/>
    <s v="Q3"/>
    <x v="2"/>
    <n v="0.41376142775906566"/>
    <n v="34154"/>
    <n v="8"/>
    <n v="1.8678098070950527E-2"/>
  </r>
  <r>
    <x v="7"/>
    <s v="REM"/>
    <x v="3"/>
    <s v="LIVERPOOL UNIVERSITY HOSPITALS NHS FOUNDATION TRUST"/>
    <n v="16331"/>
    <n v="8379"/>
    <n v="7870"/>
    <n v="509"/>
    <n v="860"/>
    <n v="1040"/>
    <d v="2025-11-01T00:00:00"/>
    <s v="Q3"/>
    <x v="2"/>
    <n v="0.48190557834792724"/>
    <n v="24710"/>
    <n v="8"/>
    <n v="6.368256689731186E-2"/>
  </r>
  <r>
    <x v="7"/>
    <s v="RHU"/>
    <x v="0"/>
    <s v="PORTSMOUTH HOSPITALS UNIVERSITY NHS TRUST"/>
    <n v="11135"/>
    <n v="3105"/>
    <n v="4299"/>
    <n v="8"/>
    <n v="678"/>
    <n v="1284"/>
    <d v="2025-11-01T00:00:00"/>
    <s v="Q3"/>
    <x v="2"/>
    <n v="0.3860799281544679"/>
    <n v="14240"/>
    <n v="8"/>
    <n v="0.11531207903008532"/>
  </r>
  <r>
    <x v="7"/>
    <s v="NQT5H"/>
    <x v="1"/>
    <s v="PAULTON MEMORIAL HOSPITAL"/>
    <n v="0"/>
    <n v="992"/>
    <n v="0"/>
    <n v="2"/>
    <n v="0"/>
    <n v="0"/>
    <d v="2025-11-01T00:00:00"/>
    <s v="Q3"/>
    <x v="2"/>
    <n v="0"/>
    <n v="992"/>
    <n v="8"/>
    <n v="0"/>
  </r>
  <r>
    <x v="7"/>
    <s v="RJC"/>
    <x v="5"/>
    <s v="SOUTH WARWICKSHIRE UNIVERSITY NHS FOUNDATION TRUST"/>
    <n v="8530"/>
    <n v="369"/>
    <n v="2261"/>
    <n v="0"/>
    <n v="375"/>
    <n v="64"/>
    <d v="2025-11-01T00:00:00"/>
    <s v="Q3"/>
    <x v="2"/>
    <n v="0.26506447831184055"/>
    <n v="8899"/>
    <n v="8"/>
    <n v="7.5029308323563892E-3"/>
  </r>
  <r>
    <x v="7"/>
    <s v="RN5"/>
    <x v="0"/>
    <s v="HAMPSHIRE HOSPITALS NHS FOUNDATION TRUST"/>
    <n v="10970"/>
    <n v="3167"/>
    <n v="4721"/>
    <n v="125"/>
    <n v="77"/>
    <n v="6"/>
    <d v="2025-11-01T00:00:00"/>
    <s v="Q3"/>
    <x v="2"/>
    <n v="0.43035551504102099"/>
    <n v="14137"/>
    <n v="8"/>
    <n v="5.4694621695533269E-4"/>
  </r>
  <r>
    <x v="7"/>
    <s v="RN7"/>
    <x v="0"/>
    <s v="DARTFORD AND GRAVESHAM NHS TRUST"/>
    <n v="11842"/>
    <n v="3704"/>
    <n v="3069"/>
    <n v="12"/>
    <n v="689"/>
    <n v="249"/>
    <d v="2025-11-01T00:00:00"/>
    <s v="Q3"/>
    <x v="2"/>
    <n v="0.25916230366492149"/>
    <n v="15546"/>
    <n v="8"/>
    <n v="2.102685357203175E-2"/>
  </r>
  <r>
    <x v="7"/>
    <s v="RNZ"/>
    <x v="1"/>
    <s v="SALISBURY NHS FOUNDATION TRUST"/>
    <n v="4555"/>
    <n v="1798"/>
    <n v="1638"/>
    <n v="0"/>
    <n v="379"/>
    <n v="54"/>
    <d v="2025-11-01T00:00:00"/>
    <s v="Q3"/>
    <x v="2"/>
    <n v="0.35960482985729969"/>
    <n v="6353"/>
    <n v="8"/>
    <n v="1.1855104281009879E-2"/>
  </r>
  <r>
    <x v="7"/>
    <s v="RP6"/>
    <x v="4"/>
    <s v="MOORFIELDS EYE HOSPITAL NHS FOUNDATION TRUST"/>
    <n v="0"/>
    <n v="0"/>
    <n v="0"/>
    <n v="0"/>
    <n v="0"/>
    <n v="0"/>
    <d v="2025-11-01T00:00:00"/>
    <s v="Q3"/>
    <x v="2"/>
    <n v="0"/>
    <n v="0"/>
    <n v="8"/>
    <n v="0"/>
  </r>
  <r>
    <x v="7"/>
    <s v="RRV"/>
    <x v="4"/>
    <s v="UNIVERSITY COLLEGE LONDON HOSPITALS NHS FOUNDATION TRUST"/>
    <n v="13781"/>
    <n v="0"/>
    <n v="4221"/>
    <n v="0"/>
    <n v="504"/>
    <n v="292"/>
    <d v="2025-11-01T00:00:00"/>
    <s v="Q3"/>
    <x v="2"/>
    <n v="0.30629127058994265"/>
    <n v="13781"/>
    <n v="8"/>
    <n v="2.1188592990349031E-2"/>
  </r>
  <r>
    <x v="7"/>
    <s v="RTD"/>
    <x v="6"/>
    <s v="THE NEWCASTLE UPON TYNE HOSPITALS NHS FOUNDATION TRUST"/>
    <n v="13567"/>
    <n v="6522"/>
    <n v="5561"/>
    <n v="12"/>
    <n v="586"/>
    <n v="48"/>
    <d v="2025-11-01T00:00:00"/>
    <s v="Q3"/>
    <x v="2"/>
    <n v="0.4098916488538365"/>
    <n v="20089"/>
    <n v="8"/>
    <n v="3.5379966094199159E-3"/>
  </r>
  <r>
    <x v="7"/>
    <s v="RTE"/>
    <x v="1"/>
    <s v="GLOUCESTERSHIRE HOSPITALS NHS FOUNDATION TRUST"/>
    <n v="13199"/>
    <n v="0"/>
    <n v="4804"/>
    <n v="0"/>
    <n v="430"/>
    <n v="389"/>
    <d v="2025-11-01T00:00:00"/>
    <s v="Q3"/>
    <x v="2"/>
    <n v="0.3639669671944844"/>
    <n v="13199"/>
    <n v="8"/>
    <n v="2.9471929691643306E-2"/>
  </r>
  <r>
    <x v="7"/>
    <s v="RTF"/>
    <x v="6"/>
    <s v="NORTHUMBRIA HEALTHCARE NHS FOUNDATION TRUST"/>
    <n v="10619"/>
    <n v="12504"/>
    <n v="2577"/>
    <n v="0"/>
    <n v="20"/>
    <n v="0"/>
    <d v="2025-11-01T00:00:00"/>
    <s v="Q3"/>
    <x v="2"/>
    <n v="0.2426782182879744"/>
    <n v="23123"/>
    <n v="8"/>
    <n v="0"/>
  </r>
  <r>
    <x v="7"/>
    <s v="RTK"/>
    <x v="0"/>
    <s v="ASHFORD AND ST PETER'S HOSPITALS NHS FOUNDATION TRUST"/>
    <n v="7533"/>
    <n v="2830"/>
    <n v="3455"/>
    <n v="25"/>
    <n v="521"/>
    <n v="325"/>
    <d v="2025-11-01T00:00:00"/>
    <s v="Q3"/>
    <x v="2"/>
    <n v="0.45864861277047658"/>
    <n v="10363"/>
    <n v="8"/>
    <n v="4.3143501924863929E-2"/>
  </r>
  <r>
    <x v="7"/>
    <s v="RJE"/>
    <x v="5"/>
    <s v="UNIVERSITY HOSPITALS OF NORTH MIDLANDS NHS TRUST"/>
    <n v="14698"/>
    <n v="8611"/>
    <n v="8019"/>
    <n v="205"/>
    <n v="1073"/>
    <n v="1093"/>
    <d v="2025-11-01T00:00:00"/>
    <s v="Q3"/>
    <x v="2"/>
    <n v="0.5455844332562253"/>
    <n v="23309"/>
    <n v="8"/>
    <n v="7.4363859028439241E-2"/>
  </r>
  <r>
    <x v="7"/>
    <s v="RTR"/>
    <x v="6"/>
    <s v="SOUTH TEES HOSPITALS NHS FOUNDATION TRUST"/>
    <n v="7413"/>
    <n v="9125"/>
    <n v="3761"/>
    <n v="361"/>
    <n v="372"/>
    <n v="24"/>
    <d v="2025-11-01T00:00:00"/>
    <s v="Q3"/>
    <x v="2"/>
    <n v="0.50735194927829486"/>
    <n v="16538"/>
    <n v="8"/>
    <n v="3.2375556454876568E-3"/>
  </r>
  <r>
    <x v="7"/>
    <s v="NQT1I"/>
    <x v="1"/>
    <s v="CHIPPENHAM COMMUNITY HOSPITAL"/>
    <n v="0"/>
    <n v="1505"/>
    <n v="0"/>
    <n v="10"/>
    <n v="0"/>
    <n v="0"/>
    <d v="2025-11-01T00:00:00"/>
    <s v="Q3"/>
    <x v="2"/>
    <n v="0"/>
    <n v="1505"/>
    <n v="8"/>
    <n v="0"/>
  </r>
  <r>
    <x v="7"/>
    <s v="NNF94"/>
    <x v="6"/>
    <s v="EAST RIDING COMMUNITY HOSPITAL"/>
    <n v="0"/>
    <n v="2511"/>
    <n v="0"/>
    <n v="83"/>
    <n v="0"/>
    <n v="0"/>
    <d v="2025-11-01T00:00:00"/>
    <s v="Q3"/>
    <x v="2"/>
    <n v="0"/>
    <n v="2511"/>
    <n v="8"/>
    <n v="0"/>
  </r>
  <r>
    <x v="7"/>
    <s v="RMP"/>
    <x v="3"/>
    <s v="TAMESIDE AND GLOSSOP INTEGRATED CARE NHS FOUNDATION TRUST"/>
    <n v="8397"/>
    <n v="3181"/>
    <n v="4053"/>
    <n v="213"/>
    <n v="429"/>
    <n v="655"/>
    <d v="2025-11-01T00:00:00"/>
    <s v="Q3"/>
    <x v="2"/>
    <n v="0.4826723829939264"/>
    <n v="11578"/>
    <n v="8"/>
    <n v="7.8004049065142314E-2"/>
  </r>
  <r>
    <x v="7"/>
    <s v="RN3"/>
    <x v="1"/>
    <s v="GREAT WESTERN HOSPITALS NHS FOUNDATION TRUST"/>
    <n v="6143"/>
    <n v="5510"/>
    <n v="2947"/>
    <n v="418"/>
    <n v="668"/>
    <n v="326"/>
    <d v="2025-11-01T00:00:00"/>
    <s v="Q3"/>
    <x v="2"/>
    <n v="0.47973302946443108"/>
    <n v="11653"/>
    <n v="8"/>
    <n v="5.3068533289923489E-2"/>
  </r>
  <r>
    <x v="7"/>
    <s v="RNA"/>
    <x v="5"/>
    <s v="THE DUDLEY GROUP NHS FOUNDATION TRUST"/>
    <n v="9954"/>
    <n v="4454"/>
    <n v="3561"/>
    <n v="85"/>
    <n v="2664"/>
    <n v="155"/>
    <d v="2025-11-01T00:00:00"/>
    <s v="Q3"/>
    <x v="2"/>
    <n v="0.35774562989752862"/>
    <n v="14408"/>
    <n v="8"/>
    <n v="1.5571629495680129E-2"/>
  </r>
  <r>
    <x v="7"/>
    <s v="RNN"/>
    <x v="6"/>
    <s v="NORTH CUMBRIA INTEGRATED CARE NHS FOUNDATION TRUST"/>
    <n v="8819"/>
    <n v="1720"/>
    <n v="4564"/>
    <n v="56"/>
    <n v="753"/>
    <n v="432"/>
    <d v="2025-11-01T00:00:00"/>
    <s v="Q3"/>
    <x v="2"/>
    <n v="0.517518993083116"/>
    <n v="10539"/>
    <n v="8"/>
    <n v="4.8985145708130173E-2"/>
  </r>
  <r>
    <x v="7"/>
    <s v="RNS"/>
    <x v="5"/>
    <s v="NORTHAMPTON GENERAL HOSPITAL NHS TRUST"/>
    <n v="10425"/>
    <n v="2058"/>
    <n v="4000"/>
    <n v="132"/>
    <n v="467"/>
    <n v="669"/>
    <d v="2025-11-01T00:00:00"/>
    <s v="Q3"/>
    <x v="2"/>
    <n v="0.38369304556354916"/>
    <n v="12483"/>
    <n v="8"/>
    <n v="6.4172661870503592E-2"/>
  </r>
  <r>
    <x v="7"/>
    <s v="RQM"/>
    <x v="4"/>
    <s v="CHELSEA AND WESTMINSTER HOSPITAL NHS FOUNDATION TRUST"/>
    <n v="20633"/>
    <n v="6228"/>
    <n v="5718"/>
    <n v="135"/>
    <n v="729"/>
    <n v="59"/>
    <d v="2025-11-01T00:00:00"/>
    <s v="Q3"/>
    <x v="2"/>
    <n v="0.2771288712257064"/>
    <n v="26861"/>
    <n v="8"/>
    <n v="2.8594969224058548E-3"/>
  </r>
  <r>
    <x v="7"/>
    <s v="RR8"/>
    <x v="6"/>
    <s v="LEEDS TEACHING HOSPITALS NHS TRUST"/>
    <n v="18631"/>
    <n v="11615"/>
    <n v="7498"/>
    <n v="641"/>
    <n v="1271"/>
    <n v="707"/>
    <d v="2025-11-01T00:00:00"/>
    <s v="Q3"/>
    <x v="2"/>
    <n v="0.40244753368042507"/>
    <n v="30246"/>
    <n v="8"/>
    <n v="3.7947506843432989E-2"/>
  </r>
  <r>
    <x v="7"/>
    <s v="RTX"/>
    <x v="3"/>
    <s v="UNIVERSITY HOSPITALS OF MORECAMBE BAY NHS FOUNDATION TRUST"/>
    <n v="9070"/>
    <n v="2550"/>
    <n v="3894"/>
    <n v="97"/>
    <n v="693"/>
    <n v="551"/>
    <d v="2025-11-01T00:00:00"/>
    <s v="Q3"/>
    <x v="2"/>
    <n v="0.42932745314222714"/>
    <n v="11620"/>
    <n v="8"/>
    <n v="6.0749724366041896E-2"/>
  </r>
  <r>
    <x v="7"/>
    <s v="RVW"/>
    <x v="6"/>
    <s v="NORTH TEES AND HARTLEPOOL NHS FOUNDATION TRUST"/>
    <n v="5042"/>
    <n v="11490"/>
    <n v="2935"/>
    <n v="37"/>
    <n v="264"/>
    <n v="29"/>
    <d v="2025-11-01T00:00:00"/>
    <s v="Q3"/>
    <x v="2"/>
    <n v="0.58211027370091228"/>
    <n v="16532"/>
    <n v="8"/>
    <n v="5.7516858389527964E-3"/>
  </r>
  <r>
    <x v="7"/>
    <s v="NNFA7"/>
    <x v="6"/>
    <s v="GOOLE &amp; DISTRICT HOSPITAL"/>
    <n v="0"/>
    <n v="1567"/>
    <n v="0"/>
    <n v="41"/>
    <n v="0"/>
    <n v="0"/>
    <d v="2025-11-01T00:00:00"/>
    <s v="Q3"/>
    <x v="2"/>
    <n v="0"/>
    <n v="1567"/>
    <n v="8"/>
    <n v="0"/>
  </r>
  <r>
    <x v="7"/>
    <s v="RXK"/>
    <x v="5"/>
    <s v="SANDWELL AND WEST BIRMINGHAM HOSPITALS NHS TRUST"/>
    <n v="11914"/>
    <n v="8726"/>
    <n v="5652"/>
    <n v="279"/>
    <n v="695"/>
    <n v="386"/>
    <d v="2025-11-01T00:00:00"/>
    <s v="Q3"/>
    <x v="2"/>
    <n v="0.47439986570421355"/>
    <n v="20640"/>
    <n v="8"/>
    <n v="3.2398858485815009E-2"/>
  </r>
  <r>
    <x v="7"/>
    <s v="RYG"/>
    <x v="5"/>
    <s v="COVENTRY AND WARWICKSHIRE PARTNERSHIP NHS TRUST"/>
    <n v="0"/>
    <n v="0"/>
    <n v="0"/>
    <n v="0"/>
    <n v="0"/>
    <n v="0"/>
    <d v="2025-11-01T00:00:00"/>
    <s v="Q3"/>
    <x v="2"/>
    <n v="0"/>
    <n v="0"/>
    <n v="8"/>
    <n v="0"/>
  </r>
  <r>
    <x v="7"/>
    <s v="RYJ"/>
    <x v="4"/>
    <s v="IMPERIAL COLLEGE HEALTHCARE NHS TRUST"/>
    <n v="12110"/>
    <n v="6975"/>
    <n v="4743"/>
    <n v="340"/>
    <n v="579"/>
    <n v="0"/>
    <d v="2025-11-01T00:00:00"/>
    <s v="Q3"/>
    <x v="2"/>
    <n v="0.39165978530140377"/>
    <n v="19085"/>
    <n v="8"/>
    <n v="0"/>
  </r>
  <r>
    <x v="7"/>
    <s v="Y03007"/>
    <x v="5"/>
    <s v="ERDINGTON GP HEALTH &amp; WELLBEING WIC"/>
    <n v="0"/>
    <n v="0"/>
    <n v="0"/>
    <n v="0"/>
    <n v="0"/>
    <n v="0"/>
    <d v="2025-11-01T00:00:00"/>
    <s v="Q3"/>
    <x v="2"/>
    <n v="0"/>
    <n v="0"/>
    <n v="8"/>
    <n v="0"/>
  </r>
  <r>
    <x v="7"/>
    <s v="AD913"/>
    <x v="4"/>
    <s v="BECKENHAM BEACON UCC"/>
    <n v="0"/>
    <n v="3433"/>
    <n v="0"/>
    <n v="4"/>
    <n v="0"/>
    <n v="0"/>
    <d v="2025-11-01T00:00:00"/>
    <s v="Q3"/>
    <x v="2"/>
    <n v="0"/>
    <n v="3433"/>
    <n v="8"/>
    <n v="0"/>
  </r>
  <r>
    <x v="7"/>
    <s v="G0Q0L"/>
    <x v="4"/>
    <s v="BARKING HOSPITAL UTC"/>
    <n v="0"/>
    <n v="2802"/>
    <n v="0"/>
    <n v="14"/>
    <n v="0"/>
    <n v="0"/>
    <d v="2025-11-01T00:00:00"/>
    <s v="Q3"/>
    <x v="2"/>
    <n v="0"/>
    <n v="2802"/>
    <n v="8"/>
    <n v="0"/>
  </r>
  <r>
    <x v="7"/>
    <s v="G3P9C"/>
    <x v="1"/>
    <s v="TROWBRIDGE MINOR INJURIES UNIT"/>
    <n v="0"/>
    <n v="990"/>
    <n v="0"/>
    <n v="1"/>
    <n v="0"/>
    <n v="0"/>
    <d v="2025-11-01T00:00:00"/>
    <s v="Q3"/>
    <x v="2"/>
    <n v="0"/>
    <n v="990"/>
    <n v="8"/>
    <n v="0"/>
  </r>
  <r>
    <x v="7"/>
    <s v="K6K0R"/>
    <x v="4"/>
    <s v="HAROLD WOOD POLYCLINIC UTC"/>
    <n v="0"/>
    <n v="2904"/>
    <n v="0"/>
    <n v="23"/>
    <n v="0"/>
    <n v="0"/>
    <d v="2025-11-01T00:00:00"/>
    <s v="Q3"/>
    <x v="2"/>
    <n v="0"/>
    <n v="2904"/>
    <n v="8"/>
    <n v="0"/>
  </r>
  <r>
    <x v="7"/>
    <s v="NNF09"/>
    <x v="6"/>
    <s v="BRANSHOLME HEALTH CENTRE"/>
    <n v="0"/>
    <n v="3748"/>
    <n v="0"/>
    <n v="461"/>
    <n v="0"/>
    <n v="0"/>
    <d v="2025-11-01T00:00:00"/>
    <s v="Q3"/>
    <x v="2"/>
    <n v="0"/>
    <n v="3748"/>
    <n v="8"/>
    <n v="0"/>
  </r>
  <r>
    <x v="7"/>
    <s v="NNF16"/>
    <x v="6"/>
    <s v="BRIDLINGTON HOSPITAL"/>
    <n v="0"/>
    <n v="1320"/>
    <n v="0"/>
    <n v="57"/>
    <n v="0"/>
    <n v="0"/>
    <d v="2025-11-01T00:00:00"/>
    <s v="Q3"/>
    <x v="2"/>
    <n v="0"/>
    <n v="1320"/>
    <n v="8"/>
    <n v="0"/>
  </r>
  <r>
    <x v="7"/>
    <s v="RXW"/>
    <x v="5"/>
    <s v="THE SHREWSBURY AND TELFORD HOSPITAL NHS TRUST"/>
    <n v="10683"/>
    <n v="2678"/>
    <n v="5826"/>
    <n v="380"/>
    <n v="385"/>
    <n v="1454"/>
    <d v="2025-11-01T00:00:00"/>
    <s v="Q3"/>
    <x v="2"/>
    <n v="0.54535242909295145"/>
    <n v="13361"/>
    <n v="8"/>
    <n v="0.13610409061125153"/>
  </r>
  <r>
    <x v="7"/>
    <s v="RVJ"/>
    <x v="1"/>
    <s v="NORTH BRISTOL NHS TRUST"/>
    <n v="9172"/>
    <n v="0"/>
    <n v="3075"/>
    <n v="0"/>
    <n v="554"/>
    <n v="366"/>
    <d v="2025-11-01T00:00:00"/>
    <s v="Q3"/>
    <x v="2"/>
    <n v="0.33525948539031836"/>
    <n v="9172"/>
    <n v="8"/>
    <n v="3.9904055822067158E-2"/>
  </r>
  <r>
    <x v="7"/>
    <s v="RWD"/>
    <x v="5"/>
    <s v="UNITED LINCOLNSHIRE TEACHING HOSPITALS NHS TRUST"/>
    <n v="16510"/>
    <n v="4055"/>
    <n v="6433"/>
    <n v="296"/>
    <n v="895"/>
    <n v="932"/>
    <d v="2025-11-01T00:00:00"/>
    <s v="Q3"/>
    <x v="2"/>
    <n v="0.38964264082374317"/>
    <n v="20565"/>
    <n v="8"/>
    <n v="5.6450635978195031E-2"/>
  </r>
  <r>
    <x v="7"/>
    <s v="RWF"/>
    <x v="0"/>
    <s v="MAIDSTONE AND TUNBRIDGE WELLS NHS TRUST"/>
    <n v="18346"/>
    <n v="1739"/>
    <n v="3915"/>
    <n v="55"/>
    <n v="988"/>
    <n v="247"/>
    <d v="2025-11-01T00:00:00"/>
    <s v="Q3"/>
    <x v="2"/>
    <n v="0.21339801591627602"/>
    <n v="20085"/>
    <n v="8"/>
    <n v="1.3463425269813584E-2"/>
  </r>
  <r>
    <x v="7"/>
    <s v="RJ1"/>
    <x v="4"/>
    <s v="GUY'S AND ST THOMAS' NHS FOUNDATION TRUST"/>
    <n v="10659"/>
    <n v="6868"/>
    <n v="3310"/>
    <n v="178"/>
    <n v="141"/>
    <n v="76"/>
    <d v="2025-11-01T00:00:00"/>
    <s v="Q3"/>
    <x v="2"/>
    <n v="0.31053569753260157"/>
    <n v="17527"/>
    <n v="8"/>
    <n v="7.1301247771836003E-3"/>
  </r>
  <r>
    <x v="7"/>
    <s v="RKE"/>
    <x v="4"/>
    <s v="WHITTINGTON HEALTH NHS TRUST"/>
    <n v="9340"/>
    <n v="0"/>
    <n v="2580"/>
    <n v="0"/>
    <n v="265"/>
    <n v="317"/>
    <d v="2025-11-01T00:00:00"/>
    <s v="Q3"/>
    <x v="2"/>
    <n v="0.27623126338329762"/>
    <n v="9340"/>
    <n v="8"/>
    <n v="3.3940042826552462E-2"/>
  </r>
  <r>
    <x v="7"/>
    <s v="RPA"/>
    <x v="0"/>
    <s v="MEDWAY NHS FOUNDATION TRUST"/>
    <n v="9523"/>
    <n v="5900"/>
    <n v="3391"/>
    <n v="853"/>
    <n v="379"/>
    <n v="591"/>
    <d v="2025-11-01T00:00:00"/>
    <s v="Q3"/>
    <x v="2"/>
    <n v="0.35608526724771605"/>
    <n v="15423"/>
    <n v="8"/>
    <n v="6.2060275123385487E-2"/>
  </r>
  <r>
    <x v="7"/>
    <s v="R1K"/>
    <x v="4"/>
    <s v="LONDON NORTH WEST UNIVERSITY HEALTHCARE NHS TRUST"/>
    <n v="13768"/>
    <n v="15911"/>
    <n v="6911"/>
    <n v="896"/>
    <n v="754"/>
    <n v="667"/>
    <d v="2025-11-01T00:00:00"/>
    <s v="Q3"/>
    <x v="2"/>
    <n v="0.50196106914584548"/>
    <n v="29679"/>
    <n v="8"/>
    <n v="4.844567112144102E-2"/>
  </r>
  <r>
    <x v="7"/>
    <s v="RBN"/>
    <x v="3"/>
    <s v="MERSEY AND WEST LANCASHIRE TEACHING HOSPITALS NHS TRUST"/>
    <n v="17705"/>
    <n v="7184"/>
    <n v="6946"/>
    <n v="120"/>
    <n v="520"/>
    <n v="471"/>
    <d v="2025-11-01T00:00:00"/>
    <s v="Q3"/>
    <x v="2"/>
    <n v="0.39231855408076816"/>
    <n v="24889"/>
    <n v="8"/>
    <n v="2.6602654617339735E-2"/>
  </r>
  <r>
    <x v="7"/>
    <s v="RCB"/>
    <x v="6"/>
    <s v="YORK AND SCARBOROUGH TEACHING HOSPITALS NHS FOUNDATION TRUST"/>
    <n v="11171"/>
    <n v="7361"/>
    <n v="5473"/>
    <n v="244"/>
    <n v="807"/>
    <n v="306"/>
    <d v="2025-11-01T00:00:00"/>
    <s v="Q3"/>
    <x v="2"/>
    <n v="0.4899292811744696"/>
    <n v="18532"/>
    <n v="8"/>
    <n v="2.7392355205442663E-2"/>
  </r>
  <r>
    <x v="7"/>
    <s v="RM3"/>
    <x v="3"/>
    <s v="NORTHERN CARE ALLIANCE NHS FOUNDATION TRUST"/>
    <n v="26810"/>
    <n v="9407"/>
    <n v="11165"/>
    <n v="301"/>
    <n v="1290"/>
    <n v="1068"/>
    <d v="2025-11-01T00:00:00"/>
    <s v="Q3"/>
    <x v="2"/>
    <n v="0.41644908616187992"/>
    <n v="36217"/>
    <n v="8"/>
    <n v="3.9835882133532265E-2"/>
  </r>
  <r>
    <x v="7"/>
    <s v="DT301"/>
    <x v="2"/>
    <s v="HERTS URGENT CARE (ASCOTS LANE)"/>
    <n v="0"/>
    <n v="1934"/>
    <n v="0"/>
    <n v="61"/>
    <n v="0"/>
    <n v="0"/>
    <d v="2025-11-01T00:00:00"/>
    <s v="Q3"/>
    <x v="2"/>
    <n v="0"/>
    <n v="1934"/>
    <n v="8"/>
    <n v="0"/>
  </r>
  <r>
    <x v="7"/>
    <s v="RBL"/>
    <x v="3"/>
    <s v="WIRRAL UNIVERSITY TEACHING HOSPITAL NHS FOUNDATION TRUST"/>
    <n v="8090"/>
    <n v="2744"/>
    <n v="4050"/>
    <n v="114"/>
    <n v="452"/>
    <n v="875"/>
    <d v="2025-11-01T00:00:00"/>
    <s v="Q3"/>
    <x v="2"/>
    <n v="0.50061804697156986"/>
    <n v="10834"/>
    <n v="8"/>
    <n v="0.10815822002472188"/>
  </r>
  <r>
    <x v="7"/>
    <s v="C83023"/>
    <x v="5"/>
    <s v="SLEAFORD MEDICAL GROUP"/>
    <n v="0"/>
    <n v="591"/>
    <n v="0"/>
    <n v="0"/>
    <n v="0"/>
    <n v="0"/>
    <d v="2025-11-01T00:00:00"/>
    <s v="Q3"/>
    <x v="2"/>
    <n v="0"/>
    <n v="591"/>
    <n v="8"/>
    <n v="0"/>
  </r>
  <r>
    <x v="7"/>
    <s v="RF4"/>
    <x v="4"/>
    <s v="BARKING, HAVERING AND REDBRIDGE UNIVERSITY HOSPITALS NHS TRUST"/>
    <n v="13220"/>
    <n v="14696"/>
    <n v="7908"/>
    <n v="219"/>
    <n v="583"/>
    <n v="829"/>
    <d v="2025-11-01T00:00:00"/>
    <s v="Q3"/>
    <x v="2"/>
    <n v="0.5981845688350983"/>
    <n v="27916"/>
    <n v="8"/>
    <n v="6.2708018154311651E-2"/>
  </r>
  <r>
    <x v="7"/>
    <s v="RWW"/>
    <x v="3"/>
    <s v="WARRINGTON AND HALTON TEACHING HOSPITALS NHS FOUNDATION TRUST"/>
    <n v="6989"/>
    <n v="2893"/>
    <n v="3444"/>
    <n v="70"/>
    <n v="615"/>
    <n v="922"/>
    <d v="2025-11-01T00:00:00"/>
    <s v="Q3"/>
    <x v="2"/>
    <n v="0.49277435970811273"/>
    <n v="9882"/>
    <n v="8"/>
    <n v="0.13192159107168408"/>
  </r>
  <r>
    <x v="7"/>
    <s v="RX1"/>
    <x v="5"/>
    <s v="NOTTINGHAM UNIVERSITY HOSPITALS NHS TRUST"/>
    <n v="13016"/>
    <n v="8899"/>
    <n v="7451"/>
    <n v="1048"/>
    <n v="157"/>
    <n v="495"/>
    <d v="2025-11-01T00:00:00"/>
    <s v="Q3"/>
    <x v="2"/>
    <n v="0.57244929317762749"/>
    <n v="21915"/>
    <n v="8"/>
    <n v="3.8030116779348491E-2"/>
  </r>
  <r>
    <x v="7"/>
    <s v="RXP"/>
    <x v="6"/>
    <s v="COUNTY DURHAM AND DARLINGTON NHS FOUNDATION TRUST"/>
    <n v="13118"/>
    <n v="3921"/>
    <n v="5639"/>
    <n v="0"/>
    <n v="1980"/>
    <n v="46"/>
    <d v="2025-11-01T00:00:00"/>
    <s v="Q3"/>
    <x v="2"/>
    <n v="0.42986735782893731"/>
    <n v="17039"/>
    <n v="8"/>
    <n v="3.506632108553133E-3"/>
  </r>
  <r>
    <x v="7"/>
    <s v="RAT"/>
    <x v="4"/>
    <s v="NORTH EAST LONDON NHS FOUNDATION TRUST"/>
    <n v="0"/>
    <n v="1466"/>
    <n v="0"/>
    <n v="46"/>
    <n v="0"/>
    <n v="0"/>
    <d v="2025-11-01T00:00:00"/>
    <s v="Q3"/>
    <x v="2"/>
    <n v="0"/>
    <n v="1466"/>
    <n v="8"/>
    <n v="0"/>
  </r>
  <r>
    <x v="7"/>
    <s v="NNJ07"/>
    <x v="5"/>
    <s v="LOUGHBOROUGH URGENT CARE CENTRE"/>
    <n v="0"/>
    <n v="5474"/>
    <n v="0"/>
    <n v="74"/>
    <n v="0"/>
    <n v="0"/>
    <d v="2025-11-01T00:00:00"/>
    <s v="Q3"/>
    <x v="2"/>
    <n v="0"/>
    <n v="5474"/>
    <n v="8"/>
    <n v="0"/>
  </r>
  <r>
    <x v="7"/>
    <s v="NNJ0H"/>
    <x v="5"/>
    <s v="LLR EA - THE MERLYN VAZ HEALTH &amp; SOCIAL CARE CENTRE"/>
    <n v="0"/>
    <n v="219"/>
    <n v="0"/>
    <n v="0"/>
    <n v="0"/>
    <n v="0"/>
    <d v="2025-11-01T00:00:00"/>
    <s v="Q3"/>
    <x v="2"/>
    <n v="0"/>
    <n v="219"/>
    <n v="8"/>
    <n v="0"/>
  </r>
  <r>
    <x v="7"/>
    <s v="NNJ12"/>
    <x v="5"/>
    <s v="MARKET HARBOROUGH"/>
    <n v="0"/>
    <n v="107"/>
    <n v="0"/>
    <n v="0"/>
    <n v="0"/>
    <n v="0"/>
    <d v="2025-11-01T00:00:00"/>
    <s v="Q3"/>
    <x v="2"/>
    <n v="0"/>
    <n v="107"/>
    <n v="8"/>
    <n v="0"/>
  </r>
  <r>
    <x v="7"/>
    <s v="NNJ13"/>
    <x v="5"/>
    <s v="MELTON MOWBRAY"/>
    <n v="0"/>
    <n v="62"/>
    <n v="0"/>
    <n v="0"/>
    <n v="0"/>
    <n v="0"/>
    <d v="2025-11-01T00:00:00"/>
    <s v="Q3"/>
    <x v="2"/>
    <n v="0"/>
    <n v="62"/>
    <n v="8"/>
    <n v="0"/>
  </r>
  <r>
    <x v="7"/>
    <s v="NNJ14"/>
    <x v="5"/>
    <s v="OADBY"/>
    <n v="0"/>
    <n v="550"/>
    <n v="0"/>
    <n v="3"/>
    <n v="0"/>
    <n v="0"/>
    <d v="2025-11-01T00:00:00"/>
    <s v="Q3"/>
    <x v="2"/>
    <n v="0"/>
    <n v="550"/>
    <n v="8"/>
    <n v="0"/>
  </r>
  <r>
    <x v="7"/>
    <s v="RTH"/>
    <x v="0"/>
    <s v="OXFORD UNIVERSITY HOSPITALS NHS FOUNDATION TRUST"/>
    <n v="12395"/>
    <n v="3522"/>
    <n v="4092"/>
    <n v="110"/>
    <n v="436"/>
    <n v="1"/>
    <d v="2025-11-01T00:00:00"/>
    <s v="Q3"/>
    <x v="2"/>
    <n v="0.33013311819281971"/>
    <n v="15917"/>
    <n v="8"/>
    <n v="8.0677692617991132E-5"/>
  </r>
  <r>
    <x v="7"/>
    <s v="RRK"/>
    <x v="5"/>
    <s v="UNIVERSITY HOSPITALS BIRMINGHAM NHS FOUNDATION TRUST"/>
    <n v="35573"/>
    <n v="3244"/>
    <n v="14391"/>
    <n v="70"/>
    <n v="2895"/>
    <n v="1702"/>
    <d v="2025-11-01T00:00:00"/>
    <s v="Q3"/>
    <x v="2"/>
    <n v="0.4045483934444663"/>
    <n v="38817"/>
    <n v="8"/>
    <n v="4.7845275911505919E-2"/>
  </r>
  <r>
    <x v="7"/>
    <s v="RRF"/>
    <x v="3"/>
    <s v="WRIGHTINGTON, WIGAN AND LEIGH NHS FOUNDATION TRUST"/>
    <n v="8206"/>
    <n v="4673"/>
    <n v="3681"/>
    <n v="79"/>
    <n v="649"/>
    <n v="466"/>
    <d v="2025-11-01T00:00:00"/>
    <s v="Q3"/>
    <x v="2"/>
    <n v="0.4485742139897636"/>
    <n v="12879"/>
    <n v="8"/>
    <n v="5.678771630514258E-2"/>
  </r>
  <r>
    <x v="7"/>
    <s v="RKB"/>
    <x v="5"/>
    <s v="UNIVERSITY HOSPITALS COVENTRY AND WARWICKSHIRE NHS TRUST"/>
    <n v="12703"/>
    <n v="5892"/>
    <n v="5588"/>
    <n v="159"/>
    <n v="48"/>
    <n v="17"/>
    <d v="2025-11-01T00:00:00"/>
    <s v="Q3"/>
    <x v="2"/>
    <n v="0.43989608753837678"/>
    <n v="18595"/>
    <n v="8"/>
    <n v="1.3382665512083759E-3"/>
  </r>
  <r>
    <x v="7"/>
    <s v="RWG"/>
    <x v="2"/>
    <s v="WEST HERTFORDSHIRE TEACHING HOSPITALS NHS TRUST"/>
    <n v="8802"/>
    <n v="7278"/>
    <n v="2661"/>
    <n v="110"/>
    <n v="807"/>
    <n v="18"/>
    <d v="2025-11-01T00:00:00"/>
    <s v="Q3"/>
    <x v="2"/>
    <n v="0.30231765507839126"/>
    <n v="16080"/>
    <n v="8"/>
    <n v="2.0449897750511249E-3"/>
  </r>
  <r>
    <x v="7"/>
    <s v="RWH"/>
    <x v="2"/>
    <s v="EAST AND NORTH HERTFORDSHIRE TEACHING NHS TRUST"/>
    <n v="9292"/>
    <n v="8274"/>
    <n v="4538"/>
    <n v="40"/>
    <n v="474"/>
    <n v="185"/>
    <d v="2025-11-01T00:00:00"/>
    <s v="Q3"/>
    <x v="2"/>
    <n v="0.48837709857942319"/>
    <n v="17566"/>
    <n v="8"/>
    <n v="1.9909599655617737E-2"/>
  </r>
  <r>
    <x v="7"/>
    <s v="RWJ"/>
    <x v="3"/>
    <s v="STOCKPORT NHS FOUNDATION TRUST"/>
    <n v="8127"/>
    <n v="1071"/>
    <n v="3187"/>
    <n v="57"/>
    <n v="644"/>
    <n v="445"/>
    <d v="2025-11-01T00:00:00"/>
    <s v="Q3"/>
    <x v="2"/>
    <n v="0.39214962470776427"/>
    <n v="9198"/>
    <n v="8"/>
    <n v="5.4755752430171035E-2"/>
  </r>
  <r>
    <x v="7"/>
    <s v="RWX"/>
    <x v="0"/>
    <s v="BERKSHIRE HEALTHCARE NHS FOUNDATION TRUST"/>
    <n v="0"/>
    <n v="1168"/>
    <n v="0"/>
    <n v="5"/>
    <n v="0"/>
    <n v="0"/>
    <d v="2025-11-01T00:00:00"/>
    <s v="Q3"/>
    <x v="2"/>
    <n v="0"/>
    <n v="1168"/>
    <n v="8"/>
    <n v="0"/>
  </r>
  <r>
    <x v="7"/>
    <s v="RXC"/>
    <x v="0"/>
    <s v="EAST SUSSEX HEALTHCARE NHS TRUST"/>
    <n v="8986"/>
    <n v="2348"/>
    <n v="4166"/>
    <n v="32"/>
    <n v="278"/>
    <n v="101"/>
    <d v="2025-11-01T00:00:00"/>
    <s v="Q3"/>
    <x v="2"/>
    <n v="0.46361006009347877"/>
    <n v="11334"/>
    <n v="8"/>
    <n v="1.1239706209659471E-2"/>
  </r>
  <r>
    <x v="7"/>
    <s v="RXF"/>
    <x v="6"/>
    <s v="MID YORKSHIRE TEACHING NHS TRUST"/>
    <n v="16746"/>
    <n v="6306"/>
    <n v="6446"/>
    <n v="370"/>
    <n v="2112"/>
    <n v="332"/>
    <d v="2025-11-01T00:00:00"/>
    <s v="Q3"/>
    <x v="2"/>
    <n v="0.38492774393885104"/>
    <n v="23052"/>
    <n v="8"/>
    <n v="1.9825630001194316E-2"/>
  </r>
  <r>
    <x v="7"/>
    <s v="RXN"/>
    <x v="3"/>
    <s v="LANCASHIRE TEACHING HOSPITALS NHS FOUNDATION TRUST"/>
    <n v="12364"/>
    <n v="3304"/>
    <n v="4551"/>
    <n v="212"/>
    <n v="960"/>
    <n v="471"/>
    <d v="2025-11-01T00:00:00"/>
    <s v="Q3"/>
    <x v="2"/>
    <n v="0.36808476221287612"/>
    <n v="15668"/>
    <n v="8"/>
    <n v="3.8094467809770299E-2"/>
  </r>
  <r>
    <x v="7"/>
    <s v="RY2"/>
    <x v="3"/>
    <s v="BRIDGEWATER COMMUNITY HEALTHCARE NHS FOUNDATION TRUST"/>
    <n v="0"/>
    <n v="2910"/>
    <n v="0"/>
    <n v="120"/>
    <n v="0"/>
    <n v="0"/>
    <d v="2025-11-01T00:00:00"/>
    <s v="Q3"/>
    <x v="2"/>
    <n v="0"/>
    <n v="2910"/>
    <n v="8"/>
    <n v="0"/>
  </r>
  <r>
    <x v="7"/>
    <s v="RY4"/>
    <x v="2"/>
    <s v="HERTFORDSHIRE COMMUNITY NHS TRUST"/>
    <n v="0"/>
    <n v="1062"/>
    <n v="0"/>
    <n v="25"/>
    <n v="0"/>
    <n v="0"/>
    <d v="2025-11-01T00:00:00"/>
    <s v="Q3"/>
    <x v="2"/>
    <n v="0"/>
    <n v="1062"/>
    <n v="8"/>
    <n v="0"/>
  </r>
  <r>
    <x v="7"/>
    <s v="RY5"/>
    <x v="5"/>
    <s v="LINCOLNSHIRE COMMUNITY HEALTH SERVICES NHS TRUST"/>
    <n v="0"/>
    <n v="7788"/>
    <n v="0"/>
    <n v="128"/>
    <n v="0"/>
    <n v="0"/>
    <d v="2025-11-01T00:00:00"/>
    <s v="Q3"/>
    <x v="2"/>
    <n v="0"/>
    <n v="7788"/>
    <n v="8"/>
    <n v="0"/>
  </r>
  <r>
    <x v="7"/>
    <s v="ARN03"/>
    <x v="6"/>
    <s v="LOCAL CARE DIRECT"/>
    <n v="0"/>
    <n v="2555"/>
    <n v="0"/>
    <n v="9"/>
    <n v="0"/>
    <n v="0"/>
    <d v="2025-11-01T00:00:00"/>
    <s v="Q3"/>
    <x v="2"/>
    <n v="0"/>
    <n v="2555"/>
    <n v="8"/>
    <n v="0"/>
  </r>
  <r>
    <x v="7"/>
    <s v="R1H"/>
    <x v="4"/>
    <s v="BARTS HEALTH NHS TRUST"/>
    <n v="26111"/>
    <n v="18363"/>
    <n v="11748"/>
    <n v="2257"/>
    <n v="906"/>
    <n v="1000"/>
    <d v="2025-11-01T00:00:00"/>
    <s v="Q3"/>
    <x v="2"/>
    <n v="0.44992531883114395"/>
    <n v="44474"/>
    <n v="8"/>
    <n v="3.8298035310788556E-2"/>
  </r>
  <r>
    <x v="7"/>
    <s v="RGT"/>
    <x v="2"/>
    <s v="CAMBRIDGE UNIVERSITY HOSPITALS NHS FOUNDATION TRUST"/>
    <n v="11116"/>
    <n v="4946"/>
    <n v="4544"/>
    <n v="62"/>
    <n v="546"/>
    <n v="491"/>
    <d v="2025-11-01T00:00:00"/>
    <s v="Q3"/>
    <x v="2"/>
    <n v="0.40878013673983449"/>
    <n v="16062"/>
    <n v="8"/>
    <n v="4.4170564951421375E-2"/>
  </r>
  <r>
    <x v="7"/>
    <s v="RH5"/>
    <x v="1"/>
    <s v="SOMERSET NHS FOUNDATION TRUST"/>
    <n v="11913"/>
    <n v="8719"/>
    <n v="5991"/>
    <n v="206"/>
    <n v="364"/>
    <n v="87"/>
    <d v="2025-11-01T00:00:00"/>
    <s v="Q3"/>
    <x v="2"/>
    <n v="0.50289599597078827"/>
    <n v="20632"/>
    <n v="8"/>
    <n v="7.3029463611181062E-3"/>
  </r>
  <r>
    <x v="7"/>
    <s v="RJ7"/>
    <x v="4"/>
    <s v="ST GEORGE'S UNIVERSITY HOSPITALS NHS FOUNDATION TRUST"/>
    <n v="8963"/>
    <n v="3807"/>
    <n v="2493"/>
    <n v="65"/>
    <n v="395"/>
    <n v="625"/>
    <d v="2025-11-01T00:00:00"/>
    <s v="Q3"/>
    <x v="2"/>
    <n v="0.27814347874595557"/>
    <n v="12770"/>
    <n v="8"/>
    <n v="6.973111681356689E-2"/>
  </r>
  <r>
    <x v="7"/>
    <s v="RM1"/>
    <x v="2"/>
    <s v="NORFOLK AND NORWICH UNIVERSITY HOSPITALS NHS FOUNDATION TRUST"/>
    <n v="12411"/>
    <n v="7276"/>
    <n v="3845"/>
    <n v="2"/>
    <n v="696"/>
    <n v="236"/>
    <d v="2025-11-01T00:00:00"/>
    <s v="Q3"/>
    <x v="2"/>
    <n v="0.3098058174200306"/>
    <n v="19687"/>
    <n v="8"/>
    <n v="1.901538957376521E-2"/>
  </r>
  <r>
    <x v="7"/>
    <s v="RP5"/>
    <x v="6"/>
    <s v="DONCASTER AND BASSETLAW TEACHING HOSPITALS NHS FOUNDATION TRUST"/>
    <n v="13650"/>
    <n v="3999"/>
    <n v="5155"/>
    <n v="5"/>
    <n v="1179"/>
    <n v="197"/>
    <d v="2025-11-01T00:00:00"/>
    <s v="Q3"/>
    <x v="2"/>
    <n v="0.37765567765567765"/>
    <n v="17649"/>
    <n v="8"/>
    <n v="1.4432234432234433E-2"/>
  </r>
  <r>
    <x v="7"/>
    <s v="RVR"/>
    <x v="4"/>
    <s v="EPSOM AND ST HELIER UNIVERSITY HOSPITALS NHS TRUST"/>
    <n v="11357"/>
    <n v="2179"/>
    <n v="3613"/>
    <n v="206"/>
    <n v="952"/>
    <n v="712"/>
    <d v="2025-11-01T00:00:00"/>
    <s v="Q3"/>
    <x v="2"/>
    <n v="0.31812978779607293"/>
    <n v="13536"/>
    <n v="8"/>
    <n v="6.2692612485691648E-2"/>
  </r>
  <r>
    <x v="7"/>
    <s v="RWA"/>
    <x v="6"/>
    <s v="HULL UNIVERSITY TEACHING HOSPITALS NHS TRUST"/>
    <n v="9961"/>
    <n v="4693"/>
    <n v="5722"/>
    <n v="552"/>
    <n v="936"/>
    <n v="534"/>
    <d v="2025-11-01T00:00:00"/>
    <s v="Q3"/>
    <x v="2"/>
    <n v="0.57444031723722522"/>
    <n v="14654"/>
    <n v="8"/>
    <n v="5.3609075394036747E-2"/>
  </r>
  <r>
    <x v="7"/>
    <s v="RXL"/>
    <x v="3"/>
    <s v="BLACKPOOL TEACHING HOSPITALS NHS FOUNDATION TRUST"/>
    <n v="8917"/>
    <n v="10017"/>
    <n v="4390"/>
    <n v="75"/>
    <n v="574"/>
    <n v="404"/>
    <d v="2025-11-01T00:00:00"/>
    <s v="Q3"/>
    <x v="2"/>
    <n v="0.49231804418526409"/>
    <n v="18934"/>
    <n v="8"/>
    <n v="4.5306717505887634E-2"/>
  </r>
  <r>
    <x v="7"/>
    <s v="RET"/>
    <x v="3"/>
    <s v="THE WALTON CENTRE NHS FOUNDATION TRUST"/>
    <n v="0"/>
    <n v="0"/>
    <n v="0"/>
    <n v="0"/>
    <n v="0"/>
    <n v="0"/>
    <d v="2025-11-01T00:00:00"/>
    <s v="Q3"/>
    <x v="2"/>
    <n v="0"/>
    <n v="0"/>
    <n v="8"/>
    <n v="0"/>
  </r>
  <r>
    <x v="7"/>
    <s v="RLT"/>
    <x v="5"/>
    <s v="GEORGE ELIOT HOSPITAL NHS TRUST"/>
    <n v="7200"/>
    <n v="1649"/>
    <n v="1863"/>
    <n v="1"/>
    <n v="329"/>
    <n v="417"/>
    <d v="2025-11-01T00:00:00"/>
    <s v="Q3"/>
    <x v="2"/>
    <n v="0.25874999999999998"/>
    <n v="8849"/>
    <n v="8"/>
    <n v="5.7916666666666665E-2"/>
  </r>
  <r>
    <x v="7"/>
    <s v="RL4"/>
    <x v="5"/>
    <s v="THE ROYAL WOLVERHAMPTON NHS TRUST"/>
    <n v="11537"/>
    <n v="7238"/>
    <n v="4325"/>
    <n v="268"/>
    <n v="759"/>
    <n v="620"/>
    <d v="2025-11-01T00:00:00"/>
    <s v="Q3"/>
    <x v="2"/>
    <n v="0.37488081823697667"/>
    <n v="18775"/>
    <n v="8"/>
    <n v="5.3740140417786256E-2"/>
  </r>
  <r>
    <x v="7"/>
    <s v="RK5"/>
    <x v="5"/>
    <s v="SHERWOOD FOREST HOSPITALS NHS FOUNDATION TRUST"/>
    <n v="10617"/>
    <n v="5700"/>
    <n v="4758"/>
    <n v="549"/>
    <n v="814"/>
    <n v="484"/>
    <d v="2025-11-01T00:00:00"/>
    <s v="Q3"/>
    <x v="2"/>
    <n v="0.44814919468776493"/>
    <n v="16317"/>
    <n v="8"/>
    <n v="4.5587265705943299E-2"/>
  </r>
  <r>
    <x v="7"/>
    <s v="RJZ"/>
    <x v="4"/>
    <s v="KING'S COLLEGE HOSPITAL NHS FOUNDATION TRUST"/>
    <n v="16021"/>
    <n v="8885"/>
    <n v="6752"/>
    <n v="959"/>
    <n v="1426"/>
    <n v="811"/>
    <d v="2025-11-01T00:00:00"/>
    <s v="Q3"/>
    <x v="2"/>
    <n v="0.42144685100805196"/>
    <n v="24906"/>
    <n v="8"/>
    <n v="5.0621059858935148E-2"/>
  </r>
  <r>
    <x v="7"/>
    <s v="C82038"/>
    <x v="5"/>
    <s v="LATHAM HOUSE MEDICAL PRACTICE"/>
    <n v="0"/>
    <n v="299"/>
    <n v="0"/>
    <n v="0"/>
    <n v="0"/>
    <n v="0"/>
    <d v="2025-11-01T00:00:00"/>
    <s v="Q3"/>
    <x v="2"/>
    <n v="0"/>
    <n v="299"/>
    <n v="8"/>
    <n v="0"/>
  </r>
  <r>
    <x v="7"/>
    <s v="L83087"/>
    <x v="1"/>
    <s v="OKEHAMPTON MEDICAL CENTRE"/>
    <n v="0"/>
    <n v="82"/>
    <n v="0"/>
    <n v="0"/>
    <n v="0"/>
    <n v="0"/>
    <d v="2025-11-01T00:00:00"/>
    <s v="Q3"/>
    <x v="2"/>
    <n v="0"/>
    <n v="82"/>
    <n v="8"/>
    <n v="0"/>
  </r>
  <r>
    <x v="7"/>
    <s v="RAN"/>
    <x v="4"/>
    <s v="ROYAL NATIONAL ORTHOPAEDIC HOSPITAL NHS TRUST"/>
    <n v="0"/>
    <n v="0"/>
    <n v="0"/>
    <n v="0"/>
    <n v="0"/>
    <n v="0"/>
    <d v="2025-11-01T00:00:00"/>
    <s v="Q3"/>
    <x v="2"/>
    <n v="0"/>
    <n v="0"/>
    <n v="8"/>
    <n v="0"/>
  </r>
  <r>
    <x v="7"/>
    <s v="RFF"/>
    <x v="6"/>
    <s v="BARNSLEY HOSPITAL NHS FOUNDATION TRUST"/>
    <n v="9445"/>
    <n v="0"/>
    <n v="2600"/>
    <n v="0"/>
    <n v="490"/>
    <n v="4"/>
    <d v="2025-11-01T00:00:00"/>
    <s v="Q3"/>
    <x v="2"/>
    <n v="0.27527792482795127"/>
    <n v="9445"/>
    <n v="8"/>
    <n v="4.2350449973530967E-4"/>
  </r>
  <r>
    <x v="7"/>
    <s v="RGP"/>
    <x v="2"/>
    <s v="JAMES PAGET UNIVERSITY HOSPITALS NHS FOUNDATION TRUST"/>
    <n v="6933"/>
    <n v="1223"/>
    <n v="2144"/>
    <n v="0"/>
    <n v="425"/>
    <n v="342"/>
    <d v="2025-11-01T00:00:00"/>
    <s v="Q3"/>
    <x v="2"/>
    <n v="0.30924563680946199"/>
    <n v="8156"/>
    <n v="8"/>
    <n v="4.9329294677628734E-2"/>
  </r>
  <r>
    <x v="7"/>
    <s v="RQX"/>
    <x v="4"/>
    <s v="HOMERTON HEALTHCARE NHS FOUNDATION TRUST"/>
    <n v="11300"/>
    <n v="0"/>
    <n v="1890"/>
    <n v="0"/>
    <n v="189"/>
    <n v="25"/>
    <d v="2025-11-01T00:00:00"/>
    <s v="Q3"/>
    <x v="2"/>
    <n v="0.1672566371681416"/>
    <n v="11300"/>
    <n v="8"/>
    <n v="2.2123893805309734E-3"/>
  </r>
  <r>
    <x v="7"/>
    <s v="RR7"/>
    <x v="6"/>
    <s v="GATESHEAD HEALTH NHS FOUNDATION TRUST"/>
    <n v="6112"/>
    <n v="4334"/>
    <n v="2313"/>
    <n v="25"/>
    <n v="577"/>
    <n v="6"/>
    <d v="2025-11-01T00:00:00"/>
    <s v="Q3"/>
    <x v="2"/>
    <n v="0.37843586387434552"/>
    <n v="10446"/>
    <n v="8"/>
    <n v="9.8167539267015702E-4"/>
  </r>
  <r>
    <x v="7"/>
    <s v="RCU"/>
    <x v="6"/>
    <s v="SHEFFIELD CHILDREN'S NHS FOUNDATION TRUST"/>
    <n v="4998"/>
    <n v="721"/>
    <n v="686"/>
    <n v="5"/>
    <n v="24"/>
    <n v="0"/>
    <d v="2025-11-01T00:00:00"/>
    <s v="Q3"/>
    <x v="2"/>
    <n v="0.13725490196078433"/>
    <n v="5719"/>
    <n v="8"/>
    <n v="0"/>
  </r>
  <r>
    <x v="7"/>
    <s v="RFR"/>
    <x v="6"/>
    <s v="THE ROTHERHAM NHS FOUNDATION TRUST"/>
    <n v="9394"/>
    <n v="0"/>
    <n v="2778"/>
    <n v="0"/>
    <n v="408"/>
    <n v="0"/>
    <d v="2025-11-01T00:00:00"/>
    <s v="Q3"/>
    <x v="2"/>
    <n v="0.29572067276985309"/>
    <n v="9394"/>
    <n v="8"/>
    <n v="0"/>
  </r>
  <r>
    <x v="7"/>
    <s v="ACH01"/>
    <x v="0"/>
    <s v="WHITSTABLE MEDICAL PRACTICE"/>
    <n v="0"/>
    <n v="4747"/>
    <n v="0"/>
    <n v="0"/>
    <n v="0"/>
    <n v="0"/>
    <d v="2025-11-01T00:00:00"/>
    <s v="Q3"/>
    <x v="2"/>
    <n v="0"/>
    <n v="4747"/>
    <n v="8"/>
    <n v="0"/>
  </r>
  <r>
    <x v="7"/>
    <s v="RJN"/>
    <x v="3"/>
    <s v="EAST CHESHIRE NHS TRUST"/>
    <n v="4516"/>
    <n v="0"/>
    <n v="2301"/>
    <n v="0"/>
    <n v="172"/>
    <n v="549"/>
    <d v="2025-11-01T00:00:00"/>
    <s v="Q3"/>
    <x v="2"/>
    <n v="0.50952170062001767"/>
    <n v="4516"/>
    <n v="8"/>
    <n v="0.12156775907883083"/>
  </r>
  <r>
    <x v="7"/>
    <s v="RPC"/>
    <x v="0"/>
    <s v="QUEEN VICTORIA HOSPITAL NHS FOUNDATION TRUST"/>
    <n v="0"/>
    <n v="1200"/>
    <n v="0"/>
    <n v="12"/>
    <n v="0"/>
    <n v="0"/>
    <d v="2025-11-01T00:00:00"/>
    <s v="Q3"/>
    <x v="2"/>
    <n v="0"/>
    <n v="1200"/>
    <n v="8"/>
    <n v="0"/>
  </r>
  <r>
    <x v="7"/>
    <s v="RQ3"/>
    <x v="5"/>
    <s v="BIRMINGHAM WOMEN'S AND CHILDREN'S NHS FOUNDATION TRUST"/>
    <n v="5568"/>
    <n v="0"/>
    <n v="1464"/>
    <n v="0"/>
    <n v="23"/>
    <n v="0"/>
    <d v="2025-11-01T00:00:00"/>
    <s v="Q3"/>
    <x v="2"/>
    <n v="0.26293103448275862"/>
    <n v="5568"/>
    <n v="8"/>
    <n v="0"/>
  </r>
  <r>
    <x v="7"/>
    <s v="RWP"/>
    <x v="5"/>
    <s v="WORCESTERSHIRE ACUTE HOSPITALS NHS TRUST"/>
    <n v="13836"/>
    <n v="5212"/>
    <n v="7046"/>
    <n v="64"/>
    <n v="989"/>
    <n v="1083"/>
    <d v="2025-11-01T00:00:00"/>
    <s v="Q3"/>
    <x v="2"/>
    <n v="0.5092512286788089"/>
    <n v="19048"/>
    <n v="8"/>
    <n v="7.8274067649609716E-2"/>
  </r>
  <r>
    <x v="7"/>
    <s v="RXQ"/>
    <x v="0"/>
    <s v="BUCKINGHAMSHIRE HEALTHCARE NHS TRUST"/>
    <n v="9743"/>
    <n v="2989"/>
    <n v="4327"/>
    <n v="60"/>
    <n v="235"/>
    <n v="268"/>
    <d v="2025-11-01T00:00:00"/>
    <s v="Q3"/>
    <x v="2"/>
    <n v="0.44411372267268806"/>
    <n v="12732"/>
    <n v="8"/>
    <n v="2.7506928050908343E-2"/>
  </r>
  <r>
    <x v="7"/>
    <s v="NTP11"/>
    <x v="0"/>
    <s v="PRACTICE PLUS GROUP HOSPITAL - SOUTHAMPTON"/>
    <n v="0"/>
    <n v="5388"/>
    <n v="0"/>
    <n v="125"/>
    <n v="0"/>
    <n v="0"/>
    <d v="2025-11-01T00:00:00"/>
    <s v="Q3"/>
    <x v="2"/>
    <n v="0"/>
    <n v="5388"/>
    <n v="8"/>
    <n v="0"/>
  </r>
  <r>
    <x v="7"/>
    <s v="RA2"/>
    <x v="0"/>
    <s v="ROYAL SURREY NHS FOUNDATION TRUST"/>
    <n v="6753"/>
    <n v="1819"/>
    <n v="2110"/>
    <n v="0"/>
    <n v="374"/>
    <n v="20"/>
    <d v="2025-11-01T00:00:00"/>
    <s v="Q3"/>
    <x v="2"/>
    <n v="0.31245372427069451"/>
    <n v="8572"/>
    <n v="8"/>
    <n v="2.9616466755516065E-3"/>
  </r>
  <r>
    <x v="7"/>
    <s v="RBD"/>
    <x v="1"/>
    <s v="DORSET COUNTY HOSPITAL NHS FOUNDATION TRUST"/>
    <n v="4321"/>
    <n v="0"/>
    <n v="1540"/>
    <n v="0"/>
    <n v="169"/>
    <n v="61"/>
    <d v="2025-11-01T00:00:00"/>
    <s v="Q3"/>
    <x v="2"/>
    <n v="0.35639898171719508"/>
    <n v="4321"/>
    <n v="8"/>
    <n v="1.411710252256422E-2"/>
  </r>
  <r>
    <x v="7"/>
    <s v="RBS"/>
    <x v="3"/>
    <s v="ALDER HEY CHILDREN'S NHS FOUNDATION TRUST"/>
    <n v="6725"/>
    <n v="0"/>
    <n v="1081"/>
    <n v="0"/>
    <n v="0"/>
    <n v="0"/>
    <d v="2025-11-01T00:00:00"/>
    <s v="Q3"/>
    <x v="2"/>
    <n v="0.16074349442379182"/>
    <n v="6725"/>
    <n v="8"/>
    <n v="0"/>
  </r>
  <r>
    <x v="7"/>
    <s v="RDY"/>
    <x v="1"/>
    <s v="DORSET HEALTHCARE UNIVERSITY NHS FOUNDATION TRUST"/>
    <n v="0"/>
    <n v="0"/>
    <n v="0"/>
    <n v="0"/>
    <n v="0"/>
    <n v="0"/>
    <d v="2025-11-01T00:00:00"/>
    <s v="Q3"/>
    <x v="2"/>
    <n v="0"/>
    <n v="0"/>
    <n v="8"/>
    <n v="0"/>
  </r>
  <r>
    <x v="7"/>
    <s v="RLQ"/>
    <x v="5"/>
    <s v="WYE VALLEY NHS TRUST"/>
    <n v="5849"/>
    <n v="126"/>
    <n v="2188"/>
    <n v="0"/>
    <n v="374"/>
    <n v="178"/>
    <d v="2025-11-01T00:00:00"/>
    <s v="Q3"/>
    <x v="2"/>
    <n v="0.37408103949393057"/>
    <n v="5975"/>
    <n v="8"/>
    <n v="3.0432552573089418E-2"/>
  </r>
  <r>
    <x v="7"/>
    <s v="Y02532"/>
    <x v="3"/>
    <s v="MIRIAM MINOR EMERGENCY"/>
    <n v="0"/>
    <n v="1650"/>
    <n v="0"/>
    <n v="0"/>
    <n v="0"/>
    <n v="0"/>
    <d v="2025-11-01T00:00:00"/>
    <s v="Q3"/>
    <x v="2"/>
    <n v="0"/>
    <n v="1650"/>
    <n v="8"/>
    <n v="0"/>
  </r>
  <r>
    <x v="7"/>
    <s v="RYR"/>
    <x v="0"/>
    <s v="UNIVERSITY HOSPITALS SUSSEX NHS FOUNDATION TRUST"/>
    <n v="27121"/>
    <n v="1687"/>
    <n v="10224"/>
    <n v="176"/>
    <n v="769"/>
    <n v="804"/>
    <d v="2025-11-01T00:00:00"/>
    <s v="Q3"/>
    <x v="2"/>
    <n v="0.37697725010139743"/>
    <n v="28808"/>
    <n v="8"/>
    <n v="2.9644924597175621E-2"/>
  </r>
  <r>
    <x v="7"/>
    <s v="RY8"/>
    <x v="5"/>
    <s v="DERBYSHIRE COMMUNITY HEALTH SERVICES NHS FOUNDATION TRUST"/>
    <n v="0"/>
    <n v="6956"/>
    <n v="0"/>
    <n v="404"/>
    <n v="0"/>
    <n v="0"/>
    <d v="2025-11-01T00:00:00"/>
    <s v="Q3"/>
    <x v="2"/>
    <n v="0"/>
    <n v="6956"/>
    <n v="8"/>
    <n v="0"/>
  </r>
  <r>
    <x v="7"/>
    <s v="RYY"/>
    <x v="0"/>
    <s v="KENT COMMUNITY HEALTH NHS FOUNDATION TRUST"/>
    <n v="0"/>
    <n v="6044"/>
    <n v="0"/>
    <n v="27"/>
    <n v="0"/>
    <n v="0"/>
    <d v="2025-11-01T00:00:00"/>
    <s v="Q3"/>
    <x v="2"/>
    <n v="0"/>
    <n v="6044"/>
    <n v="8"/>
    <n v="0"/>
  </r>
  <r>
    <x v="7"/>
    <s v="AAH"/>
    <x v="1"/>
    <s v="TETBURY HOSPITAL TRUST LTD"/>
    <n v="0"/>
    <n v="503"/>
    <n v="0"/>
    <n v="0"/>
    <n v="0"/>
    <n v="0"/>
    <d v="2025-11-01T00:00:00"/>
    <s v="Q3"/>
    <x v="2"/>
    <n v="0"/>
    <n v="503"/>
    <n v="8"/>
    <n v="0"/>
  </r>
  <r>
    <x v="7"/>
    <s v="C82009"/>
    <x v="5"/>
    <s v="MARKET HARBOROUGH MED.CTR"/>
    <n v="0"/>
    <n v="311"/>
    <n v="0"/>
    <n v="0"/>
    <n v="0"/>
    <n v="0"/>
    <d v="2025-11-01T00:00:00"/>
    <s v="Q3"/>
    <x v="2"/>
    <n v="0"/>
    <n v="311"/>
    <n v="8"/>
    <n v="0"/>
  </r>
  <r>
    <x v="7"/>
    <s v="NDJ"/>
    <x v="0"/>
    <s v="FIRST COMMUNITY HEALTH AND CARE CIC"/>
    <n v="0"/>
    <n v="2144"/>
    <n v="0"/>
    <n v="8"/>
    <n v="0"/>
    <n v="0"/>
    <d v="2025-11-01T00:00:00"/>
    <s v="Q3"/>
    <x v="2"/>
    <n v="0"/>
    <n v="2144"/>
    <n v="8"/>
    <n v="0"/>
  </r>
  <r>
    <x v="7"/>
    <s v="NTV0B"/>
    <x v="0"/>
    <s v="ASHFORD WALK-IN-CENTRE"/>
    <n v="0"/>
    <n v="2312"/>
    <n v="0"/>
    <n v="63"/>
    <n v="0"/>
    <n v="0"/>
    <d v="2025-11-01T00:00:00"/>
    <s v="Q3"/>
    <x v="2"/>
    <n v="0"/>
    <n v="2312"/>
    <n v="8"/>
    <n v="0"/>
  </r>
  <r>
    <x v="7"/>
    <s v="NTV0W"/>
    <x v="0"/>
    <s v="WOKING WALK IN CENTRE"/>
    <n v="0"/>
    <n v="2487"/>
    <n v="0"/>
    <n v="67"/>
    <n v="0"/>
    <n v="0"/>
    <d v="2025-11-01T00:00:00"/>
    <s v="Q3"/>
    <x v="2"/>
    <n v="0"/>
    <n v="2487"/>
    <n v="8"/>
    <n v="0"/>
  </r>
  <r>
    <x v="7"/>
    <s v="RBQ"/>
    <x v="3"/>
    <s v="LIVERPOOL HEART AND CHEST HOSPITAL NHS FOUNDATION TRUST"/>
    <n v="0"/>
    <n v="0"/>
    <n v="0"/>
    <n v="0"/>
    <n v="0"/>
    <n v="0"/>
    <d v="2025-11-01T00:00:00"/>
    <s v="Q3"/>
    <x v="2"/>
    <n v="0"/>
    <n v="0"/>
    <n v="8"/>
    <n v="0"/>
  </r>
  <r>
    <x v="7"/>
    <s v="RJ8"/>
    <x v="1"/>
    <s v="CORNWALL PARTNERSHIP NHS FOUNDATION TRUST"/>
    <n v="0"/>
    <n v="0"/>
    <n v="0"/>
    <n v="0"/>
    <n v="0"/>
    <n v="0"/>
    <d v="2025-11-01T00:00:00"/>
    <s v="Q3"/>
    <x v="2"/>
    <n v="0"/>
    <n v="0"/>
    <n v="8"/>
    <n v="0"/>
  </r>
  <r>
    <x v="7"/>
    <s v="RWY"/>
    <x v="6"/>
    <s v="CALDERDALE AND HUDDERSFIELD NHS FOUNDATION TRUST"/>
    <n v="16724"/>
    <n v="0"/>
    <n v="3083"/>
    <n v="0"/>
    <n v="1074"/>
    <n v="20"/>
    <d v="2025-11-01T00:00:00"/>
    <s v="Q3"/>
    <x v="2"/>
    <n v="0.18434585027505382"/>
    <n v="16724"/>
    <n v="8"/>
    <n v="1.1958861516383639E-3"/>
  </r>
  <r>
    <x v="7"/>
    <s v="Y02615"/>
    <x v="5"/>
    <s v="SOUTH BIRMINGHAM GP WALK IN CENTRE"/>
    <n v="0"/>
    <n v="4290"/>
    <n v="0"/>
    <n v="0"/>
    <n v="0"/>
    <n v="0"/>
    <d v="2025-11-01T00:00:00"/>
    <s v="Q3"/>
    <x v="2"/>
    <n v="0"/>
    <n v="4290"/>
    <n v="8"/>
    <n v="0"/>
  </r>
  <r>
    <x v="7"/>
    <s v="Y02676"/>
    <x v="0"/>
    <s v="BRIGHTON STATION HEALTH CENTRE"/>
    <n v="0"/>
    <n v="1946"/>
    <n v="0"/>
    <n v="0"/>
    <n v="0"/>
    <n v="0"/>
    <d v="2025-11-01T00:00:00"/>
    <s v="Q3"/>
    <x v="2"/>
    <n v="0"/>
    <n v="1946"/>
    <n v="8"/>
    <n v="0"/>
  </r>
  <r>
    <x v="7"/>
    <s v="DJV01"/>
    <x v="0"/>
    <s v="HERNE BAY HEALTH CARE LTD"/>
    <n v="0"/>
    <n v="2536"/>
    <n v="0"/>
    <n v="0"/>
    <n v="0"/>
    <n v="0"/>
    <d v="2025-11-01T00:00:00"/>
    <s v="Q3"/>
    <x v="2"/>
    <n v="0"/>
    <n v="2536"/>
    <n v="8"/>
    <n v="0"/>
  </r>
  <r>
    <x v="7"/>
    <s v="NL7"/>
    <x v="5"/>
    <s v="ASSURA VERTIS URGENT CARE CENTRES (BIRMINGHAM)"/>
    <n v="0"/>
    <n v="3460"/>
    <n v="0"/>
    <n v="0"/>
    <n v="0"/>
    <n v="0"/>
    <d v="2025-11-01T00:00:00"/>
    <s v="Q3"/>
    <x v="2"/>
    <n v="0"/>
    <n v="3460"/>
    <n v="8"/>
    <n v="0"/>
  </r>
  <r>
    <x v="7"/>
    <s v="NQT5F"/>
    <x v="3"/>
    <s v="SKELMERSDALE WALK IN CENTRE"/>
    <n v="0"/>
    <n v="1681"/>
    <n v="0"/>
    <n v="5"/>
    <n v="0"/>
    <n v="0"/>
    <d v="2025-11-01T00:00:00"/>
    <s v="Q3"/>
    <x v="2"/>
    <n v="0"/>
    <n v="1681"/>
    <n v="8"/>
    <n v="0"/>
  </r>
  <r>
    <x v="7"/>
    <s v="NQTE4"/>
    <x v="5"/>
    <s v="SUMMERFIELD URGENT CARE CENTRE"/>
    <n v="0"/>
    <n v="2981"/>
    <n v="0"/>
    <n v="0"/>
    <n v="0"/>
    <n v="0"/>
    <d v="2025-11-01T00:00:00"/>
    <s v="Q3"/>
    <x v="2"/>
    <n v="0"/>
    <n v="2981"/>
    <n v="8"/>
    <n v="0"/>
  </r>
  <r>
    <x v="7"/>
    <s v="NVE43"/>
    <x v="0"/>
    <s v="HASTINGS GP LED HEALTH CENTRE"/>
    <n v="0"/>
    <n v="993"/>
    <n v="0"/>
    <n v="0"/>
    <n v="0"/>
    <n v="0"/>
    <d v="2025-11-01T00:00:00"/>
    <s v="Q3"/>
    <x v="2"/>
    <n v="0"/>
    <n v="993"/>
    <n v="8"/>
    <n v="0"/>
  </r>
  <r>
    <x v="7"/>
    <s v="RJR"/>
    <x v="3"/>
    <s v="COUNTESS OF CHESTER HOSPITAL NHS FOUNDATION TRUST"/>
    <n v="5805"/>
    <n v="2238"/>
    <n v="2829"/>
    <n v="352"/>
    <n v="418"/>
    <n v="613"/>
    <d v="2025-11-01T00:00:00"/>
    <s v="Q3"/>
    <x v="2"/>
    <n v="0.48733850129198969"/>
    <n v="8043"/>
    <n v="8"/>
    <n v="0.10559862187769165"/>
  </r>
  <r>
    <x v="7"/>
    <s v="RNU"/>
    <x v="0"/>
    <s v="OXFORD HEALTH NHS FOUNDATION TRUST"/>
    <n v="0"/>
    <n v="3576"/>
    <n v="0"/>
    <n v="110"/>
    <n v="0"/>
    <n v="0"/>
    <d v="2025-11-01T00:00:00"/>
    <s v="Q3"/>
    <x v="2"/>
    <n v="0"/>
    <n v="3576"/>
    <n v="8"/>
    <n v="0"/>
  </r>
  <r>
    <x v="7"/>
    <s v="RTP"/>
    <x v="0"/>
    <s v="SURREY AND SUSSEX HEALTHCARE NHS TRUST"/>
    <n v="10560"/>
    <n v="0"/>
    <n v="4468"/>
    <n v="0"/>
    <n v="528"/>
    <n v="702"/>
    <d v="2025-11-01T00:00:00"/>
    <s v="Q3"/>
    <x v="2"/>
    <n v="0.4231060606060606"/>
    <n v="10560"/>
    <n v="8"/>
    <n v="6.6477272727272732E-2"/>
  </r>
  <r>
    <x v="7"/>
    <s v="Y03218"/>
    <x v="4"/>
    <s v="THE PINN UNREGISTERED WIC"/>
    <n v="0"/>
    <n v="918"/>
    <n v="0"/>
    <n v="0"/>
    <n v="0"/>
    <n v="0"/>
    <d v="2025-11-01T00:00:00"/>
    <s v="Q3"/>
    <x v="2"/>
    <n v="0"/>
    <n v="918"/>
    <n v="8"/>
    <n v="0"/>
  </r>
  <r>
    <x v="7"/>
    <s v="R0B"/>
    <x v="6"/>
    <s v="SOUTH TYNESIDE AND SUNDERLAND NHS FOUNDATION TRUST"/>
    <n v="11736"/>
    <n v="5716"/>
    <n v="5715"/>
    <n v="251"/>
    <n v="919"/>
    <n v="2"/>
    <d v="2025-11-01T00:00:00"/>
    <s v="Q3"/>
    <x v="2"/>
    <n v="0.4869631901840491"/>
    <n v="17452"/>
    <n v="8"/>
    <n v="1.7041581458759374E-4"/>
  </r>
  <r>
    <x v="7"/>
    <s v="REF"/>
    <x v="1"/>
    <s v="ROYAL CORNWALL HOSPITALS NHS TRUST"/>
    <n v="6339"/>
    <n v="10401"/>
    <n v="2792"/>
    <n v="477"/>
    <n v="399"/>
    <n v="599"/>
    <d v="2025-11-01T00:00:00"/>
    <s v="Q3"/>
    <x v="2"/>
    <n v="0.44044802019245938"/>
    <n v="16740"/>
    <n v="8"/>
    <n v="9.4494399747594257E-2"/>
  </r>
  <r>
    <x v="7"/>
    <s v="NNJ15"/>
    <x v="5"/>
    <s v="OAKHAM"/>
    <n v="0"/>
    <n v="302"/>
    <n v="0"/>
    <n v="0"/>
    <n v="0"/>
    <n v="0"/>
    <d v="2025-11-01T00:00:00"/>
    <s v="Q3"/>
    <x v="2"/>
    <n v="0"/>
    <n v="302"/>
    <n v="8"/>
    <n v="0"/>
  </r>
  <r>
    <x v="7"/>
    <s v="RGR"/>
    <x v="2"/>
    <s v="WEST SUFFOLK NHS FOUNDATION TRUST"/>
    <n v="7786"/>
    <n v="703"/>
    <n v="2133"/>
    <n v="0"/>
    <n v="368"/>
    <n v="229"/>
    <d v="2025-11-01T00:00:00"/>
    <s v="Q3"/>
    <x v="2"/>
    <n v="0.27395324942203958"/>
    <n v="8489"/>
    <n v="8"/>
    <n v="2.9411764705882353E-2"/>
  </r>
  <r>
    <x v="7"/>
    <s v="RQW"/>
    <x v="2"/>
    <s v="THE PRINCESS ALEXANDRA HOSPITAL NHS TRUST"/>
    <n v="7743"/>
    <n v="2630"/>
    <n v="2165"/>
    <n v="0"/>
    <n v="429"/>
    <n v="314"/>
    <d v="2025-11-01T00:00:00"/>
    <s v="Q3"/>
    <x v="2"/>
    <n v="0.27960738731757717"/>
    <n v="10373"/>
    <n v="8"/>
    <n v="4.0552757329200571E-2"/>
  </r>
  <r>
    <x v="7"/>
    <s v="RW4"/>
    <x v="3"/>
    <s v="MERSEY CARE NHS FOUNDATION TRUST"/>
    <n v="0"/>
    <n v="14116"/>
    <n v="0"/>
    <n v="574"/>
    <n v="0"/>
    <n v="0"/>
    <d v="2025-11-01T00:00:00"/>
    <s v="Q3"/>
    <x v="2"/>
    <n v="0"/>
    <n v="14116"/>
    <n v="8"/>
    <n v="0"/>
  </r>
  <r>
    <x v="7"/>
    <s v="RWE"/>
    <x v="5"/>
    <s v="UNIVERSITY HOSPITALS OF LEICESTER NHS TRUST"/>
    <n v="22973"/>
    <n v="0"/>
    <n v="9337"/>
    <n v="0"/>
    <n v="1283"/>
    <n v="716"/>
    <d v="2025-11-01T00:00:00"/>
    <s v="Q3"/>
    <x v="2"/>
    <n v="0.40643363948983591"/>
    <n v="22973"/>
    <n v="8"/>
    <n v="3.1167022156444523E-2"/>
  </r>
  <r>
    <x v="7"/>
    <s v="RXR"/>
    <x v="3"/>
    <s v="EAST LANCASHIRE HOSPITALS NHS TRUST"/>
    <n v="14006"/>
    <n v="10880"/>
    <n v="4649"/>
    <n v="698"/>
    <n v="292"/>
    <n v="1284"/>
    <d v="2025-11-01T00:00:00"/>
    <s v="Q3"/>
    <x v="2"/>
    <n v="0.3319291732114808"/>
    <n v="24886"/>
    <n v="8"/>
    <n v="9.167499643010138E-2"/>
  </r>
  <r>
    <x v="7"/>
    <s v="RY7"/>
    <x v="3"/>
    <s v="WIRRAL COMMUNITY HEALTH AND CARE NHS FOUNDATION TRUST"/>
    <n v="0"/>
    <n v="4139"/>
    <n v="0"/>
    <n v="393"/>
    <n v="0"/>
    <n v="0"/>
    <d v="2025-11-01T00:00:00"/>
    <s v="Q3"/>
    <x v="2"/>
    <n v="0"/>
    <n v="4139"/>
    <n v="8"/>
    <n v="0"/>
  </r>
  <r>
    <x v="7"/>
    <s v="8J094"/>
    <x v="5"/>
    <s v="BADGER LTD"/>
    <n v="0"/>
    <n v="0"/>
    <n v="0"/>
    <n v="0"/>
    <n v="0"/>
    <n v="0"/>
    <d v="2025-11-01T00:00:00"/>
    <s v="Q3"/>
    <x v="2"/>
    <n v="0"/>
    <n v="0"/>
    <n v="8"/>
    <n v="0"/>
  </r>
  <r>
    <x v="7"/>
    <s v="AJN"/>
    <x v="6"/>
    <s v="WORKINGTON HEALTH LIMITED"/>
    <n v="0"/>
    <n v="337"/>
    <n v="0"/>
    <n v="0"/>
    <n v="0"/>
    <n v="0"/>
    <d v="2025-11-01T00:00:00"/>
    <s v="Q3"/>
    <x v="2"/>
    <n v="0"/>
    <n v="337"/>
    <n v="8"/>
    <n v="0"/>
  </r>
  <r>
    <x v="7"/>
    <s v="AQM01"/>
    <x v="0"/>
    <s v="FAVERSHAM MEDICAL PRACTICE MIU"/>
    <n v="0"/>
    <n v="2962"/>
    <n v="0"/>
    <n v="0"/>
    <n v="0"/>
    <n v="0"/>
    <d v="2025-11-01T00:00:00"/>
    <s v="Q3"/>
    <x v="2"/>
    <n v="0"/>
    <n v="2962"/>
    <n v="8"/>
    <n v="0"/>
  </r>
  <r>
    <x v="7"/>
    <s v="R0A"/>
    <x v="3"/>
    <s v="MANCHESTER UNIVERSITY NHS FOUNDATION TRUST"/>
    <n v="27251"/>
    <n v="10841"/>
    <n v="10687"/>
    <n v="354"/>
    <n v="3326"/>
    <n v="101"/>
    <d v="2025-11-01T00:00:00"/>
    <s v="Q3"/>
    <x v="2"/>
    <n v="0.39216909471212064"/>
    <n v="38092"/>
    <n v="8"/>
    <n v="3.7062860078529228E-3"/>
  </r>
  <r>
    <x v="7"/>
    <s v="R0D"/>
    <x v="1"/>
    <s v="UNIVERSITY HOSPITALS DORSET NHS FOUNDATION TRUST"/>
    <n v="14479"/>
    <n v="4764"/>
    <n v="6290"/>
    <n v="0"/>
    <n v="1066"/>
    <n v="324"/>
    <d v="2025-11-01T00:00:00"/>
    <s v="Q3"/>
    <x v="2"/>
    <n v="0.43442226673112783"/>
    <n v="19243"/>
    <n v="8"/>
    <n v="2.2377235996961117E-2"/>
  </r>
  <r>
    <x v="7"/>
    <s v="RVV"/>
    <x v="0"/>
    <s v="EAST KENT HOSPITALS UNIVERSITY NHS FOUNDATION TRUST"/>
    <n v="13224"/>
    <n v="12472"/>
    <n v="5570"/>
    <n v="294"/>
    <n v="496"/>
    <n v="1105"/>
    <d v="2025-11-01T00:00:00"/>
    <s v="Q3"/>
    <x v="2"/>
    <n v="0.42120387174833634"/>
    <n v="25696"/>
    <n v="8"/>
    <n v="8.3560193587416814E-2"/>
  </r>
  <r>
    <x v="7"/>
    <s v="RAE"/>
    <x v="6"/>
    <s v="BRADFORD TEACHING HOSPITALS NHS FOUNDATION TRUST"/>
    <n v="9942"/>
    <n v="3330"/>
    <n v="2582"/>
    <n v="0"/>
    <n v="659"/>
    <n v="70"/>
    <d v="2025-11-01T00:00:00"/>
    <s v="Q3"/>
    <x v="2"/>
    <n v="0.25970629651981492"/>
    <n v="13272"/>
    <n v="8"/>
    <n v="7.0408368537517602E-3"/>
  </r>
  <r>
    <x v="7"/>
    <s v="RBK"/>
    <x v="5"/>
    <s v="WALSALL HEALTHCARE NHS TRUST"/>
    <n v="9935"/>
    <n v="4109"/>
    <n v="3723"/>
    <n v="228"/>
    <n v="1031"/>
    <n v="545"/>
    <d v="2025-11-01T00:00:00"/>
    <s v="Q3"/>
    <x v="2"/>
    <n v="0.37473578258681428"/>
    <n v="14044"/>
    <n v="8"/>
    <n v="5.4856567689984904E-2"/>
  </r>
  <r>
    <x v="7"/>
    <s v="RBT"/>
    <x v="3"/>
    <s v="MID CHESHIRE HOSPITALS NHS FOUNDATION TRUST"/>
    <n v="7319"/>
    <n v="2991"/>
    <n v="3761"/>
    <n v="0"/>
    <n v="476"/>
    <n v="569"/>
    <d v="2025-11-01T00:00:00"/>
    <s v="Q3"/>
    <x v="2"/>
    <n v="0.51386801475611421"/>
    <n v="10310"/>
    <n v="8"/>
    <n v="7.7742861046591061E-2"/>
  </r>
  <r>
    <x v="7"/>
    <s v="RBV"/>
    <x v="3"/>
    <s v="THE CHRISTIE NHS FOUNDATION TRUST"/>
    <n v="0"/>
    <n v="0"/>
    <n v="0"/>
    <n v="0"/>
    <n v="0"/>
    <n v="0"/>
    <d v="2025-11-01T00:00:00"/>
    <s v="Q3"/>
    <x v="2"/>
    <n v="0"/>
    <n v="0"/>
    <n v="8"/>
    <n v="0"/>
  </r>
  <r>
    <x v="7"/>
    <s v="RC9"/>
    <x v="2"/>
    <s v="BEDFORDSHIRE HOSPITALS NHS FOUNDATION TRUST"/>
    <n v="17038"/>
    <n v="8942"/>
    <n v="6555"/>
    <n v="0"/>
    <n v="80"/>
    <n v="13"/>
    <d v="2025-11-01T00:00:00"/>
    <s v="Q3"/>
    <x v="2"/>
    <n v="0.38472825448996362"/>
    <n v="25980"/>
    <n v="8"/>
    <n v="7.6300035215400865E-4"/>
  </r>
  <r>
    <x v="7"/>
    <s v="RCD"/>
    <x v="6"/>
    <s v="HARROGATE AND DISTRICT NHS FOUNDATION TRUST"/>
    <n v="5283"/>
    <n v="1441"/>
    <n v="1894"/>
    <n v="0"/>
    <n v="145"/>
    <n v="4"/>
    <d v="2025-11-01T00:00:00"/>
    <s v="Q3"/>
    <x v="2"/>
    <n v="0.35850842324436871"/>
    <n v="6724"/>
    <n v="8"/>
    <n v="7.5714556123414724E-4"/>
  </r>
  <r>
    <x v="7"/>
    <s v="REP"/>
    <x v="3"/>
    <s v="LIVERPOOL WOMEN'S NHS FOUNDATION TRUST"/>
    <n v="0"/>
    <n v="0"/>
    <n v="0"/>
    <n v="0"/>
    <n v="0"/>
    <n v="0"/>
    <d v="2025-11-01T00:00:00"/>
    <s v="Q3"/>
    <x v="2"/>
    <n v="0"/>
    <n v="0"/>
    <n v="8"/>
    <n v="0"/>
  </r>
  <r>
    <x v="7"/>
    <s v="RFS"/>
    <x v="5"/>
    <s v="CHESTERFIELD ROYAL HOSPITAL NHS FOUNDATION TRUST"/>
    <n v="6370"/>
    <n v="5889"/>
    <n v="3404"/>
    <n v="166"/>
    <n v="686"/>
    <n v="325"/>
    <d v="2025-11-01T00:00:00"/>
    <s v="Q3"/>
    <x v="2"/>
    <n v="0.53437990580847727"/>
    <n v="12259"/>
    <n v="8"/>
    <n v="5.1020408163265307E-2"/>
  </r>
  <r>
    <x v="7"/>
    <s v="RGN"/>
    <x v="2"/>
    <s v="NORTH WEST ANGLIA NHS FOUNDATION TRUST"/>
    <n v="14820"/>
    <n v="4638"/>
    <n v="5796"/>
    <n v="134"/>
    <n v="487"/>
    <n v="862"/>
    <d v="2025-11-01T00:00:00"/>
    <s v="Q3"/>
    <x v="2"/>
    <n v="0.3910931174089069"/>
    <n v="19458"/>
    <n v="8"/>
    <n v="5.816464237516869E-2"/>
  </r>
  <r>
    <x v="7"/>
    <s v="RJ2"/>
    <x v="4"/>
    <s v="LEWISHAM AND GREENWICH NHS TRUST"/>
    <n v="16440"/>
    <n v="16392"/>
    <n v="7469"/>
    <n v="398"/>
    <n v="1025"/>
    <n v="506"/>
    <d v="2025-11-01T00:00:00"/>
    <s v="Q3"/>
    <x v="2"/>
    <n v="0.45431873479318735"/>
    <n v="32832"/>
    <n v="8"/>
    <n v="3.0778588807785889E-2"/>
  </r>
  <r>
    <x v="7"/>
    <s v="RAL"/>
    <x v="4"/>
    <s v="ROYAL FREE LONDON NHS FOUNDATION TRUST"/>
    <n v="27198"/>
    <n v="15690"/>
    <n v="9231"/>
    <n v="837"/>
    <n v="945"/>
    <n v="2065"/>
    <d v="2025-11-01T00:00:00"/>
    <s v="Q3"/>
    <x v="2"/>
    <n v="0.33939995587910876"/>
    <n v="42888"/>
    <n v="8"/>
    <n v="7.5924700345613647E-2"/>
  </r>
  <r>
    <x v="7"/>
    <s v="RTG"/>
    <x v="5"/>
    <s v="UNIVERSITY HOSPITALS OF DERBY AND BURTON NHS FOUNDATION TRUST"/>
    <n v="19733"/>
    <n v="9373"/>
    <n v="9366"/>
    <n v="3"/>
    <n v="943"/>
    <n v="1160"/>
    <d v="2025-11-01T00:00:00"/>
    <s v="Q3"/>
    <x v="2"/>
    <n v="0.47463639588506562"/>
    <n v="29106"/>
    <n v="8"/>
    <n v="5.8784776769877867E-2"/>
  </r>
  <r>
    <x v="7"/>
    <s v="RNQ"/>
    <x v="5"/>
    <s v="KETTERING GENERAL HOSPITAL NHS FOUNDATION TRUST"/>
    <n v="10226"/>
    <n v="8645"/>
    <n v="3683"/>
    <n v="40"/>
    <n v="535"/>
    <n v="553"/>
    <d v="2025-11-01T00:00:00"/>
    <s v="Q3"/>
    <x v="2"/>
    <n v="0.36016037551339725"/>
    <n v="18871"/>
    <n v="8"/>
    <n v="5.4077840797965966E-2"/>
  </r>
  <r>
    <x v="7"/>
    <s v="RL1"/>
    <x v="5"/>
    <s v="THE ROBERT JONES AND AGNES HUNT ORTHOPAEDIC HOSPITAL NHS FOUNDATION TRUST"/>
    <n v="0"/>
    <n v="0"/>
    <n v="0"/>
    <n v="0"/>
    <n v="0"/>
    <n v="0"/>
    <d v="2025-11-01T00:00:00"/>
    <s v="Q3"/>
    <x v="2"/>
    <n v="0"/>
    <n v="0"/>
    <n v="8"/>
    <n v="0"/>
  </r>
  <r>
    <x v="7"/>
    <s v="RTQ"/>
    <x v="1"/>
    <s v="GLOUCESTERSHIRE HEALTH AND CARE NHS FOUNDATION TRUST"/>
    <n v="0"/>
    <n v="7517"/>
    <n v="0"/>
    <n v="129"/>
    <n v="0"/>
    <n v="0"/>
    <d v="2025-11-01T00:00:00"/>
    <s v="Q3"/>
    <x v="2"/>
    <n v="0"/>
    <n v="7517"/>
    <n v="8"/>
    <n v="0"/>
  </r>
  <r>
    <x v="7"/>
    <s v="RV9"/>
    <x v="6"/>
    <s v="HUMBER TEACHING NHS FOUNDATION TRUST"/>
    <n v="0"/>
    <n v="966"/>
    <n v="0"/>
    <n v="0"/>
    <n v="0"/>
    <n v="0"/>
    <d v="2025-11-01T00:00:00"/>
    <s v="Q3"/>
    <x v="2"/>
    <n v="0"/>
    <n v="966"/>
    <n v="8"/>
    <n v="0"/>
  </r>
  <r>
    <x v="7"/>
    <s v="RXG"/>
    <x v="6"/>
    <s v="SOUTH WEST YORKSHIRE PARTNERSHIP NHS FOUNDATION TRUST"/>
    <n v="0"/>
    <n v="0"/>
    <n v="0"/>
    <n v="0"/>
    <n v="0"/>
    <n v="0"/>
    <d v="2025-11-01T00:00:00"/>
    <s v="Q3"/>
    <x v="2"/>
    <n v="0"/>
    <n v="0"/>
    <n v="8"/>
    <n v="0"/>
  </r>
  <r>
    <x v="7"/>
    <s v="RYF"/>
    <x v="1"/>
    <s v="SOUTH WESTERN AMBULANCE SERVICE NHS FOUNDATION TRUST"/>
    <n v="0"/>
    <n v="1883"/>
    <n v="0"/>
    <n v="17"/>
    <n v="0"/>
    <n v="0"/>
    <d v="2025-11-01T00:00:00"/>
    <s v="Q3"/>
    <x v="2"/>
    <n v="0"/>
    <n v="1883"/>
    <n v="8"/>
    <n v="0"/>
  </r>
  <r>
    <x v="7"/>
    <s v="RYX"/>
    <x v="4"/>
    <s v="CENTRAL LONDON COMMUNITY HEALTHCARE NHS TRUST"/>
    <n v="0"/>
    <n v="11752"/>
    <n v="0"/>
    <n v="125"/>
    <n v="0"/>
    <n v="0"/>
    <d v="2025-11-01T00:00:00"/>
    <s v="Q3"/>
    <x v="2"/>
    <n v="0"/>
    <n v="11752"/>
    <n v="8"/>
    <n v="0"/>
  </r>
  <r>
    <x v="7"/>
    <s v="Y02428"/>
    <x v="2"/>
    <s v="PUTNOE WALK IN CENTRE"/>
    <n v="0"/>
    <n v="3023"/>
    <n v="0"/>
    <n v="0"/>
    <n v="0"/>
    <n v="0"/>
    <d v="2025-11-01T00:00:00"/>
    <s v="Q3"/>
    <x v="2"/>
    <n v="0"/>
    <n v="3023"/>
    <n v="8"/>
    <n v="0"/>
  </r>
  <r>
    <x v="7"/>
    <s v="NLX"/>
    <x v="1"/>
    <s v="SIRONA CARE &amp; HEALTH"/>
    <n v="0"/>
    <n v="7581"/>
    <n v="0"/>
    <n v="160"/>
    <n v="0"/>
    <n v="0"/>
    <d v="2025-11-01T00:00:00"/>
    <s v="Q3"/>
    <x v="2"/>
    <n v="0"/>
    <n v="7581"/>
    <n v="8"/>
    <n v="0"/>
  </r>
  <r>
    <x v="7"/>
    <s v="NTPAD"/>
    <x v="0"/>
    <s v="PRACTICE PLUS GROUP SURGICAL CENTRE - ST MARYS PORTSMOUTH"/>
    <n v="0"/>
    <n v="4955"/>
    <n v="0"/>
    <n v="370"/>
    <n v="0"/>
    <n v="0"/>
    <d v="2025-11-01T00:00:00"/>
    <s v="Q3"/>
    <x v="2"/>
    <n v="0"/>
    <n v="4955"/>
    <n v="8"/>
    <n v="0"/>
  </r>
  <r>
    <x v="7"/>
    <s v="NV693"/>
    <x v="3"/>
    <s v="ROSSENDALE MIU &amp; OOH"/>
    <n v="0"/>
    <n v="889"/>
    <n v="0"/>
    <n v="0"/>
    <n v="0"/>
    <n v="0"/>
    <d v="2025-11-01T00:00:00"/>
    <s v="Q3"/>
    <x v="2"/>
    <n v="0"/>
    <n v="889"/>
    <n v="8"/>
    <n v="0"/>
  </r>
  <r>
    <x v="7"/>
    <s v="R1D"/>
    <x v="5"/>
    <s v="SHROPSHIRE COMMUNITY HEALTH NHS TRUST"/>
    <n v="0"/>
    <n v="2838"/>
    <n v="0"/>
    <n v="15"/>
    <n v="0"/>
    <n v="0"/>
    <d v="2025-11-01T00:00:00"/>
    <s v="Q3"/>
    <x v="2"/>
    <n v="0"/>
    <n v="2838"/>
    <n v="8"/>
    <n v="0"/>
  </r>
  <r>
    <x v="7"/>
    <s v="RA9"/>
    <x v="1"/>
    <s v="TORBAY AND SOUTH DEVON NHS FOUNDATION TRUST"/>
    <n v="6663"/>
    <n v="2857"/>
    <n v="3039"/>
    <n v="14"/>
    <n v="155"/>
    <n v="42"/>
    <d v="2025-11-01T00:00:00"/>
    <s v="Q3"/>
    <x v="2"/>
    <n v="0.45610085547050877"/>
    <n v="9520"/>
    <n v="8"/>
    <n v="6.3034669067987392E-3"/>
  </r>
  <r>
    <x v="7"/>
    <s v="RAJ"/>
    <x v="2"/>
    <s v="MID AND SOUTH ESSEX NHS FOUNDATION TRUST"/>
    <n v="27777"/>
    <n v="7663"/>
    <n v="10517"/>
    <n v="335"/>
    <n v="2305"/>
    <n v="869"/>
    <d v="2025-11-01T00:00:00"/>
    <s v="Q3"/>
    <x v="2"/>
    <n v="0.3786226014328401"/>
    <n v="35440"/>
    <n v="8"/>
    <n v="3.1284875976527342E-2"/>
  </r>
  <r>
    <x v="7"/>
    <s v="RAS"/>
    <x v="4"/>
    <s v="THE HILLINGDON HOSPITALS NHS FOUNDATION TRUST"/>
    <n v="5129"/>
    <n v="6657"/>
    <n v="2459"/>
    <n v="14"/>
    <n v="625"/>
    <n v="37"/>
    <d v="2025-11-01T00:00:00"/>
    <s v="Q3"/>
    <x v="2"/>
    <n v="0.4794306882433223"/>
    <n v="11786"/>
    <n v="8"/>
    <n v="7.2138818483135116E-3"/>
  </r>
  <r>
    <x v="7"/>
    <s v="RCF"/>
    <x v="6"/>
    <s v="AIREDALE NHS FOUNDATION TRUST"/>
    <n v="6085"/>
    <n v="0"/>
    <n v="2480"/>
    <n v="0"/>
    <n v="499"/>
    <n v="223"/>
    <d v="2025-11-01T00:00:00"/>
    <s v="Q3"/>
    <x v="2"/>
    <n v="0.40755957271980281"/>
    <n v="6085"/>
    <n v="8"/>
    <n v="3.6647493837304847E-2"/>
  </r>
  <r>
    <x v="7"/>
    <s v="RCX"/>
    <x v="2"/>
    <s v="THE QUEEN ELIZABETH HOSPITAL, KING'S LYNN, NHS FOUNDATION TRUST"/>
    <n v="6395"/>
    <n v="1272"/>
    <n v="2681"/>
    <n v="0"/>
    <n v="558"/>
    <n v="229"/>
    <d v="2025-11-01T00:00:00"/>
    <s v="Q3"/>
    <x v="2"/>
    <n v="0.41923377638780296"/>
    <n v="7667"/>
    <n v="8"/>
    <n v="3.5809225957779516E-2"/>
  </r>
  <r>
    <x v="7"/>
    <s v="RD8"/>
    <x v="2"/>
    <s v="MILTON KEYNES UNIVERSITY HOSPITAL NHS FOUNDATION TRUST"/>
    <n v="8182"/>
    <n v="5518"/>
    <n v="3670"/>
    <n v="102"/>
    <n v="859"/>
    <n v="0"/>
    <d v="2025-11-01T00:00:00"/>
    <s v="Q3"/>
    <x v="2"/>
    <n v="0.44854558787582499"/>
    <n v="13700"/>
    <n v="8"/>
    <n v="0"/>
  </r>
  <r>
    <x v="7"/>
    <s v="RH8"/>
    <x v="1"/>
    <s v="ROYAL DEVON UNIVERSITY HEALTHCARE NHS FOUNDATION TRUST"/>
    <n v="12523"/>
    <n v="4015"/>
    <n v="5374"/>
    <n v="2"/>
    <n v="875"/>
    <n v="207"/>
    <d v="2025-11-01T00:00:00"/>
    <s v="Q3"/>
    <x v="2"/>
    <n v="0.42913040006388248"/>
    <n v="16538"/>
    <n v="8"/>
    <n v="1.652958556256488E-2"/>
  </r>
  <r>
    <x v="7"/>
    <s v="RHQ"/>
    <x v="6"/>
    <s v="SHEFFIELD TEACHING HOSPITALS NHS FOUNDATION TRUST"/>
    <n v="8870"/>
    <n v="7250"/>
    <n v="4425"/>
    <n v="395"/>
    <n v="983"/>
    <n v="9"/>
    <d v="2025-11-01T00:00:00"/>
    <s v="Q3"/>
    <x v="2"/>
    <n v="0.49887260428410374"/>
    <n v="16120"/>
    <n v="8"/>
    <n v="1.0146561443066515E-3"/>
  </r>
  <r>
    <x v="7"/>
    <s v="RJ6"/>
    <x v="4"/>
    <s v="CROYDON HEALTH SERVICES NHS TRUST"/>
    <n v="13347"/>
    <n v="5396"/>
    <n v="4730"/>
    <n v="0"/>
    <n v="218"/>
    <n v="713"/>
    <d v="2025-11-01T00:00:00"/>
    <s v="Q3"/>
    <x v="2"/>
    <n v="0.35438675357758298"/>
    <n v="18743"/>
    <n v="8"/>
    <n v="5.3420244249644117E-2"/>
  </r>
  <r>
    <x v="7"/>
    <s v="RJL"/>
    <x v="6"/>
    <s v="NORTHERN LINCOLNSHIRE AND GOOLE NHS FOUNDATION TRUST"/>
    <n v="9695"/>
    <n v="7118"/>
    <n v="5501"/>
    <n v="75"/>
    <n v="698"/>
    <n v="857"/>
    <d v="2025-11-01T00:00:00"/>
    <s v="Q3"/>
    <x v="2"/>
    <n v="0.56740587931923669"/>
    <n v="16813"/>
    <n v="8"/>
    <n v="8.8396080453842188E-2"/>
  </r>
  <r>
    <x v="7"/>
    <s v="RK9"/>
    <x v="1"/>
    <s v="UNIVERSITY HOSPITALS PLYMOUTH NHS TRUST"/>
    <n v="8763"/>
    <n v="7292"/>
    <n v="4690"/>
    <n v="73"/>
    <n v="687"/>
    <n v="373"/>
    <d v="2025-11-01T00:00:00"/>
    <s v="Q3"/>
    <x v="2"/>
    <n v="0.53520483852561906"/>
    <n v="16055"/>
    <n v="8"/>
    <n v="4.2565331507474609E-2"/>
  </r>
  <r>
    <x v="7"/>
    <s v="RMC"/>
    <x v="3"/>
    <s v="BOLTON NHS FOUNDATION TRUST"/>
    <n v="8768"/>
    <n v="3788"/>
    <n v="4635"/>
    <n v="268"/>
    <n v="467"/>
    <n v="395"/>
    <d v="2025-11-01T00:00:00"/>
    <s v="Q3"/>
    <x v="2"/>
    <n v="0.52862682481751821"/>
    <n v="12556"/>
    <n v="8"/>
    <n v="4.5050182481751827E-2"/>
  </r>
  <r>
    <x v="7"/>
    <s v="NNJ"/>
    <x v="5"/>
    <s v="DHU HEALTH CARE C.I.C"/>
    <n v="0"/>
    <n v="2137"/>
    <n v="0"/>
    <n v="2"/>
    <n v="0"/>
    <n v="0"/>
    <d v="2025-11-01T00:00:00"/>
    <s v="Q3"/>
    <x v="2"/>
    <n v="0"/>
    <n v="2137"/>
    <n v="8"/>
    <n v="0"/>
  </r>
  <r>
    <x v="7"/>
    <s v="RHW"/>
    <x v="0"/>
    <s v="ROYAL BERKSHIRE NHS FOUNDATION TRUST"/>
    <n v="11173"/>
    <n v="2674"/>
    <n v="3497"/>
    <n v="0"/>
    <n v="494"/>
    <n v="7"/>
    <d v="2025-11-01T00:00:00"/>
    <s v="Q3"/>
    <x v="2"/>
    <n v="0.31298666427996064"/>
    <n v="13847"/>
    <n v="8"/>
    <n v="6.2651033742056744E-4"/>
  </r>
  <r>
    <x v="7"/>
    <s v="RHM"/>
    <x v="0"/>
    <s v="UNIVERSITY HOSPITAL SOUTHAMPTON NHS FOUNDATION TRUST"/>
    <n v="12376"/>
    <n v="0"/>
    <n v="4907"/>
    <n v="0"/>
    <n v="548"/>
    <n v="12"/>
    <d v="2025-11-01T00:00:00"/>
    <s v="Q3"/>
    <x v="2"/>
    <n v="0.39649321266968324"/>
    <n v="12376"/>
    <n v="8"/>
    <n v="9.6961861667744023E-4"/>
  </r>
  <r>
    <x v="8"/>
    <s v="RWH"/>
    <x v="2"/>
    <s v="EAST AND NORTH HERTFORDSHIRE TEACHING NHS TRUST"/>
    <n v="9346"/>
    <n v="8313"/>
    <n v="4818"/>
    <n v="107"/>
    <n v="527"/>
    <n v="225"/>
    <d v="2025-12-01T00:00:00"/>
    <s v="Q3"/>
    <x v="3"/>
    <n v="0.51551465867750912"/>
    <n v="17659"/>
    <n v="9"/>
    <n v="2.4074470361652042E-2"/>
  </r>
  <r>
    <x v="8"/>
    <s v="RWJ"/>
    <x v="3"/>
    <s v="STOCKPORT NHS FOUNDATION TRUST"/>
    <n v="8034"/>
    <n v="1084"/>
    <n v="3226"/>
    <n v="34"/>
    <n v="596"/>
    <n v="438"/>
    <d v="2025-12-01T00:00:00"/>
    <s v="Q3"/>
    <x v="3"/>
    <n v="0.40154344037839185"/>
    <n v="9118"/>
    <n v="9"/>
    <n v="5.451829723674384E-2"/>
  </r>
  <r>
    <x v="8"/>
    <s v="RX1"/>
    <x v="5"/>
    <s v="NOTTINGHAM UNIVERSITY HOSPITALS NHS TRUST"/>
    <n v="12838"/>
    <n v="8866"/>
    <n v="7926"/>
    <n v="1309"/>
    <n v="196"/>
    <n v="578"/>
    <d v="2025-12-01T00:00:00"/>
    <s v="Q3"/>
    <x v="3"/>
    <n v="0.61738588565197072"/>
    <n v="21704"/>
    <n v="9"/>
    <n v="4.5022589188347097E-2"/>
  </r>
  <r>
    <x v="8"/>
    <s v="RXR"/>
    <x v="3"/>
    <s v="EAST LANCASHIRE HOSPITALS NHS TRUST"/>
    <n v="13823"/>
    <n v="10496"/>
    <n v="4863"/>
    <n v="524"/>
    <n v="412"/>
    <n v="1139"/>
    <d v="2025-12-01T00:00:00"/>
    <s v="Q3"/>
    <x v="3"/>
    <n v="0.35180496274325401"/>
    <n v="24319"/>
    <n v="9"/>
    <n v="8.2398900383418933E-2"/>
  </r>
  <r>
    <x v="8"/>
    <s v="RYG"/>
    <x v="5"/>
    <s v="COVENTRY AND WARWICKSHIRE PARTNERSHIP NHS TRUST"/>
    <n v="0"/>
    <n v="0"/>
    <n v="0"/>
    <n v="0"/>
    <n v="0"/>
    <n v="0"/>
    <d v="2025-12-01T00:00:00"/>
    <s v="Q3"/>
    <x v="3"/>
    <n v="0"/>
    <n v="0"/>
    <n v="9"/>
    <n v="0"/>
  </r>
  <r>
    <x v="8"/>
    <s v="RYJ"/>
    <x v="4"/>
    <s v="IMPERIAL COLLEGE HEALTHCARE NHS TRUST"/>
    <n v="12169"/>
    <n v="6681"/>
    <n v="5058"/>
    <n v="302"/>
    <n v="621"/>
    <n v="0"/>
    <d v="2025-12-01T00:00:00"/>
    <s v="Q3"/>
    <x v="3"/>
    <n v="0.41564631440545646"/>
    <n v="18850"/>
    <n v="9"/>
    <n v="0"/>
  </r>
  <r>
    <x v="8"/>
    <s v="Y03007"/>
    <x v="5"/>
    <s v="ERDINGTON GP HEALTH &amp; WELLBEING WIC"/>
    <n v="0"/>
    <n v="0"/>
    <n v="0"/>
    <n v="0"/>
    <n v="0"/>
    <n v="0"/>
    <d v="2025-12-01T00:00:00"/>
    <s v="Q3"/>
    <x v="3"/>
    <n v="0"/>
    <n v="0"/>
    <n v="9"/>
    <n v="0"/>
  </r>
  <r>
    <x v="8"/>
    <s v="AD913"/>
    <x v="4"/>
    <s v="BECKENHAM BEACON UCC"/>
    <n v="0"/>
    <n v="3330"/>
    <n v="0"/>
    <n v="31"/>
    <n v="0"/>
    <n v="0"/>
    <d v="2025-12-01T00:00:00"/>
    <s v="Q3"/>
    <x v="3"/>
    <n v="0"/>
    <n v="3330"/>
    <n v="9"/>
    <n v="0"/>
  </r>
  <r>
    <x v="8"/>
    <s v="AQM01"/>
    <x v="0"/>
    <s v="FAVERSHAM MEDICAL PRACTICE MIU"/>
    <n v="0"/>
    <n v="3186"/>
    <n v="0"/>
    <n v="0"/>
    <n v="0"/>
    <n v="0"/>
    <d v="2025-12-01T00:00:00"/>
    <s v="Q3"/>
    <x v="3"/>
    <n v="0"/>
    <n v="3186"/>
    <n v="9"/>
    <n v="0"/>
  </r>
  <r>
    <x v="8"/>
    <s v="NNJ07"/>
    <x v="5"/>
    <s v="LOUGHBOROUGH URGENT CARE CENTRE"/>
    <n v="0"/>
    <n v="5189"/>
    <n v="0"/>
    <n v="23"/>
    <n v="0"/>
    <n v="0"/>
    <d v="2025-12-01T00:00:00"/>
    <s v="Q3"/>
    <x v="3"/>
    <n v="0"/>
    <n v="5189"/>
    <n v="9"/>
    <n v="0"/>
  </r>
  <r>
    <x v="8"/>
    <s v="NNJ0H"/>
    <x v="5"/>
    <s v="LLR EA - THE MERLYN VAZ HEALTH &amp; SOCIAL CARE CENTRE"/>
    <n v="0"/>
    <n v="217"/>
    <n v="0"/>
    <n v="0"/>
    <n v="0"/>
    <n v="0"/>
    <d v="2025-12-01T00:00:00"/>
    <s v="Q3"/>
    <x v="3"/>
    <n v="0"/>
    <n v="217"/>
    <n v="9"/>
    <n v="0"/>
  </r>
  <r>
    <x v="8"/>
    <s v="NNJ12"/>
    <x v="5"/>
    <s v="MARKET HARBOROUGH"/>
    <n v="0"/>
    <n v="97"/>
    <n v="0"/>
    <n v="0"/>
    <n v="0"/>
    <n v="0"/>
    <d v="2025-12-01T00:00:00"/>
    <s v="Q3"/>
    <x v="3"/>
    <n v="0"/>
    <n v="97"/>
    <n v="9"/>
    <n v="0"/>
  </r>
  <r>
    <x v="8"/>
    <s v="NNJ13"/>
    <x v="5"/>
    <s v="MELTON MOWBRAY"/>
    <n v="0"/>
    <n v="55"/>
    <n v="0"/>
    <n v="0"/>
    <n v="0"/>
    <n v="0"/>
    <d v="2025-12-01T00:00:00"/>
    <s v="Q3"/>
    <x v="3"/>
    <n v="0"/>
    <n v="55"/>
    <n v="9"/>
    <n v="0"/>
  </r>
  <r>
    <x v="8"/>
    <s v="NNJ14"/>
    <x v="5"/>
    <s v="OADBY"/>
    <n v="0"/>
    <n v="546"/>
    <n v="0"/>
    <n v="1"/>
    <n v="0"/>
    <n v="0"/>
    <d v="2025-12-01T00:00:00"/>
    <s v="Q3"/>
    <x v="3"/>
    <n v="0"/>
    <n v="546"/>
    <n v="9"/>
    <n v="0"/>
  </r>
  <r>
    <x v="8"/>
    <s v="NNJ15"/>
    <x v="5"/>
    <s v="OAKHAM"/>
    <n v="0"/>
    <n v="55"/>
    <n v="0"/>
    <n v="0"/>
    <n v="0"/>
    <n v="0"/>
    <d v="2025-12-01T00:00:00"/>
    <s v="Q3"/>
    <x v="3"/>
    <n v="0"/>
    <n v="55"/>
    <n v="9"/>
    <n v="0"/>
  </r>
  <r>
    <x v="8"/>
    <s v="R1F"/>
    <x v="0"/>
    <s v="ISLE OF WIGHT NHS TRUST"/>
    <n v="4274"/>
    <n v="1461"/>
    <n v="1637"/>
    <n v="113"/>
    <n v="296"/>
    <n v="162"/>
    <d v="2025-12-01T00:00:00"/>
    <s v="Q3"/>
    <x v="3"/>
    <n v="0.38301357042583062"/>
    <n v="5735"/>
    <n v="9"/>
    <n v="3.7903603182030884E-2"/>
  </r>
  <r>
    <x v="8"/>
    <s v="RAJ"/>
    <x v="2"/>
    <s v="MID AND SOUTH ESSEX NHS FOUNDATION TRUST"/>
    <n v="27713"/>
    <n v="7575"/>
    <n v="10824"/>
    <n v="190"/>
    <n v="2261"/>
    <n v="869"/>
    <d v="2025-12-01T00:00:00"/>
    <s v="Q3"/>
    <x v="3"/>
    <n v="0.39057482048136255"/>
    <n v="35288"/>
    <n v="9"/>
    <n v="3.1357124815068742E-2"/>
  </r>
  <r>
    <x v="8"/>
    <s v="RBV"/>
    <x v="3"/>
    <s v="THE CHRISTIE NHS FOUNDATION TRUST"/>
    <n v="0"/>
    <n v="0"/>
    <n v="0"/>
    <n v="0"/>
    <n v="0"/>
    <n v="0"/>
    <d v="2025-12-01T00:00:00"/>
    <s v="Q3"/>
    <x v="3"/>
    <n v="0"/>
    <n v="0"/>
    <n v="9"/>
    <n v="0"/>
  </r>
  <r>
    <x v="8"/>
    <s v="RCD"/>
    <x v="6"/>
    <s v="HARROGATE AND DISTRICT NHS FOUNDATION TRUST"/>
    <n v="5262"/>
    <n v="1353"/>
    <n v="1825"/>
    <n v="0"/>
    <n v="159"/>
    <n v="6"/>
    <d v="2025-12-01T00:00:00"/>
    <s v="Q3"/>
    <x v="3"/>
    <n v="0.34682630178639301"/>
    <n v="6615"/>
    <n v="9"/>
    <n v="1.1402508551881414E-3"/>
  </r>
  <r>
    <x v="8"/>
    <s v="RD8"/>
    <x v="2"/>
    <s v="MILTON KEYNES UNIVERSITY HOSPITAL NHS FOUNDATION TRUST"/>
    <n v="7749"/>
    <n v="5682"/>
    <n v="3066"/>
    <n v="162"/>
    <n v="604"/>
    <n v="0"/>
    <d v="2025-12-01T00:00:00"/>
    <s v="Q3"/>
    <x v="3"/>
    <n v="0.39566395663956638"/>
    <n v="13431"/>
    <n v="9"/>
    <n v="0"/>
  </r>
  <r>
    <x v="8"/>
    <s v="RDE"/>
    <x v="2"/>
    <s v="EAST SUFFOLK AND NORTH ESSEX NHS FOUNDATION TRUST"/>
    <n v="11399"/>
    <n v="13004"/>
    <n v="5265"/>
    <n v="849"/>
    <n v="810"/>
    <n v="433"/>
    <d v="2025-12-01T00:00:00"/>
    <s v="Q3"/>
    <x v="3"/>
    <n v="0.46188262128256863"/>
    <n v="24403"/>
    <n v="9"/>
    <n v="3.7985788227037458E-2"/>
  </r>
  <r>
    <x v="8"/>
    <s v="RWF"/>
    <x v="0"/>
    <s v="MAIDSTONE AND TUNBRIDGE WELLS NHS TRUST"/>
    <n v="18605"/>
    <n v="1332"/>
    <n v="4846"/>
    <n v="15"/>
    <n v="1010"/>
    <n v="383"/>
    <d v="2025-12-01T00:00:00"/>
    <s v="Q3"/>
    <x v="3"/>
    <n v="0.26046761623219566"/>
    <n v="19937"/>
    <n v="9"/>
    <n v="2.0585864015049717E-2"/>
  </r>
  <r>
    <x v="8"/>
    <s v="RDR"/>
    <x v="0"/>
    <s v="SUSSEX COMMUNITY NHS FOUNDATION TRUST"/>
    <n v="0"/>
    <n v="11047"/>
    <n v="0"/>
    <n v="215"/>
    <n v="0"/>
    <n v="0"/>
    <d v="2025-12-01T00:00:00"/>
    <s v="Q3"/>
    <x v="3"/>
    <n v="0"/>
    <n v="11047"/>
    <n v="9"/>
    <n v="0"/>
  </r>
  <r>
    <x v="8"/>
    <s v="RWE"/>
    <x v="5"/>
    <s v="UNIVERSITY HOSPITALS OF LEICESTER NHS TRUST"/>
    <n v="22050"/>
    <n v="0"/>
    <n v="8067"/>
    <n v="0"/>
    <n v="1270"/>
    <n v="520"/>
    <d v="2025-12-01T00:00:00"/>
    <s v="Q3"/>
    <x v="3"/>
    <n v="0.36585034013605444"/>
    <n v="22050"/>
    <n v="9"/>
    <n v="2.3582766439909298E-2"/>
  </r>
  <r>
    <x v="8"/>
    <s v="RVV"/>
    <x v="0"/>
    <s v="EAST KENT HOSPITALS UNIVERSITY NHS FOUNDATION TRUST"/>
    <n v="14024"/>
    <n v="12337"/>
    <n v="6794"/>
    <n v="331"/>
    <n v="597"/>
    <n v="1276"/>
    <d v="2025-12-01T00:00:00"/>
    <s v="Q3"/>
    <x v="3"/>
    <n v="0.48445521962350258"/>
    <n v="26361"/>
    <n v="9"/>
    <n v="9.0986879634911574E-2"/>
  </r>
  <r>
    <x v="8"/>
    <s v="RBK"/>
    <x v="5"/>
    <s v="WALSALL HEALTHCARE NHS TRUST"/>
    <n v="9994"/>
    <n v="3880"/>
    <n v="3869"/>
    <n v="115"/>
    <n v="922"/>
    <n v="620"/>
    <d v="2025-12-01T00:00:00"/>
    <s v="Q3"/>
    <x v="3"/>
    <n v="0.38713227936762057"/>
    <n v="13874"/>
    <n v="9"/>
    <n v="6.203722233340004E-2"/>
  </r>
  <r>
    <x v="8"/>
    <s v="RCB"/>
    <x v="6"/>
    <s v="YORK AND SCARBOROUGH TEACHING HOSPITALS NHS FOUNDATION TRUST"/>
    <n v="11321"/>
    <n v="6295"/>
    <n v="5819"/>
    <n v="333"/>
    <n v="817"/>
    <n v="759"/>
    <d v="2025-12-01T00:00:00"/>
    <s v="Q3"/>
    <x v="3"/>
    <n v="0.51400052998851686"/>
    <n v="17616"/>
    <n v="9"/>
    <n v="6.7043547389806557E-2"/>
  </r>
  <r>
    <x v="8"/>
    <s v="RCX"/>
    <x v="2"/>
    <s v="THE QUEEN ELIZABETH HOSPITAL, KING'S LYNN, NHS FOUNDATION TRUST"/>
    <n v="6527"/>
    <n v="1335"/>
    <n v="2656"/>
    <n v="0"/>
    <n v="797"/>
    <n v="160"/>
    <d v="2025-12-01T00:00:00"/>
    <s v="Q3"/>
    <x v="3"/>
    <n v="0.40692508043511566"/>
    <n v="7862"/>
    <n v="9"/>
    <n v="2.4513559062356367E-2"/>
  </r>
  <r>
    <x v="8"/>
    <s v="RD1"/>
    <x v="1"/>
    <s v="ROYAL UNITED HOSPITALS BATH NHS FOUNDATION TRUST"/>
    <n v="9074"/>
    <n v="0"/>
    <n v="3932"/>
    <n v="0"/>
    <n v="874"/>
    <n v="137"/>
    <d v="2025-12-01T00:00:00"/>
    <s v="Q3"/>
    <x v="3"/>
    <n v="0.4333259863345823"/>
    <n v="9074"/>
    <n v="9"/>
    <n v="1.5098082433325987E-2"/>
  </r>
  <r>
    <x v="8"/>
    <s v="RDU"/>
    <x v="0"/>
    <s v="FRIMLEY HEALTH NHS FOUNDATION TRUST"/>
    <n v="22507"/>
    <n v="11479"/>
    <n v="8969"/>
    <n v="219"/>
    <n v="1037"/>
    <n v="351"/>
    <d v="2025-12-01T00:00:00"/>
    <s v="Q3"/>
    <x v="3"/>
    <n v="0.39849824499044739"/>
    <n v="33986"/>
    <n v="9"/>
    <n v="1.5595148176122984E-2"/>
  </r>
  <r>
    <x v="8"/>
    <s v="REM"/>
    <x v="3"/>
    <s v="LIVERPOOL UNIVERSITY HOSPITALS NHS FOUNDATION TRUST"/>
    <n v="15674"/>
    <n v="7339"/>
    <n v="7785"/>
    <n v="349"/>
    <n v="806"/>
    <n v="1111"/>
    <d v="2025-12-01T00:00:00"/>
    <s v="Q3"/>
    <x v="3"/>
    <n v="0.49668240398111524"/>
    <n v="23013"/>
    <n v="9"/>
    <n v="7.0881714941942064E-2"/>
  </r>
  <r>
    <x v="8"/>
    <s v="RHW"/>
    <x v="0"/>
    <s v="ROYAL BERKSHIRE NHS FOUNDATION TRUST"/>
    <n v="10977"/>
    <n v="2749"/>
    <n v="3714"/>
    <n v="0"/>
    <n v="347"/>
    <n v="12"/>
    <d v="2025-12-01T00:00:00"/>
    <s v="Q3"/>
    <x v="3"/>
    <n v="0.33834380978409401"/>
    <n v="13726"/>
    <n v="9"/>
    <n v="1.0931948619841486E-3"/>
  </r>
  <r>
    <x v="8"/>
    <s v="RJ2"/>
    <x v="4"/>
    <s v="LEWISHAM AND GREENWICH NHS TRUST"/>
    <n v="16397"/>
    <n v="15840"/>
    <n v="7768"/>
    <n v="331"/>
    <n v="1088"/>
    <n v="674"/>
    <d v="2025-12-01T00:00:00"/>
    <s v="Q3"/>
    <x v="3"/>
    <n v="0.47374519729218761"/>
    <n v="32237"/>
    <n v="9"/>
    <n v="4.1105080197597121E-2"/>
  </r>
  <r>
    <x v="8"/>
    <s v="RJ7"/>
    <x v="4"/>
    <s v="ST GEORGE'S UNIVERSITY HOSPITALS NHS FOUNDATION TRUST"/>
    <n v="8872"/>
    <n v="3615"/>
    <n v="2272"/>
    <n v="76"/>
    <n v="377"/>
    <n v="457"/>
    <d v="2025-12-01T00:00:00"/>
    <s v="Q3"/>
    <x v="3"/>
    <n v="0.25608656447249772"/>
    <n v="12487"/>
    <n v="9"/>
    <n v="5.1510369702434625E-2"/>
  </r>
  <r>
    <x v="8"/>
    <s v="RJE"/>
    <x v="5"/>
    <s v="UNIVERSITY HOSPITALS OF NORTH MIDLANDS NHS TRUST"/>
    <n v="14115"/>
    <n v="8081"/>
    <n v="7811"/>
    <n v="372"/>
    <n v="1035"/>
    <n v="1035"/>
    <d v="2025-12-01T00:00:00"/>
    <s v="Q3"/>
    <x v="3"/>
    <n v="0.55338292596528516"/>
    <n v="22196"/>
    <n v="9"/>
    <n v="7.3326248671625932E-2"/>
  </r>
  <r>
    <x v="8"/>
    <s v="RJL"/>
    <x v="6"/>
    <s v="NORTHERN LINCOLNSHIRE AND GOOLE NHS FOUNDATION TRUST"/>
    <n v="9775"/>
    <n v="6570"/>
    <n v="5737"/>
    <n v="41"/>
    <n v="686"/>
    <n v="871"/>
    <d v="2025-12-01T00:00:00"/>
    <s v="Q3"/>
    <x v="3"/>
    <n v="0.58690537084398975"/>
    <n v="16345"/>
    <n v="9"/>
    <n v="8.9104859335038367E-2"/>
  </r>
  <r>
    <x v="8"/>
    <s v="RJZ"/>
    <x v="4"/>
    <s v="KING'S COLLEGE HOSPITAL NHS FOUNDATION TRUST"/>
    <n v="15697"/>
    <n v="8890"/>
    <n v="6760"/>
    <n v="771"/>
    <n v="1315"/>
    <n v="722"/>
    <d v="2025-12-01T00:00:00"/>
    <s v="Q3"/>
    <x v="3"/>
    <n v="0.4306555392750207"/>
    <n v="24587"/>
    <n v="9"/>
    <n v="4.5996050200675286E-2"/>
  </r>
  <r>
    <x v="8"/>
    <s v="RK9"/>
    <x v="1"/>
    <s v="UNIVERSITY HOSPITALS PLYMOUTH NHS TRUST"/>
    <n v="8876"/>
    <n v="7009"/>
    <n v="5057"/>
    <n v="66"/>
    <n v="688"/>
    <n v="441"/>
    <d v="2025-12-01T00:00:00"/>
    <s v="Q3"/>
    <x v="3"/>
    <n v="0.5697386210004507"/>
    <n v="15885"/>
    <n v="9"/>
    <n v="4.9684542586750792E-2"/>
  </r>
  <r>
    <x v="8"/>
    <s v="RKB"/>
    <x v="5"/>
    <s v="UNIVERSITY HOSPITALS COVENTRY AND WARWICKSHIRE NHS TRUST"/>
    <n v="12997"/>
    <n v="5819"/>
    <n v="5550"/>
    <n v="187"/>
    <n v="52"/>
    <n v="14"/>
    <d v="2025-12-01T00:00:00"/>
    <s v="Q3"/>
    <x v="3"/>
    <n v="0.42702162037393243"/>
    <n v="18816"/>
    <n v="9"/>
    <n v="1.0771716549973071E-3"/>
  </r>
  <r>
    <x v="8"/>
    <s v="RN5"/>
    <x v="0"/>
    <s v="HAMPSHIRE HOSPITALS NHS FOUNDATION TRUST"/>
    <n v="10601"/>
    <n v="3603"/>
    <n v="5071"/>
    <n v="121"/>
    <n v="202"/>
    <n v="6"/>
    <d v="2025-12-01T00:00:00"/>
    <s v="Q3"/>
    <x v="3"/>
    <n v="0.47835109895292899"/>
    <n v="14204"/>
    <n v="9"/>
    <n v="5.6598434109989622E-4"/>
  </r>
  <r>
    <x v="8"/>
    <s v="RNN"/>
    <x v="6"/>
    <s v="NORTH CUMBRIA INTEGRATED CARE NHS FOUNDATION TRUST"/>
    <n v="8641"/>
    <n v="1678"/>
    <n v="3868"/>
    <n v="46"/>
    <n v="606"/>
    <n v="338"/>
    <d v="2025-12-01T00:00:00"/>
    <s v="Q3"/>
    <x v="3"/>
    <n v="0.44763337576669365"/>
    <n v="10319"/>
    <n v="9"/>
    <n v="3.911584307371832E-2"/>
  </r>
  <r>
    <x v="8"/>
    <s v="RNS"/>
    <x v="5"/>
    <s v="NORTHAMPTON GENERAL HOSPITAL NHS TRUST"/>
    <n v="10580"/>
    <n v="2137"/>
    <n v="4346"/>
    <n v="152"/>
    <n v="484"/>
    <n v="774"/>
    <d v="2025-12-01T00:00:00"/>
    <s v="Q3"/>
    <x v="3"/>
    <n v="0.41077504725897923"/>
    <n v="12717"/>
    <n v="9"/>
    <n v="7.3156899810964085E-2"/>
  </r>
  <r>
    <x v="8"/>
    <s v="RPC"/>
    <x v="0"/>
    <s v="QUEEN VICTORIA HOSPITAL NHS FOUNDATION TRUST"/>
    <n v="0"/>
    <n v="1163"/>
    <n v="0"/>
    <n v="5"/>
    <n v="0"/>
    <n v="0"/>
    <d v="2025-12-01T00:00:00"/>
    <s v="Q3"/>
    <x v="3"/>
    <n v="0"/>
    <n v="1163"/>
    <n v="9"/>
    <n v="0"/>
  </r>
  <r>
    <x v="8"/>
    <s v="RRK"/>
    <x v="5"/>
    <s v="UNIVERSITY HOSPITALS BIRMINGHAM NHS FOUNDATION TRUST"/>
    <n v="33408"/>
    <n v="2991"/>
    <n v="13755"/>
    <n v="40"/>
    <n v="3075"/>
    <n v="1269"/>
    <d v="2025-12-01T00:00:00"/>
    <s v="Q3"/>
    <x v="3"/>
    <n v="0.41172772988505746"/>
    <n v="36399"/>
    <n v="9"/>
    <n v="3.7984913793103446E-2"/>
  </r>
  <r>
    <x v="8"/>
    <s v="RTG"/>
    <x v="5"/>
    <s v="UNIVERSITY HOSPITALS OF DERBY AND BURTON NHS FOUNDATION TRUST"/>
    <n v="19143"/>
    <n v="9520"/>
    <n v="9888"/>
    <n v="128"/>
    <n v="1284"/>
    <n v="770"/>
    <d v="2025-12-01T00:00:00"/>
    <s v="Q3"/>
    <x v="3"/>
    <n v="0.51653345870553202"/>
    <n v="28663"/>
    <n v="9"/>
    <n v="4.0223580421041634E-2"/>
  </r>
  <r>
    <x v="8"/>
    <s v="RVJ"/>
    <x v="1"/>
    <s v="NORTH BRISTOL NHS TRUST"/>
    <n v="9074"/>
    <n v="0"/>
    <n v="3144"/>
    <n v="0"/>
    <n v="460"/>
    <n v="430"/>
    <d v="2025-12-01T00:00:00"/>
    <s v="Q3"/>
    <x v="3"/>
    <n v="0.34648446109764164"/>
    <n v="9074"/>
    <n v="9"/>
    <n v="4.7388141944015867E-2"/>
  </r>
  <r>
    <x v="8"/>
    <s v="RWD"/>
    <x v="5"/>
    <s v="UNITED LINCOLNSHIRE TEACHING HOSPITALS NHS TRUST"/>
    <n v="17127"/>
    <n v="4295"/>
    <n v="6863"/>
    <n v="308"/>
    <n v="877"/>
    <n v="1081"/>
    <d v="2025-12-01T00:00:00"/>
    <s v="Q3"/>
    <x v="3"/>
    <n v="0.40071232556781688"/>
    <n v="21422"/>
    <n v="9"/>
    <n v="6.3116716295907052E-2"/>
  </r>
  <r>
    <x v="8"/>
    <s v="NQTE4"/>
    <x v="5"/>
    <s v="SUMMERFIELD URGENT CARE CENTRE"/>
    <n v="0"/>
    <n v="3033"/>
    <n v="0"/>
    <n v="0"/>
    <n v="0"/>
    <n v="0"/>
    <d v="2025-12-01T00:00:00"/>
    <s v="Q3"/>
    <x v="3"/>
    <n v="0"/>
    <n v="3033"/>
    <n v="9"/>
    <n v="0"/>
  </r>
  <r>
    <x v="8"/>
    <s v="RET"/>
    <x v="3"/>
    <s v="THE WALTON CENTRE NHS FOUNDATION TRUST"/>
    <n v="0"/>
    <n v="0"/>
    <n v="0"/>
    <n v="0"/>
    <n v="0"/>
    <n v="0"/>
    <d v="2025-12-01T00:00:00"/>
    <s v="Q3"/>
    <x v="3"/>
    <n v="0"/>
    <n v="0"/>
    <n v="9"/>
    <n v="0"/>
  </r>
  <r>
    <x v="8"/>
    <s v="RFF"/>
    <x v="6"/>
    <s v="BARNSLEY HOSPITAL NHS FOUNDATION TRUST"/>
    <n v="9266"/>
    <n v="0"/>
    <n v="2831"/>
    <n v="0"/>
    <n v="601"/>
    <n v="11"/>
    <d v="2025-12-01T00:00:00"/>
    <s v="Q3"/>
    <x v="3"/>
    <n v="0.30552557737966762"/>
    <n v="9266"/>
    <n v="9"/>
    <n v="1.1871357651629614E-3"/>
  </r>
  <r>
    <x v="8"/>
    <s v="RA7"/>
    <x v="1"/>
    <s v="UNIVERSITY HOSPITALS BRISTOL AND WESTON NHS FOUNDATION TRUST"/>
    <n v="16151"/>
    <n v="0"/>
    <n v="5956"/>
    <n v="0"/>
    <n v="1219"/>
    <n v="496"/>
    <d v="2025-12-01T00:00:00"/>
    <s v="Q3"/>
    <x v="3"/>
    <n v="0.36876973562008547"/>
    <n v="16151"/>
    <n v="9"/>
    <n v="3.0710172744721688E-2"/>
  </r>
  <r>
    <x v="8"/>
    <s v="RAX"/>
    <x v="4"/>
    <s v="KINGSTON AND RICHMOND NHS FOUNDATION TRUST"/>
    <n v="7217"/>
    <n v="8083"/>
    <n v="3964"/>
    <n v="345"/>
    <n v="255"/>
    <n v="498"/>
    <d v="2025-12-01T00:00:00"/>
    <s v="Q3"/>
    <x v="3"/>
    <n v="0.54925869474851041"/>
    <n v="15300"/>
    <n v="9"/>
    <n v="6.9003741166689767E-2"/>
  </r>
  <r>
    <x v="8"/>
    <s v="RFR"/>
    <x v="6"/>
    <s v="THE ROTHERHAM NHS FOUNDATION TRUST"/>
    <n v="9857"/>
    <n v="0"/>
    <n v="3359"/>
    <n v="0"/>
    <n v="808"/>
    <n v="22"/>
    <d v="2025-12-01T00:00:00"/>
    <s v="Q3"/>
    <x v="3"/>
    <n v="0.3407730546819519"/>
    <n v="9857"/>
    <n v="9"/>
    <n v="2.2319164045855738E-3"/>
  </r>
  <r>
    <x v="8"/>
    <s v="RGT"/>
    <x v="2"/>
    <s v="CAMBRIDGE UNIVERSITY HOSPITALS NHS FOUNDATION TRUST"/>
    <n v="10979"/>
    <n v="4843"/>
    <n v="4799"/>
    <n v="103"/>
    <n v="527"/>
    <n v="420"/>
    <d v="2025-12-01T00:00:00"/>
    <s v="Q3"/>
    <x v="3"/>
    <n v="0.43710720466344838"/>
    <n v="15822"/>
    <n v="9"/>
    <n v="3.825485016850351E-2"/>
  </r>
  <r>
    <x v="8"/>
    <s v="RJ1"/>
    <x v="4"/>
    <s v="GUY'S AND ST THOMAS' NHS FOUNDATION TRUST"/>
    <n v="10381"/>
    <n v="6502"/>
    <n v="3407"/>
    <n v="135"/>
    <n v="129"/>
    <n v="60"/>
    <d v="2025-12-01T00:00:00"/>
    <s v="Q3"/>
    <x v="3"/>
    <n v="0.32819574222136594"/>
    <n v="16883"/>
    <n v="9"/>
    <n v="5.7797900009632979E-3"/>
  </r>
  <r>
    <x v="8"/>
    <s v="RVR"/>
    <x v="4"/>
    <s v="EPSOM AND ST HELIER UNIVERSITY HOSPITALS NHS TRUST"/>
    <n v="11581"/>
    <n v="1927"/>
    <n v="3817"/>
    <n v="123"/>
    <n v="722"/>
    <n v="821"/>
    <d v="2025-12-01T00:00:00"/>
    <s v="Q3"/>
    <x v="3"/>
    <n v="0.32959157240307402"/>
    <n v="13508"/>
    <n v="9"/>
    <n v="7.0891978240221046E-2"/>
  </r>
  <r>
    <x v="8"/>
    <s v="RWA"/>
    <x v="6"/>
    <s v="HULL UNIVERSITY TEACHING HOSPITALS NHS TRUST"/>
    <n v="10230"/>
    <n v="4228"/>
    <n v="5408"/>
    <n v="356"/>
    <n v="953"/>
    <n v="635"/>
    <d v="2025-12-01T00:00:00"/>
    <s v="Q3"/>
    <x v="3"/>
    <n v="0.52864125122189642"/>
    <n v="14458"/>
    <n v="9"/>
    <n v="6.2072336265884653E-2"/>
  </r>
  <r>
    <x v="8"/>
    <s v="RWX"/>
    <x v="0"/>
    <s v="BERKSHIRE HEALTHCARE NHS FOUNDATION TRUST"/>
    <n v="0"/>
    <n v="1244"/>
    <n v="0"/>
    <n v="13"/>
    <n v="0"/>
    <n v="0"/>
    <d v="2025-12-01T00:00:00"/>
    <s v="Q3"/>
    <x v="3"/>
    <n v="0"/>
    <n v="1244"/>
    <n v="9"/>
    <n v="0"/>
  </r>
  <r>
    <x v="8"/>
    <s v="RMC"/>
    <x v="3"/>
    <s v="BOLTON NHS FOUNDATION TRUST"/>
    <n v="8610"/>
    <n v="3237"/>
    <n v="4428"/>
    <n v="296"/>
    <n v="512"/>
    <n v="440"/>
    <d v="2025-12-01T00:00:00"/>
    <s v="Q3"/>
    <x v="3"/>
    <n v="0.51428571428571423"/>
    <n v="11847"/>
    <n v="9"/>
    <n v="5.1103368176538912E-2"/>
  </r>
  <r>
    <x v="8"/>
    <s v="RQ3"/>
    <x v="5"/>
    <s v="BIRMINGHAM WOMEN'S AND CHILDREN'S NHS FOUNDATION TRUST"/>
    <n v="5169"/>
    <n v="0"/>
    <n v="1484"/>
    <n v="0"/>
    <n v="52"/>
    <n v="3"/>
    <d v="2025-12-01T00:00:00"/>
    <s v="Q3"/>
    <x v="3"/>
    <n v="0.28709615012574968"/>
    <n v="5169"/>
    <n v="9"/>
    <n v="5.8038305281485781E-4"/>
  </r>
  <r>
    <x v="8"/>
    <s v="RTH"/>
    <x v="0"/>
    <s v="OXFORD UNIVERSITY HOSPITALS NHS FOUNDATION TRUST"/>
    <n v="12246"/>
    <n v="3448"/>
    <n v="4126"/>
    <n v="86"/>
    <n v="743"/>
    <n v="14"/>
    <d v="2025-12-01T00:00:00"/>
    <s v="Q3"/>
    <x v="3"/>
    <n v="0.33692634329577004"/>
    <n v="15694"/>
    <n v="9"/>
    <n v="1.1432304425934999E-3"/>
  </r>
  <r>
    <x v="8"/>
    <s v="RYX"/>
    <x v="4"/>
    <s v="CENTRAL LONDON COMMUNITY HEALTHCARE NHS TRUST"/>
    <n v="0"/>
    <n v="11883"/>
    <n v="0"/>
    <n v="143"/>
    <n v="0"/>
    <n v="0"/>
    <d v="2025-12-01T00:00:00"/>
    <s v="Q3"/>
    <x v="3"/>
    <n v="0"/>
    <n v="11883"/>
    <n v="9"/>
    <n v="0"/>
  </r>
  <r>
    <x v="8"/>
    <s v="DT301"/>
    <x v="2"/>
    <s v="HERTS URGENT CARE (ASCOTS LANE)"/>
    <n v="0"/>
    <n v="1857"/>
    <n v="0"/>
    <n v="37"/>
    <n v="0"/>
    <n v="0"/>
    <d v="2025-12-01T00:00:00"/>
    <s v="Q3"/>
    <x v="3"/>
    <n v="0"/>
    <n v="1857"/>
    <n v="9"/>
    <n v="0"/>
  </r>
  <r>
    <x v="8"/>
    <s v="RBD"/>
    <x v="1"/>
    <s v="DORSET COUNTY HOSPITAL NHS FOUNDATION TRUST"/>
    <n v="4536"/>
    <n v="0"/>
    <n v="1868"/>
    <n v="0"/>
    <n v="220"/>
    <n v="63"/>
    <d v="2025-12-01T00:00:00"/>
    <s v="Q3"/>
    <x v="3"/>
    <n v="0.41181657848324515"/>
    <n v="4536"/>
    <n v="9"/>
    <n v="1.3888888888888888E-2"/>
  </r>
  <r>
    <x v="8"/>
    <s v="RFS"/>
    <x v="5"/>
    <s v="CHESTERFIELD ROYAL HOSPITAL NHS FOUNDATION TRUST"/>
    <n v="6384"/>
    <n v="6075"/>
    <n v="3165"/>
    <n v="41"/>
    <n v="637"/>
    <n v="385"/>
    <d v="2025-12-01T00:00:00"/>
    <s v="Q3"/>
    <x v="3"/>
    <n v="0.49577067669172931"/>
    <n v="12459"/>
    <n v="9"/>
    <n v="6.0307017543859649E-2"/>
  </r>
  <r>
    <x v="8"/>
    <s v="RM3"/>
    <x v="3"/>
    <s v="NORTHERN CARE ALLIANCE NHS FOUNDATION TRUST"/>
    <n v="26198"/>
    <n v="10203"/>
    <n v="10888"/>
    <n v="345"/>
    <n v="1121"/>
    <n v="1085"/>
    <d v="2025-12-01T00:00:00"/>
    <s v="Q3"/>
    <x v="3"/>
    <n v="0.41560424459882434"/>
    <n v="36401"/>
    <n v="9"/>
    <n v="4.1415375219482402E-2"/>
  </r>
  <r>
    <x v="8"/>
    <s v="RXN"/>
    <x v="3"/>
    <s v="LANCASHIRE TEACHING HOSPITALS NHS FOUNDATION TRUST"/>
    <n v="12275"/>
    <n v="3250"/>
    <n v="4443"/>
    <n v="92"/>
    <n v="1006"/>
    <n v="446"/>
    <d v="2025-12-01T00:00:00"/>
    <s v="Q3"/>
    <x v="3"/>
    <n v="0.3619551934826884"/>
    <n v="15525"/>
    <n v="9"/>
    <n v="3.6334012219959265E-2"/>
  </r>
  <r>
    <x v="8"/>
    <s v="R1K"/>
    <x v="4"/>
    <s v="LONDON NORTH WEST UNIVERSITY HEALTHCARE NHS TRUST"/>
    <n v="13918"/>
    <n v="15544"/>
    <n v="7172"/>
    <n v="866"/>
    <n v="649"/>
    <n v="673"/>
    <d v="2025-12-01T00:00:00"/>
    <s v="Q3"/>
    <x v="3"/>
    <n v="0.51530392297743932"/>
    <n v="29462"/>
    <n v="9"/>
    <n v="4.8354648656416151E-2"/>
  </r>
  <r>
    <x v="8"/>
    <s v="RBL"/>
    <x v="3"/>
    <s v="WIRRAL UNIVERSITY TEACHING HOSPITAL NHS FOUNDATION TRUST"/>
    <n v="7893"/>
    <n v="3086"/>
    <n v="4414"/>
    <n v="209"/>
    <n v="480"/>
    <n v="897"/>
    <d v="2025-12-01T00:00:00"/>
    <s v="Q3"/>
    <x v="3"/>
    <n v="0.55922969720005067"/>
    <n v="10979"/>
    <n v="9"/>
    <n v="0.1136450019004181"/>
  </r>
  <r>
    <x v="8"/>
    <s v="RBN"/>
    <x v="3"/>
    <s v="MERSEY AND WEST LANCASHIRE TEACHING HOSPITALS NHS TRUST"/>
    <n v="17740"/>
    <n v="7162"/>
    <n v="7414"/>
    <n v="127"/>
    <n v="570"/>
    <n v="497"/>
    <d v="2025-12-01T00:00:00"/>
    <s v="Q3"/>
    <x v="3"/>
    <n v="0.41792559188275086"/>
    <n v="24902"/>
    <n v="9"/>
    <n v="2.8015783540022546E-2"/>
  </r>
  <r>
    <x v="8"/>
    <s v="AQN04"/>
    <x v="0"/>
    <s v="PHL LYMINGTON UTC"/>
    <n v="0"/>
    <n v="2758"/>
    <n v="0"/>
    <n v="31"/>
    <n v="0"/>
    <n v="0"/>
    <d v="2025-12-01T00:00:00"/>
    <s v="Q3"/>
    <x v="3"/>
    <n v="0"/>
    <n v="2758"/>
    <n v="9"/>
    <n v="0"/>
  </r>
  <r>
    <x v="8"/>
    <s v="R1H"/>
    <x v="4"/>
    <s v="BARTS HEALTH NHS TRUST"/>
    <n v="25706"/>
    <n v="18261"/>
    <n v="12110"/>
    <n v="1857"/>
    <n v="1150"/>
    <n v="1088"/>
    <d v="2025-12-01T00:00:00"/>
    <s v="Q3"/>
    <x v="3"/>
    <n v="0.47109624212246171"/>
    <n v="43967"/>
    <n v="9"/>
    <n v="4.2324749085816543E-2"/>
  </r>
  <r>
    <x v="8"/>
    <s v="RF4"/>
    <x v="4"/>
    <s v="BARKING, HAVERING AND REDBRIDGE UNIVERSITY HOSPITALS NHS TRUST"/>
    <n v="13846"/>
    <n v="14734"/>
    <n v="6745"/>
    <n v="174"/>
    <n v="722"/>
    <n v="840"/>
    <d v="2025-12-01T00:00:00"/>
    <s v="Q3"/>
    <x v="3"/>
    <n v="0.48714430160335115"/>
    <n v="28580"/>
    <n v="9"/>
    <n v="6.0667340748230533E-2"/>
  </r>
  <r>
    <x v="8"/>
    <s v="RY2"/>
    <x v="3"/>
    <s v="BRIDGEWATER COMMUNITY HEALTHCARE NHS FOUNDATION TRUST"/>
    <n v="0"/>
    <n v="3088"/>
    <n v="0"/>
    <n v="130"/>
    <n v="0"/>
    <n v="0"/>
    <d v="2025-12-01T00:00:00"/>
    <s v="Q3"/>
    <x v="3"/>
    <n v="0"/>
    <n v="3088"/>
    <n v="9"/>
    <n v="0"/>
  </r>
  <r>
    <x v="8"/>
    <s v="RXL"/>
    <x v="3"/>
    <s v="BLACKPOOL TEACHING HOSPITALS NHS FOUNDATION TRUST"/>
    <n v="8841"/>
    <n v="9969"/>
    <n v="4200"/>
    <n v="124"/>
    <n v="498"/>
    <n v="466"/>
    <d v="2025-12-01T00:00:00"/>
    <s v="Q3"/>
    <x v="3"/>
    <n v="0.47505938242280282"/>
    <n v="18810"/>
    <n v="9"/>
    <n v="5.2708969573577652E-2"/>
  </r>
  <r>
    <x v="8"/>
    <s v="RGN"/>
    <x v="2"/>
    <s v="NORTH WEST ANGLIA NHS FOUNDATION TRUST"/>
    <n v="15671"/>
    <n v="4510"/>
    <n v="5968"/>
    <n v="105"/>
    <n v="572"/>
    <n v="865"/>
    <d v="2025-12-01T00:00:00"/>
    <s v="Q3"/>
    <x v="3"/>
    <n v="0.38083083402463147"/>
    <n v="20181"/>
    <n v="9"/>
    <n v="5.5197498564226913E-2"/>
  </r>
  <r>
    <x v="8"/>
    <s v="RGR"/>
    <x v="2"/>
    <s v="WEST SUFFOLK NHS FOUNDATION TRUST"/>
    <n v="7850"/>
    <n v="815"/>
    <n v="2566"/>
    <n v="0"/>
    <n v="481"/>
    <n v="341"/>
    <d v="2025-12-01T00:00:00"/>
    <s v="Q3"/>
    <x v="3"/>
    <n v="0.32687898089171974"/>
    <n v="8665"/>
    <n v="9"/>
    <n v="4.3439490445859874E-2"/>
  </r>
  <r>
    <x v="8"/>
    <s v="RH5"/>
    <x v="1"/>
    <s v="SOMERSET NHS FOUNDATION TRUST"/>
    <n v="11873"/>
    <n v="8920"/>
    <n v="5902"/>
    <n v="187"/>
    <n v="502"/>
    <n v="132"/>
    <d v="2025-12-01T00:00:00"/>
    <s v="Q3"/>
    <x v="3"/>
    <n v="0.49709424745220249"/>
    <n v="20793"/>
    <n v="9"/>
    <n v="1.1117661922007917E-2"/>
  </r>
  <r>
    <x v="8"/>
    <s v="RHM"/>
    <x v="0"/>
    <s v="UNIVERSITY HOSPITAL SOUTHAMPTON NHS FOUNDATION TRUST"/>
    <n v="11758"/>
    <n v="0"/>
    <n v="4459"/>
    <n v="0"/>
    <n v="568"/>
    <n v="11"/>
    <d v="2025-12-01T00:00:00"/>
    <s v="Q3"/>
    <x v="3"/>
    <n v="0.37923116176220445"/>
    <n v="11758"/>
    <n v="9"/>
    <n v="9.3553325395475426E-4"/>
  </r>
  <r>
    <x v="8"/>
    <s v="RHQ"/>
    <x v="6"/>
    <s v="SHEFFIELD TEACHING HOSPITALS NHS FOUNDATION TRUST"/>
    <n v="9074"/>
    <n v="7050"/>
    <n v="4702"/>
    <n v="419"/>
    <n v="1214"/>
    <n v="5"/>
    <d v="2025-12-01T00:00:00"/>
    <s v="Q3"/>
    <x v="3"/>
    <n v="0.51818382190875023"/>
    <n v="16124"/>
    <n v="9"/>
    <n v="5.5102490632576596E-4"/>
  </r>
  <r>
    <x v="8"/>
    <s v="RHU"/>
    <x v="0"/>
    <s v="PORTSMOUTH HOSPITALS UNIVERSITY NHS TRUST"/>
    <n v="10779"/>
    <n v="2825"/>
    <n v="4119"/>
    <n v="10"/>
    <n v="773"/>
    <n v="1033"/>
    <d v="2025-12-01T00:00:00"/>
    <s v="Q3"/>
    <x v="3"/>
    <n v="0.38213192318396882"/>
    <n v="13604"/>
    <n v="9"/>
    <n v="9.5834492995639675E-2"/>
  </r>
  <r>
    <x v="8"/>
    <s v="RK5"/>
    <x v="5"/>
    <s v="SHERWOOD FOREST HOSPITALS NHS FOUNDATION TRUST"/>
    <n v="10530"/>
    <n v="5527"/>
    <n v="4775"/>
    <n v="531"/>
    <n v="860"/>
    <n v="642"/>
    <d v="2025-12-01T00:00:00"/>
    <s v="Q3"/>
    <x v="3"/>
    <n v="0.45346628679962014"/>
    <n v="16057"/>
    <n v="9"/>
    <n v="6.0968660968660972E-2"/>
  </r>
  <r>
    <x v="8"/>
    <s v="RL1"/>
    <x v="5"/>
    <s v="THE ROBERT JONES AND AGNES HUNT ORTHOPAEDIC HOSPITAL NHS FOUNDATION TRUST"/>
    <n v="0"/>
    <n v="0"/>
    <n v="0"/>
    <n v="0"/>
    <n v="0"/>
    <n v="0"/>
    <d v="2025-12-01T00:00:00"/>
    <s v="Q3"/>
    <x v="3"/>
    <n v="0"/>
    <n v="0"/>
    <n v="9"/>
    <n v="0"/>
  </r>
  <r>
    <x v="8"/>
    <s v="RM1"/>
    <x v="2"/>
    <s v="NORFOLK AND NORWICH UNIVERSITY HOSPITALS NHS FOUNDATION TRUST"/>
    <n v="12638"/>
    <n v="8115"/>
    <n v="3957"/>
    <n v="3"/>
    <n v="706"/>
    <n v="257"/>
    <d v="2025-12-01T00:00:00"/>
    <s v="Q3"/>
    <x v="3"/>
    <n v="0.31310333913593924"/>
    <n v="20753"/>
    <n v="9"/>
    <n v="2.0335496122804241E-2"/>
  </r>
  <r>
    <x v="8"/>
    <s v="RMP"/>
    <x v="3"/>
    <s v="TAMESIDE AND GLOSSOP INTEGRATED CARE NHS FOUNDATION TRUST"/>
    <n v="8140"/>
    <n v="3507"/>
    <n v="4161"/>
    <n v="162"/>
    <n v="361"/>
    <n v="718"/>
    <d v="2025-12-01T00:00:00"/>
    <s v="Q3"/>
    <x v="3"/>
    <n v="0.51117936117936114"/>
    <n v="11647"/>
    <n v="9"/>
    <n v="8.8206388206388209E-2"/>
  </r>
  <r>
    <x v="8"/>
    <s v="RN7"/>
    <x v="0"/>
    <s v="DARTFORD AND GRAVESHAM NHS TRUST"/>
    <n v="11729"/>
    <n v="3731"/>
    <n v="2881"/>
    <n v="79"/>
    <n v="586"/>
    <n v="342"/>
    <d v="2025-12-01T00:00:00"/>
    <s v="Q3"/>
    <x v="3"/>
    <n v="0.24563048853269673"/>
    <n v="15460"/>
    <n v="9"/>
    <n v="2.9158496035467645E-2"/>
  </r>
  <r>
    <x v="8"/>
    <s v="RNA"/>
    <x v="5"/>
    <s v="THE DUDLEY GROUP NHS FOUNDATION TRUST"/>
    <n v="9815"/>
    <n v="4324"/>
    <n v="4068"/>
    <n v="218"/>
    <n v="2856"/>
    <n v="155"/>
    <d v="2025-12-01T00:00:00"/>
    <s v="Q3"/>
    <x v="3"/>
    <n v="0.41446765155374427"/>
    <n v="14139"/>
    <n v="9"/>
    <n v="1.5792154865002548E-2"/>
  </r>
  <r>
    <x v="8"/>
    <s v="RNZ"/>
    <x v="1"/>
    <s v="SALISBURY NHS FOUNDATION TRUST"/>
    <n v="4458"/>
    <n v="2150"/>
    <n v="1661"/>
    <n v="0"/>
    <n v="417"/>
    <n v="101"/>
    <d v="2025-12-01T00:00:00"/>
    <s v="Q3"/>
    <x v="3"/>
    <n v="0.37258860475549571"/>
    <n v="6608"/>
    <n v="9"/>
    <n v="2.2655899506505161E-2"/>
  </r>
  <r>
    <x v="8"/>
    <s v="RP5"/>
    <x v="6"/>
    <s v="DONCASTER AND BASSETLAW TEACHING HOSPITALS NHS FOUNDATION TRUST"/>
    <n v="13497"/>
    <n v="3778"/>
    <n v="5338"/>
    <n v="0"/>
    <n v="1246"/>
    <n v="235"/>
    <d v="2025-12-01T00:00:00"/>
    <s v="Q3"/>
    <x v="3"/>
    <n v="0.39549529525079646"/>
    <n v="17275"/>
    <n v="9"/>
    <n v="1.7411276579980737E-2"/>
  </r>
  <r>
    <x v="8"/>
    <s v="RRF"/>
    <x v="3"/>
    <s v="WRIGHTINGTON, WIGAN AND LEIGH NHS FOUNDATION TRUST"/>
    <n v="8080"/>
    <n v="4363"/>
    <n v="4062"/>
    <n v="71"/>
    <n v="548"/>
    <n v="453"/>
    <d v="2025-12-01T00:00:00"/>
    <s v="Q3"/>
    <x v="3"/>
    <n v="0.50272277227722773"/>
    <n v="12443"/>
    <n v="9"/>
    <n v="5.6064356435643566E-2"/>
  </r>
  <r>
    <x v="8"/>
    <s v="RTD"/>
    <x v="6"/>
    <s v="THE NEWCASTLE UPON TYNE HOSPITALS NHS FOUNDATION TRUST"/>
    <n v="12604"/>
    <n v="6407"/>
    <n v="5205"/>
    <n v="28"/>
    <n v="569"/>
    <n v="65"/>
    <d v="2025-12-01T00:00:00"/>
    <s v="Q3"/>
    <x v="3"/>
    <n v="0.41296413836877183"/>
    <n v="19011"/>
    <n v="9"/>
    <n v="5.1570929863535382E-3"/>
  </r>
  <r>
    <x v="8"/>
    <s v="RTF"/>
    <x v="6"/>
    <s v="NORTHUMBRIA HEALTHCARE NHS FOUNDATION TRUST"/>
    <n v="10826"/>
    <n v="12639"/>
    <n v="3036"/>
    <n v="0"/>
    <n v="89"/>
    <n v="0"/>
    <d v="2025-12-01T00:00:00"/>
    <s v="Q3"/>
    <x v="3"/>
    <n v="0.28043598743765008"/>
    <n v="23465"/>
    <n v="9"/>
    <n v="0"/>
  </r>
  <r>
    <x v="8"/>
    <s v="RTK"/>
    <x v="0"/>
    <s v="ASHFORD AND ST PETER'S HOSPITALS NHS FOUNDATION TRUST"/>
    <n v="7785"/>
    <n v="2532"/>
    <n v="3911"/>
    <n v="12"/>
    <n v="596"/>
    <n v="359"/>
    <d v="2025-12-01T00:00:00"/>
    <s v="Q3"/>
    <x v="3"/>
    <n v="0.50237636480411052"/>
    <n v="10317"/>
    <n v="9"/>
    <n v="4.6114322414900447E-2"/>
  </r>
  <r>
    <x v="8"/>
    <s v="RWG"/>
    <x v="2"/>
    <s v="WEST HERTFORDSHIRE TEACHING HOSPITALS NHS TRUST"/>
    <n v="8832"/>
    <n v="7444"/>
    <n v="2577"/>
    <n v="194"/>
    <n v="669"/>
    <n v="27"/>
    <d v="2025-12-01T00:00:00"/>
    <s v="Q3"/>
    <x v="3"/>
    <n v="0.29177989130434784"/>
    <n v="16276"/>
    <n v="9"/>
    <n v="3.0570652173913045E-3"/>
  </r>
  <r>
    <x v="8"/>
    <s v="RWW"/>
    <x v="3"/>
    <s v="WARRINGTON AND HALTON TEACHING HOSPITALS NHS FOUNDATION TRUST"/>
    <n v="6918"/>
    <n v="2815"/>
    <n v="3672"/>
    <n v="27"/>
    <n v="814"/>
    <n v="772"/>
    <d v="2025-12-01T00:00:00"/>
    <s v="Q3"/>
    <x v="3"/>
    <n v="0.53078924544666084"/>
    <n v="9733"/>
    <n v="9"/>
    <n v="0.1115929459381324"/>
  </r>
  <r>
    <x v="8"/>
    <s v="RXC"/>
    <x v="0"/>
    <s v="EAST SUSSEX HEALTHCARE NHS TRUST"/>
    <n v="9441"/>
    <n v="1859"/>
    <n v="4009"/>
    <n v="49"/>
    <n v="275"/>
    <n v="70"/>
    <d v="2025-12-01T00:00:00"/>
    <s v="Q3"/>
    <x v="3"/>
    <n v="0.42463722063340748"/>
    <n v="11300"/>
    <n v="9"/>
    <n v="7.4144688062705221E-3"/>
  </r>
  <r>
    <x v="8"/>
    <s v="RXP"/>
    <x v="6"/>
    <s v="COUNTY DURHAM AND DARLINGTON NHS FOUNDATION TRUST"/>
    <n v="12861"/>
    <n v="4059"/>
    <n v="5583"/>
    <n v="0"/>
    <n v="1981"/>
    <n v="30"/>
    <d v="2025-12-01T00:00:00"/>
    <s v="Q3"/>
    <x v="3"/>
    <n v="0.43410310240261257"/>
    <n v="16920"/>
    <n v="9"/>
    <n v="2.3326335432703521E-3"/>
  </r>
  <r>
    <x v="8"/>
    <s v="RAT"/>
    <x v="4"/>
    <s v="NORTH EAST LONDON NHS FOUNDATION TRUST"/>
    <n v="0"/>
    <n v="1508"/>
    <n v="0"/>
    <n v="16"/>
    <n v="0"/>
    <n v="0"/>
    <d v="2025-12-01T00:00:00"/>
    <s v="Q3"/>
    <x v="3"/>
    <n v="0"/>
    <n v="1508"/>
    <n v="9"/>
    <n v="0"/>
  </r>
  <r>
    <x v="8"/>
    <s v="R0A"/>
    <x v="3"/>
    <s v="MANCHESTER UNIVERSITY NHS FOUNDATION TRUST"/>
    <n v="26603"/>
    <n v="10082"/>
    <n v="10068"/>
    <n v="303"/>
    <n v="3206"/>
    <n v="117"/>
    <d v="2025-12-01T00:00:00"/>
    <s v="Q3"/>
    <x v="3"/>
    <n v="0.3784535578694132"/>
    <n v="36685"/>
    <n v="9"/>
    <n v="4.3980002255384733E-3"/>
  </r>
  <r>
    <x v="8"/>
    <s v="R0B"/>
    <x v="6"/>
    <s v="SOUTH TYNESIDE AND SUNDERLAND NHS FOUNDATION TRUST"/>
    <n v="11522"/>
    <n v="5290"/>
    <n v="5763"/>
    <n v="132"/>
    <n v="937"/>
    <n v="4"/>
    <d v="2025-12-01T00:00:00"/>
    <s v="Q3"/>
    <x v="3"/>
    <n v="0.50017358097552511"/>
    <n v="16812"/>
    <n v="9"/>
    <n v="3.4716195105016491E-4"/>
  </r>
  <r>
    <x v="8"/>
    <s v="RV9"/>
    <x v="6"/>
    <s v="HUMBER TEACHING NHS FOUNDATION TRUST"/>
    <n v="0"/>
    <n v="1108"/>
    <n v="0"/>
    <n v="3"/>
    <n v="0"/>
    <n v="0"/>
    <d v="2025-12-01T00:00:00"/>
    <s v="Q3"/>
    <x v="3"/>
    <n v="0"/>
    <n v="1108"/>
    <n v="9"/>
    <n v="0"/>
  </r>
  <r>
    <x v="8"/>
    <s v="RXK"/>
    <x v="5"/>
    <s v="SANDWELL AND WEST BIRMINGHAM HOSPITALS NHS TRUST"/>
    <n v="11394"/>
    <n v="8770"/>
    <n v="5354"/>
    <n v="163"/>
    <n v="1036"/>
    <n v="422"/>
    <d v="2025-12-01T00:00:00"/>
    <s v="Q3"/>
    <x v="3"/>
    <n v="0.46989643672108128"/>
    <n v="20164"/>
    <n v="9"/>
    <n v="3.7037037037037035E-2"/>
  </r>
  <r>
    <x v="8"/>
    <s v="NL7"/>
    <x v="5"/>
    <s v="ASSURA VERTIS URGENT CARE CENTRES (BIRMINGHAM)"/>
    <n v="0"/>
    <n v="3101"/>
    <n v="0"/>
    <n v="0"/>
    <n v="0"/>
    <n v="0"/>
    <d v="2025-12-01T00:00:00"/>
    <s v="Q3"/>
    <x v="3"/>
    <n v="0"/>
    <n v="3101"/>
    <n v="9"/>
    <n v="0"/>
  </r>
  <r>
    <x v="8"/>
    <s v="RA2"/>
    <x v="0"/>
    <s v="ROYAL SURREY NHS FOUNDATION TRUST"/>
    <n v="6457"/>
    <n v="1760"/>
    <n v="2061"/>
    <n v="0"/>
    <n v="353"/>
    <n v="10"/>
    <d v="2025-12-01T00:00:00"/>
    <s v="Q3"/>
    <x v="3"/>
    <n v="0.3191884776211863"/>
    <n v="8217"/>
    <n v="9"/>
    <n v="1.5487068297971194E-3"/>
  </r>
  <r>
    <x v="8"/>
    <s v="RAE"/>
    <x v="6"/>
    <s v="BRADFORD TEACHING HOSPITALS NHS FOUNDATION TRUST"/>
    <n v="9699"/>
    <n v="3082"/>
    <n v="2395"/>
    <n v="0"/>
    <n v="699"/>
    <n v="50"/>
    <d v="2025-12-01T00:00:00"/>
    <s v="Q3"/>
    <x v="3"/>
    <n v="0.24693267347149189"/>
    <n v="12781"/>
    <n v="9"/>
    <n v="5.1551706361480567E-3"/>
  </r>
  <r>
    <x v="8"/>
    <s v="RAS"/>
    <x v="4"/>
    <s v="THE HILLINGDON HOSPITALS NHS FOUNDATION TRUST"/>
    <n v="5634"/>
    <n v="6910"/>
    <n v="3050"/>
    <n v="55"/>
    <n v="449"/>
    <n v="32"/>
    <d v="2025-12-01T00:00:00"/>
    <s v="Q3"/>
    <x v="3"/>
    <n v="0.54135605253816121"/>
    <n v="12544"/>
    <n v="9"/>
    <n v="5.6798012069577564E-3"/>
  </r>
  <r>
    <x v="8"/>
    <s v="RBT"/>
    <x v="3"/>
    <s v="MID CHESHIRE HOSPITALS NHS FOUNDATION TRUST"/>
    <n v="6779"/>
    <n v="2776"/>
    <n v="3555"/>
    <n v="13"/>
    <n v="488"/>
    <n v="551"/>
    <d v="2025-12-01T00:00:00"/>
    <s v="Q3"/>
    <x v="3"/>
    <n v="0.52441363032895705"/>
    <n v="9555"/>
    <n v="9"/>
    <n v="8.1280424841422033E-2"/>
  </r>
  <r>
    <x v="8"/>
    <s v="RJN"/>
    <x v="3"/>
    <s v="EAST CHESHIRE NHS TRUST"/>
    <n v="4450"/>
    <n v="0"/>
    <n v="2192"/>
    <n v="0"/>
    <n v="195"/>
    <n v="285"/>
    <d v="2025-12-01T00:00:00"/>
    <s v="Q3"/>
    <x v="3"/>
    <n v="0.49258426966292135"/>
    <n v="4450"/>
    <n v="9"/>
    <n v="6.4044943820224715E-2"/>
  </r>
  <r>
    <x v="8"/>
    <s v="RVW"/>
    <x v="6"/>
    <s v="NORTH TEES AND HARTLEPOOL NHS FOUNDATION TRUST"/>
    <n v="5187"/>
    <n v="11450"/>
    <n v="2726"/>
    <n v="48"/>
    <n v="292"/>
    <n v="33"/>
    <d v="2025-12-01T00:00:00"/>
    <s v="Q3"/>
    <x v="3"/>
    <n v="0.52554463080778868"/>
    <n v="16637"/>
    <n v="9"/>
    <n v="6.3620589936379413E-3"/>
  </r>
  <r>
    <x v="8"/>
    <s v="C83023"/>
    <x v="5"/>
    <s v="SLEAFORD MEDICAL GROUP"/>
    <n v="0"/>
    <n v="489"/>
    <n v="0"/>
    <n v="0"/>
    <n v="0"/>
    <n v="0"/>
    <d v="2025-12-01T00:00:00"/>
    <s v="Q3"/>
    <x v="3"/>
    <n v="0"/>
    <n v="489"/>
    <n v="9"/>
    <n v="0"/>
  </r>
  <r>
    <x v="8"/>
    <s v="L83087"/>
    <x v="1"/>
    <s v="OKEHAMPTON MEDICAL CENTRE"/>
    <n v="0"/>
    <n v="53"/>
    <n v="0"/>
    <n v="0"/>
    <n v="0"/>
    <n v="0"/>
    <d v="2025-12-01T00:00:00"/>
    <s v="Q3"/>
    <x v="3"/>
    <n v="0"/>
    <n v="53"/>
    <n v="9"/>
    <n v="0"/>
  </r>
  <r>
    <x v="8"/>
    <s v="RGP"/>
    <x v="2"/>
    <s v="JAMES PAGET UNIVERSITY HOSPITALS NHS FOUNDATION TRUST"/>
    <n v="7283"/>
    <n v="1328"/>
    <n v="2285"/>
    <n v="0"/>
    <n v="480"/>
    <n v="362"/>
    <d v="2025-12-01T00:00:00"/>
    <s v="Q3"/>
    <x v="3"/>
    <n v="0.31374433612522312"/>
    <n v="8611"/>
    <n v="9"/>
    <n v="4.9704791981326379E-2"/>
  </r>
  <r>
    <x v="8"/>
    <s v="RKE"/>
    <x v="4"/>
    <s v="WHITTINGTON HEALTH NHS TRUST"/>
    <n v="9136"/>
    <n v="0"/>
    <n v="2819"/>
    <n v="0"/>
    <n v="282"/>
    <n v="258"/>
    <d v="2025-12-01T00:00:00"/>
    <s v="Q3"/>
    <x v="3"/>
    <n v="0.30855954465849389"/>
    <n v="9136"/>
    <n v="9"/>
    <n v="2.8239929947460597E-2"/>
  </r>
  <r>
    <x v="8"/>
    <s v="RQX"/>
    <x v="4"/>
    <s v="HOMERTON HEALTHCARE NHS FOUNDATION TRUST"/>
    <n v="11082"/>
    <n v="0"/>
    <n v="2048"/>
    <n v="0"/>
    <n v="226"/>
    <n v="25"/>
    <d v="2025-12-01T00:00:00"/>
    <s v="Q3"/>
    <x v="3"/>
    <n v="0.18480418696986103"/>
    <n v="11082"/>
    <n v="9"/>
    <n v="2.2559104854719364E-3"/>
  </r>
  <r>
    <x v="8"/>
    <s v="RR7"/>
    <x v="6"/>
    <s v="GATESHEAD HEALTH NHS FOUNDATION TRUST"/>
    <n v="6245"/>
    <n v="4200"/>
    <n v="2793"/>
    <n v="27"/>
    <n v="884"/>
    <n v="2"/>
    <d v="2025-12-01T00:00:00"/>
    <s v="Q3"/>
    <x v="3"/>
    <n v="0.44723779023218574"/>
    <n v="10445"/>
    <n v="9"/>
    <n v="3.2025620496397119E-4"/>
  </r>
  <r>
    <x v="8"/>
    <s v="RXG"/>
    <x v="6"/>
    <s v="SOUTH WEST YORKSHIRE PARTNERSHIP NHS FOUNDATION TRUST"/>
    <n v="0"/>
    <n v="0"/>
    <n v="0"/>
    <n v="0"/>
    <n v="0"/>
    <n v="0"/>
    <d v="2025-12-01T00:00:00"/>
    <s v="Q3"/>
    <x v="3"/>
    <n v="0"/>
    <n v="0"/>
    <n v="9"/>
    <n v="0"/>
  </r>
  <r>
    <x v="8"/>
    <s v="RXQ"/>
    <x v="0"/>
    <s v="BUCKINGHAMSHIRE HEALTHCARE NHS TRUST"/>
    <n v="9649"/>
    <n v="3156"/>
    <n v="3938"/>
    <n v="51"/>
    <n v="205"/>
    <n v="204"/>
    <d v="2025-12-01T00:00:00"/>
    <s v="Q3"/>
    <x v="3"/>
    <n v="0.40812519432065497"/>
    <n v="12805"/>
    <n v="9"/>
    <n v="2.1142087262928801E-2"/>
  </r>
  <r>
    <x v="8"/>
    <s v="RNQ"/>
    <x v="5"/>
    <s v="KETTERING GENERAL HOSPITAL NHS FOUNDATION TRUST"/>
    <n v="10450"/>
    <n v="9038"/>
    <n v="3980"/>
    <n v="31"/>
    <n v="690"/>
    <n v="481"/>
    <d v="2025-12-01T00:00:00"/>
    <s v="Q3"/>
    <x v="3"/>
    <n v="0.38086124401913873"/>
    <n v="19488"/>
    <n v="9"/>
    <n v="4.6028708133971294E-2"/>
  </r>
  <r>
    <x v="8"/>
    <s v="AAH"/>
    <x v="1"/>
    <s v="TETBURY HOSPITAL TRUST LTD"/>
    <n v="0"/>
    <n v="587"/>
    <n v="0"/>
    <n v="0"/>
    <n v="0"/>
    <n v="0"/>
    <d v="2025-12-01T00:00:00"/>
    <s v="Q3"/>
    <x v="3"/>
    <n v="0"/>
    <n v="587"/>
    <n v="9"/>
    <n v="0"/>
  </r>
  <r>
    <x v="8"/>
    <s v="ACH01"/>
    <x v="0"/>
    <s v="WHITSTABLE MEDICAL PRACTICE"/>
    <n v="0"/>
    <n v="4984"/>
    <n v="0"/>
    <n v="0"/>
    <n v="0"/>
    <n v="0"/>
    <d v="2025-12-01T00:00:00"/>
    <s v="Q3"/>
    <x v="3"/>
    <n v="0"/>
    <n v="4984"/>
    <n v="9"/>
    <n v="0"/>
  </r>
  <r>
    <x v="8"/>
    <s v="NTP11"/>
    <x v="0"/>
    <s v="PRACTICE PLUS GROUP HOSPITAL - SOUTHAMPTON"/>
    <n v="0"/>
    <n v="4862"/>
    <n v="0"/>
    <n v="35"/>
    <n v="0"/>
    <n v="0"/>
    <d v="2025-12-01T00:00:00"/>
    <s v="Q3"/>
    <x v="3"/>
    <n v="0"/>
    <n v="4862"/>
    <n v="9"/>
    <n v="0"/>
  </r>
  <r>
    <x v="8"/>
    <s v="RBS"/>
    <x v="3"/>
    <s v="ALDER HEY CHILDREN'S NHS FOUNDATION TRUST"/>
    <n v="6808"/>
    <n v="0"/>
    <n v="1089"/>
    <n v="0"/>
    <n v="1"/>
    <n v="0"/>
    <d v="2025-12-01T00:00:00"/>
    <s v="Q3"/>
    <x v="3"/>
    <n v="0.15995887191539365"/>
    <n v="6808"/>
    <n v="9"/>
    <n v="0"/>
  </r>
  <r>
    <x v="8"/>
    <s v="RLQ"/>
    <x v="5"/>
    <s v="WYE VALLEY NHS TRUST"/>
    <n v="5847"/>
    <n v="130"/>
    <n v="2414"/>
    <n v="0"/>
    <n v="400"/>
    <n v="202"/>
    <d v="2025-12-01T00:00:00"/>
    <s v="Q3"/>
    <x v="3"/>
    <n v="0.41286129639131181"/>
    <n v="5977"/>
    <n v="9"/>
    <n v="3.4547631263896018E-2"/>
  </r>
  <r>
    <x v="8"/>
    <s v="RAN"/>
    <x v="4"/>
    <s v="ROYAL NATIONAL ORTHOPAEDIC HOSPITAL NHS TRUST"/>
    <n v="0"/>
    <n v="0"/>
    <n v="0"/>
    <n v="0"/>
    <n v="0"/>
    <n v="0"/>
    <d v="2025-12-01T00:00:00"/>
    <s v="Q3"/>
    <x v="3"/>
    <n v="0"/>
    <n v="0"/>
    <n v="9"/>
    <n v="0"/>
  </r>
  <r>
    <x v="8"/>
    <s v="Y02615"/>
    <x v="5"/>
    <s v="SOUTH BIRMINGHAM GP WALK IN CENTRE"/>
    <n v="0"/>
    <n v="4387"/>
    <n v="0"/>
    <n v="0"/>
    <n v="0"/>
    <n v="0"/>
    <d v="2025-12-01T00:00:00"/>
    <s v="Q3"/>
    <x v="3"/>
    <n v="0"/>
    <n v="4387"/>
    <n v="9"/>
    <n v="0"/>
  </r>
  <r>
    <x v="8"/>
    <s v="RAL"/>
    <x v="4"/>
    <s v="ROYAL FREE LONDON NHS FOUNDATION TRUST"/>
    <n v="27408"/>
    <n v="15206"/>
    <n v="9294"/>
    <n v="718"/>
    <n v="1000"/>
    <n v="1921"/>
    <d v="2025-12-01T00:00:00"/>
    <s v="Q3"/>
    <x v="3"/>
    <n v="0.33909807355516636"/>
    <n v="42614"/>
    <n v="9"/>
    <n v="7.0089025102159946E-2"/>
  </r>
  <r>
    <x v="8"/>
    <s v="RNU"/>
    <x v="0"/>
    <s v="OXFORD HEALTH NHS FOUNDATION TRUST"/>
    <n v="0"/>
    <n v="3444"/>
    <n v="0"/>
    <n v="103"/>
    <n v="0"/>
    <n v="0"/>
    <d v="2025-12-01T00:00:00"/>
    <s v="Q3"/>
    <x v="3"/>
    <n v="0"/>
    <n v="3444"/>
    <n v="9"/>
    <n v="0"/>
  </r>
  <r>
    <x v="8"/>
    <s v="Y02676"/>
    <x v="0"/>
    <s v="BRIGHTON STATION HEALTH CENTRE"/>
    <n v="0"/>
    <n v="1871"/>
    <n v="0"/>
    <n v="0"/>
    <n v="0"/>
    <n v="0"/>
    <d v="2025-12-01T00:00:00"/>
    <s v="Q3"/>
    <x v="3"/>
    <n v="0"/>
    <n v="1871"/>
    <n v="9"/>
    <n v="0"/>
  </r>
  <r>
    <x v="8"/>
    <s v="AJN"/>
    <x v="6"/>
    <s v="WORKINGTON HEALTH LIMITED"/>
    <n v="0"/>
    <n v="316"/>
    <n v="0"/>
    <n v="0"/>
    <n v="0"/>
    <n v="0"/>
    <d v="2025-12-01T00:00:00"/>
    <s v="Q3"/>
    <x v="3"/>
    <n v="0"/>
    <n v="316"/>
    <n v="9"/>
    <n v="0"/>
  </r>
  <r>
    <x v="8"/>
    <s v="C82038"/>
    <x v="5"/>
    <s v="LATHAM HOUSE MEDICAL PRACTICE"/>
    <n v="0"/>
    <n v="283"/>
    <n v="0"/>
    <n v="0"/>
    <n v="0"/>
    <n v="0"/>
    <d v="2025-12-01T00:00:00"/>
    <s v="Q3"/>
    <x v="3"/>
    <n v="0"/>
    <n v="283"/>
    <n v="9"/>
    <n v="0"/>
  </r>
  <r>
    <x v="8"/>
    <s v="G3P9C"/>
    <x v="1"/>
    <s v="TROWBRIDGE MINOR INJURIES UNIT"/>
    <n v="0"/>
    <n v="993"/>
    <n v="0"/>
    <n v="1"/>
    <n v="0"/>
    <n v="0"/>
    <d v="2025-12-01T00:00:00"/>
    <s v="Q3"/>
    <x v="3"/>
    <n v="0"/>
    <n v="993"/>
    <n v="9"/>
    <n v="0"/>
  </r>
  <r>
    <x v="8"/>
    <s v="NQT1I"/>
    <x v="1"/>
    <s v="CHIPPENHAM COMMUNITY HOSPITAL"/>
    <n v="0"/>
    <n v="1364"/>
    <n v="0"/>
    <n v="13"/>
    <n v="0"/>
    <n v="0"/>
    <d v="2025-12-01T00:00:00"/>
    <s v="Q3"/>
    <x v="3"/>
    <n v="0"/>
    <n v="1364"/>
    <n v="9"/>
    <n v="0"/>
  </r>
  <r>
    <x v="8"/>
    <s v="NQT5H"/>
    <x v="1"/>
    <s v="PAULTON MEMORIAL HOSPITAL"/>
    <n v="0"/>
    <n v="1010"/>
    <n v="0"/>
    <n v="1"/>
    <n v="0"/>
    <n v="0"/>
    <d v="2025-12-01T00:00:00"/>
    <s v="Q3"/>
    <x v="3"/>
    <n v="0"/>
    <n v="1010"/>
    <n v="9"/>
    <n v="0"/>
  </r>
  <r>
    <x v="8"/>
    <s v="NTV0B"/>
    <x v="0"/>
    <s v="ASHFORD WALK-IN-CENTRE"/>
    <n v="0"/>
    <n v="2358"/>
    <n v="0"/>
    <n v="42"/>
    <n v="0"/>
    <n v="0"/>
    <d v="2025-12-01T00:00:00"/>
    <s v="Q3"/>
    <x v="3"/>
    <n v="0"/>
    <n v="2358"/>
    <n v="9"/>
    <n v="0"/>
  </r>
  <r>
    <x v="8"/>
    <s v="NTV0W"/>
    <x v="0"/>
    <s v="WOKING WALK IN CENTRE"/>
    <n v="0"/>
    <n v="2599"/>
    <n v="0"/>
    <n v="28"/>
    <n v="0"/>
    <n v="0"/>
    <d v="2025-12-01T00:00:00"/>
    <s v="Q3"/>
    <x v="3"/>
    <n v="0"/>
    <n v="2599"/>
    <n v="9"/>
    <n v="0"/>
  </r>
  <r>
    <x v="8"/>
    <s v="NVE43"/>
    <x v="0"/>
    <s v="HASTINGS GP LED HEALTH CENTRE"/>
    <n v="0"/>
    <n v="1127"/>
    <n v="0"/>
    <n v="0"/>
    <n v="0"/>
    <n v="0"/>
    <d v="2025-12-01T00:00:00"/>
    <s v="Q3"/>
    <x v="3"/>
    <n v="0"/>
    <n v="1127"/>
    <n v="9"/>
    <n v="0"/>
  </r>
  <r>
    <x v="8"/>
    <s v="R1D"/>
    <x v="5"/>
    <s v="SHROPSHIRE COMMUNITY HEALTH NHS TRUST"/>
    <n v="0"/>
    <n v="2808"/>
    <n v="0"/>
    <n v="11"/>
    <n v="0"/>
    <n v="0"/>
    <d v="2025-12-01T00:00:00"/>
    <s v="Q3"/>
    <x v="3"/>
    <n v="0"/>
    <n v="2808"/>
    <n v="9"/>
    <n v="0"/>
  </r>
  <r>
    <x v="8"/>
    <s v="RA9"/>
    <x v="1"/>
    <s v="TORBAY AND SOUTH DEVON NHS FOUNDATION TRUST"/>
    <n v="6606"/>
    <n v="2925"/>
    <n v="2812"/>
    <n v="2"/>
    <n v="155"/>
    <n v="56"/>
    <d v="2025-12-01T00:00:00"/>
    <s v="Q3"/>
    <x v="3"/>
    <n v="0.42567363003330305"/>
    <n v="9531"/>
    <n v="9"/>
    <n v="8.4771419921283678E-3"/>
  </r>
  <r>
    <x v="8"/>
    <s v="RC9"/>
    <x v="2"/>
    <s v="BEDFORDSHIRE HOSPITALS NHS FOUNDATION TRUST"/>
    <n v="17035"/>
    <n v="9488"/>
    <n v="6156"/>
    <n v="0"/>
    <n v="82"/>
    <n v="39"/>
    <d v="2025-12-01T00:00:00"/>
    <s v="Q3"/>
    <x v="3"/>
    <n v="0.36137364250073378"/>
    <n v="26523"/>
    <n v="9"/>
    <n v="2.2894041678896389E-3"/>
  </r>
  <r>
    <x v="8"/>
    <s v="RDY"/>
    <x v="1"/>
    <s v="DORSET HEALTHCARE UNIVERSITY NHS FOUNDATION TRUST"/>
    <n v="0"/>
    <n v="0"/>
    <n v="0"/>
    <n v="0"/>
    <n v="0"/>
    <n v="0"/>
    <d v="2025-12-01T00:00:00"/>
    <s v="Q3"/>
    <x v="3"/>
    <n v="0"/>
    <n v="0"/>
    <n v="9"/>
    <n v="0"/>
  </r>
  <r>
    <x v="8"/>
    <s v="REP"/>
    <x v="3"/>
    <s v="LIVERPOOL WOMEN'S NHS FOUNDATION TRUST"/>
    <n v="0"/>
    <n v="0"/>
    <n v="0"/>
    <n v="0"/>
    <n v="0"/>
    <n v="0"/>
    <d v="2025-12-01T00:00:00"/>
    <s v="Q3"/>
    <x v="3"/>
    <n v="0"/>
    <n v="0"/>
    <n v="9"/>
    <n v="0"/>
  </r>
  <r>
    <x v="8"/>
    <s v="RJ8"/>
    <x v="1"/>
    <s v="CORNWALL PARTNERSHIP NHS FOUNDATION TRUST"/>
    <n v="0"/>
    <n v="0"/>
    <n v="0"/>
    <n v="0"/>
    <n v="0"/>
    <n v="0"/>
    <d v="2025-12-01T00:00:00"/>
    <s v="Q3"/>
    <x v="3"/>
    <n v="0"/>
    <n v="0"/>
    <n v="9"/>
    <n v="0"/>
  </r>
  <r>
    <x v="8"/>
    <s v="RJR"/>
    <x v="3"/>
    <s v="COUNTESS OF CHESTER HOSPITAL NHS FOUNDATION TRUST"/>
    <n v="5495"/>
    <n v="2116"/>
    <n v="2600"/>
    <n v="302"/>
    <n v="437"/>
    <n v="634"/>
    <d v="2025-12-01T00:00:00"/>
    <s v="Q3"/>
    <x v="3"/>
    <n v="0.47315741583257509"/>
    <n v="7611"/>
    <n v="9"/>
    <n v="0.11537761601455869"/>
  </r>
  <r>
    <x v="8"/>
    <s v="RWY"/>
    <x v="6"/>
    <s v="CALDERDALE AND HUDDERSFIELD NHS FOUNDATION TRUST"/>
    <n v="15746"/>
    <n v="0"/>
    <n v="3024"/>
    <n v="0"/>
    <n v="1144"/>
    <n v="56"/>
    <d v="2025-12-01T00:00:00"/>
    <s v="Q3"/>
    <x v="3"/>
    <n v="0.19204877429188366"/>
    <n v="15746"/>
    <n v="9"/>
    <n v="3.5564587831830308E-3"/>
  </r>
  <r>
    <x v="8"/>
    <s v="RYF"/>
    <x v="1"/>
    <s v="SOUTH WESTERN AMBULANCE SERVICE NHS FOUNDATION TRUST"/>
    <n v="0"/>
    <n v="1808"/>
    <n v="0"/>
    <n v="23"/>
    <n v="0"/>
    <n v="0"/>
    <d v="2025-12-01T00:00:00"/>
    <s v="Q3"/>
    <x v="3"/>
    <n v="0"/>
    <n v="1808"/>
    <n v="9"/>
    <n v="0"/>
  </r>
  <r>
    <x v="8"/>
    <s v="Y02428"/>
    <x v="2"/>
    <s v="PUTNOE WALK IN CENTRE"/>
    <n v="0"/>
    <n v="3460"/>
    <n v="0"/>
    <n v="0"/>
    <n v="0"/>
    <n v="0"/>
    <d v="2025-12-01T00:00:00"/>
    <s v="Q3"/>
    <x v="3"/>
    <n v="0"/>
    <n v="3460"/>
    <n v="9"/>
    <n v="0"/>
  </r>
  <r>
    <x v="8"/>
    <s v="Y03218"/>
    <x v="4"/>
    <s v="THE PINN UNREGISTERED WIC"/>
    <n v="0"/>
    <n v="1005"/>
    <n v="0"/>
    <n v="0"/>
    <n v="0"/>
    <n v="0"/>
    <d v="2025-12-01T00:00:00"/>
    <s v="Q3"/>
    <x v="3"/>
    <n v="0"/>
    <n v="1005"/>
    <n v="9"/>
    <n v="0"/>
  </r>
  <r>
    <x v="8"/>
    <s v="RPA"/>
    <x v="0"/>
    <s v="MEDWAY NHS FOUNDATION TRUST"/>
    <n v="9720"/>
    <n v="5730"/>
    <n v="3923"/>
    <n v="1027"/>
    <n v="417"/>
    <n v="680"/>
    <d v="2025-12-01T00:00:00"/>
    <s v="Q3"/>
    <x v="3"/>
    <n v="0.40360082304526751"/>
    <n v="15450"/>
    <n v="9"/>
    <n v="6.9958847736625515E-2"/>
  </r>
  <r>
    <x v="8"/>
    <s v="RBQ"/>
    <x v="3"/>
    <s v="LIVERPOOL HEART AND CHEST HOSPITAL NHS FOUNDATION TRUST"/>
    <n v="0"/>
    <n v="0"/>
    <n v="0"/>
    <n v="0"/>
    <n v="0"/>
    <n v="0"/>
    <d v="2025-12-01T00:00:00"/>
    <s v="Q3"/>
    <x v="3"/>
    <n v="0"/>
    <n v="0"/>
    <n v="9"/>
    <n v="0"/>
  </r>
  <r>
    <x v="8"/>
    <s v="RYY"/>
    <x v="0"/>
    <s v="KENT COMMUNITY HEALTH NHS FOUNDATION TRUST"/>
    <n v="0"/>
    <n v="6479"/>
    <n v="0"/>
    <n v="17"/>
    <n v="0"/>
    <n v="0"/>
    <d v="2025-12-01T00:00:00"/>
    <s v="Q3"/>
    <x v="3"/>
    <n v="0"/>
    <n v="6479"/>
    <n v="9"/>
    <n v="0"/>
  </r>
  <r>
    <x v="8"/>
    <s v="RJC"/>
    <x v="5"/>
    <s v="SOUTH WARWICKSHIRE UNIVERSITY NHS FOUNDATION TRUST"/>
    <n v="8104"/>
    <n v="346"/>
    <n v="2015"/>
    <n v="0"/>
    <n v="396"/>
    <n v="49"/>
    <d v="2025-12-01T00:00:00"/>
    <s v="Q3"/>
    <x v="3"/>
    <n v="0.24864264560710761"/>
    <n v="8450"/>
    <n v="9"/>
    <n v="6.0463968410661402E-3"/>
  </r>
  <r>
    <x v="8"/>
    <s v="RL4"/>
    <x v="5"/>
    <s v="THE ROYAL WOLVERHAMPTON NHS TRUST"/>
    <n v="10941"/>
    <n v="7633"/>
    <n v="4264"/>
    <n v="516"/>
    <n v="883"/>
    <n v="530"/>
    <d v="2025-12-01T00:00:00"/>
    <s v="Q3"/>
    <x v="3"/>
    <n v="0.38972671602230141"/>
    <n v="18574"/>
    <n v="9"/>
    <n v="4.8441641531852667E-2"/>
  </r>
  <r>
    <x v="8"/>
    <s v="RQM"/>
    <x v="4"/>
    <s v="CHELSEA AND WESTMINSTER HOSPITAL NHS FOUNDATION TRUST"/>
    <n v="19984"/>
    <n v="6701"/>
    <n v="5683"/>
    <n v="240"/>
    <n v="922"/>
    <n v="51"/>
    <d v="2025-12-01T00:00:00"/>
    <s v="Q3"/>
    <x v="3"/>
    <n v="0.28437750200160128"/>
    <n v="26685"/>
    <n v="9"/>
    <n v="2.5520416333066455E-3"/>
  </r>
  <r>
    <x v="8"/>
    <s v="RQW"/>
    <x v="2"/>
    <s v="THE PRINCESS ALEXANDRA HOSPITAL NHS TRUST"/>
    <n v="8104"/>
    <n v="2529"/>
    <n v="2415"/>
    <n v="0"/>
    <n v="492"/>
    <n v="181"/>
    <d v="2025-12-01T00:00:00"/>
    <s v="Q3"/>
    <x v="3"/>
    <n v="0.29800098716683121"/>
    <n v="10633"/>
    <n v="9"/>
    <n v="2.2334649555774928E-2"/>
  </r>
  <r>
    <x v="8"/>
    <s v="RR8"/>
    <x v="6"/>
    <s v="LEEDS TEACHING HOSPITALS NHS TRUST"/>
    <n v="17518"/>
    <n v="11111"/>
    <n v="7234"/>
    <n v="573"/>
    <n v="1349"/>
    <n v="809"/>
    <d v="2025-12-01T00:00:00"/>
    <s v="Q3"/>
    <x v="3"/>
    <n v="0.41294668341134833"/>
    <n v="28629"/>
    <n v="9"/>
    <n v="4.6181070898504394E-2"/>
  </r>
  <r>
    <x v="8"/>
    <s v="RRV"/>
    <x v="4"/>
    <s v="UNIVERSITY COLLEGE LONDON HOSPITALS NHS FOUNDATION TRUST"/>
    <n v="13329"/>
    <n v="0"/>
    <n v="3677"/>
    <n v="0"/>
    <n v="379"/>
    <n v="128"/>
    <d v="2025-12-01T00:00:00"/>
    <s v="Q3"/>
    <x v="3"/>
    <n v="0.27586465601320431"/>
    <n v="13329"/>
    <n v="9"/>
    <n v="9.6031210143296564E-3"/>
  </r>
  <r>
    <x v="8"/>
    <s v="RTR"/>
    <x v="6"/>
    <s v="SOUTH TEES HOSPITALS NHS FOUNDATION TRUST"/>
    <n v="7786"/>
    <n v="9002"/>
    <n v="3671"/>
    <n v="442"/>
    <n v="327"/>
    <n v="11"/>
    <d v="2025-12-01T00:00:00"/>
    <s v="Q3"/>
    <x v="3"/>
    <n v="0.47148728487027997"/>
    <n v="16788"/>
    <n v="9"/>
    <n v="1.4127921911122527E-3"/>
  </r>
  <r>
    <x v="8"/>
    <s v="RTX"/>
    <x v="3"/>
    <s v="UNIVERSITY HOSPITALS OF MORECAMBE BAY NHS FOUNDATION TRUST"/>
    <n v="8766"/>
    <n v="2567"/>
    <n v="3818"/>
    <n v="73"/>
    <n v="736"/>
    <n v="609"/>
    <d v="2025-12-01T00:00:00"/>
    <s v="Q3"/>
    <x v="3"/>
    <n v="0.43554642938626509"/>
    <n v="11333"/>
    <n v="9"/>
    <n v="6.9472963723477069E-2"/>
  </r>
  <r>
    <x v="8"/>
    <s v="RY4"/>
    <x v="2"/>
    <s v="HERTFORDSHIRE COMMUNITY NHS TRUST"/>
    <n v="0"/>
    <n v="1033"/>
    <n v="0"/>
    <n v="11"/>
    <n v="0"/>
    <n v="0"/>
    <d v="2025-12-01T00:00:00"/>
    <s v="Q3"/>
    <x v="3"/>
    <n v="0"/>
    <n v="1033"/>
    <n v="9"/>
    <n v="0"/>
  </r>
  <r>
    <x v="8"/>
    <s v="RY7"/>
    <x v="3"/>
    <s v="WIRRAL COMMUNITY HEALTH AND CARE NHS FOUNDATION TRUST"/>
    <n v="0"/>
    <n v="3401"/>
    <n v="0"/>
    <n v="324"/>
    <n v="0"/>
    <n v="0"/>
    <d v="2025-12-01T00:00:00"/>
    <s v="Q3"/>
    <x v="3"/>
    <n v="0"/>
    <n v="3401"/>
    <n v="9"/>
    <n v="0"/>
  </r>
  <r>
    <x v="8"/>
    <s v="RYR"/>
    <x v="0"/>
    <s v="UNIVERSITY HOSPITALS SUSSEX NHS FOUNDATION TRUST"/>
    <n v="27283"/>
    <n v="1438"/>
    <n v="11226"/>
    <n v="176"/>
    <n v="905"/>
    <n v="718"/>
    <d v="2025-12-01T00:00:00"/>
    <s v="Q3"/>
    <x v="3"/>
    <n v="0.41146501484440862"/>
    <n v="28721"/>
    <n v="9"/>
    <n v="2.6316754022651469E-2"/>
  </r>
  <r>
    <x v="8"/>
    <s v="8J094"/>
    <x v="5"/>
    <s v="BADGER LTD"/>
    <n v="0"/>
    <n v="0"/>
    <n v="0"/>
    <n v="0"/>
    <n v="0"/>
    <n v="0"/>
    <d v="2025-12-01T00:00:00"/>
    <s v="Q3"/>
    <x v="3"/>
    <n v="0"/>
    <n v="0"/>
    <n v="9"/>
    <n v="0"/>
  </r>
  <r>
    <x v="8"/>
    <s v="ARN03"/>
    <x v="6"/>
    <s v="LOCAL CARE DIRECT"/>
    <n v="0"/>
    <n v="2515"/>
    <n v="0"/>
    <n v="9"/>
    <n v="0"/>
    <n v="0"/>
    <d v="2025-12-01T00:00:00"/>
    <s v="Q3"/>
    <x v="3"/>
    <n v="0"/>
    <n v="2515"/>
    <n v="9"/>
    <n v="0"/>
  </r>
  <r>
    <x v="8"/>
    <s v="G0Q0L"/>
    <x v="4"/>
    <s v="BARKING HOSPITAL UTC"/>
    <n v="0"/>
    <n v="2627"/>
    <n v="0"/>
    <n v="24"/>
    <n v="0"/>
    <n v="0"/>
    <d v="2025-12-01T00:00:00"/>
    <s v="Q3"/>
    <x v="3"/>
    <n v="0"/>
    <n v="2627"/>
    <n v="9"/>
    <n v="0"/>
  </r>
  <r>
    <x v="8"/>
    <s v="K6K0R"/>
    <x v="4"/>
    <s v="HAROLD WOOD POLYCLINIC UTC"/>
    <n v="0"/>
    <n v="2897"/>
    <n v="0"/>
    <n v="26"/>
    <n v="0"/>
    <n v="0"/>
    <d v="2025-12-01T00:00:00"/>
    <s v="Q3"/>
    <x v="3"/>
    <n v="0"/>
    <n v="2897"/>
    <n v="9"/>
    <n v="0"/>
  </r>
  <r>
    <x v="8"/>
    <s v="NNF09"/>
    <x v="6"/>
    <s v="BRANSHOLME HEALTH CENTRE"/>
    <n v="0"/>
    <n v="3846"/>
    <n v="0"/>
    <n v="525"/>
    <n v="0"/>
    <n v="0"/>
    <d v="2025-12-01T00:00:00"/>
    <s v="Q3"/>
    <x v="3"/>
    <n v="0"/>
    <n v="3846"/>
    <n v="9"/>
    <n v="0"/>
  </r>
  <r>
    <x v="8"/>
    <s v="NNF16"/>
    <x v="6"/>
    <s v="BRIDLINGTON HOSPITAL"/>
    <n v="0"/>
    <n v="1526"/>
    <n v="0"/>
    <n v="62"/>
    <n v="0"/>
    <n v="0"/>
    <d v="2025-12-01T00:00:00"/>
    <s v="Q3"/>
    <x v="3"/>
    <n v="0"/>
    <n v="1526"/>
    <n v="9"/>
    <n v="0"/>
  </r>
  <r>
    <x v="8"/>
    <s v="NNF94"/>
    <x v="6"/>
    <s v="EAST RIDING COMMUNITY HOSPITAL"/>
    <n v="0"/>
    <n v="3038"/>
    <n v="0"/>
    <n v="212"/>
    <n v="0"/>
    <n v="0"/>
    <d v="2025-12-01T00:00:00"/>
    <s v="Q3"/>
    <x v="3"/>
    <n v="0"/>
    <n v="3038"/>
    <n v="9"/>
    <n v="0"/>
  </r>
  <r>
    <x v="8"/>
    <s v="NNFA7"/>
    <x v="6"/>
    <s v="GOOLE &amp; DISTRICT HOSPITAL"/>
    <n v="0"/>
    <n v="1790"/>
    <n v="0"/>
    <n v="5"/>
    <n v="0"/>
    <n v="0"/>
    <d v="2025-12-01T00:00:00"/>
    <s v="Q3"/>
    <x v="3"/>
    <n v="0"/>
    <n v="1790"/>
    <n v="9"/>
    <n v="0"/>
  </r>
  <r>
    <x v="8"/>
    <s v="NV693"/>
    <x v="3"/>
    <s v="ROSSENDALE MIU &amp; OOH"/>
    <n v="0"/>
    <n v="787"/>
    <n v="0"/>
    <n v="2"/>
    <n v="0"/>
    <n v="0"/>
    <d v="2025-12-01T00:00:00"/>
    <s v="Q3"/>
    <x v="3"/>
    <n v="0"/>
    <n v="787"/>
    <n v="9"/>
    <n v="0"/>
  </r>
  <r>
    <x v="8"/>
    <s v="RY5"/>
    <x v="5"/>
    <s v="LINCOLNSHIRE COMMUNITY HEALTH SERVICES NHS TRUST"/>
    <n v="0"/>
    <n v="8220"/>
    <n v="0"/>
    <n v="166"/>
    <n v="0"/>
    <n v="0"/>
    <d v="2025-12-01T00:00:00"/>
    <s v="Q3"/>
    <x v="3"/>
    <n v="0"/>
    <n v="8220"/>
    <n v="9"/>
    <n v="0"/>
  </r>
  <r>
    <x v="8"/>
    <s v="RJ6"/>
    <x v="4"/>
    <s v="CROYDON HEALTH SERVICES NHS TRUST"/>
    <n v="13592"/>
    <n v="5317"/>
    <n v="4565"/>
    <n v="0"/>
    <n v="311"/>
    <n v="691"/>
    <d v="2025-12-01T00:00:00"/>
    <s v="Q3"/>
    <x v="3"/>
    <n v="0.33585932901706889"/>
    <n v="18909"/>
    <n v="9"/>
    <n v="5.0838728663919953E-2"/>
  </r>
  <r>
    <x v="8"/>
    <s v="RH8"/>
    <x v="1"/>
    <s v="ROYAL DEVON UNIVERSITY HEALTHCARE NHS FOUNDATION TRUST"/>
    <n v="11950"/>
    <n v="3914"/>
    <n v="5412"/>
    <n v="4"/>
    <n v="876"/>
    <n v="272"/>
    <d v="2025-12-01T00:00:00"/>
    <s v="Q3"/>
    <x v="3"/>
    <n v="0.45288702928870295"/>
    <n v="15864"/>
    <n v="9"/>
    <n v="2.2761506276150627E-2"/>
  </r>
  <r>
    <x v="8"/>
    <s v="RXW"/>
    <x v="5"/>
    <s v="THE SHREWSBURY AND TELFORD HOSPITAL NHS TRUST"/>
    <n v="10764"/>
    <n v="2805"/>
    <n v="6049"/>
    <n v="458"/>
    <n v="497"/>
    <n v="1429"/>
    <d v="2025-12-01T00:00:00"/>
    <s v="Q3"/>
    <x v="3"/>
    <n v="0.56196581196581197"/>
    <n v="13569"/>
    <n v="9"/>
    <n v="0.1327573392790784"/>
  </r>
  <r>
    <x v="8"/>
    <s v="RCU"/>
    <x v="6"/>
    <s v="SHEFFIELD CHILDREN'S NHS FOUNDATION TRUST"/>
    <n v="4907"/>
    <n v="554"/>
    <n v="587"/>
    <n v="5"/>
    <n v="13"/>
    <n v="0"/>
    <d v="2025-12-01T00:00:00"/>
    <s v="Q3"/>
    <x v="3"/>
    <n v="0.11962502547381292"/>
    <n v="5461"/>
    <n v="9"/>
    <n v="0"/>
  </r>
  <r>
    <x v="8"/>
    <s v="C82009"/>
    <x v="5"/>
    <s v="MARKET HARBOROUGH MED.CTR"/>
    <n v="0"/>
    <n v="306"/>
    <n v="0"/>
    <n v="0"/>
    <n v="0"/>
    <n v="0"/>
    <d v="2025-12-01T00:00:00"/>
    <s v="Q3"/>
    <x v="3"/>
    <n v="0"/>
    <n v="306"/>
    <n v="9"/>
    <n v="0"/>
  </r>
  <r>
    <x v="8"/>
    <s v="REF"/>
    <x v="1"/>
    <s v="ROYAL CORNWALL HOSPITALS NHS TRUST"/>
    <n v="6695"/>
    <n v="10467"/>
    <n v="3210"/>
    <n v="603"/>
    <n v="529"/>
    <n v="581"/>
    <d v="2025-12-01T00:00:00"/>
    <s v="Q3"/>
    <x v="3"/>
    <n v="0.47946228528752799"/>
    <n v="17162"/>
    <n v="9"/>
    <n v="8.6781179985063475E-2"/>
  </r>
  <r>
    <x v="8"/>
    <s v="NLX"/>
    <x v="1"/>
    <s v="SIRONA CARE &amp; HEALTH"/>
    <n v="0"/>
    <n v="7242"/>
    <n v="0"/>
    <n v="161"/>
    <n v="0"/>
    <n v="0"/>
    <d v="2025-12-01T00:00:00"/>
    <s v="Q3"/>
    <x v="3"/>
    <n v="0"/>
    <n v="7242"/>
    <n v="9"/>
    <n v="0"/>
  </r>
  <r>
    <x v="8"/>
    <s v="NNJ"/>
    <x v="5"/>
    <s v="DHU HEALTH CARE C.I.C"/>
    <n v="0"/>
    <n v="2159"/>
    <n v="0"/>
    <n v="3"/>
    <n v="0"/>
    <n v="0"/>
    <d v="2025-12-01T00:00:00"/>
    <s v="Q3"/>
    <x v="3"/>
    <n v="0"/>
    <n v="2159"/>
    <n v="9"/>
    <n v="0"/>
  </r>
  <r>
    <x v="8"/>
    <s v="NTPAD"/>
    <x v="0"/>
    <s v="PRACTICE PLUS GROUP SURGICAL CENTRE - ST MARYS PORTSMOUTH"/>
    <n v="0"/>
    <n v="5032"/>
    <n v="0"/>
    <n v="178"/>
    <n v="0"/>
    <n v="0"/>
    <d v="2025-12-01T00:00:00"/>
    <s v="Q3"/>
    <x v="3"/>
    <n v="0"/>
    <n v="5032"/>
    <n v="9"/>
    <n v="0"/>
  </r>
  <r>
    <x v="8"/>
    <s v="RLT"/>
    <x v="5"/>
    <s v="GEORGE ELIOT HOSPITAL NHS TRUST"/>
    <n v="7185"/>
    <n v="1569"/>
    <n v="1900"/>
    <n v="7"/>
    <n v="329"/>
    <n v="424"/>
    <d v="2025-12-01T00:00:00"/>
    <s v="Q3"/>
    <x v="3"/>
    <n v="0.26443980514961724"/>
    <n v="8754"/>
    <n v="9"/>
    <n v="5.9011830201809327E-2"/>
  </r>
  <r>
    <x v="8"/>
    <s v="RN3"/>
    <x v="1"/>
    <s v="GREAT WESTERN HOSPITALS NHS FOUNDATION TRUST"/>
    <n v="6312"/>
    <n v="5380"/>
    <n v="3035"/>
    <n v="301"/>
    <n v="786"/>
    <n v="209"/>
    <d v="2025-12-01T00:00:00"/>
    <s v="Q3"/>
    <x v="3"/>
    <n v="0.48083016476552598"/>
    <n v="11692"/>
    <n v="9"/>
    <n v="3.3111533586818759E-2"/>
  </r>
  <r>
    <x v="8"/>
    <s v="RP6"/>
    <x v="4"/>
    <s v="MOORFIELDS EYE HOSPITAL NHS FOUNDATION TRUST"/>
    <n v="0"/>
    <n v="0"/>
    <n v="0"/>
    <n v="0"/>
    <n v="0"/>
    <n v="0"/>
    <d v="2025-12-01T00:00:00"/>
    <s v="Q3"/>
    <x v="3"/>
    <n v="0"/>
    <n v="0"/>
    <n v="9"/>
    <n v="0"/>
  </r>
  <r>
    <x v="8"/>
    <s v="RTE"/>
    <x v="1"/>
    <s v="GLOUCESTERSHIRE HOSPITALS NHS FOUNDATION TRUST"/>
    <n v="12939"/>
    <n v="0"/>
    <n v="4733"/>
    <n v="0"/>
    <n v="380"/>
    <n v="414"/>
    <d v="2025-12-01T00:00:00"/>
    <s v="Q3"/>
    <x v="3"/>
    <n v="0.36579333797047686"/>
    <n v="12939"/>
    <n v="9"/>
    <n v="3.1996290285184324E-2"/>
  </r>
  <r>
    <x v="8"/>
    <s v="RTP"/>
    <x v="0"/>
    <s v="SURREY AND SUSSEX HEALTHCARE NHS TRUST"/>
    <n v="12321"/>
    <n v="0"/>
    <n v="4741"/>
    <n v="0"/>
    <n v="573"/>
    <n v="727"/>
    <d v="2025-12-01T00:00:00"/>
    <s v="Q3"/>
    <x v="3"/>
    <n v="0.38479019560100641"/>
    <n v="12321"/>
    <n v="9"/>
    <n v="5.9004950896842788E-2"/>
  </r>
  <r>
    <x v="8"/>
    <s v="RTQ"/>
    <x v="1"/>
    <s v="GLOUCESTERSHIRE HEALTH AND CARE NHS FOUNDATION TRUST"/>
    <n v="0"/>
    <n v="7676"/>
    <n v="0"/>
    <n v="116"/>
    <n v="0"/>
    <n v="0"/>
    <d v="2025-12-01T00:00:00"/>
    <s v="Q3"/>
    <x v="3"/>
    <n v="0"/>
    <n v="7676"/>
    <n v="9"/>
    <n v="0"/>
  </r>
  <r>
    <x v="8"/>
    <s v="DJV01"/>
    <x v="0"/>
    <s v="HERNE BAY HEALTH CARE LTD"/>
    <n v="0"/>
    <n v="2761"/>
    <n v="0"/>
    <n v="0"/>
    <n v="0"/>
    <n v="0"/>
    <d v="2025-12-01T00:00:00"/>
    <s v="Q3"/>
    <x v="3"/>
    <n v="0"/>
    <n v="2761"/>
    <n v="9"/>
    <n v="0"/>
  </r>
  <r>
    <x v="8"/>
    <s v="RW4"/>
    <x v="3"/>
    <s v="MERSEY CARE NHS FOUNDATION TRUST"/>
    <n v="0"/>
    <n v="13436"/>
    <n v="0"/>
    <n v="422"/>
    <n v="0"/>
    <n v="0"/>
    <d v="2025-12-01T00:00:00"/>
    <s v="Q3"/>
    <x v="3"/>
    <n v="0"/>
    <n v="13436"/>
    <n v="9"/>
    <n v="0"/>
  </r>
  <r>
    <x v="8"/>
    <s v="RCF"/>
    <x v="6"/>
    <s v="AIREDALE NHS FOUNDATION TRUST"/>
    <n v="5866"/>
    <n v="0"/>
    <n v="2195"/>
    <n v="0"/>
    <n v="517"/>
    <n v="239"/>
    <d v="2025-12-01T00:00:00"/>
    <s v="Q3"/>
    <x v="3"/>
    <n v="0.37419024889191954"/>
    <n v="5866"/>
    <n v="9"/>
    <n v="4.0743266280259122E-2"/>
  </r>
  <r>
    <x v="8"/>
    <s v="RWP"/>
    <x v="5"/>
    <s v="WORCESTERSHIRE ACUTE HOSPITALS NHS TRUST"/>
    <n v="13727"/>
    <n v="4602"/>
    <n v="7261"/>
    <n v="84"/>
    <n v="1189"/>
    <n v="1035"/>
    <d v="2025-12-01T00:00:00"/>
    <s v="Q3"/>
    <x v="3"/>
    <n v="0.52895752895752901"/>
    <n v="18329"/>
    <n v="9"/>
    <n v="7.5398848983754638E-2"/>
  </r>
  <r>
    <x v="8"/>
    <s v="RXF"/>
    <x v="6"/>
    <s v="MID YORKSHIRE TEACHING NHS TRUST"/>
    <n v="16288"/>
    <n v="6307"/>
    <n v="6350"/>
    <n v="360"/>
    <n v="2001"/>
    <n v="315"/>
    <d v="2025-12-01T00:00:00"/>
    <s v="Q3"/>
    <x v="3"/>
    <n v="0.38985756385068765"/>
    <n v="22595"/>
    <n v="9"/>
    <n v="1.9339390962671905E-2"/>
  </r>
  <r>
    <x v="8"/>
    <s v="RY8"/>
    <x v="5"/>
    <s v="DERBYSHIRE COMMUNITY HEALTH SERVICES NHS FOUNDATION TRUST"/>
    <n v="0"/>
    <n v="6947"/>
    <n v="0"/>
    <n v="346"/>
    <n v="0"/>
    <n v="0"/>
    <d v="2025-12-01T00:00:00"/>
    <s v="Q3"/>
    <x v="3"/>
    <n v="0"/>
    <n v="6947"/>
    <n v="9"/>
    <n v="0"/>
  </r>
  <r>
    <x v="8"/>
    <s v="Y02532"/>
    <x v="3"/>
    <s v="MIRIAM MINOR EMERGENCY"/>
    <n v="0"/>
    <n v="1787"/>
    <n v="0"/>
    <n v="0"/>
    <n v="0"/>
    <n v="0"/>
    <d v="2025-12-01T00:00:00"/>
    <s v="Q3"/>
    <x v="3"/>
    <n v="0"/>
    <n v="1787"/>
    <n v="9"/>
    <n v="0"/>
  </r>
  <r>
    <x v="8"/>
    <s v="NDJ"/>
    <x v="0"/>
    <s v="FIRST COMMUNITY HEALTH AND CARE CIC"/>
    <n v="0"/>
    <n v="2224"/>
    <n v="0"/>
    <n v="4"/>
    <n v="0"/>
    <n v="0"/>
    <d v="2025-12-01T00:00:00"/>
    <s v="Q3"/>
    <x v="3"/>
    <n v="0"/>
    <n v="2224"/>
    <n v="9"/>
    <n v="0"/>
  </r>
  <r>
    <x v="8"/>
    <s v="NQT5F"/>
    <x v="3"/>
    <s v="SKELMERSDALE WALK IN CENTRE"/>
    <n v="0"/>
    <n v="1706"/>
    <n v="0"/>
    <n v="41"/>
    <n v="0"/>
    <n v="0"/>
    <d v="2025-12-01T00:00:00"/>
    <s v="Q3"/>
    <x v="3"/>
    <n v="0"/>
    <n v="1706"/>
    <n v="9"/>
    <n v="0"/>
  </r>
  <r>
    <x v="8"/>
    <s v="R0D"/>
    <x v="1"/>
    <s v="UNIVERSITY HOSPITALS DORSET NHS FOUNDATION TRUST"/>
    <n v="14438"/>
    <n v="4035"/>
    <n v="6298"/>
    <n v="0"/>
    <n v="1095"/>
    <n v="395"/>
    <d v="2025-12-01T00:00:00"/>
    <s v="Q3"/>
    <x v="3"/>
    <n v="0.43621000138523341"/>
    <n v="18473"/>
    <n v="9"/>
    <n v="2.7358359883640392E-2"/>
  </r>
  <r>
    <x v="8"/>
    <s v="RW1"/>
    <x v="0"/>
    <s v="HAMPSHIRE AND ISLE OF WIGHT HEALTHCARE NHS FOUNDATION TRUST"/>
    <n v="0"/>
    <n v="2752"/>
    <n v="0"/>
    <n v="31"/>
    <n v="0"/>
    <n v="0"/>
    <d v="2025-12-01T00:00:00"/>
    <s v="Q3"/>
    <x v="3"/>
    <n v="0"/>
    <n v="2752"/>
    <n v="9"/>
    <n v="0"/>
  </r>
  <r>
    <x v="9"/>
    <s v="L83087"/>
    <x v="1"/>
    <s v="OKEHAMPTON MEDICAL CENTRE"/>
    <n v="0"/>
    <n v="62"/>
    <n v="0"/>
    <n v="0"/>
    <n v="0"/>
    <n v="0"/>
    <d v="2026-01-01T00:00:00"/>
    <s v="Q4"/>
    <x v="3"/>
    <n v="0"/>
    <n v="62"/>
    <n v="10"/>
    <n v="0"/>
  </r>
  <r>
    <x v="9"/>
    <s v="R0A"/>
    <x v="3"/>
    <s v="MANCHESTER UNIVERSITY NHS FOUNDATION TRUST"/>
    <n v="26747"/>
    <n v="10782"/>
    <n v="10951"/>
    <n v="372"/>
    <n v="4363"/>
    <n v="188"/>
    <d v="2026-01-01T00:00:00"/>
    <s v="Q4"/>
    <x v="3"/>
    <n v="0.4094290948517591"/>
    <n v="37529"/>
    <n v="10"/>
    <n v="7.0288256626911431E-3"/>
  </r>
  <r>
    <x v="9"/>
    <s v="RBV"/>
    <x v="3"/>
    <s v="THE CHRISTIE NHS FOUNDATION TRUST"/>
    <n v="0"/>
    <n v="0"/>
    <n v="0"/>
    <n v="0"/>
    <n v="0"/>
    <n v="0"/>
    <d v="2026-01-01T00:00:00"/>
    <s v="Q4"/>
    <x v="3"/>
    <n v="0"/>
    <n v="0"/>
    <n v="10"/>
    <n v="0"/>
  </r>
  <r>
    <x v="9"/>
    <s v="RMC"/>
    <x v="3"/>
    <s v="BOLTON NHS FOUNDATION TRUST"/>
    <n v="8324"/>
    <n v="3623"/>
    <n v="4154"/>
    <n v="367"/>
    <n v="445"/>
    <n v="531"/>
    <d v="2026-01-01T00:00:00"/>
    <s v="Q4"/>
    <x v="3"/>
    <n v="0.49903892359442575"/>
    <n v="11947"/>
    <n v="10"/>
    <n v="6.3791446419990391E-2"/>
  </r>
  <r>
    <x v="9"/>
    <s v="REF"/>
    <x v="1"/>
    <s v="ROYAL CORNWALL HOSPITALS NHS TRUST"/>
    <n v="6796"/>
    <n v="10651"/>
    <n v="3732"/>
    <n v="663"/>
    <n v="613"/>
    <n v="773"/>
    <d v="2026-01-01T00:00:00"/>
    <s v="Q4"/>
    <x v="3"/>
    <n v="0.54914655679811653"/>
    <n v="17447"/>
    <n v="10"/>
    <n v="0.11374337845791642"/>
  </r>
  <r>
    <x v="9"/>
    <s v="RJE"/>
    <x v="5"/>
    <s v="UNIVERSITY HOSPITALS OF NORTH MIDLANDS NHS TRUST"/>
    <n v="14374"/>
    <n v="7622"/>
    <n v="8158"/>
    <n v="146"/>
    <n v="1062"/>
    <n v="1264"/>
    <d v="2026-01-01T00:00:00"/>
    <s v="Q4"/>
    <x v="3"/>
    <n v="0.56755252539307077"/>
    <n v="21996"/>
    <n v="10"/>
    <n v="8.7936552107972729E-2"/>
  </r>
  <r>
    <x v="9"/>
    <s v="DJV01"/>
    <x v="0"/>
    <s v="HERNE BAY HEALTH CARE LTD"/>
    <n v="0"/>
    <n v="2650"/>
    <n v="0"/>
    <n v="0"/>
    <n v="0"/>
    <n v="0"/>
    <d v="2026-01-01T00:00:00"/>
    <s v="Q4"/>
    <x v="3"/>
    <n v="0"/>
    <n v="2650"/>
    <n v="10"/>
    <n v="0"/>
  </r>
  <r>
    <x v="9"/>
    <s v="RDU"/>
    <x v="0"/>
    <s v="FRIMLEY HEALTH NHS FOUNDATION TRUST"/>
    <n v="23318"/>
    <n v="11552"/>
    <n v="11117"/>
    <n v="254"/>
    <n v="1272"/>
    <n v="743"/>
    <d v="2026-01-01T00:00:00"/>
    <s v="Q4"/>
    <x v="3"/>
    <n v="0.47675615404408611"/>
    <n v="34870"/>
    <n v="10"/>
    <n v="3.1863796208937305E-2"/>
  </r>
  <r>
    <x v="9"/>
    <s v="C82038"/>
    <x v="5"/>
    <s v="LATHAM HOUSE MEDICAL PRACTICE"/>
    <n v="0"/>
    <n v="322"/>
    <n v="0"/>
    <n v="0"/>
    <n v="0"/>
    <n v="0"/>
    <d v="2026-01-01T00:00:00"/>
    <s v="Q4"/>
    <x v="3"/>
    <n v="0"/>
    <n v="322"/>
    <n v="10"/>
    <n v="0"/>
  </r>
  <r>
    <x v="9"/>
    <s v="RW4"/>
    <x v="3"/>
    <s v="MERSEY CARE NHS FOUNDATION TRUST"/>
    <n v="0"/>
    <n v="13161"/>
    <n v="0"/>
    <n v="314"/>
    <n v="0"/>
    <n v="0"/>
    <d v="2026-01-01T00:00:00"/>
    <s v="Q4"/>
    <x v="3"/>
    <n v="0"/>
    <n v="13161"/>
    <n v="10"/>
    <n v="0"/>
  </r>
  <r>
    <x v="9"/>
    <s v="Y03007"/>
    <x v="5"/>
    <s v="ERDINGTON GP HEALTH &amp; WELLBEING WIC"/>
    <n v="0"/>
    <n v="0"/>
    <n v="0"/>
    <n v="0"/>
    <n v="0"/>
    <n v="0"/>
    <d v="2026-01-01T00:00:00"/>
    <s v="Q4"/>
    <x v="3"/>
    <n v="0"/>
    <n v="0"/>
    <n v="10"/>
    <n v="0"/>
  </r>
  <r>
    <x v="9"/>
    <s v="RY2"/>
    <x v="3"/>
    <s v="BRIDGEWATER COMMUNITY HEALTHCARE NHS FOUNDATION TRUST"/>
    <n v="0"/>
    <n v="3061"/>
    <n v="0"/>
    <n v="33"/>
    <n v="0"/>
    <n v="0"/>
    <d v="2026-01-01T00:00:00"/>
    <s v="Q4"/>
    <x v="3"/>
    <n v="0"/>
    <n v="3061"/>
    <n v="10"/>
    <n v="0"/>
  </r>
  <r>
    <x v="9"/>
    <s v="RNU"/>
    <x v="0"/>
    <s v="OXFORD HEALTH NHS FOUNDATION TRUST"/>
    <n v="0"/>
    <n v="3872"/>
    <n v="0"/>
    <n v="118"/>
    <n v="0"/>
    <n v="0"/>
    <d v="2026-01-01T00:00:00"/>
    <s v="Q4"/>
    <x v="3"/>
    <n v="0"/>
    <n v="3872"/>
    <n v="10"/>
    <n v="0"/>
  </r>
  <r>
    <x v="9"/>
    <s v="RLQ"/>
    <x v="5"/>
    <s v="WYE VALLEY NHS TRUST"/>
    <n v="6012"/>
    <n v="153"/>
    <n v="2490"/>
    <n v="0"/>
    <n v="505"/>
    <n v="275"/>
    <d v="2026-01-01T00:00:00"/>
    <s v="Q4"/>
    <x v="3"/>
    <n v="0.41417165668662675"/>
    <n v="6165"/>
    <n v="10"/>
    <n v="4.5741849634065204E-2"/>
  </r>
  <r>
    <x v="9"/>
    <s v="RL1"/>
    <x v="5"/>
    <s v="THE ROBERT JONES AND AGNES HUNT ORTHOPAEDIC HOSPITAL NHS FOUNDATION TRUST"/>
    <n v="0"/>
    <n v="0"/>
    <n v="0"/>
    <n v="0"/>
    <n v="0"/>
    <n v="0"/>
    <d v="2026-01-01T00:00:00"/>
    <s v="Q4"/>
    <x v="3"/>
    <n v="0"/>
    <n v="0"/>
    <n v="10"/>
    <n v="0"/>
  </r>
  <r>
    <x v="9"/>
    <s v="RCU"/>
    <x v="6"/>
    <s v="SHEFFIELD CHILDREN'S NHS FOUNDATION TRUST"/>
    <n v="4169"/>
    <n v="450"/>
    <n v="305"/>
    <n v="0"/>
    <n v="3"/>
    <n v="0"/>
    <d v="2026-01-01T00:00:00"/>
    <s v="Q4"/>
    <x v="3"/>
    <n v="7.3159030942672107E-2"/>
    <n v="4619"/>
    <n v="10"/>
    <n v="0"/>
  </r>
  <r>
    <x v="9"/>
    <s v="RBS"/>
    <x v="3"/>
    <s v="ALDER HEY CHILDREN'S NHS FOUNDATION TRUST"/>
    <n v="6012"/>
    <n v="0"/>
    <n v="823"/>
    <n v="0"/>
    <n v="0"/>
    <n v="0"/>
    <d v="2026-01-01T00:00:00"/>
    <s v="Q4"/>
    <x v="3"/>
    <n v="0.13689288090485696"/>
    <n v="6012"/>
    <n v="10"/>
    <n v="0"/>
  </r>
  <r>
    <x v="9"/>
    <s v="RAN"/>
    <x v="4"/>
    <s v="ROYAL NATIONAL ORTHOPAEDIC HOSPITAL NHS TRUST"/>
    <n v="0"/>
    <n v="0"/>
    <n v="0"/>
    <n v="0"/>
    <n v="0"/>
    <n v="0"/>
    <d v="2026-01-01T00:00:00"/>
    <s v="Q4"/>
    <x v="3"/>
    <n v="0"/>
    <n v="0"/>
    <n v="10"/>
    <n v="0"/>
  </r>
  <r>
    <x v="9"/>
    <s v="RTQ"/>
    <x v="1"/>
    <s v="GLOUCESTERSHIRE HEALTH AND CARE NHS FOUNDATION TRUST"/>
    <n v="0"/>
    <n v="7989"/>
    <n v="0"/>
    <n v="105"/>
    <n v="0"/>
    <n v="0"/>
    <d v="2026-01-01T00:00:00"/>
    <s v="Q4"/>
    <x v="3"/>
    <n v="0"/>
    <n v="7989"/>
    <n v="10"/>
    <n v="0"/>
  </r>
  <r>
    <x v="9"/>
    <s v="AD913"/>
    <x v="4"/>
    <s v="BECKENHAM BEACON UCC"/>
    <n v="0"/>
    <n v="3343"/>
    <n v="0"/>
    <n v="7"/>
    <n v="0"/>
    <n v="0"/>
    <d v="2026-01-01T00:00:00"/>
    <s v="Q4"/>
    <x v="3"/>
    <n v="0"/>
    <n v="3343"/>
    <n v="10"/>
    <n v="0"/>
  </r>
  <r>
    <x v="9"/>
    <s v="RXG"/>
    <x v="6"/>
    <s v="SOUTH WEST YORKSHIRE PARTNERSHIP NHS FOUNDATION TRUST"/>
    <n v="0"/>
    <n v="0"/>
    <n v="0"/>
    <n v="0"/>
    <n v="0"/>
    <n v="0"/>
    <d v="2026-01-01T00:00:00"/>
    <s v="Q4"/>
    <x v="3"/>
    <n v="0"/>
    <n v="0"/>
    <n v="10"/>
    <n v="0"/>
  </r>
  <r>
    <x v="9"/>
    <s v="NQT1I"/>
    <x v="1"/>
    <s v="CHIPPENHAM COMMUNITY HOSPITAL"/>
    <n v="0"/>
    <n v="1504"/>
    <n v="0"/>
    <n v="14"/>
    <n v="0"/>
    <n v="0"/>
    <d v="2026-01-01T00:00:00"/>
    <s v="Q4"/>
    <x v="3"/>
    <n v="0"/>
    <n v="1504"/>
    <n v="10"/>
    <n v="0"/>
  </r>
  <r>
    <x v="9"/>
    <s v="RXQ"/>
    <x v="0"/>
    <s v="BUCKINGHAMSHIRE HEALTHCARE NHS TRUST"/>
    <n v="9621"/>
    <n v="3057"/>
    <n v="3889"/>
    <n v="56"/>
    <n v="158"/>
    <n v="469"/>
    <d v="2026-01-01T00:00:00"/>
    <s v="Q4"/>
    <x v="3"/>
    <n v="0.40421993555763436"/>
    <n v="12678"/>
    <n v="10"/>
    <n v="4.8747531441638084E-2"/>
  </r>
  <r>
    <x v="9"/>
    <s v="NQT5H"/>
    <x v="1"/>
    <s v="PAULTON MEMORIAL HOSPITAL"/>
    <n v="0"/>
    <n v="1043"/>
    <n v="0"/>
    <n v="5"/>
    <n v="0"/>
    <n v="0"/>
    <d v="2026-01-01T00:00:00"/>
    <s v="Q4"/>
    <x v="3"/>
    <n v="0"/>
    <n v="1043"/>
    <n v="10"/>
    <n v="0"/>
  </r>
  <r>
    <x v="9"/>
    <s v="AJN"/>
    <x v="6"/>
    <s v="WORKINGTON HEALTH LIMITED"/>
    <n v="0"/>
    <n v="361"/>
    <n v="0"/>
    <n v="0"/>
    <n v="0"/>
    <n v="0"/>
    <d v="2026-01-01T00:00:00"/>
    <s v="Q4"/>
    <x v="3"/>
    <n v="0"/>
    <n v="361"/>
    <n v="10"/>
    <n v="0"/>
  </r>
  <r>
    <x v="9"/>
    <s v="NNJ"/>
    <x v="5"/>
    <s v="DHU HEALTH CARE C.I.C"/>
    <n v="0"/>
    <n v="1937"/>
    <n v="0"/>
    <n v="11"/>
    <n v="0"/>
    <n v="0"/>
    <d v="2026-01-01T00:00:00"/>
    <s v="Q4"/>
    <x v="3"/>
    <n v="0"/>
    <n v="1937"/>
    <n v="10"/>
    <n v="0"/>
  </r>
  <r>
    <x v="9"/>
    <s v="G3P9C"/>
    <x v="1"/>
    <s v="TROWBRIDGE MINOR INJURIES UNIT"/>
    <n v="0"/>
    <n v="1052"/>
    <n v="0"/>
    <n v="2"/>
    <n v="0"/>
    <n v="0"/>
    <d v="2026-01-01T00:00:00"/>
    <s v="Q4"/>
    <x v="3"/>
    <n v="0"/>
    <n v="1052"/>
    <n v="10"/>
    <n v="0"/>
  </r>
  <r>
    <x v="9"/>
    <s v="RXR"/>
    <x v="3"/>
    <s v="EAST LANCASHIRE HOSPITALS NHS TRUST"/>
    <n v="13668"/>
    <n v="11193"/>
    <n v="4842"/>
    <n v="766"/>
    <n v="304"/>
    <n v="1407"/>
    <d v="2026-01-01T00:00:00"/>
    <s v="Q4"/>
    <x v="3"/>
    <n v="0.35425812115891131"/>
    <n v="24861"/>
    <n v="10"/>
    <n v="0.10294117647058823"/>
  </r>
  <r>
    <x v="9"/>
    <s v="RTX"/>
    <x v="3"/>
    <s v="UNIVERSITY HOSPITALS OF MORECAMBE BAY NHS FOUNDATION TRUST"/>
    <n v="8705"/>
    <n v="2390"/>
    <n v="3725"/>
    <n v="53"/>
    <n v="710"/>
    <n v="763"/>
    <d v="2026-01-01T00:00:00"/>
    <s v="Q4"/>
    <x v="3"/>
    <n v="0.42791499138426192"/>
    <n v="11095"/>
    <n v="10"/>
    <n v="8.7650775416427337E-2"/>
  </r>
  <r>
    <x v="9"/>
    <s v="RTK"/>
    <x v="0"/>
    <s v="ASHFORD AND ST PETER'S HOSPITALS NHS FOUNDATION TRUST"/>
    <n v="7877"/>
    <n v="2653"/>
    <n v="4216"/>
    <n v="42"/>
    <n v="574"/>
    <n v="424"/>
    <d v="2026-01-01T00:00:00"/>
    <s v="Q4"/>
    <x v="3"/>
    <n v="0.53522914815285005"/>
    <n v="10530"/>
    <n v="10"/>
    <n v="5.3827599339850193E-2"/>
  </r>
  <r>
    <x v="9"/>
    <s v="RRV"/>
    <x v="4"/>
    <s v="UNIVERSITY COLLEGE LONDON HOSPITALS NHS FOUNDATION TRUST"/>
    <n v="13308"/>
    <n v="0"/>
    <n v="4256"/>
    <n v="0"/>
    <n v="394"/>
    <n v="317"/>
    <d v="2026-01-01T00:00:00"/>
    <s v="Q4"/>
    <x v="3"/>
    <n v="0.31980763450556055"/>
    <n v="13308"/>
    <n v="10"/>
    <n v="2.3820258491133152E-2"/>
  </r>
  <r>
    <x v="9"/>
    <s v="RP6"/>
    <x v="4"/>
    <s v="MOORFIELDS EYE HOSPITAL NHS FOUNDATION TRUST"/>
    <n v="0"/>
    <n v="0"/>
    <n v="0"/>
    <n v="0"/>
    <n v="0"/>
    <n v="0"/>
    <d v="2026-01-01T00:00:00"/>
    <s v="Q4"/>
    <x v="3"/>
    <n v="0"/>
    <n v="0"/>
    <n v="10"/>
    <n v="0"/>
  </r>
  <r>
    <x v="9"/>
    <s v="RNN"/>
    <x v="6"/>
    <s v="NORTH CUMBRIA INTEGRATED CARE NHS FOUNDATION TRUST"/>
    <n v="8906"/>
    <n v="1543"/>
    <n v="4344"/>
    <n v="39"/>
    <n v="635"/>
    <n v="603"/>
    <d v="2026-01-01T00:00:00"/>
    <s v="Q4"/>
    <x v="3"/>
    <n v="0.4877610599595778"/>
    <n v="10449"/>
    <n v="10"/>
    <n v="6.770716370985852E-2"/>
  </r>
  <r>
    <x v="9"/>
    <s v="RXK"/>
    <x v="5"/>
    <s v="SANDWELL AND WEST BIRMINGHAM HOSPITALS NHS TRUST"/>
    <n v="11472"/>
    <n v="7907"/>
    <n v="5655"/>
    <n v="67"/>
    <n v="723"/>
    <n v="645"/>
    <d v="2026-01-01T00:00:00"/>
    <s v="Q4"/>
    <x v="3"/>
    <n v="0.49293933054393307"/>
    <n v="19379"/>
    <n v="10"/>
    <n v="5.6223849372384935E-2"/>
  </r>
  <r>
    <x v="9"/>
    <s v="RK9"/>
    <x v="1"/>
    <s v="UNIVERSITY HOSPITALS PLYMOUTH NHS TRUST"/>
    <n v="8852"/>
    <n v="7802"/>
    <n v="5644"/>
    <n v="181"/>
    <n v="559"/>
    <n v="807"/>
    <d v="2026-01-01T00:00:00"/>
    <s v="Q4"/>
    <x v="3"/>
    <n v="0.63759602349751465"/>
    <n v="16654"/>
    <n v="10"/>
    <n v="9.1165838228648891E-2"/>
  </r>
  <r>
    <x v="9"/>
    <s v="RJC"/>
    <x v="5"/>
    <s v="SOUTH WARWICKSHIRE UNIVERSITY NHS FOUNDATION TRUST"/>
    <n v="8243"/>
    <n v="386"/>
    <n v="2728"/>
    <n v="0"/>
    <n v="558"/>
    <n v="235"/>
    <d v="2026-01-01T00:00:00"/>
    <s v="Q4"/>
    <x v="3"/>
    <n v="0.33094747058109913"/>
    <n v="8629"/>
    <n v="10"/>
    <n v="2.8509037971612278E-2"/>
  </r>
  <r>
    <x v="9"/>
    <s v="RJ1"/>
    <x v="4"/>
    <s v="GUY'S AND ST THOMAS' NHS FOUNDATION TRUST"/>
    <n v="10484"/>
    <n v="6511"/>
    <n v="3908"/>
    <n v="153"/>
    <n v="127"/>
    <n v="59"/>
    <d v="2026-01-01T00:00:00"/>
    <s v="Q4"/>
    <x v="3"/>
    <n v="0.37275848912628767"/>
    <n v="16995"/>
    <n v="10"/>
    <n v="5.627623044639451E-3"/>
  </r>
  <r>
    <x v="9"/>
    <s v="RH8"/>
    <x v="1"/>
    <s v="ROYAL DEVON UNIVERSITY HEALTHCARE NHS FOUNDATION TRUST"/>
    <n v="12593"/>
    <n v="3902"/>
    <n v="5840"/>
    <n v="8"/>
    <n v="1073"/>
    <n v="430"/>
    <d v="2026-01-01T00:00:00"/>
    <s v="Q4"/>
    <x v="3"/>
    <n v="0.46374970221551653"/>
    <n v="16495"/>
    <n v="10"/>
    <n v="3.4145954101484952E-2"/>
  </r>
  <r>
    <x v="9"/>
    <s v="RDE"/>
    <x v="2"/>
    <s v="EAST SUFFOLK AND NORTH ESSEX NHS FOUNDATION TRUST"/>
    <n v="11181"/>
    <n v="13163"/>
    <n v="5267"/>
    <n v="947"/>
    <n v="674"/>
    <n v="744"/>
    <d v="2026-01-01T00:00:00"/>
    <s v="Q4"/>
    <x v="3"/>
    <n v="0.47106698864144531"/>
    <n v="24344"/>
    <n v="10"/>
    <n v="6.6541454252750196E-2"/>
  </r>
  <r>
    <x v="9"/>
    <s v="RCD"/>
    <x v="6"/>
    <s v="HARROGATE AND DISTRICT NHS FOUNDATION TRUST"/>
    <n v="5166"/>
    <n v="1288"/>
    <n v="1844"/>
    <n v="2"/>
    <n v="422"/>
    <n v="43"/>
    <d v="2026-01-01T00:00:00"/>
    <s v="Q4"/>
    <x v="3"/>
    <n v="0.35694928377855206"/>
    <n v="6454"/>
    <n v="10"/>
    <n v="8.3236546651180802E-3"/>
  </r>
  <r>
    <x v="9"/>
    <s v="RAE"/>
    <x v="6"/>
    <s v="BRADFORD TEACHING HOSPITALS NHS FOUNDATION TRUST"/>
    <n v="9305"/>
    <n v="3315"/>
    <n v="2144"/>
    <n v="1"/>
    <n v="594"/>
    <n v="83"/>
    <d v="2026-01-01T00:00:00"/>
    <s v="Q4"/>
    <x v="3"/>
    <n v="0.23041375604513703"/>
    <n v="12620"/>
    <n v="10"/>
    <n v="8.9199355185384209E-3"/>
  </r>
  <r>
    <x v="9"/>
    <s v="R0D"/>
    <x v="1"/>
    <s v="UNIVERSITY HOSPITALS DORSET NHS FOUNDATION TRUST"/>
    <n v="14299"/>
    <n v="4003"/>
    <n v="6765"/>
    <n v="0"/>
    <n v="1172"/>
    <n v="698"/>
    <d v="2026-01-01T00:00:00"/>
    <s v="Q4"/>
    <x v="3"/>
    <n v="0.47311000769284567"/>
    <n v="18302"/>
    <n v="10"/>
    <n v="4.8814602419749629E-2"/>
  </r>
  <r>
    <x v="9"/>
    <s v="NV693"/>
    <x v="3"/>
    <s v="ROSSENDALE MIU &amp; OOH"/>
    <n v="0"/>
    <n v="854"/>
    <n v="0"/>
    <n v="1"/>
    <n v="0"/>
    <n v="0"/>
    <d v="2026-01-01T00:00:00"/>
    <s v="Q4"/>
    <x v="3"/>
    <n v="0"/>
    <n v="854"/>
    <n v="10"/>
    <n v="0"/>
  </r>
  <r>
    <x v="9"/>
    <s v="NTPAD"/>
    <x v="0"/>
    <s v="PRACTICE PLUS GROUP SURGICAL CENTRE - ST MARYS PORTSMOUTH"/>
    <n v="0"/>
    <n v="4866"/>
    <n v="0"/>
    <n v="227"/>
    <n v="0"/>
    <n v="0"/>
    <d v="2026-01-01T00:00:00"/>
    <s v="Q4"/>
    <x v="3"/>
    <n v="0"/>
    <n v="4866"/>
    <n v="10"/>
    <n v="0"/>
  </r>
  <r>
    <x v="9"/>
    <s v="RY7"/>
    <x v="3"/>
    <s v="WIRRAL COMMUNITY HEALTH AND CARE NHS FOUNDATION TRUST"/>
    <n v="0"/>
    <n v="2775"/>
    <n v="0"/>
    <n v="281"/>
    <n v="0"/>
    <n v="0"/>
    <d v="2026-01-01T00:00:00"/>
    <s v="Q4"/>
    <x v="3"/>
    <n v="0"/>
    <n v="2775"/>
    <n v="10"/>
    <n v="0"/>
  </r>
  <r>
    <x v="9"/>
    <s v="RJN"/>
    <x v="3"/>
    <s v="EAST CHESHIRE NHS TRUST"/>
    <n v="4314"/>
    <n v="0"/>
    <n v="2554"/>
    <n v="0"/>
    <n v="254"/>
    <n v="384"/>
    <d v="2026-01-01T00:00:00"/>
    <s v="Q4"/>
    <x v="3"/>
    <n v="0.5920259619842374"/>
    <n v="4314"/>
    <n v="10"/>
    <n v="8.9012517385257298E-2"/>
  </r>
  <r>
    <x v="9"/>
    <s v="8J094"/>
    <x v="5"/>
    <s v="BADGER LTD"/>
    <n v="0"/>
    <n v="0"/>
    <n v="0"/>
    <n v="0"/>
    <n v="0"/>
    <n v="0"/>
    <d v="2026-01-01T00:00:00"/>
    <s v="Q4"/>
    <x v="3"/>
    <n v="0"/>
    <n v="0"/>
    <n v="10"/>
    <n v="0"/>
  </r>
  <r>
    <x v="9"/>
    <s v="RYR"/>
    <x v="0"/>
    <s v="UNIVERSITY HOSPITALS SUSSEX NHS FOUNDATION TRUST"/>
    <n v="27280"/>
    <n v="1692"/>
    <n v="11503"/>
    <n v="221"/>
    <n v="952"/>
    <n v="1196"/>
    <d v="2026-01-01T00:00:00"/>
    <s v="Q4"/>
    <x v="3"/>
    <n v="0.42166422287390032"/>
    <n v="28972"/>
    <n v="10"/>
    <n v="4.3841642228739E-2"/>
  </r>
  <r>
    <x v="9"/>
    <s v="RWF"/>
    <x v="0"/>
    <s v="MAIDSTONE AND TUNBRIDGE WELLS NHS TRUST"/>
    <n v="18969"/>
    <n v="1934"/>
    <n v="5286"/>
    <n v="25"/>
    <n v="910"/>
    <n v="629"/>
    <d v="2026-01-01T00:00:00"/>
    <s v="Q4"/>
    <x v="3"/>
    <n v="0.27866519057409456"/>
    <n v="20903"/>
    <n v="10"/>
    <n v="3.3159365280194003E-2"/>
  </r>
  <r>
    <x v="9"/>
    <s v="NVE43"/>
    <x v="0"/>
    <s v="HASTINGS GP LED HEALTH CENTRE"/>
    <n v="0"/>
    <n v="1059"/>
    <n v="0"/>
    <n v="0"/>
    <n v="0"/>
    <n v="0"/>
    <d v="2026-01-01T00:00:00"/>
    <s v="Q4"/>
    <x v="3"/>
    <n v="0"/>
    <n v="1059"/>
    <n v="10"/>
    <n v="0"/>
  </r>
  <r>
    <x v="9"/>
    <s v="NTV0W"/>
    <x v="0"/>
    <s v="WOKING WALK IN CENTRE"/>
    <n v="0"/>
    <n v="2724"/>
    <n v="0"/>
    <n v="22"/>
    <n v="0"/>
    <n v="0"/>
    <d v="2026-01-01T00:00:00"/>
    <s v="Q4"/>
    <x v="3"/>
    <n v="0"/>
    <n v="2724"/>
    <n v="10"/>
    <n v="0"/>
  </r>
  <r>
    <x v="9"/>
    <s v="NTV0B"/>
    <x v="0"/>
    <s v="ASHFORD WALK-IN-CENTRE"/>
    <n v="0"/>
    <n v="2350"/>
    <n v="0"/>
    <n v="28"/>
    <n v="0"/>
    <n v="0"/>
    <d v="2026-01-01T00:00:00"/>
    <s v="Q4"/>
    <x v="3"/>
    <n v="0"/>
    <n v="2350"/>
    <n v="10"/>
    <n v="0"/>
  </r>
  <r>
    <x v="9"/>
    <s v="NTP11"/>
    <x v="0"/>
    <s v="PRACTICE PLUS GROUP HOSPITAL - SOUTHAMPTON"/>
    <n v="0"/>
    <n v="5146"/>
    <n v="0"/>
    <n v="71"/>
    <n v="0"/>
    <n v="0"/>
    <d v="2026-01-01T00:00:00"/>
    <s v="Q4"/>
    <x v="3"/>
    <n v="0"/>
    <n v="5146"/>
    <n v="10"/>
    <n v="0"/>
  </r>
  <r>
    <x v="9"/>
    <s v="Y02428"/>
    <x v="2"/>
    <s v="PUTNOE WALK IN CENTRE"/>
    <n v="0"/>
    <n v="2871"/>
    <n v="0"/>
    <n v="0"/>
    <n v="0"/>
    <n v="0"/>
    <d v="2026-01-01T00:00:00"/>
    <s v="Q4"/>
    <x v="3"/>
    <n v="0"/>
    <n v="2871"/>
    <n v="10"/>
    <n v="0"/>
  </r>
  <r>
    <x v="9"/>
    <s v="RYF"/>
    <x v="1"/>
    <s v="SOUTH WESTERN AMBULANCE SERVICE NHS FOUNDATION TRUST"/>
    <n v="0"/>
    <n v="1859"/>
    <n v="0"/>
    <n v="27"/>
    <n v="0"/>
    <n v="0"/>
    <d v="2026-01-01T00:00:00"/>
    <s v="Q4"/>
    <x v="3"/>
    <n v="0"/>
    <n v="1859"/>
    <n v="10"/>
    <n v="0"/>
  </r>
  <r>
    <x v="9"/>
    <s v="RY8"/>
    <x v="5"/>
    <s v="DERBYSHIRE COMMUNITY HEALTH SERVICES NHS FOUNDATION TRUST"/>
    <n v="0"/>
    <n v="6814"/>
    <n v="0"/>
    <n v="212"/>
    <n v="0"/>
    <n v="0"/>
    <d v="2026-01-01T00:00:00"/>
    <s v="Q4"/>
    <x v="3"/>
    <n v="0"/>
    <n v="6814"/>
    <n v="10"/>
    <n v="0"/>
  </r>
  <r>
    <x v="9"/>
    <s v="RWP"/>
    <x v="5"/>
    <s v="WORCESTERSHIRE ACUTE HOSPITALS NHS TRUST"/>
    <n v="13731"/>
    <n v="5143"/>
    <n v="6952"/>
    <n v="56"/>
    <n v="865"/>
    <n v="1431"/>
    <d v="2026-01-01T00:00:00"/>
    <s v="Q4"/>
    <x v="3"/>
    <n v="0.50629961401208945"/>
    <n v="18874"/>
    <n v="10"/>
    <n v="0.10421673585317894"/>
  </r>
  <r>
    <x v="9"/>
    <s v="RJ8"/>
    <x v="1"/>
    <s v="CORNWALL PARTNERSHIP NHS FOUNDATION TRUST"/>
    <n v="0"/>
    <n v="0"/>
    <n v="0"/>
    <n v="0"/>
    <n v="0"/>
    <n v="0"/>
    <d v="2026-01-01T00:00:00"/>
    <s v="Q4"/>
    <x v="3"/>
    <n v="0"/>
    <n v="0"/>
    <n v="10"/>
    <n v="0"/>
  </r>
  <r>
    <x v="9"/>
    <s v="RBQ"/>
    <x v="3"/>
    <s v="LIVERPOOL HEART AND CHEST HOSPITAL NHS FOUNDATION TRUST"/>
    <n v="0"/>
    <n v="0"/>
    <n v="0"/>
    <n v="0"/>
    <n v="0"/>
    <n v="0"/>
    <d v="2026-01-01T00:00:00"/>
    <s v="Q4"/>
    <x v="3"/>
    <n v="0"/>
    <n v="0"/>
    <n v="10"/>
    <n v="0"/>
  </r>
  <r>
    <x v="9"/>
    <s v="RA9"/>
    <x v="1"/>
    <s v="TORBAY AND SOUTH DEVON NHS FOUNDATION TRUST"/>
    <n v="6524"/>
    <n v="3034"/>
    <n v="3120"/>
    <n v="3"/>
    <n v="202"/>
    <n v="106"/>
    <d v="2026-01-01T00:00:00"/>
    <s v="Q4"/>
    <x v="3"/>
    <n v="0.47823421213979156"/>
    <n v="9558"/>
    <n v="10"/>
    <n v="1.6247700797057021E-2"/>
  </r>
  <r>
    <x v="9"/>
    <s v="NQTE4"/>
    <x v="5"/>
    <s v="SUMMERFIELD URGENT CARE CENTRE"/>
    <n v="0"/>
    <n v="2840"/>
    <n v="0"/>
    <n v="0"/>
    <n v="0"/>
    <n v="0"/>
    <d v="2026-01-01T00:00:00"/>
    <s v="Q4"/>
    <x v="3"/>
    <n v="0"/>
    <n v="2840"/>
    <n v="10"/>
    <n v="0"/>
  </r>
  <r>
    <x v="9"/>
    <s v="NNFA7"/>
    <x v="6"/>
    <s v="GOOLE &amp; DISTRICT HOSPITAL"/>
    <n v="0"/>
    <n v="1571"/>
    <n v="0"/>
    <n v="21"/>
    <n v="0"/>
    <n v="0"/>
    <d v="2026-01-01T00:00:00"/>
    <s v="Q4"/>
    <x v="3"/>
    <n v="0"/>
    <n v="1571"/>
    <n v="10"/>
    <n v="0"/>
  </r>
  <r>
    <x v="9"/>
    <s v="NNF94"/>
    <x v="6"/>
    <s v="EAST RIDING COMMUNITY HOSPITAL"/>
    <n v="0"/>
    <n v="2419"/>
    <n v="0"/>
    <n v="138"/>
    <n v="0"/>
    <n v="0"/>
    <d v="2026-01-01T00:00:00"/>
    <s v="Q4"/>
    <x v="3"/>
    <n v="0"/>
    <n v="2419"/>
    <n v="10"/>
    <n v="0"/>
  </r>
  <r>
    <x v="9"/>
    <s v="NNF16"/>
    <x v="6"/>
    <s v="BRIDLINGTON HOSPITAL"/>
    <n v="0"/>
    <n v="1283"/>
    <n v="0"/>
    <n v="23"/>
    <n v="0"/>
    <n v="0"/>
    <d v="2026-01-01T00:00:00"/>
    <s v="Q4"/>
    <x v="3"/>
    <n v="0"/>
    <n v="1283"/>
    <n v="10"/>
    <n v="0"/>
  </r>
  <r>
    <x v="9"/>
    <s v="NNF09"/>
    <x v="6"/>
    <s v="BRANSHOLME HEALTH CENTRE"/>
    <n v="0"/>
    <n v="3624"/>
    <n v="0"/>
    <n v="266"/>
    <n v="0"/>
    <n v="0"/>
    <d v="2026-01-01T00:00:00"/>
    <s v="Q4"/>
    <x v="3"/>
    <n v="0"/>
    <n v="3624"/>
    <n v="10"/>
    <n v="0"/>
  </r>
  <r>
    <x v="9"/>
    <s v="NDJ"/>
    <x v="0"/>
    <s v="FIRST COMMUNITY HEALTH AND CARE CIC"/>
    <n v="0"/>
    <n v="2236"/>
    <n v="0"/>
    <n v="17"/>
    <n v="0"/>
    <n v="0"/>
    <d v="2026-01-01T00:00:00"/>
    <s v="Q4"/>
    <x v="3"/>
    <n v="0"/>
    <n v="2236"/>
    <n v="10"/>
    <n v="0"/>
  </r>
  <r>
    <x v="9"/>
    <s v="AQM01"/>
    <x v="0"/>
    <s v="FAVERSHAM MEDICAL PRACTICE MIU"/>
    <n v="0"/>
    <n v="3162"/>
    <n v="0"/>
    <n v="0"/>
    <n v="0"/>
    <n v="0"/>
    <d v="2026-01-01T00:00:00"/>
    <s v="Q4"/>
    <x v="3"/>
    <n v="0"/>
    <n v="3162"/>
    <n v="10"/>
    <n v="0"/>
  </r>
  <r>
    <x v="9"/>
    <s v="AAH"/>
    <x v="1"/>
    <s v="TETBURY HOSPITAL TRUST LTD"/>
    <n v="0"/>
    <n v="589"/>
    <n v="0"/>
    <n v="1"/>
    <n v="0"/>
    <n v="0"/>
    <d v="2026-01-01T00:00:00"/>
    <s v="Q4"/>
    <x v="3"/>
    <n v="0"/>
    <n v="589"/>
    <n v="10"/>
    <n v="0"/>
  </r>
  <r>
    <x v="9"/>
    <s v="RAJ"/>
    <x v="2"/>
    <s v="MID AND SOUTH ESSEX NHS FOUNDATION TRUST"/>
    <n v="26230"/>
    <n v="7495"/>
    <n v="11399"/>
    <n v="491"/>
    <n v="2637"/>
    <n v="951"/>
    <d v="2026-01-01T00:00:00"/>
    <s v="Q4"/>
    <x v="3"/>
    <n v="0.43457872664887531"/>
    <n v="33725"/>
    <n v="10"/>
    <n v="3.6256195196340067E-2"/>
  </r>
  <r>
    <x v="9"/>
    <s v="Y02615"/>
    <x v="5"/>
    <s v="SOUTH BIRMINGHAM GP WALK IN CENTRE"/>
    <n v="0"/>
    <n v="3507"/>
    <n v="0"/>
    <n v="0"/>
    <n v="0"/>
    <n v="0"/>
    <d v="2026-01-01T00:00:00"/>
    <s v="Q4"/>
    <x v="3"/>
    <n v="0"/>
    <n v="3507"/>
    <n v="10"/>
    <n v="0"/>
  </r>
  <r>
    <x v="9"/>
    <s v="R1D"/>
    <x v="5"/>
    <s v="SHROPSHIRE COMMUNITY HEALTH NHS TRUST"/>
    <n v="0"/>
    <n v="2888"/>
    <n v="0"/>
    <n v="5"/>
    <n v="0"/>
    <n v="0"/>
    <d v="2026-01-01T00:00:00"/>
    <s v="Q4"/>
    <x v="3"/>
    <n v="0"/>
    <n v="2888"/>
    <n v="10"/>
    <n v="0"/>
  </r>
  <r>
    <x v="9"/>
    <s v="RWY"/>
    <x v="6"/>
    <s v="CALDERDALE AND HUDDERSFIELD NHS FOUNDATION TRUST"/>
    <n v="15944"/>
    <n v="0"/>
    <n v="2970"/>
    <n v="0"/>
    <n v="1617"/>
    <n v="145"/>
    <d v="2026-01-01T00:00:00"/>
    <s v="Q4"/>
    <x v="3"/>
    <n v="0.18627696939287505"/>
    <n v="15944"/>
    <n v="10"/>
    <n v="9.0943301555444049E-3"/>
  </r>
  <r>
    <x v="9"/>
    <s v="RDY"/>
    <x v="1"/>
    <s v="DORSET HEALTHCARE UNIVERSITY NHS FOUNDATION TRUST"/>
    <n v="0"/>
    <n v="0"/>
    <n v="0"/>
    <n v="0"/>
    <n v="0"/>
    <n v="0"/>
    <d v="2026-01-01T00:00:00"/>
    <s v="Q4"/>
    <x v="3"/>
    <n v="0"/>
    <n v="0"/>
    <n v="10"/>
    <n v="0"/>
  </r>
  <r>
    <x v="9"/>
    <s v="RTP"/>
    <x v="0"/>
    <s v="SURREY AND SUSSEX HEALTHCARE NHS TRUST"/>
    <n v="12084"/>
    <n v="0"/>
    <n v="4458"/>
    <n v="0"/>
    <n v="515"/>
    <n v="783"/>
    <d v="2026-01-01T00:00:00"/>
    <s v="Q4"/>
    <x v="3"/>
    <n v="0.36891757696127109"/>
    <n v="12084"/>
    <n v="10"/>
    <n v="6.4796425024826215E-2"/>
  </r>
  <r>
    <x v="9"/>
    <s v="RQX"/>
    <x v="4"/>
    <s v="HOMERTON HEALTHCARE NHS FOUNDATION TRUST"/>
    <n v="11326"/>
    <n v="0"/>
    <n v="2399"/>
    <n v="0"/>
    <n v="322"/>
    <n v="36"/>
    <d v="2026-01-01T00:00:00"/>
    <s v="Q4"/>
    <x v="3"/>
    <n v="0.21181352639943493"/>
    <n v="11326"/>
    <n v="10"/>
    <n v="3.1785272823591734E-3"/>
  </r>
  <r>
    <x v="9"/>
    <s v="R0B"/>
    <x v="6"/>
    <s v="SOUTH TYNESIDE AND SUNDERLAND NHS FOUNDATION TRUST"/>
    <n v="11310"/>
    <n v="5280"/>
    <n v="5981"/>
    <n v="199"/>
    <n v="1220"/>
    <n v="0"/>
    <d v="2026-01-01T00:00:00"/>
    <s v="Q4"/>
    <x v="3"/>
    <n v="0.52882404951370465"/>
    <n v="16590"/>
    <n v="10"/>
    <n v="0"/>
  </r>
  <r>
    <x v="9"/>
    <s v="NNJ15"/>
    <x v="5"/>
    <s v="OAKHAM"/>
    <n v="0"/>
    <n v="62"/>
    <n v="0"/>
    <n v="1"/>
    <n v="0"/>
    <n v="0"/>
    <d v="2026-01-01T00:00:00"/>
    <s v="Q4"/>
    <x v="3"/>
    <n v="0"/>
    <n v="62"/>
    <n v="10"/>
    <n v="0"/>
  </r>
  <r>
    <x v="9"/>
    <s v="NNJ14"/>
    <x v="5"/>
    <s v="OADBY"/>
    <n v="0"/>
    <n v="551"/>
    <n v="0"/>
    <n v="2"/>
    <n v="0"/>
    <n v="0"/>
    <d v="2026-01-01T00:00:00"/>
    <s v="Q4"/>
    <x v="3"/>
    <n v="0"/>
    <n v="551"/>
    <n v="10"/>
    <n v="0"/>
  </r>
  <r>
    <x v="9"/>
    <s v="NNJ13"/>
    <x v="5"/>
    <s v="MELTON MOWBRAY"/>
    <n v="0"/>
    <n v="59"/>
    <n v="0"/>
    <n v="1"/>
    <n v="0"/>
    <n v="0"/>
    <d v="2026-01-01T00:00:00"/>
    <s v="Q4"/>
    <x v="3"/>
    <n v="0"/>
    <n v="59"/>
    <n v="10"/>
    <n v="0"/>
  </r>
  <r>
    <x v="9"/>
    <s v="NNJ12"/>
    <x v="5"/>
    <s v="MARKET HARBOROUGH"/>
    <n v="0"/>
    <n v="106"/>
    <n v="0"/>
    <n v="0"/>
    <n v="0"/>
    <n v="0"/>
    <d v="2026-01-01T00:00:00"/>
    <s v="Q4"/>
    <x v="3"/>
    <n v="0"/>
    <n v="106"/>
    <n v="10"/>
    <n v="0"/>
  </r>
  <r>
    <x v="9"/>
    <s v="NNJ0H"/>
    <x v="5"/>
    <s v="LLR EA - THE MERLYN VAZ HEALTH &amp; SOCIAL CARE CENTRE"/>
    <n v="0"/>
    <n v="207"/>
    <n v="0"/>
    <n v="1"/>
    <n v="0"/>
    <n v="0"/>
    <d v="2026-01-01T00:00:00"/>
    <s v="Q4"/>
    <x v="3"/>
    <n v="0"/>
    <n v="207"/>
    <n v="10"/>
    <n v="0"/>
  </r>
  <r>
    <x v="9"/>
    <s v="NNJ07"/>
    <x v="5"/>
    <s v="LOUGHBOROUGH URGENT CARE CENTRE"/>
    <n v="0"/>
    <n v="5147"/>
    <n v="0"/>
    <n v="37"/>
    <n v="0"/>
    <n v="0"/>
    <d v="2026-01-01T00:00:00"/>
    <s v="Q4"/>
    <x v="3"/>
    <n v="0"/>
    <n v="5147"/>
    <n v="10"/>
    <n v="0"/>
  </r>
  <r>
    <x v="9"/>
    <s v="NL7"/>
    <x v="5"/>
    <s v="ASSURA VERTIS URGENT CARE CENTRES (BIRMINGHAM)"/>
    <n v="0"/>
    <n v="3237"/>
    <n v="0"/>
    <n v="0"/>
    <n v="0"/>
    <n v="0"/>
    <d v="2026-01-01T00:00:00"/>
    <s v="Q4"/>
    <x v="3"/>
    <n v="0"/>
    <n v="3237"/>
    <n v="10"/>
    <n v="0"/>
  </r>
  <r>
    <x v="9"/>
    <s v="Y03218"/>
    <x v="4"/>
    <s v="THE PINN UNREGISTERED WIC"/>
    <n v="0"/>
    <n v="897"/>
    <n v="0"/>
    <n v="0"/>
    <n v="0"/>
    <n v="0"/>
    <d v="2026-01-01T00:00:00"/>
    <s v="Q4"/>
    <x v="3"/>
    <n v="0"/>
    <n v="897"/>
    <n v="10"/>
    <n v="0"/>
  </r>
  <r>
    <x v="9"/>
    <s v="Y02676"/>
    <x v="0"/>
    <s v="BRIGHTON STATION HEALTH CENTRE"/>
    <n v="0"/>
    <n v="1838"/>
    <n v="0"/>
    <n v="0"/>
    <n v="0"/>
    <n v="0"/>
    <d v="2026-01-01T00:00:00"/>
    <s v="Q4"/>
    <x v="3"/>
    <n v="0"/>
    <n v="1838"/>
    <n v="10"/>
    <n v="0"/>
  </r>
  <r>
    <x v="9"/>
    <s v="RY4"/>
    <x v="2"/>
    <s v="HERTFORDSHIRE COMMUNITY NHS TRUST"/>
    <n v="0"/>
    <n v="1040"/>
    <n v="0"/>
    <n v="7"/>
    <n v="0"/>
    <n v="0"/>
    <d v="2026-01-01T00:00:00"/>
    <s v="Q4"/>
    <x v="3"/>
    <n v="0"/>
    <n v="1040"/>
    <n v="10"/>
    <n v="0"/>
  </r>
  <r>
    <x v="9"/>
    <s v="RW1"/>
    <x v="0"/>
    <s v="HAMPSHIRE AND ISLE OF WIGHT HEALTHCARE NHS FOUNDATION TRUST"/>
    <n v="0"/>
    <n v="2858"/>
    <n v="0"/>
    <n v="43"/>
    <n v="0"/>
    <n v="0"/>
    <d v="2026-01-01T00:00:00"/>
    <s v="Q4"/>
    <x v="3"/>
    <n v="0"/>
    <n v="2858"/>
    <n v="10"/>
    <n v="0"/>
  </r>
  <r>
    <x v="9"/>
    <s v="RQW"/>
    <x v="2"/>
    <s v="THE PRINCESS ALEXANDRA HOSPITAL NHS TRUST"/>
    <n v="8998"/>
    <n v="2423"/>
    <n v="2254"/>
    <n v="0"/>
    <n v="511"/>
    <n v="322"/>
    <d v="2026-01-01T00:00:00"/>
    <s v="Q4"/>
    <x v="3"/>
    <n v="0.25050011113580795"/>
    <n v="11421"/>
    <n v="10"/>
    <n v="3.5785730162258278E-2"/>
  </r>
  <r>
    <x v="9"/>
    <s v="RPC"/>
    <x v="0"/>
    <s v="QUEEN VICTORIA HOSPITAL NHS FOUNDATION TRUST"/>
    <n v="0"/>
    <n v="1167"/>
    <n v="0"/>
    <n v="4"/>
    <n v="0"/>
    <n v="0"/>
    <d v="2026-01-01T00:00:00"/>
    <s v="Q4"/>
    <x v="3"/>
    <n v="0"/>
    <n v="1167"/>
    <n v="10"/>
    <n v="0"/>
  </r>
  <r>
    <x v="9"/>
    <s v="RGP"/>
    <x v="2"/>
    <s v="JAMES PAGET UNIVERSITY HOSPITALS NHS FOUNDATION TRUST"/>
    <n v="7247"/>
    <n v="1792"/>
    <n v="2533"/>
    <n v="0"/>
    <n v="577"/>
    <n v="417"/>
    <d v="2026-01-01T00:00:00"/>
    <s v="Q4"/>
    <x v="3"/>
    <n v="0.34952394094107908"/>
    <n v="9039"/>
    <n v="10"/>
    <n v="5.7541051469573619E-2"/>
  </r>
  <r>
    <x v="9"/>
    <s v="RCX"/>
    <x v="2"/>
    <s v="THE QUEEN ELIZABETH HOSPITAL, KING'S LYNN, NHS FOUNDATION TRUST"/>
    <n v="6576"/>
    <n v="1742"/>
    <n v="2997"/>
    <n v="0"/>
    <n v="585"/>
    <n v="229"/>
    <d v="2026-01-01T00:00:00"/>
    <s v="Q4"/>
    <x v="3"/>
    <n v="0.45574817518248173"/>
    <n v="8318"/>
    <n v="10"/>
    <n v="3.4823600973236009E-2"/>
  </r>
  <r>
    <x v="9"/>
    <s v="RBT"/>
    <x v="3"/>
    <s v="MID CHESHIRE HOSPITALS NHS FOUNDATION TRUST"/>
    <n v="6966"/>
    <n v="2875"/>
    <n v="3491"/>
    <n v="4"/>
    <n v="417"/>
    <n v="590"/>
    <d v="2026-01-01T00:00:00"/>
    <s v="Q4"/>
    <x v="3"/>
    <n v="0.5011484352569624"/>
    <n v="9841"/>
    <n v="10"/>
    <n v="8.4697100200976164E-2"/>
  </r>
  <r>
    <x v="9"/>
    <s v="NLX"/>
    <x v="1"/>
    <s v="SIRONA CARE &amp; HEALTH"/>
    <n v="0"/>
    <n v="7859"/>
    <n v="0"/>
    <n v="116"/>
    <n v="0"/>
    <n v="0"/>
    <d v="2026-01-01T00:00:00"/>
    <s v="Q4"/>
    <x v="3"/>
    <n v="0"/>
    <n v="7859"/>
    <n v="10"/>
    <n v="0"/>
  </r>
  <r>
    <x v="9"/>
    <s v="C82009"/>
    <x v="5"/>
    <s v="MARKET HARBOROUGH MED.CTR"/>
    <n v="0"/>
    <n v="219"/>
    <n v="0"/>
    <n v="0"/>
    <n v="0"/>
    <n v="0"/>
    <d v="2026-01-01T00:00:00"/>
    <s v="Q4"/>
    <x v="3"/>
    <n v="0"/>
    <n v="219"/>
    <n v="10"/>
    <n v="0"/>
  </r>
  <r>
    <x v="9"/>
    <s v="RV9"/>
    <x v="6"/>
    <s v="HUMBER TEACHING NHS FOUNDATION TRUST"/>
    <n v="0"/>
    <n v="879"/>
    <n v="0"/>
    <n v="1"/>
    <n v="0"/>
    <n v="0"/>
    <d v="2026-01-01T00:00:00"/>
    <s v="Q4"/>
    <x v="3"/>
    <n v="0"/>
    <n v="879"/>
    <n v="10"/>
    <n v="0"/>
  </r>
  <r>
    <x v="9"/>
    <s v="RNQ"/>
    <x v="5"/>
    <s v="KETTERING GENERAL HOSPITAL NHS FOUNDATION TRUST"/>
    <n v="10704"/>
    <n v="8591"/>
    <n v="4181"/>
    <n v="8"/>
    <n v="614"/>
    <n v="647"/>
    <d v="2026-01-01T00:00:00"/>
    <s v="Q4"/>
    <x v="3"/>
    <n v="0.39060164424514199"/>
    <n v="19295"/>
    <n v="10"/>
    <n v="6.0444693572496266E-2"/>
  </r>
  <r>
    <x v="9"/>
    <s v="RAS"/>
    <x v="4"/>
    <s v="THE HILLINGDON HOSPITALS NHS FOUNDATION TRUST"/>
    <n v="5428"/>
    <n v="6679"/>
    <n v="2710"/>
    <n v="26"/>
    <n v="622"/>
    <n v="34"/>
    <d v="2026-01-01T00:00:00"/>
    <s v="Q4"/>
    <x v="3"/>
    <n v="0.49926308032424466"/>
    <n v="12107"/>
    <n v="10"/>
    <n v="6.263817243920413E-3"/>
  </r>
  <r>
    <x v="9"/>
    <s v="RJL"/>
    <x v="6"/>
    <s v="NORTHERN LINCOLNSHIRE AND GOOLE NHS FOUNDATION TRUST"/>
    <n v="9631"/>
    <n v="7061"/>
    <n v="5647"/>
    <n v="40"/>
    <n v="676"/>
    <n v="1139"/>
    <d v="2026-01-01T00:00:00"/>
    <s v="Q4"/>
    <x v="3"/>
    <n v="0.58633579067594221"/>
    <n v="16692"/>
    <n v="10"/>
    <n v="0.11826393936247534"/>
  </r>
  <r>
    <x v="9"/>
    <s v="REM"/>
    <x v="3"/>
    <s v="LIVERPOOL UNIVERSITY HOSPITALS NHS FOUNDATION TRUST"/>
    <n v="16038"/>
    <n v="7822"/>
    <n v="8285"/>
    <n v="287"/>
    <n v="739"/>
    <n v="1485"/>
    <d v="2026-01-01T00:00:00"/>
    <s v="Q4"/>
    <x v="3"/>
    <n v="0.51658560917820173"/>
    <n v="23860"/>
    <n v="10"/>
    <n v="9.2592592592592587E-2"/>
  </r>
  <r>
    <x v="9"/>
    <s v="RGR"/>
    <x v="2"/>
    <s v="WEST SUFFOLK NHS FOUNDATION TRUST"/>
    <n v="7780"/>
    <n v="907"/>
    <n v="2804"/>
    <n v="0"/>
    <n v="473"/>
    <n v="622"/>
    <d v="2026-01-01T00:00:00"/>
    <s v="Q4"/>
    <x v="3"/>
    <n v="0.36041131105398455"/>
    <n v="8687"/>
    <n v="10"/>
    <n v="7.9948586118251924E-2"/>
  </r>
  <r>
    <x v="9"/>
    <s v="ARN03"/>
    <x v="6"/>
    <s v="LOCAL CARE DIRECT"/>
    <n v="0"/>
    <n v="2462"/>
    <n v="0"/>
    <n v="9"/>
    <n v="0"/>
    <n v="0"/>
    <d v="2026-01-01T00:00:00"/>
    <s v="Q4"/>
    <x v="3"/>
    <n v="0"/>
    <n v="2462"/>
    <n v="10"/>
    <n v="0"/>
  </r>
  <r>
    <x v="9"/>
    <s v="RYX"/>
    <x v="4"/>
    <s v="CENTRAL LONDON COMMUNITY HEALTHCARE NHS TRUST"/>
    <n v="0"/>
    <n v="11622"/>
    <n v="0"/>
    <n v="195"/>
    <n v="0"/>
    <n v="0"/>
    <d v="2026-01-01T00:00:00"/>
    <s v="Q4"/>
    <x v="3"/>
    <n v="0"/>
    <n v="11622"/>
    <n v="10"/>
    <n v="0"/>
  </r>
  <r>
    <x v="9"/>
    <s v="RYJ"/>
    <x v="4"/>
    <s v="IMPERIAL COLLEGE HEALTHCARE NHS TRUST"/>
    <n v="12325"/>
    <n v="6817"/>
    <n v="5303"/>
    <n v="302"/>
    <n v="564"/>
    <n v="0"/>
    <d v="2026-01-01T00:00:00"/>
    <s v="Q4"/>
    <x v="3"/>
    <n v="0.43026369168356998"/>
    <n v="19142"/>
    <n v="10"/>
    <n v="0"/>
  </r>
  <r>
    <x v="9"/>
    <s v="RYG"/>
    <x v="5"/>
    <s v="COVENTRY AND WARWICKSHIRE PARTNERSHIP NHS TRUST"/>
    <n v="0"/>
    <n v="0"/>
    <n v="0"/>
    <n v="0"/>
    <n v="0"/>
    <n v="0"/>
    <d v="2026-01-01T00:00:00"/>
    <s v="Q4"/>
    <x v="3"/>
    <n v="0"/>
    <n v="0"/>
    <n v="10"/>
    <n v="0"/>
  </r>
  <r>
    <x v="9"/>
    <s v="RXF"/>
    <x v="6"/>
    <s v="MID YORKSHIRE TEACHING NHS TRUST"/>
    <n v="16197"/>
    <n v="6201"/>
    <n v="6542"/>
    <n v="266"/>
    <n v="2350"/>
    <n v="1038"/>
    <d v="2026-01-01T00:00:00"/>
    <s v="Q4"/>
    <x v="3"/>
    <n v="0.40390195715255911"/>
    <n v="22398"/>
    <n v="10"/>
    <n v="6.4085941841081684E-2"/>
  </r>
  <r>
    <x v="9"/>
    <s v="RX1"/>
    <x v="5"/>
    <s v="NOTTINGHAM UNIVERSITY HOSPITALS NHS TRUST"/>
    <n v="12595"/>
    <n v="9116"/>
    <n v="7716"/>
    <n v="1611"/>
    <n v="164"/>
    <n v="1027"/>
    <d v="2026-01-01T00:00:00"/>
    <s v="Q4"/>
    <x v="3"/>
    <n v="0.61262405716554191"/>
    <n v="21711"/>
    <n v="10"/>
    <n v="8.1540293767368002E-2"/>
  </r>
  <r>
    <x v="9"/>
    <s v="RWW"/>
    <x v="3"/>
    <s v="WARRINGTON AND HALTON TEACHING HOSPITALS NHS FOUNDATION TRUST"/>
    <n v="6660"/>
    <n v="2682"/>
    <n v="3450"/>
    <n v="27"/>
    <n v="499"/>
    <n v="1063"/>
    <d v="2026-01-01T00:00:00"/>
    <s v="Q4"/>
    <x v="3"/>
    <n v="0.51801801801801806"/>
    <n v="9342"/>
    <n v="10"/>
    <n v="0.1596096096096096"/>
  </r>
  <r>
    <x v="9"/>
    <s v="RWH"/>
    <x v="2"/>
    <s v="EAST AND NORTH HERTFORDSHIRE TEACHING NHS TRUST"/>
    <n v="9586"/>
    <n v="8414"/>
    <n v="5582"/>
    <n v="63"/>
    <n v="698"/>
    <n v="334"/>
    <d v="2026-01-01T00:00:00"/>
    <s v="Q4"/>
    <x v="3"/>
    <n v="0.58230753181723349"/>
    <n v="18000"/>
    <n v="10"/>
    <n v="3.4842478614646358E-2"/>
  </r>
  <r>
    <x v="9"/>
    <s v="RWG"/>
    <x v="2"/>
    <s v="WEST HERTFORDSHIRE TEACHING HOSPITALS NHS TRUST"/>
    <n v="8781"/>
    <n v="7633"/>
    <n v="3035"/>
    <n v="114"/>
    <n v="913"/>
    <n v="14"/>
    <d v="2026-01-01T00:00:00"/>
    <s v="Q4"/>
    <x v="3"/>
    <n v="0.34563261587518507"/>
    <n v="16414"/>
    <n v="10"/>
    <n v="1.5943514406104088E-3"/>
  </r>
  <r>
    <x v="9"/>
    <s v="RWA"/>
    <x v="6"/>
    <s v="HULL UNIVERSITY TEACHING HOSPITALS NHS TRUST"/>
    <n v="10124"/>
    <n v="4130"/>
    <n v="5408"/>
    <n v="315"/>
    <n v="798"/>
    <n v="856"/>
    <d v="2026-01-01T00:00:00"/>
    <s v="Q4"/>
    <x v="3"/>
    <n v="0.53417621493480838"/>
    <n v="14254"/>
    <n v="10"/>
    <n v="8.4551560647965235E-2"/>
  </r>
  <r>
    <x v="9"/>
    <s v="RVJ"/>
    <x v="1"/>
    <s v="NORTH BRISTOL NHS TRUST"/>
    <n v="9077"/>
    <n v="0"/>
    <n v="3607"/>
    <n v="0"/>
    <n v="523"/>
    <n v="564"/>
    <d v="2026-01-01T00:00:00"/>
    <s v="Q4"/>
    <x v="3"/>
    <n v="0.39737798832213284"/>
    <n v="9077"/>
    <n v="10"/>
    <n v="6.2135066651977523E-2"/>
  </r>
  <r>
    <x v="9"/>
    <s v="RTR"/>
    <x v="6"/>
    <s v="SOUTH TEES HOSPITALS NHS FOUNDATION TRUST"/>
    <n v="7582"/>
    <n v="8848"/>
    <n v="4082"/>
    <n v="457"/>
    <n v="587"/>
    <n v="58"/>
    <d v="2026-01-01T00:00:00"/>
    <s v="Q4"/>
    <x v="3"/>
    <n v="0.53838037457135324"/>
    <n v="16430"/>
    <n v="10"/>
    <n v="7.6496966499604328E-3"/>
  </r>
  <r>
    <x v="9"/>
    <s v="RTG"/>
    <x v="5"/>
    <s v="UNIVERSITY HOSPITALS OF DERBY AND BURTON NHS FOUNDATION TRUST"/>
    <n v="18570"/>
    <n v="8577"/>
    <n v="9681"/>
    <n v="3"/>
    <n v="1085"/>
    <n v="1544"/>
    <d v="2026-01-01T00:00:00"/>
    <s v="Q4"/>
    <x v="3"/>
    <n v="0.52132471728594509"/>
    <n v="27147"/>
    <n v="10"/>
    <n v="8.3144857296715127E-2"/>
  </r>
  <r>
    <x v="9"/>
    <s v="RTF"/>
    <x v="6"/>
    <s v="NORTHUMBRIA HEALTHCARE NHS FOUNDATION TRUST"/>
    <n v="10331"/>
    <n v="12185"/>
    <n v="3062"/>
    <n v="0"/>
    <n v="99"/>
    <n v="0"/>
    <d v="2026-01-01T00:00:00"/>
    <s v="Q4"/>
    <x v="3"/>
    <n v="0.29638950730810182"/>
    <n v="22516"/>
    <n v="10"/>
    <n v="0"/>
  </r>
  <r>
    <x v="9"/>
    <s v="RTD"/>
    <x v="6"/>
    <s v="THE NEWCASTLE UPON TYNE HOSPITALS NHS FOUNDATION TRUST"/>
    <n v="11948"/>
    <n v="7137"/>
    <n v="5103"/>
    <n v="135"/>
    <n v="669"/>
    <n v="26"/>
    <d v="2026-01-01T00:00:00"/>
    <s v="Q4"/>
    <x v="3"/>
    <n v="0.42710077000334784"/>
    <n v="19085"/>
    <n v="10"/>
    <n v="2.1760964178105121E-3"/>
  </r>
  <r>
    <x v="9"/>
    <s v="RRK"/>
    <x v="5"/>
    <s v="UNIVERSITY HOSPITALS BIRMINGHAM NHS FOUNDATION TRUST"/>
    <n v="33649"/>
    <n v="3187"/>
    <n v="14514"/>
    <n v="33"/>
    <n v="2517"/>
    <n v="2076"/>
    <d v="2026-01-01T00:00:00"/>
    <s v="Q4"/>
    <x v="3"/>
    <n v="0.43133525513388216"/>
    <n v="36836"/>
    <n v="10"/>
    <n v="6.169574132960861E-2"/>
  </r>
  <r>
    <x v="9"/>
    <s v="RR8"/>
    <x v="6"/>
    <s v="LEEDS TEACHING HOSPITALS NHS TRUST"/>
    <n v="18079"/>
    <n v="10990"/>
    <n v="7513"/>
    <n v="339"/>
    <n v="1129"/>
    <n v="1030"/>
    <d v="2026-01-01T00:00:00"/>
    <s v="Q4"/>
    <x v="3"/>
    <n v="0.41556502018916974"/>
    <n v="29069"/>
    <n v="10"/>
    <n v="5.697217766469384E-2"/>
  </r>
  <r>
    <x v="9"/>
    <s v="RQM"/>
    <x v="4"/>
    <s v="CHELSEA AND WESTMINSTER HOSPITAL NHS FOUNDATION TRUST"/>
    <n v="20360"/>
    <n v="6587"/>
    <n v="6068"/>
    <n v="197"/>
    <n v="1360"/>
    <n v="54"/>
    <d v="2026-01-01T00:00:00"/>
    <s v="Q4"/>
    <x v="3"/>
    <n v="0.29803536345776033"/>
    <n v="26947"/>
    <n v="10"/>
    <n v="2.6522593320235754E-3"/>
  </r>
  <r>
    <x v="9"/>
    <s v="RP5"/>
    <x v="6"/>
    <s v="DONCASTER AND BASSETLAW TEACHING HOSPITALS NHS FOUNDATION TRUST"/>
    <n v="13844"/>
    <n v="3975"/>
    <n v="5716"/>
    <n v="2"/>
    <n v="1288"/>
    <n v="339"/>
    <d v="2026-01-01T00:00:00"/>
    <s v="Q4"/>
    <x v="3"/>
    <n v="0.41288644900317828"/>
    <n v="17819"/>
    <n v="10"/>
    <n v="2.4487142444380237E-2"/>
  </r>
  <r>
    <x v="9"/>
    <s v="RN7"/>
    <x v="0"/>
    <s v="DARTFORD AND GRAVESHAM NHS TRUST"/>
    <n v="11427"/>
    <n v="3776"/>
    <n v="3042"/>
    <n v="28"/>
    <n v="536"/>
    <n v="502"/>
    <d v="2026-01-01T00:00:00"/>
    <s v="Q4"/>
    <x v="3"/>
    <n v="0.26621160409556316"/>
    <n v="15203"/>
    <n v="10"/>
    <n v="4.3931040518071236E-2"/>
  </r>
  <r>
    <x v="9"/>
    <s v="RGT"/>
    <x v="2"/>
    <s v="CAMBRIDGE UNIVERSITY HOSPITALS NHS FOUNDATION TRUST"/>
    <n v="11197"/>
    <n v="5116"/>
    <n v="5218"/>
    <n v="110"/>
    <n v="538"/>
    <n v="729"/>
    <d v="2026-01-01T00:00:00"/>
    <s v="Q4"/>
    <x v="3"/>
    <n v="0.46601768330802895"/>
    <n v="16313"/>
    <n v="10"/>
    <n v="6.5106725015629183E-2"/>
  </r>
  <r>
    <x v="9"/>
    <s v="RN3"/>
    <x v="1"/>
    <s v="GREAT WESTERN HOSPITALS NHS FOUNDATION TRUST"/>
    <n v="6337"/>
    <n v="5333"/>
    <n v="3548"/>
    <n v="339"/>
    <n v="527"/>
    <n v="463"/>
    <d v="2026-01-01T00:00:00"/>
    <s v="Q4"/>
    <x v="3"/>
    <n v="0.55988638156856552"/>
    <n v="11670"/>
    <n v="10"/>
    <n v="7.306296354741991E-2"/>
  </r>
  <r>
    <x v="9"/>
    <s v="RH5"/>
    <x v="1"/>
    <s v="SOMERSET NHS FOUNDATION TRUST"/>
    <n v="11844"/>
    <n v="9157"/>
    <n v="6579"/>
    <n v="309"/>
    <n v="839"/>
    <n v="330"/>
    <d v="2026-01-01T00:00:00"/>
    <s v="Q4"/>
    <x v="3"/>
    <n v="0.55547112462006076"/>
    <n v="21001"/>
    <n v="10"/>
    <n v="2.7862208713272545E-2"/>
  </r>
  <r>
    <x v="9"/>
    <s v="RN5"/>
    <x v="0"/>
    <s v="HAMPSHIRE HOSPITALS NHS FOUNDATION TRUST"/>
    <n v="10362"/>
    <n v="4004"/>
    <n v="6010"/>
    <n v="279"/>
    <n v="429"/>
    <n v="53"/>
    <d v="2026-01-01T00:00:00"/>
    <s v="Q4"/>
    <x v="3"/>
    <n v="0.58000386025863737"/>
    <n v="14366"/>
    <n v="10"/>
    <n v="5.1148426944605287E-3"/>
  </r>
  <r>
    <x v="9"/>
    <s v="RWD"/>
    <x v="5"/>
    <s v="UNITED LINCOLNSHIRE TEACHING HOSPITALS NHS TRUST"/>
    <n v="17164"/>
    <n v="4565"/>
    <n v="7743"/>
    <n v="357"/>
    <n v="655"/>
    <n v="1595"/>
    <d v="2026-01-01T00:00:00"/>
    <s v="Q4"/>
    <x v="3"/>
    <n v="0.45111862036821254"/>
    <n v="21729"/>
    <n v="10"/>
    <n v="9.2927056630156143E-2"/>
  </r>
  <r>
    <x v="9"/>
    <s v="RA7"/>
    <x v="1"/>
    <s v="UNIVERSITY HOSPITALS BRISTOL AND WESTON NHS FOUNDATION TRUST"/>
    <n v="15960"/>
    <n v="0"/>
    <n v="6011"/>
    <n v="0"/>
    <n v="1077"/>
    <n v="793"/>
    <d v="2026-01-01T00:00:00"/>
    <s v="Q4"/>
    <x v="3"/>
    <n v="0.37662907268170426"/>
    <n v="15960"/>
    <n v="10"/>
    <n v="4.9686716791979953E-2"/>
  </r>
  <r>
    <x v="9"/>
    <s v="NQT5F"/>
    <x v="3"/>
    <s v="SKELMERSDALE WALK IN CENTRE"/>
    <n v="0"/>
    <n v="1552"/>
    <n v="0"/>
    <n v="4"/>
    <n v="0"/>
    <n v="0"/>
    <d v="2026-01-01T00:00:00"/>
    <s v="Q4"/>
    <x v="3"/>
    <n v="0"/>
    <n v="1552"/>
    <n v="10"/>
    <n v="0"/>
  </r>
  <r>
    <x v="9"/>
    <s v="AQN04"/>
    <x v="0"/>
    <s v="PHL LYMINGTON UTC"/>
    <n v="0"/>
    <n v="2705"/>
    <n v="0"/>
    <n v="13"/>
    <n v="0"/>
    <n v="0"/>
    <d v="2026-01-01T00:00:00"/>
    <s v="Q4"/>
    <x v="3"/>
    <n v="0"/>
    <n v="2705"/>
    <n v="10"/>
    <n v="0"/>
  </r>
  <r>
    <x v="9"/>
    <s v="RHU"/>
    <x v="0"/>
    <s v="PORTSMOUTH HOSPITALS UNIVERSITY NHS TRUST"/>
    <n v="10780"/>
    <n v="3094"/>
    <n v="4300"/>
    <n v="0"/>
    <n v="719"/>
    <n v="1400"/>
    <d v="2026-01-01T00:00:00"/>
    <s v="Q4"/>
    <x v="3"/>
    <n v="0.39888682745825604"/>
    <n v="13874"/>
    <n v="10"/>
    <n v="0.12987012987012986"/>
  </r>
  <r>
    <x v="9"/>
    <s v="Y02532"/>
    <x v="3"/>
    <s v="MIRIAM MINOR EMERGENCY"/>
    <n v="0"/>
    <n v="1700"/>
    <n v="0"/>
    <n v="0"/>
    <n v="0"/>
    <n v="0"/>
    <d v="2026-01-01T00:00:00"/>
    <s v="Q4"/>
    <x v="3"/>
    <n v="0"/>
    <n v="1700"/>
    <n v="10"/>
    <n v="0"/>
  </r>
  <r>
    <x v="9"/>
    <s v="RAL"/>
    <x v="4"/>
    <s v="ROYAL FREE LONDON NHS FOUNDATION TRUST"/>
    <n v="27220"/>
    <n v="15730"/>
    <n v="9515"/>
    <n v="1108"/>
    <n v="739"/>
    <n v="2508"/>
    <d v="2026-01-01T00:00:00"/>
    <s v="Q4"/>
    <x v="3"/>
    <n v="0.34955914768552537"/>
    <n v="42950"/>
    <n v="10"/>
    <n v="9.2138133725202062E-2"/>
  </r>
  <r>
    <x v="9"/>
    <s v="RM3"/>
    <x v="3"/>
    <s v="NORTHERN CARE ALLIANCE NHS FOUNDATION TRUST"/>
    <n v="26583"/>
    <n v="9672"/>
    <n v="10504"/>
    <n v="266"/>
    <n v="893"/>
    <n v="1610"/>
    <d v="2026-01-01T00:00:00"/>
    <s v="Q4"/>
    <x v="3"/>
    <n v="0.39513975096866416"/>
    <n v="36255"/>
    <n v="10"/>
    <n v="6.0565022758906066E-2"/>
  </r>
  <r>
    <x v="9"/>
    <s v="R1K"/>
    <x v="4"/>
    <s v="LONDON NORTH WEST UNIVERSITY HEALTHCARE NHS TRUST"/>
    <n v="13710"/>
    <n v="15810"/>
    <n v="7893"/>
    <n v="624"/>
    <n v="802"/>
    <n v="776"/>
    <d v="2026-01-01T00:00:00"/>
    <s v="Q4"/>
    <x v="3"/>
    <n v="0.57571115973741793"/>
    <n v="29520"/>
    <n v="10"/>
    <n v="5.6601021152443469E-2"/>
  </r>
  <r>
    <x v="9"/>
    <s v="RHW"/>
    <x v="0"/>
    <s v="ROYAL BERKSHIRE NHS FOUNDATION TRUST"/>
    <n v="11180"/>
    <n v="2623"/>
    <n v="4292"/>
    <n v="0"/>
    <n v="336"/>
    <n v="11"/>
    <d v="2026-01-01T00:00:00"/>
    <s v="Q4"/>
    <x v="3"/>
    <n v="0.38389982110912346"/>
    <n v="13803"/>
    <n v="10"/>
    <n v="9.838998211091235E-4"/>
  </r>
  <r>
    <x v="9"/>
    <s v="RBL"/>
    <x v="3"/>
    <s v="WIRRAL UNIVERSITY TEACHING HOSPITAL NHS FOUNDATION TRUST"/>
    <n v="7867"/>
    <n v="2784"/>
    <n v="4561"/>
    <n v="79"/>
    <n v="412"/>
    <n v="1051"/>
    <d v="2026-01-01T00:00:00"/>
    <s v="Q4"/>
    <x v="3"/>
    <n v="0.57976356934028217"/>
    <n v="10651"/>
    <n v="10"/>
    <n v="0.13359603406635312"/>
  </r>
  <r>
    <x v="9"/>
    <s v="DT301"/>
    <x v="2"/>
    <s v="HERTS URGENT CARE (ASCOTS LANE)"/>
    <n v="0"/>
    <n v="1941"/>
    <n v="0"/>
    <n v="37"/>
    <n v="0"/>
    <n v="0"/>
    <d v="2026-01-01T00:00:00"/>
    <s v="Q4"/>
    <x v="3"/>
    <n v="0"/>
    <n v="1941"/>
    <n v="10"/>
    <n v="0"/>
  </r>
  <r>
    <x v="9"/>
    <s v="RYY"/>
    <x v="0"/>
    <s v="KENT COMMUNITY HEALTH NHS FOUNDATION TRUST"/>
    <n v="0"/>
    <n v="6460"/>
    <n v="0"/>
    <n v="38"/>
    <n v="0"/>
    <n v="0"/>
    <d v="2026-01-01T00:00:00"/>
    <s v="Q4"/>
    <x v="3"/>
    <n v="0"/>
    <n v="6460"/>
    <n v="10"/>
    <n v="0"/>
  </r>
  <r>
    <x v="9"/>
    <s v="RTH"/>
    <x v="0"/>
    <s v="OXFORD UNIVERSITY HOSPITALS NHS FOUNDATION TRUST"/>
    <n v="12324"/>
    <n v="3448"/>
    <n v="3953"/>
    <n v="53"/>
    <n v="620"/>
    <n v="23"/>
    <d v="2026-01-01T00:00:00"/>
    <s v="Q4"/>
    <x v="3"/>
    <n v="0.32075624797143787"/>
    <n v="15772"/>
    <n v="10"/>
    <n v="1.8662771827328789E-3"/>
  </r>
  <r>
    <x v="9"/>
    <s v="RPA"/>
    <x v="0"/>
    <s v="MEDWAY NHS FOUNDATION TRUST"/>
    <n v="9581"/>
    <n v="5547"/>
    <n v="4097"/>
    <n v="766"/>
    <n v="312"/>
    <n v="869"/>
    <d v="2026-01-01T00:00:00"/>
    <s v="Q4"/>
    <x v="3"/>
    <n v="0.42761715896044256"/>
    <n v="15128"/>
    <n v="10"/>
    <n v="9.0700344431687716E-2"/>
  </r>
  <r>
    <x v="9"/>
    <s v="RKB"/>
    <x v="5"/>
    <s v="UNIVERSITY HOSPITALS COVENTRY AND WARWICKSHIRE NHS TRUST"/>
    <n v="12635"/>
    <n v="5726"/>
    <n v="5477"/>
    <n v="88"/>
    <n v="46"/>
    <n v="8"/>
    <d v="2026-01-01T00:00:00"/>
    <s v="Q4"/>
    <x v="3"/>
    <n v="0.43347843292441629"/>
    <n v="18361"/>
    <n v="10"/>
    <n v="6.3316185199841705E-4"/>
  </r>
  <r>
    <x v="9"/>
    <s v="RJ7"/>
    <x v="4"/>
    <s v="ST GEORGE'S UNIVERSITY HOSPITALS NHS FOUNDATION TRUST"/>
    <n v="9068"/>
    <n v="3932"/>
    <n v="3013"/>
    <n v="119"/>
    <n v="432"/>
    <n v="697"/>
    <d v="2026-01-01T00:00:00"/>
    <s v="Q4"/>
    <x v="3"/>
    <n v="0.3322673136303485"/>
    <n v="13000"/>
    <n v="10"/>
    <n v="7.6863696515218349E-2"/>
  </r>
  <r>
    <x v="9"/>
    <s v="C83023"/>
    <x v="5"/>
    <s v="SLEAFORD MEDICAL GROUP"/>
    <n v="0"/>
    <n v="561"/>
    <n v="0"/>
    <n v="0"/>
    <n v="0"/>
    <n v="0"/>
    <d v="2026-01-01T00:00:00"/>
    <s v="Q4"/>
    <x v="3"/>
    <n v="0"/>
    <n v="561"/>
    <n v="10"/>
    <n v="0"/>
  </r>
  <r>
    <x v="9"/>
    <s v="RWX"/>
    <x v="0"/>
    <s v="BERKSHIRE HEALTHCARE NHS FOUNDATION TRUST"/>
    <n v="0"/>
    <n v="1325"/>
    <n v="0"/>
    <n v="14"/>
    <n v="0"/>
    <n v="0"/>
    <d v="2026-01-01T00:00:00"/>
    <s v="Q4"/>
    <x v="3"/>
    <n v="0"/>
    <n v="1325"/>
    <n v="10"/>
    <n v="0"/>
  </r>
  <r>
    <x v="9"/>
    <s v="RVR"/>
    <x v="4"/>
    <s v="EPSOM AND ST HELIER UNIVERSITY HOSPITALS NHS TRUST"/>
    <n v="11244"/>
    <n v="2167"/>
    <n v="3440"/>
    <n v="203"/>
    <n v="580"/>
    <n v="913"/>
    <d v="2026-01-01T00:00:00"/>
    <s v="Q4"/>
    <x v="3"/>
    <n v="0.30594094628246177"/>
    <n v="13411"/>
    <n v="10"/>
    <n v="8.1198861615083606E-2"/>
  </r>
  <r>
    <x v="9"/>
    <s v="RQ3"/>
    <x v="5"/>
    <s v="BIRMINGHAM WOMEN'S AND CHILDREN'S NHS FOUNDATION TRUST"/>
    <n v="4501"/>
    <n v="0"/>
    <n v="1009"/>
    <n v="0"/>
    <n v="33"/>
    <n v="4"/>
    <d v="2026-01-01T00:00:00"/>
    <s v="Q4"/>
    <x v="3"/>
    <n v="0.22417240613197068"/>
    <n v="4501"/>
    <n v="10"/>
    <n v="8.8869140191068653E-4"/>
  </r>
  <r>
    <x v="9"/>
    <s v="RM1"/>
    <x v="2"/>
    <s v="NORFOLK AND NORWICH UNIVERSITY HOSPITALS NHS FOUNDATION TRUST"/>
    <n v="12503"/>
    <n v="7372"/>
    <n v="4255"/>
    <n v="1"/>
    <n v="652"/>
    <n v="555"/>
    <d v="2026-01-01T00:00:00"/>
    <s v="Q4"/>
    <x v="3"/>
    <n v="0.34031832360233544"/>
    <n v="19875"/>
    <n v="10"/>
    <n v="4.4389346556826359E-2"/>
  </r>
  <r>
    <x v="9"/>
    <s v="RDR"/>
    <x v="0"/>
    <s v="SUSSEX COMMUNITY NHS FOUNDATION TRUST"/>
    <n v="0"/>
    <n v="11207"/>
    <n v="0"/>
    <n v="126"/>
    <n v="0"/>
    <n v="0"/>
    <d v="2026-01-01T00:00:00"/>
    <s v="Q4"/>
    <x v="3"/>
    <n v="0"/>
    <n v="11207"/>
    <n v="10"/>
    <n v="0"/>
  </r>
  <r>
    <x v="9"/>
    <s v="RKE"/>
    <x v="4"/>
    <s v="WHITTINGTON HEALTH NHS TRUST"/>
    <n v="9222"/>
    <n v="0"/>
    <n v="2870"/>
    <n v="0"/>
    <n v="179"/>
    <n v="376"/>
    <d v="2026-01-01T00:00:00"/>
    <s v="Q4"/>
    <x v="3"/>
    <n v="0.31121231836911734"/>
    <n v="9222"/>
    <n v="10"/>
    <n v="4.0772066796790282E-2"/>
  </r>
  <r>
    <x v="9"/>
    <s v="RJZ"/>
    <x v="4"/>
    <s v="KING'S COLLEGE HOSPITAL NHS FOUNDATION TRUST"/>
    <n v="16373"/>
    <n v="9168"/>
    <n v="7823"/>
    <n v="637"/>
    <n v="1503"/>
    <n v="1145"/>
    <d v="2026-01-01T00:00:00"/>
    <s v="Q4"/>
    <x v="3"/>
    <n v="0.4777988151224577"/>
    <n v="25541"/>
    <n v="10"/>
    <n v="6.9932205460208882E-2"/>
  </r>
  <r>
    <x v="9"/>
    <s v="RXC"/>
    <x v="0"/>
    <s v="EAST SUSSEX HEALTHCARE NHS TRUST"/>
    <n v="9503"/>
    <n v="2017"/>
    <n v="4576"/>
    <n v="41"/>
    <n v="225"/>
    <n v="197"/>
    <d v="2026-01-01T00:00:00"/>
    <s v="Q4"/>
    <x v="3"/>
    <n v="0.48153214774281805"/>
    <n v="11520"/>
    <n v="10"/>
    <n v="2.0730295696095968E-2"/>
  </r>
  <r>
    <x v="9"/>
    <s v="RWJ"/>
    <x v="3"/>
    <s v="STOCKPORT NHS FOUNDATION TRUST"/>
    <n v="8068"/>
    <n v="979"/>
    <n v="3478"/>
    <n v="69"/>
    <n v="655"/>
    <n v="564"/>
    <d v="2026-01-01T00:00:00"/>
    <s v="Q4"/>
    <x v="3"/>
    <n v="0.43108577094695094"/>
    <n v="9047"/>
    <n v="10"/>
    <n v="6.9905800694100143E-2"/>
  </r>
  <r>
    <x v="9"/>
    <s v="RWE"/>
    <x v="5"/>
    <s v="UNIVERSITY HOSPITALS OF LEICESTER NHS TRUST"/>
    <n v="22688"/>
    <n v="0"/>
    <n v="9253"/>
    <n v="0"/>
    <n v="1467"/>
    <n v="1017"/>
    <d v="2026-01-01T00:00:00"/>
    <s v="Q4"/>
    <x v="3"/>
    <n v="0.40783674188998592"/>
    <n v="22688"/>
    <n v="10"/>
    <n v="4.4825458392101551E-2"/>
  </r>
  <r>
    <x v="9"/>
    <s v="RVW"/>
    <x v="6"/>
    <s v="NORTH TEES AND HARTLEPOOL NHS FOUNDATION TRUST"/>
    <n v="5067"/>
    <n v="10971"/>
    <n v="3116"/>
    <n v="31"/>
    <n v="353"/>
    <n v="65"/>
    <d v="2026-01-01T00:00:00"/>
    <s v="Q4"/>
    <x v="3"/>
    <n v="0.61495954213538584"/>
    <n v="16038"/>
    <n v="10"/>
    <n v="1.2828103414249063E-2"/>
  </r>
  <r>
    <x v="9"/>
    <s v="RVV"/>
    <x v="0"/>
    <s v="EAST KENT HOSPITALS UNIVERSITY NHS FOUNDATION TRUST"/>
    <n v="13369"/>
    <n v="11794"/>
    <n v="6172"/>
    <n v="364"/>
    <n v="511"/>
    <n v="1208"/>
    <d v="2026-01-01T00:00:00"/>
    <s v="Q4"/>
    <x v="3"/>
    <n v="0.4616650460019448"/>
    <n v="25163"/>
    <n v="10"/>
    <n v="9.0358291570050112E-2"/>
  </r>
  <r>
    <x v="9"/>
    <s v="RTE"/>
    <x v="1"/>
    <s v="GLOUCESTERSHIRE HOSPITALS NHS FOUNDATION TRUST"/>
    <n v="13205"/>
    <n v="0"/>
    <n v="5315"/>
    <n v="0"/>
    <n v="318"/>
    <n v="543"/>
    <d v="2026-01-01T00:00:00"/>
    <s v="Q4"/>
    <x v="3"/>
    <n v="0.40249905338886788"/>
    <n v="13205"/>
    <n v="10"/>
    <n v="4.1120787580461948E-2"/>
  </r>
  <r>
    <x v="9"/>
    <s v="RRF"/>
    <x v="3"/>
    <s v="WRIGHTINGTON, WIGAN AND LEIGH TEACHING HOSPITALS NHS FOUNDATION TRUST"/>
    <n v="7503"/>
    <n v="4746"/>
    <n v="4108"/>
    <n v="99"/>
    <n v="540"/>
    <n v="567"/>
    <d v="2026-01-01T00:00:00"/>
    <s v="Q4"/>
    <x v="3"/>
    <n v="0.54751432760229246"/>
    <n v="12249"/>
    <n v="10"/>
    <n v="7.5569772091163528E-2"/>
  </r>
  <r>
    <x v="9"/>
    <s v="RR7"/>
    <x v="6"/>
    <s v="GATESHEAD HEALTH NHS FOUNDATION TRUST"/>
    <n v="5916"/>
    <n v="4193"/>
    <n v="3081"/>
    <n v="38"/>
    <n v="1068"/>
    <n v="12"/>
    <d v="2026-01-01T00:00:00"/>
    <s v="Q4"/>
    <x v="3"/>
    <n v="0.52079107505070998"/>
    <n v="10109"/>
    <n v="10"/>
    <n v="2.0283975659229209E-3"/>
  </r>
  <r>
    <x v="9"/>
    <s v="RNZ"/>
    <x v="1"/>
    <s v="SALISBURY NHS FOUNDATION TRUST"/>
    <n v="4691"/>
    <n v="2028"/>
    <n v="2163"/>
    <n v="0"/>
    <n v="434"/>
    <n v="171"/>
    <d v="2026-01-01T00:00:00"/>
    <s v="Q4"/>
    <x v="3"/>
    <n v="0.46109571519931786"/>
    <n v="6719"/>
    <n v="10"/>
    <n v="3.6452781922830954E-2"/>
  </r>
  <r>
    <x v="9"/>
    <s v="RNS"/>
    <x v="5"/>
    <s v="NORTHAMPTON GENERAL HOSPITAL NHS TRUST"/>
    <n v="10676"/>
    <n v="2109"/>
    <n v="4333"/>
    <n v="82"/>
    <n v="407"/>
    <n v="923"/>
    <d v="2026-01-01T00:00:00"/>
    <s v="Q4"/>
    <x v="3"/>
    <n v="0.40586361933308357"/>
    <n v="12785"/>
    <n v="10"/>
    <n v="8.6455601348819786E-2"/>
  </r>
  <r>
    <x v="9"/>
    <s v="RNA"/>
    <x v="5"/>
    <s v="THE DUDLEY GROUP NHS FOUNDATION TRUST"/>
    <n v="9849"/>
    <n v="3832"/>
    <n v="3750"/>
    <n v="62"/>
    <n v="2570"/>
    <n v="117"/>
    <d v="2026-01-01T00:00:00"/>
    <s v="Q4"/>
    <x v="3"/>
    <n v="0.38074931465123363"/>
    <n v="13681"/>
    <n v="10"/>
    <n v="1.1879378617118489E-2"/>
  </r>
  <r>
    <x v="9"/>
    <s v="RMP"/>
    <x v="3"/>
    <s v="TAMESIDE AND GLOSSOP INTEGRATED CARE NHS FOUNDATION TRUST"/>
    <n v="8359"/>
    <n v="2894"/>
    <n v="4561"/>
    <n v="119"/>
    <n v="232"/>
    <n v="904"/>
    <d v="2026-01-01T00:00:00"/>
    <s v="Q4"/>
    <x v="3"/>
    <n v="0.54563943055389397"/>
    <n v="11253"/>
    <n v="10"/>
    <n v="0.10814690752482355"/>
  </r>
  <r>
    <x v="9"/>
    <s v="RLT"/>
    <x v="5"/>
    <s v="GEORGE ELIOT HOSPITAL NHS TRUST"/>
    <n v="7067"/>
    <n v="1614"/>
    <n v="2268"/>
    <n v="24"/>
    <n v="347"/>
    <n v="568"/>
    <d v="2026-01-01T00:00:00"/>
    <s v="Q4"/>
    <x v="3"/>
    <n v="0.32092825810103298"/>
    <n v="8681"/>
    <n v="10"/>
    <n v="8.0373567284562047E-2"/>
  </r>
  <r>
    <x v="9"/>
    <s v="RL4"/>
    <x v="5"/>
    <s v="THE ROYAL WOLVERHAMPTON NHS TRUST"/>
    <n v="11174"/>
    <n v="6458"/>
    <n v="4222"/>
    <n v="259"/>
    <n v="838"/>
    <n v="718"/>
    <d v="2026-01-01T00:00:00"/>
    <s v="Q4"/>
    <x v="3"/>
    <n v="0.3778414175765169"/>
    <n v="17632"/>
    <n v="10"/>
    <n v="6.4256309289421873E-2"/>
  </r>
  <r>
    <x v="9"/>
    <s v="RJR"/>
    <x v="3"/>
    <s v="COUNTESS OF CHESTER HOSPITAL NHS FOUNDATION TRUST"/>
    <n v="5364"/>
    <n v="2417"/>
    <n v="2934"/>
    <n v="417"/>
    <n v="262"/>
    <n v="865"/>
    <d v="2026-01-01T00:00:00"/>
    <s v="Q4"/>
    <x v="3"/>
    <n v="0.54697986577181212"/>
    <n v="7781"/>
    <n v="10"/>
    <n v="0.16126025354213275"/>
  </r>
  <r>
    <x v="9"/>
    <s v="RHQ"/>
    <x v="6"/>
    <s v="SHEFFIELD TEACHING HOSPITALS NHS FOUNDATION TRUST"/>
    <n v="9248"/>
    <n v="6863"/>
    <n v="5409"/>
    <n v="375"/>
    <n v="1527"/>
    <n v="16"/>
    <d v="2026-01-01T00:00:00"/>
    <s v="Q4"/>
    <x v="3"/>
    <n v="0.58488321799307963"/>
    <n v="16111"/>
    <n v="10"/>
    <n v="1.7301038062283738E-3"/>
  </r>
  <r>
    <x v="9"/>
    <s v="RFS"/>
    <x v="5"/>
    <s v="CHESTERFIELD ROYAL HOSPITAL NHS FOUNDATION TRUST"/>
    <n v="5497"/>
    <n v="5460"/>
    <n v="4006"/>
    <n v="54"/>
    <n v="767"/>
    <n v="628"/>
    <d v="2026-01-01T00:00:00"/>
    <s v="Q4"/>
    <x v="3"/>
    <n v="0.72876114244133161"/>
    <n v="10957"/>
    <n v="10"/>
    <n v="0.11424413316354375"/>
  </r>
  <r>
    <x v="9"/>
    <s v="RFR"/>
    <x v="6"/>
    <s v="THE ROTHERHAM NHS FOUNDATION TRUST"/>
    <n v="9772"/>
    <n v="0"/>
    <n v="3420"/>
    <n v="0"/>
    <n v="1099"/>
    <n v="112"/>
    <d v="2026-01-01T00:00:00"/>
    <s v="Q4"/>
    <x v="3"/>
    <n v="0.34997953336062221"/>
    <n v="9772"/>
    <n v="10"/>
    <n v="1.1461318051575931E-2"/>
  </r>
  <r>
    <x v="9"/>
    <s v="RF4"/>
    <x v="4"/>
    <s v="BARKING, HAVERING AND REDBRIDGE UNIVERSITY HOSPITALS NHS TRUST"/>
    <n v="13676"/>
    <n v="14091"/>
    <n v="6707"/>
    <n v="154"/>
    <n v="540"/>
    <n v="1361"/>
    <d v="2026-01-01T00:00:00"/>
    <s v="Q4"/>
    <x v="3"/>
    <n v="0.49042117578239253"/>
    <n v="27767"/>
    <n v="10"/>
    <n v="9.9517402749341913E-2"/>
  </r>
  <r>
    <x v="9"/>
    <s v="RET"/>
    <x v="3"/>
    <s v="THE WALTON CENTRE NHS FOUNDATION TRUST"/>
    <n v="0"/>
    <n v="0"/>
    <n v="0"/>
    <n v="0"/>
    <n v="0"/>
    <n v="0"/>
    <d v="2026-01-01T00:00:00"/>
    <s v="Q4"/>
    <x v="3"/>
    <n v="0"/>
    <n v="0"/>
    <n v="10"/>
    <n v="0"/>
  </r>
  <r>
    <x v="9"/>
    <s v="REP"/>
    <x v="3"/>
    <s v="LIVERPOOL WOMEN'S NHS FOUNDATION TRUST"/>
    <n v="0"/>
    <n v="0"/>
    <n v="0"/>
    <n v="0"/>
    <n v="0"/>
    <n v="0"/>
    <d v="2026-01-01T00:00:00"/>
    <s v="Q4"/>
    <x v="3"/>
    <n v="0"/>
    <n v="0"/>
    <n v="10"/>
    <n v="0"/>
  </r>
  <r>
    <x v="9"/>
    <s v="RXL"/>
    <x v="3"/>
    <s v="BLACKPOOL TEACHING HOSPITALS NHS FOUNDATION TRUST"/>
    <n v="9001"/>
    <n v="9783"/>
    <n v="4500"/>
    <n v="230"/>
    <n v="578"/>
    <n v="650"/>
    <d v="2026-01-01T00:00:00"/>
    <s v="Q4"/>
    <x v="3"/>
    <n v="0.49994445061659815"/>
    <n v="18784"/>
    <n v="10"/>
    <n v="7.2214198422397513E-2"/>
  </r>
  <r>
    <x v="9"/>
    <s v="RK5"/>
    <x v="5"/>
    <s v="SHERWOOD FOREST HOSPITALS NHS FOUNDATION TRUST"/>
    <n v="11441"/>
    <n v="5191"/>
    <n v="4631"/>
    <n v="473"/>
    <n v="837"/>
    <n v="689"/>
    <d v="2026-01-01T00:00:00"/>
    <s v="Q4"/>
    <x v="3"/>
    <n v="0.40477231011275239"/>
    <n v="16632"/>
    <n v="10"/>
    <n v="6.0222008565684819E-2"/>
  </r>
  <r>
    <x v="9"/>
    <s v="RXN"/>
    <x v="3"/>
    <s v="LANCASHIRE TEACHING HOSPITALS NHS FOUNDATION TRUST"/>
    <n v="12016"/>
    <n v="3179"/>
    <n v="4833"/>
    <n v="132"/>
    <n v="1163"/>
    <n v="523"/>
    <d v="2026-01-01T00:00:00"/>
    <s v="Q4"/>
    <x v="3"/>
    <n v="0.40221371504660453"/>
    <n v="15195"/>
    <n v="10"/>
    <n v="4.352529960053262E-2"/>
  </r>
  <r>
    <x v="9"/>
    <s v="RXW"/>
    <x v="5"/>
    <s v="THE SHREWSBURY AND TELFORD HOSPITAL NHS TRUST"/>
    <n v="10549"/>
    <n v="2471"/>
    <n v="5992"/>
    <n v="349"/>
    <n v="470"/>
    <n v="1601"/>
    <d v="2026-01-01T00:00:00"/>
    <s v="Q4"/>
    <x v="3"/>
    <n v="0.56801592568015924"/>
    <n v="13020"/>
    <n v="10"/>
    <n v="0.15176794008910796"/>
  </r>
  <r>
    <x v="9"/>
    <s v="RJ6"/>
    <x v="4"/>
    <s v="CROYDON HEALTH SERVICES NHS TRUST"/>
    <n v="13686"/>
    <n v="5047"/>
    <n v="4963"/>
    <n v="0"/>
    <n v="224"/>
    <n v="814"/>
    <d v="2026-01-01T00:00:00"/>
    <s v="Q4"/>
    <x v="3"/>
    <n v="0.36263334794680696"/>
    <n v="18733"/>
    <n v="10"/>
    <n v="5.9476837644308049E-2"/>
  </r>
  <r>
    <x v="9"/>
    <s v="RJ2"/>
    <x v="4"/>
    <s v="LEWISHAM AND GREENWICH NHS TRUST"/>
    <n v="16319"/>
    <n v="16090"/>
    <n v="8960"/>
    <n v="423"/>
    <n v="1147"/>
    <n v="943"/>
    <d v="2026-01-01T00:00:00"/>
    <s v="Q4"/>
    <x v="3"/>
    <n v="0.54905325081193701"/>
    <n v="32409"/>
    <n v="10"/>
    <n v="5.7785403517372387E-2"/>
  </r>
  <r>
    <x v="9"/>
    <s v="RHM"/>
    <x v="0"/>
    <s v="UNIVERSITY HOSPITAL SOUTHAMPTON NHS FOUNDATION TRUST"/>
    <n v="11380"/>
    <n v="0"/>
    <n v="4182"/>
    <n v="0"/>
    <n v="438"/>
    <n v="11"/>
    <d v="2026-01-01T00:00:00"/>
    <s v="Q4"/>
    <x v="3"/>
    <n v="0.36748681898066782"/>
    <n v="11380"/>
    <n v="10"/>
    <n v="9.6660808435852373E-4"/>
  </r>
  <r>
    <x v="9"/>
    <s v="RGN"/>
    <x v="2"/>
    <s v="NORTH WEST ANGLIA NHS FOUNDATION TRUST"/>
    <n v="15653"/>
    <n v="4714"/>
    <n v="6612"/>
    <n v="140"/>
    <n v="554"/>
    <n v="1056"/>
    <d v="2026-01-01T00:00:00"/>
    <s v="Q4"/>
    <x v="3"/>
    <n v="0.42241103941736408"/>
    <n v="20367"/>
    <n v="10"/>
    <n v="6.7463106113843985E-2"/>
  </r>
  <r>
    <x v="9"/>
    <s v="RFF"/>
    <x v="6"/>
    <s v="BARNSLEY HOSPITAL NHS FOUNDATION TRUST"/>
    <n v="9365"/>
    <n v="0"/>
    <n v="3429"/>
    <n v="0"/>
    <n v="915"/>
    <n v="19"/>
    <d v="2026-01-01T00:00:00"/>
    <s v="Q4"/>
    <x v="3"/>
    <n v="0.36615056059797119"/>
    <n v="9365"/>
    <n v="10"/>
    <n v="2.0288307528029898E-3"/>
  </r>
  <r>
    <x v="9"/>
    <s v="RD8"/>
    <x v="2"/>
    <s v="MILTON KEYNES UNIVERSITY HOSPITAL NHS FOUNDATION TRUST"/>
    <n v="8057"/>
    <n v="5444"/>
    <n v="3997"/>
    <n v="164"/>
    <n v="935"/>
    <n v="0"/>
    <d v="2026-01-01T00:00:00"/>
    <s v="Q4"/>
    <x v="3"/>
    <n v="0.49609035621198955"/>
    <n v="13501"/>
    <n v="10"/>
    <n v="0"/>
  </r>
  <r>
    <x v="9"/>
    <s v="RD1"/>
    <x v="1"/>
    <s v="ROYAL UNITED HOSPITALS BATH NHS FOUNDATION TRUST"/>
    <n v="8979"/>
    <n v="0"/>
    <n v="4112"/>
    <n v="0"/>
    <n v="1058"/>
    <n v="328"/>
    <d v="2026-01-01T00:00:00"/>
    <s v="Q4"/>
    <x v="3"/>
    <n v="0.45795745628689166"/>
    <n v="8979"/>
    <n v="10"/>
    <n v="3.6529680365296802E-2"/>
  </r>
  <r>
    <x v="9"/>
    <s v="RCF"/>
    <x v="6"/>
    <s v="AIREDALE NHS FOUNDATION TRUST"/>
    <n v="6127"/>
    <n v="0"/>
    <n v="2600"/>
    <n v="0"/>
    <n v="576"/>
    <n v="301"/>
    <d v="2026-01-01T00:00:00"/>
    <s v="Q4"/>
    <x v="3"/>
    <n v="0.42435123225069366"/>
    <n v="6127"/>
    <n v="10"/>
    <n v="4.9126815733637995E-2"/>
  </r>
  <r>
    <x v="9"/>
    <s v="RCB"/>
    <x v="6"/>
    <s v="YORK AND SCARBOROUGH TEACHING HOSPITALS NHS FOUNDATION TRUST"/>
    <n v="10943"/>
    <n v="6263"/>
    <n v="6338"/>
    <n v="231"/>
    <n v="795"/>
    <n v="930"/>
    <d v="2026-01-01T00:00:00"/>
    <s v="Q4"/>
    <x v="3"/>
    <n v="0.57918303938590876"/>
    <n v="17206"/>
    <n v="10"/>
    <n v="8.4985835694050993E-2"/>
  </r>
  <r>
    <x v="9"/>
    <s v="RC9"/>
    <x v="2"/>
    <s v="BEDFORDSHIRE HOSPITALS NHS FOUNDATION TRUST"/>
    <n v="17269"/>
    <n v="9170"/>
    <n v="6734"/>
    <n v="0"/>
    <n v="82"/>
    <n v="92"/>
    <d v="2026-01-01T00:00:00"/>
    <s v="Q4"/>
    <x v="3"/>
    <n v="0.38994730441832187"/>
    <n v="26439"/>
    <n v="10"/>
    <n v="5.3274654004285132E-3"/>
  </r>
  <r>
    <x v="9"/>
    <s v="RBN"/>
    <x v="3"/>
    <s v="MERSEY AND WEST LANCASHIRE TEACHING HOSPITALS NHS TRUST"/>
    <n v="17418"/>
    <n v="7205"/>
    <n v="6696"/>
    <n v="72"/>
    <n v="410"/>
    <n v="573"/>
    <d v="2026-01-01T00:00:00"/>
    <s v="Q4"/>
    <x v="3"/>
    <n v="0.38442990010334138"/>
    <n v="24623"/>
    <n v="10"/>
    <n v="3.2897003100241129E-2"/>
  </r>
  <r>
    <x v="9"/>
    <s v="RBK"/>
    <x v="5"/>
    <s v="WALSALL HEALTHCARE NHS TRUST"/>
    <n v="9620"/>
    <n v="3656"/>
    <n v="3986"/>
    <n v="41"/>
    <n v="1063"/>
    <n v="729"/>
    <d v="2026-01-01T00:00:00"/>
    <s v="Q4"/>
    <x v="3"/>
    <n v="0.41434511434511434"/>
    <n v="13276"/>
    <n v="10"/>
    <n v="7.5779625779625784E-2"/>
  </r>
  <r>
    <x v="9"/>
    <s v="RBD"/>
    <x v="1"/>
    <s v="DORSET COUNTY HOSPITAL NHS FOUNDATION TRUST"/>
    <n v="4499"/>
    <n v="0"/>
    <n v="1806"/>
    <n v="0"/>
    <n v="229"/>
    <n v="114"/>
    <d v="2026-01-01T00:00:00"/>
    <s v="Q4"/>
    <x v="3"/>
    <n v="0.40142253834185376"/>
    <n v="4499"/>
    <n v="10"/>
    <n v="2.5338964214269837E-2"/>
  </r>
  <r>
    <x v="9"/>
    <s v="RAX"/>
    <x v="4"/>
    <s v="KINGSTON AND RICHMOND NHS FOUNDATION TRUST"/>
    <n v="7010"/>
    <n v="7978"/>
    <n v="4131"/>
    <n v="412"/>
    <n v="176"/>
    <n v="667"/>
    <d v="2026-01-01T00:00:00"/>
    <s v="Q4"/>
    <x v="3"/>
    <n v="0.58930099857346652"/>
    <n v="14988"/>
    <n v="10"/>
    <n v="9.5149786019971469E-2"/>
  </r>
  <r>
    <x v="9"/>
    <s v="RAT"/>
    <x v="4"/>
    <s v="NORTH EAST LONDON NHS FOUNDATION TRUST"/>
    <n v="0"/>
    <n v="1623"/>
    <n v="0"/>
    <n v="40"/>
    <n v="0"/>
    <n v="0"/>
    <d v="2026-01-01T00:00:00"/>
    <s v="Q4"/>
    <x v="3"/>
    <n v="0"/>
    <n v="1623"/>
    <n v="10"/>
    <n v="0"/>
  </r>
  <r>
    <x v="9"/>
    <s v="RA2"/>
    <x v="0"/>
    <s v="ROYAL SURREY NHS FOUNDATION TRUST"/>
    <n v="6755"/>
    <n v="1891"/>
    <n v="2764"/>
    <n v="0"/>
    <n v="543"/>
    <n v="136"/>
    <d v="2026-01-01T00:00:00"/>
    <s v="Q4"/>
    <x v="3"/>
    <n v="0.40917838638045889"/>
    <n v="8646"/>
    <n v="10"/>
    <n v="2.0133234641006661E-2"/>
  </r>
  <r>
    <x v="9"/>
    <s v="R1H"/>
    <x v="4"/>
    <s v="BARTS HEALTH NHS TRUST"/>
    <n v="26186"/>
    <n v="17829"/>
    <n v="11785"/>
    <n v="1166"/>
    <n v="1058"/>
    <n v="1352"/>
    <d v="2026-01-01T00:00:00"/>
    <s v="Q4"/>
    <x v="3"/>
    <n v="0.45004964484839227"/>
    <n v="44015"/>
    <n v="10"/>
    <n v="5.163064232796151E-2"/>
  </r>
  <r>
    <x v="9"/>
    <s v="R1F"/>
    <x v="0"/>
    <s v="ISLE OF WIGHT NHS TRUST"/>
    <n v="4083"/>
    <n v="1414"/>
    <n v="1710"/>
    <n v="102"/>
    <n v="287"/>
    <n v="307"/>
    <d v="2026-01-01T00:00:00"/>
    <s v="Q4"/>
    <x v="3"/>
    <n v="0.41880969875091845"/>
    <n v="5497"/>
    <n v="10"/>
    <n v="7.5189811413176585E-2"/>
  </r>
  <r>
    <x v="9"/>
    <s v="K6K0R"/>
    <x v="4"/>
    <s v="HAROLD WOOD POLYCLINIC UTC"/>
    <n v="0"/>
    <n v="2911"/>
    <n v="0"/>
    <n v="13"/>
    <n v="0"/>
    <n v="0"/>
    <d v="2026-01-01T00:00:00"/>
    <s v="Q4"/>
    <x v="3"/>
    <n v="0"/>
    <n v="2911"/>
    <n v="10"/>
    <n v="0"/>
  </r>
  <r>
    <x v="9"/>
    <s v="G0Q0L"/>
    <x v="4"/>
    <s v="BARKING HOSPITAL UTC"/>
    <n v="0"/>
    <n v="2520"/>
    <n v="0"/>
    <n v="10"/>
    <n v="0"/>
    <n v="0"/>
    <d v="2026-01-01T00:00:00"/>
    <s v="Q4"/>
    <x v="3"/>
    <n v="0"/>
    <n v="2520"/>
    <n v="10"/>
    <n v="0"/>
  </r>
  <r>
    <x v="9"/>
    <s v="ACH01"/>
    <x v="0"/>
    <s v="WHITSTABLE MEDICAL PRACTICE"/>
    <n v="0"/>
    <n v="4990"/>
    <n v="0"/>
    <n v="0"/>
    <n v="0"/>
    <n v="0"/>
    <d v="2026-01-01T00:00:00"/>
    <s v="Q4"/>
    <x v="3"/>
    <n v="0"/>
    <n v="4990"/>
    <n v="10"/>
    <n v="0"/>
  </r>
  <r>
    <x v="9"/>
    <s v="RXP"/>
    <x v="6"/>
    <s v="COUNTY DURHAM AND DARLINGTON NHS FOUNDATION TRUST"/>
    <n v="12948"/>
    <n v="3631"/>
    <n v="5904"/>
    <n v="0"/>
    <n v="2176"/>
    <n v="45"/>
    <d v="2026-01-01T00:00:00"/>
    <s v="Q4"/>
    <x v="3"/>
    <n v="0.45597775718257644"/>
    <n v="16579"/>
    <n v="10"/>
    <n v="3.4754402224281742E-3"/>
  </r>
  <r>
    <x v="9"/>
    <s v="RY5"/>
    <x v="5"/>
    <s v="LINCOLNSHIRE COMMUNITY HEALTH SERVICES NHS TRUST"/>
    <n v="0"/>
    <n v="7660"/>
    <n v="0"/>
    <n v="146"/>
    <n v="0"/>
    <n v="0"/>
    <d v="2026-01-01T00:00:00"/>
    <s v="Q4"/>
    <x v="3"/>
    <n v="0"/>
    <n v="7660"/>
    <n v="10"/>
    <n v="0"/>
  </r>
  <r>
    <x v="10"/>
    <s v="C82038"/>
    <x v="5"/>
    <s v="LATHAM HOUSE MEDICAL PRACTICE"/>
    <n v="0"/>
    <n v="295"/>
    <n v="0"/>
    <n v="0"/>
    <n v="0"/>
    <n v="0"/>
    <d v="2026-02-01T00:00:00"/>
    <s v="Q4"/>
    <x v="3"/>
    <n v="0"/>
    <n v="295"/>
    <n v="11"/>
    <n v="0"/>
  </r>
  <r>
    <x v="10"/>
    <s v="AJN"/>
    <x v="6"/>
    <s v="WORKINGTON HEALTH LIMITED"/>
    <n v="0"/>
    <n v="360"/>
    <n v="0"/>
    <n v="0"/>
    <n v="0"/>
    <n v="0"/>
    <d v="2026-02-01T00:00:00"/>
    <s v="Q4"/>
    <x v="3"/>
    <n v="0"/>
    <n v="360"/>
    <n v="11"/>
    <n v="0"/>
  </r>
  <r>
    <x v="10"/>
    <s v="NNJ07"/>
    <x v="5"/>
    <s v="LOUGHBOROUGH URGENT CARE CENTRE"/>
    <n v="0"/>
    <n v="4952"/>
    <n v="0"/>
    <n v="30"/>
    <n v="0"/>
    <n v="0"/>
    <d v="2026-02-01T00:00:00"/>
    <s v="Q4"/>
    <x v="3"/>
    <n v="0"/>
    <n v="4952"/>
    <n v="11"/>
    <n v="0"/>
  </r>
  <r>
    <x v="10"/>
    <s v="NNJ0H"/>
    <x v="5"/>
    <s v="LLR EA - THE MERLYN VAZ HEALTH &amp; SOCIAL CARE CENTRE"/>
    <n v="0"/>
    <n v="168"/>
    <n v="0"/>
    <n v="0"/>
    <n v="0"/>
    <n v="0"/>
    <d v="2026-02-01T00:00:00"/>
    <s v="Q4"/>
    <x v="3"/>
    <n v="0"/>
    <n v="168"/>
    <n v="11"/>
    <n v="0"/>
  </r>
  <r>
    <x v="10"/>
    <s v="NNJ12"/>
    <x v="5"/>
    <s v="MARKET HARBOROUGH"/>
    <n v="0"/>
    <n v="116"/>
    <n v="0"/>
    <n v="0"/>
    <n v="0"/>
    <n v="0"/>
    <d v="2026-02-01T00:00:00"/>
    <s v="Q4"/>
    <x v="3"/>
    <n v="0"/>
    <n v="116"/>
    <n v="11"/>
    <n v="0"/>
  </r>
  <r>
    <x v="10"/>
    <s v="NNJ13"/>
    <x v="5"/>
    <s v="MELTON MOWBRAY"/>
    <n v="0"/>
    <n v="40"/>
    <n v="0"/>
    <n v="0"/>
    <n v="0"/>
    <n v="0"/>
    <d v="2026-02-01T00:00:00"/>
    <s v="Q4"/>
    <x v="3"/>
    <n v="0"/>
    <n v="40"/>
    <n v="11"/>
    <n v="0"/>
  </r>
  <r>
    <x v="10"/>
    <s v="NNJ14"/>
    <x v="5"/>
    <s v="OADBY"/>
    <n v="0"/>
    <n v="484"/>
    <n v="0"/>
    <n v="2"/>
    <n v="0"/>
    <n v="0"/>
    <d v="2026-02-01T00:00:00"/>
    <s v="Q4"/>
    <x v="3"/>
    <n v="0"/>
    <n v="484"/>
    <n v="11"/>
    <n v="0"/>
  </r>
  <r>
    <x v="10"/>
    <s v="NNJ15"/>
    <x v="5"/>
    <s v="OAKHAM"/>
    <n v="0"/>
    <n v="53"/>
    <n v="0"/>
    <n v="0"/>
    <n v="0"/>
    <n v="0"/>
    <d v="2026-02-01T00:00:00"/>
    <s v="Q4"/>
    <x v="3"/>
    <n v="0"/>
    <n v="53"/>
    <n v="11"/>
    <n v="0"/>
  </r>
  <r>
    <x v="10"/>
    <s v="NTPAD"/>
    <x v="0"/>
    <s v="PRACTICE PLUS GROUP SURGICAL CENTRE - ST MARYS PORTSMOUTH"/>
    <n v="0"/>
    <n v="4662"/>
    <n v="0"/>
    <n v="243"/>
    <n v="0"/>
    <n v="0"/>
    <d v="2026-02-01T00:00:00"/>
    <s v="Q4"/>
    <x v="3"/>
    <n v="0"/>
    <n v="4662"/>
    <n v="11"/>
    <n v="0"/>
  </r>
  <r>
    <x v="10"/>
    <s v="R0B"/>
    <x v="6"/>
    <s v="SOUTH TYNESIDE AND SUNDERLAND NHS FOUNDATION TRUST"/>
    <n v="10371"/>
    <n v="5014"/>
    <n v="5314"/>
    <n v="196"/>
    <n v="723"/>
    <n v="1"/>
    <d v="2026-02-01T00:00:00"/>
    <s v="Q4"/>
    <x v="3"/>
    <n v="0.51239031915919386"/>
    <n v="15385"/>
    <n v="11"/>
    <n v="9.6422717192170472E-5"/>
  </r>
  <r>
    <x v="10"/>
    <s v="R1H"/>
    <x v="4"/>
    <s v="BARTS HEALTH NHS TRUST"/>
    <n v="24013"/>
    <n v="15869"/>
    <n v="10119"/>
    <n v="790"/>
    <n v="913"/>
    <n v="1271"/>
    <d v="2026-02-01T00:00:00"/>
    <s v="Q4"/>
    <x v="3"/>
    <n v="0.42139674343064176"/>
    <n v="39882"/>
    <n v="11"/>
    <n v="5.2929663099154624E-2"/>
  </r>
  <r>
    <x v="10"/>
    <s v="RYJ"/>
    <x v="4"/>
    <s v="IMPERIAL COLLEGE HEALTHCARE NHS TRUST"/>
    <n v="11379"/>
    <n v="6043"/>
    <n v="4645"/>
    <n v="245"/>
    <n v="494"/>
    <n v="0"/>
    <d v="2026-02-01T00:00:00"/>
    <s v="Q4"/>
    <x v="3"/>
    <n v="0.40820810264522367"/>
    <n v="17422"/>
    <n v="11"/>
    <n v="0"/>
  </r>
  <r>
    <x v="10"/>
    <s v="RAS"/>
    <x v="4"/>
    <s v="THE HILLINGDON HOSPITALS NHS FOUNDATION TRUST"/>
    <n v="4633"/>
    <n v="5942"/>
    <n v="1969"/>
    <n v="23"/>
    <n v="520"/>
    <n v="18"/>
    <d v="2026-02-01T00:00:00"/>
    <s v="Q4"/>
    <x v="3"/>
    <n v="0.42499460392834015"/>
    <n v="10575"/>
    <n v="11"/>
    <n v="3.8851715950787825E-3"/>
  </r>
  <r>
    <x v="10"/>
    <s v="RCB"/>
    <x v="6"/>
    <s v="YORK AND SCARBOROUGH TEACHING HOSPITALS NHS FOUNDATION TRUST"/>
    <n v="10322"/>
    <n v="5851"/>
    <n v="5614"/>
    <n v="248"/>
    <n v="760"/>
    <n v="406"/>
    <d v="2026-02-01T00:00:00"/>
    <s v="Q4"/>
    <x v="3"/>
    <n v="0.54388684363495443"/>
    <n v="16173"/>
    <n v="11"/>
    <n v="3.9333462507266034E-2"/>
  </r>
  <r>
    <x v="10"/>
    <s v="RCF"/>
    <x v="6"/>
    <s v="AIREDALE NHS FOUNDATION TRUST"/>
    <n v="5277"/>
    <n v="0"/>
    <n v="2307"/>
    <n v="0"/>
    <n v="419"/>
    <n v="262"/>
    <d v="2026-02-01T00:00:00"/>
    <s v="Q4"/>
    <x v="3"/>
    <n v="0.43718021603183627"/>
    <n v="5277"/>
    <n v="11"/>
    <n v="4.9649422020087174E-2"/>
  </r>
  <r>
    <x v="10"/>
    <s v="RD1"/>
    <x v="1"/>
    <s v="ROYAL UNITED HOSPITALS BATH NHS FOUNDATION TRUST"/>
    <n v="8288"/>
    <n v="0"/>
    <n v="3645"/>
    <n v="0"/>
    <n v="806"/>
    <n v="219"/>
    <d v="2026-02-01T00:00:00"/>
    <s v="Q4"/>
    <x v="3"/>
    <n v="0.43979247104247104"/>
    <n v="8288"/>
    <n v="11"/>
    <n v="2.6423745173745173E-2"/>
  </r>
  <r>
    <x v="10"/>
    <s v="RDE"/>
    <x v="2"/>
    <s v="EAST SUFFOLK AND NORTH ESSEX NHS FOUNDATION TRUST"/>
    <n v="10184"/>
    <n v="11887"/>
    <n v="4342"/>
    <n v="999"/>
    <n v="768"/>
    <n v="559"/>
    <d v="2026-02-01T00:00:00"/>
    <s v="Q4"/>
    <x v="3"/>
    <n v="0.42635506677140611"/>
    <n v="22071"/>
    <n v="11"/>
    <n v="5.4890023566378635E-2"/>
  </r>
  <r>
    <x v="10"/>
    <s v="RDR"/>
    <x v="0"/>
    <s v="SUSSEX COMMUNITY NHS FOUNDATION TRUST"/>
    <n v="0"/>
    <n v="10054"/>
    <n v="0"/>
    <n v="74"/>
    <n v="0"/>
    <n v="0"/>
    <d v="2026-02-01T00:00:00"/>
    <s v="Q4"/>
    <x v="3"/>
    <n v="0"/>
    <n v="10054"/>
    <n v="11"/>
    <n v="0"/>
  </r>
  <r>
    <x v="10"/>
    <s v="REM"/>
    <x v="3"/>
    <s v="LIVERPOOL UNIVERSITY HOSPITALS NHS FOUNDATION TRUST"/>
    <n v="14733"/>
    <n v="7259"/>
    <n v="7314"/>
    <n v="349"/>
    <n v="711"/>
    <n v="1234"/>
    <d v="2026-02-01T00:00:00"/>
    <s v="Q4"/>
    <x v="3"/>
    <n v="0.49643657096314397"/>
    <n v="21992"/>
    <n v="11"/>
    <n v="8.37575510758162E-2"/>
  </r>
  <r>
    <x v="10"/>
    <s v="RET"/>
    <x v="3"/>
    <s v="THE WALTON CENTRE NHS FOUNDATION TRUST"/>
    <n v="0"/>
    <n v="0"/>
    <n v="0"/>
    <n v="0"/>
    <n v="0"/>
    <n v="0"/>
    <d v="2026-02-01T00:00:00"/>
    <s v="Q4"/>
    <x v="3"/>
    <n v="0"/>
    <n v="0"/>
    <n v="11"/>
    <n v="0"/>
  </r>
  <r>
    <x v="10"/>
    <s v="RFF"/>
    <x v="6"/>
    <s v="BARNSLEY HOSPITAL NHS FOUNDATION TRUST"/>
    <n v="8494"/>
    <n v="0"/>
    <n v="2102"/>
    <n v="0"/>
    <n v="372"/>
    <n v="1"/>
    <d v="2026-02-01T00:00:00"/>
    <s v="Q4"/>
    <x v="3"/>
    <n v="0.24746880150694608"/>
    <n v="8494"/>
    <n v="11"/>
    <n v="1.1773016246762421E-4"/>
  </r>
  <r>
    <x v="10"/>
    <s v="RGN"/>
    <x v="2"/>
    <s v="NORTH WEST ANGLIA NHS FOUNDATION TRUST"/>
    <n v="14103"/>
    <n v="4300"/>
    <n v="5984"/>
    <n v="192"/>
    <n v="501"/>
    <n v="921"/>
    <d v="2026-02-01T00:00:00"/>
    <s v="Q4"/>
    <x v="3"/>
    <n v="0.42430688505991632"/>
    <n v="18403"/>
    <n v="11"/>
    <n v="6.5305254201233787E-2"/>
  </r>
  <r>
    <x v="10"/>
    <s v="RBN"/>
    <x v="3"/>
    <s v="MERSEY AND WEST LANCASHIRE TEACHING HOSPITALS NHS TRUST"/>
    <n v="15685"/>
    <n v="6585"/>
    <n v="6218"/>
    <n v="88"/>
    <n v="389"/>
    <n v="480"/>
    <d v="2026-02-01T00:00:00"/>
    <s v="Q4"/>
    <x v="3"/>
    <n v="0.39642970991393051"/>
    <n v="22270"/>
    <n v="11"/>
    <n v="3.0602486452024225E-2"/>
  </r>
  <r>
    <x v="10"/>
    <s v="RY4"/>
    <x v="2"/>
    <s v="HERTFORDSHIRE COMMUNITY NHS TRUST"/>
    <n v="0"/>
    <n v="1021"/>
    <n v="0"/>
    <n v="10"/>
    <n v="0"/>
    <n v="0"/>
    <d v="2026-02-01T00:00:00"/>
    <s v="Q4"/>
    <x v="3"/>
    <n v="0"/>
    <n v="1021"/>
    <n v="11"/>
    <n v="0"/>
  </r>
  <r>
    <x v="10"/>
    <s v="RXK"/>
    <x v="5"/>
    <s v="SANDWELL AND WEST BIRMINGHAM HOSPITALS NHS TRUST"/>
    <n v="10569"/>
    <n v="7702"/>
    <n v="5128"/>
    <n v="138"/>
    <n v="711"/>
    <n v="448"/>
    <d v="2026-02-01T00:00:00"/>
    <s v="Q4"/>
    <x v="3"/>
    <n v="0.48519254423313463"/>
    <n v="18271"/>
    <n v="11"/>
    <n v="4.23881161888542E-2"/>
  </r>
  <r>
    <x v="10"/>
    <s v="RWX"/>
    <x v="0"/>
    <s v="BERKSHIRE HEALTHCARE NHS FOUNDATION TRUST"/>
    <n v="0"/>
    <n v="1176"/>
    <n v="0"/>
    <n v="10"/>
    <n v="0"/>
    <n v="0"/>
    <d v="2026-02-01T00:00:00"/>
    <s v="Q4"/>
    <x v="3"/>
    <n v="0"/>
    <n v="1176"/>
    <n v="11"/>
    <n v="0"/>
  </r>
  <r>
    <x v="10"/>
    <s v="R0A"/>
    <x v="3"/>
    <s v="MANCHESTER UNIVERSITY NHS FOUNDATION TRUST"/>
    <n v="24273"/>
    <n v="9991"/>
    <n v="9641"/>
    <n v="290"/>
    <n v="3528"/>
    <n v="83"/>
    <d v="2026-02-01T00:00:00"/>
    <s v="Q4"/>
    <x v="3"/>
    <n v="0.39719029374201786"/>
    <n v="34264"/>
    <n v="11"/>
    <n v="3.4194372347876242E-3"/>
  </r>
  <r>
    <x v="10"/>
    <s v="R0D"/>
    <x v="1"/>
    <s v="UNIVERSITY HOSPITALS DORSET NHS FOUNDATION TRUST"/>
    <n v="13434"/>
    <n v="3334"/>
    <n v="6069"/>
    <n v="0"/>
    <n v="997"/>
    <n v="454"/>
    <d v="2026-02-01T00:00:00"/>
    <s v="Q4"/>
    <x v="3"/>
    <n v="0.4517641804376954"/>
    <n v="16768"/>
    <n v="11"/>
    <n v="3.3794848890873905E-2"/>
  </r>
  <r>
    <x v="10"/>
    <s v="RAJ"/>
    <x v="2"/>
    <s v="MID AND SOUTH ESSEX NHS FOUNDATION TRUST"/>
    <n v="24311"/>
    <n v="7273"/>
    <n v="10563"/>
    <n v="269"/>
    <n v="2196"/>
    <n v="1184"/>
    <d v="2026-02-01T00:00:00"/>
    <s v="Q4"/>
    <x v="3"/>
    <n v="0.43449467319320473"/>
    <n v="31584"/>
    <n v="11"/>
    <n v="4.8702233556826131E-2"/>
  </r>
  <r>
    <x v="10"/>
    <s v="RAX"/>
    <x v="4"/>
    <s v="KINGSTON AND RICHMOND NHS FOUNDATION TRUST"/>
    <n v="6356"/>
    <n v="7221"/>
    <n v="3413"/>
    <n v="263"/>
    <n v="227"/>
    <n v="467"/>
    <d v="2026-02-01T00:00:00"/>
    <s v="Q4"/>
    <x v="3"/>
    <n v="0.53697293895531784"/>
    <n v="13577"/>
    <n v="11"/>
    <n v="7.3473882945248578E-2"/>
  </r>
  <r>
    <x v="10"/>
    <s v="RCX"/>
    <x v="2"/>
    <s v="THE QUEEN ELIZABETH HOSPITAL, KING'S LYNN, NHS FOUNDATION TRUST"/>
    <n v="6151"/>
    <n v="1807"/>
    <n v="2827"/>
    <n v="0"/>
    <n v="720"/>
    <n v="131"/>
    <d v="2026-02-01T00:00:00"/>
    <s v="Q4"/>
    <x v="3"/>
    <n v="0.45960006503007639"/>
    <n v="7958"/>
    <n v="11"/>
    <n v="2.1297350024386277E-2"/>
  </r>
  <r>
    <x v="10"/>
    <s v="RD8"/>
    <x v="2"/>
    <s v="MILTON KEYNES UNIVERSITY HOSPITAL NHS FOUNDATION TRUST"/>
    <n v="7474"/>
    <n v="4949"/>
    <n v="3776"/>
    <n v="126"/>
    <n v="607"/>
    <n v="0"/>
    <d v="2026-02-01T00:00:00"/>
    <s v="Q4"/>
    <x v="3"/>
    <n v="0.50521808937650525"/>
    <n v="12423"/>
    <n v="11"/>
    <n v="0"/>
  </r>
  <r>
    <x v="10"/>
    <s v="REF"/>
    <x v="1"/>
    <s v="ROYAL CORNWALL HOSPITALS NHS TRUST"/>
    <n v="6239"/>
    <n v="9986"/>
    <n v="3619"/>
    <n v="513"/>
    <n v="663"/>
    <n v="529"/>
    <d v="2026-02-01T00:00:00"/>
    <s v="Q4"/>
    <x v="3"/>
    <n v="0.58006090719666614"/>
    <n v="16225"/>
    <n v="11"/>
    <n v="8.478922904311588E-2"/>
  </r>
  <r>
    <x v="10"/>
    <s v="RF4"/>
    <x v="4"/>
    <s v="BARKING, HAVERING AND REDBRIDGE UNIVERSITY HOSPITALS NHS TRUST"/>
    <n v="12627"/>
    <n v="13122"/>
    <n v="5281"/>
    <n v="155"/>
    <n v="564"/>
    <n v="628"/>
    <d v="2026-02-01T00:00:00"/>
    <s v="Q4"/>
    <x v="3"/>
    <n v="0.41823077532272113"/>
    <n v="25749"/>
    <n v="11"/>
    <n v="4.9734695493783163E-2"/>
  </r>
  <r>
    <x v="10"/>
    <s v="RFR"/>
    <x v="6"/>
    <s v="THE ROTHERHAM NHS FOUNDATION TRUST"/>
    <n v="8770"/>
    <n v="0"/>
    <n v="2958"/>
    <n v="0"/>
    <n v="903"/>
    <n v="54"/>
    <d v="2026-02-01T00:00:00"/>
    <s v="Q4"/>
    <x v="3"/>
    <n v="0.33728620296465223"/>
    <n v="8770"/>
    <n v="11"/>
    <n v="6.1573546180159634E-3"/>
  </r>
  <r>
    <x v="10"/>
    <s v="RFS"/>
    <x v="5"/>
    <s v="CHESTERFIELD ROYAL HOSPITAL NHS FOUNDATION TRUST"/>
    <n v="6796"/>
    <n v="5530"/>
    <n v="3794"/>
    <n v="38"/>
    <n v="558"/>
    <n v="523"/>
    <d v="2026-02-01T00:00:00"/>
    <s v="Q4"/>
    <x v="3"/>
    <n v="0.55826957033549152"/>
    <n v="12326"/>
    <n v="11"/>
    <n v="7.6957033549146556E-2"/>
  </r>
  <r>
    <x v="10"/>
    <s v="RGR"/>
    <x v="2"/>
    <s v="WEST SUFFOLK NHS FOUNDATION TRUST"/>
    <n v="7170"/>
    <n v="874"/>
    <n v="2577"/>
    <n v="0"/>
    <n v="428"/>
    <n v="546"/>
    <d v="2026-02-01T00:00:00"/>
    <s v="Q4"/>
    <x v="3"/>
    <n v="0.35941422594142258"/>
    <n v="8044"/>
    <n v="11"/>
    <n v="7.6150627615062763E-2"/>
  </r>
  <r>
    <x v="10"/>
    <s v="RHQ"/>
    <x v="6"/>
    <s v="SHEFFIELD TEACHING HOSPITALS NHS FOUNDATION TRUST"/>
    <n v="8037"/>
    <n v="6654"/>
    <n v="4030"/>
    <n v="215"/>
    <n v="935"/>
    <n v="4"/>
    <d v="2026-02-01T00:00:00"/>
    <s v="Q4"/>
    <x v="3"/>
    <n v="0.5014308821699639"/>
    <n v="14691"/>
    <n v="11"/>
    <n v="4.9769814607440591E-4"/>
  </r>
  <r>
    <x v="10"/>
    <s v="RJ1"/>
    <x v="4"/>
    <s v="GUY'S AND ST THOMAS' NHS FOUNDATION TRUST"/>
    <n v="9456"/>
    <n v="6214"/>
    <n v="3677"/>
    <n v="115"/>
    <n v="167"/>
    <n v="67"/>
    <d v="2026-02-01T00:00:00"/>
    <s v="Q4"/>
    <x v="3"/>
    <n v="0.38885363790186123"/>
    <n v="15670"/>
    <n v="11"/>
    <n v="7.0854483925549914E-3"/>
  </r>
  <r>
    <x v="10"/>
    <s v="RL1"/>
    <x v="5"/>
    <s v="THE ROBERT JONES AND AGNES HUNT ORTHOPAEDIC HOSPITAL NHS FOUNDATION TRUST"/>
    <n v="0"/>
    <n v="0"/>
    <n v="0"/>
    <n v="0"/>
    <n v="0"/>
    <n v="0"/>
    <d v="2026-02-01T00:00:00"/>
    <s v="Q4"/>
    <x v="3"/>
    <n v="0"/>
    <n v="0"/>
    <n v="11"/>
    <n v="0"/>
  </r>
  <r>
    <x v="10"/>
    <s v="RN3"/>
    <x v="1"/>
    <s v="GREAT WESTERN HOSPITALS NHS FOUNDATION TRUST"/>
    <n v="5608"/>
    <n v="4955"/>
    <n v="2936"/>
    <n v="322"/>
    <n v="364"/>
    <n v="444"/>
    <d v="2026-02-01T00:00:00"/>
    <s v="Q4"/>
    <x v="3"/>
    <n v="0.52353780313837373"/>
    <n v="10563"/>
    <n v="11"/>
    <n v="7.9172610556348069E-2"/>
  </r>
  <r>
    <x v="10"/>
    <s v="RNA"/>
    <x v="5"/>
    <s v="THE DUDLEY GROUP NHS FOUNDATION TRUST"/>
    <n v="8946"/>
    <n v="3879"/>
    <n v="3063"/>
    <n v="62"/>
    <n v="2445"/>
    <n v="178"/>
    <d v="2026-02-01T00:00:00"/>
    <s v="Q4"/>
    <x v="3"/>
    <n v="0.34238765928906773"/>
    <n v="12825"/>
    <n v="11"/>
    <n v="1.9897160742231166E-2"/>
  </r>
  <r>
    <x v="10"/>
    <s v="RNZ"/>
    <x v="1"/>
    <s v="SALISBURY NHS FOUNDATION TRUST"/>
    <n v="4191"/>
    <n v="1723"/>
    <n v="1871"/>
    <n v="0"/>
    <n v="395"/>
    <n v="152"/>
    <d v="2026-02-01T00:00:00"/>
    <s v="Q4"/>
    <x v="3"/>
    <n v="0.4464328322596039"/>
    <n v="5914"/>
    <n v="11"/>
    <n v="3.6268193748508711E-2"/>
  </r>
  <r>
    <x v="10"/>
    <s v="RPC"/>
    <x v="0"/>
    <s v="QUEEN VICTORIA HOSPITAL NHS FOUNDATION TRUST"/>
    <n v="0"/>
    <n v="1109"/>
    <n v="0"/>
    <n v="13"/>
    <n v="0"/>
    <n v="0"/>
    <d v="2026-02-01T00:00:00"/>
    <s v="Q4"/>
    <x v="3"/>
    <n v="0"/>
    <n v="1109"/>
    <n v="11"/>
    <n v="0"/>
  </r>
  <r>
    <x v="10"/>
    <s v="RQ3"/>
    <x v="5"/>
    <s v="BIRMINGHAM WOMEN'S AND CHILDREN'S NHS FOUNDATION TRUST"/>
    <n v="4440"/>
    <n v="0"/>
    <n v="1021"/>
    <n v="0"/>
    <n v="34"/>
    <n v="1"/>
    <d v="2026-02-01T00:00:00"/>
    <s v="Q4"/>
    <x v="3"/>
    <n v="0.22995495495495497"/>
    <n v="4440"/>
    <n v="11"/>
    <n v="2.2522522522522523E-4"/>
  </r>
  <r>
    <x v="10"/>
    <s v="RTD"/>
    <x v="6"/>
    <s v="THE NEWCASTLE UPON TYNE HOSPITALS NHS FOUNDATION TRUST"/>
    <n v="10171"/>
    <n v="8131"/>
    <n v="4926"/>
    <n v="172"/>
    <n v="627"/>
    <n v="63"/>
    <d v="2026-02-01T00:00:00"/>
    <s v="Q4"/>
    <x v="3"/>
    <n v="0.48431815947301149"/>
    <n v="18302"/>
    <n v="11"/>
    <n v="6.1940812112869928E-3"/>
  </r>
  <r>
    <x v="10"/>
    <s v="RTF"/>
    <x v="6"/>
    <s v="NORTHUMBRIA HEALTHCARE NHS FOUNDATION TRUST"/>
    <n v="9593"/>
    <n v="11737"/>
    <n v="2664"/>
    <n v="3"/>
    <n v="45"/>
    <n v="0"/>
    <d v="2026-02-01T00:00:00"/>
    <s v="Q4"/>
    <x v="3"/>
    <n v="0.27770249139997916"/>
    <n v="21330"/>
    <n v="11"/>
    <n v="0"/>
  </r>
  <r>
    <x v="10"/>
    <s v="RGT"/>
    <x v="2"/>
    <s v="CAMBRIDGE UNIVERSITY HOSPITALS NHS FOUNDATION TRUST"/>
    <n v="10319"/>
    <n v="4758"/>
    <n v="4672"/>
    <n v="88"/>
    <n v="480"/>
    <n v="558"/>
    <d v="2026-02-01T00:00:00"/>
    <s v="Q4"/>
    <x v="3"/>
    <n v="0.45275705010175404"/>
    <n v="15077"/>
    <n v="11"/>
    <n v="5.4075007268146139E-2"/>
  </r>
  <r>
    <x v="10"/>
    <s v="RHM"/>
    <x v="0"/>
    <s v="UNIVERSITY HOSPITAL SOUTHAMPTON NHS FOUNDATION TRUST"/>
    <n v="9612"/>
    <n v="0"/>
    <n v="2738"/>
    <n v="0"/>
    <n v="155"/>
    <n v="10"/>
    <d v="2026-02-01T00:00:00"/>
    <s v="Q4"/>
    <x v="3"/>
    <n v="0.28485226799833541"/>
    <n v="9612"/>
    <n v="11"/>
    <n v="1.0403662089055348E-3"/>
  </r>
  <r>
    <x v="10"/>
    <s v="RHW"/>
    <x v="0"/>
    <s v="ROYAL BERKSHIRE NHS FOUNDATION TRUST"/>
    <n v="10031"/>
    <n v="2376"/>
    <n v="3586"/>
    <n v="0"/>
    <n v="783"/>
    <n v="52"/>
    <d v="2026-02-01T00:00:00"/>
    <s v="Q4"/>
    <x v="3"/>
    <n v="0.3574917754959625"/>
    <n v="12407"/>
    <n v="11"/>
    <n v="5.1839298175655468E-3"/>
  </r>
  <r>
    <x v="10"/>
    <s v="RJ2"/>
    <x v="4"/>
    <s v="LEWISHAM AND GREENWICH NHS TRUST"/>
    <n v="14807"/>
    <n v="14963"/>
    <n v="7625"/>
    <n v="234"/>
    <n v="1020"/>
    <n v="703"/>
    <d v="2026-02-01T00:00:00"/>
    <s v="Q4"/>
    <x v="3"/>
    <n v="0.51495914094684947"/>
    <n v="29770"/>
    <n v="11"/>
    <n v="4.7477544404673465E-2"/>
  </r>
  <r>
    <x v="10"/>
    <s v="RWW"/>
    <x v="3"/>
    <s v="WARRINGTON AND HALTON TEACHING HOSPITALS NHS FOUNDATION TRUST"/>
    <n v="5982"/>
    <n v="2469"/>
    <n v="3167"/>
    <n v="36"/>
    <n v="491"/>
    <n v="825"/>
    <d v="2026-02-01T00:00:00"/>
    <s v="Q4"/>
    <x v="3"/>
    <n v="0.5294215981277165"/>
    <n v="8451"/>
    <n v="11"/>
    <n v="0.137913741223671"/>
  </r>
  <r>
    <x v="10"/>
    <s v="RX1"/>
    <x v="5"/>
    <s v="NOTTINGHAM UNIVERSITY HOSPITALS NHS TRUST"/>
    <n v="11557"/>
    <n v="8456"/>
    <n v="6776"/>
    <n v="1043"/>
    <n v="147"/>
    <n v="1066"/>
    <d v="2026-02-01T00:00:00"/>
    <s v="Q4"/>
    <x v="3"/>
    <n v="0.58631132646880679"/>
    <n v="20013"/>
    <n v="11"/>
    <n v="9.2238470191226093E-2"/>
  </r>
  <r>
    <x v="10"/>
    <s v="RXC"/>
    <x v="0"/>
    <s v="EAST SUSSEX HEALTHCARE NHS TRUST"/>
    <n v="8832"/>
    <n v="1825"/>
    <n v="3795"/>
    <n v="55"/>
    <n v="190"/>
    <n v="113"/>
    <d v="2026-02-01T00:00:00"/>
    <s v="Q4"/>
    <x v="3"/>
    <n v="0.4296875"/>
    <n v="10657"/>
    <n v="11"/>
    <n v="1.2794384057971014E-2"/>
  </r>
  <r>
    <x v="10"/>
    <s v="RXL"/>
    <x v="3"/>
    <s v="BLACKPOOL TEACHING HOSPITALS NHS FOUNDATION TRUST"/>
    <n v="7953"/>
    <n v="9216"/>
    <n v="3837"/>
    <n v="203"/>
    <n v="357"/>
    <n v="624"/>
    <d v="2026-02-01T00:00:00"/>
    <s v="Q4"/>
    <x v="3"/>
    <n v="0.48245944926442852"/>
    <n v="17169"/>
    <n v="11"/>
    <n v="7.8460958129007927E-2"/>
  </r>
  <r>
    <x v="10"/>
    <s v="RXN"/>
    <x v="3"/>
    <s v="LANCASHIRE TEACHING HOSPITALS NHS FOUNDATION TRUST"/>
    <n v="11011"/>
    <n v="2907"/>
    <n v="4312"/>
    <n v="227"/>
    <n v="919"/>
    <n v="393"/>
    <d v="2026-02-01T00:00:00"/>
    <s v="Q4"/>
    <x v="3"/>
    <n v="0.39160839160839161"/>
    <n v="13918"/>
    <n v="11"/>
    <n v="3.5691581146126604E-2"/>
  </r>
  <r>
    <x v="10"/>
    <s v="RXR"/>
    <x v="3"/>
    <s v="EAST LANCASHIRE HOSPITALS NHS TRUST"/>
    <n v="12044"/>
    <n v="10190"/>
    <n v="4885"/>
    <n v="3"/>
    <n v="301"/>
    <n v="1059"/>
    <d v="2026-02-01T00:00:00"/>
    <s v="Q4"/>
    <x v="3"/>
    <n v="0.40559614745931583"/>
    <n v="22234"/>
    <n v="11"/>
    <n v="8.792759880438393E-2"/>
  </r>
  <r>
    <x v="10"/>
    <s v="RXW"/>
    <x v="5"/>
    <s v="THE SHREWSBURY AND TELFORD HOSPITAL NHS TRUST"/>
    <n v="9920"/>
    <n v="2355"/>
    <n v="5562"/>
    <n v="345"/>
    <n v="475"/>
    <n v="1366"/>
    <d v="2026-02-01T00:00:00"/>
    <s v="Q4"/>
    <x v="3"/>
    <n v="0.56068548387096773"/>
    <n v="12275"/>
    <n v="11"/>
    <n v="0.1377016129032258"/>
  </r>
  <r>
    <x v="10"/>
    <s v="RYG"/>
    <x v="5"/>
    <s v="COVENTRY AND WARWICKSHIRE PARTNERSHIP NHS TRUST"/>
    <n v="0"/>
    <n v="0"/>
    <n v="0"/>
    <n v="0"/>
    <n v="0"/>
    <n v="0"/>
    <d v="2026-02-01T00:00:00"/>
    <s v="Q4"/>
    <x v="3"/>
    <n v="0"/>
    <n v="0"/>
    <n v="11"/>
    <n v="0"/>
  </r>
  <r>
    <x v="10"/>
    <s v="R1K"/>
    <x v="4"/>
    <s v="LONDON NORTH WEST UNIVERSITY HEALTHCARE NHS TRUST"/>
    <n v="12235"/>
    <n v="13616"/>
    <n v="6214"/>
    <n v="223"/>
    <n v="619"/>
    <n v="374"/>
    <d v="2026-02-01T00:00:00"/>
    <s v="Q4"/>
    <x v="3"/>
    <n v="0.50788720882713523"/>
    <n v="25851"/>
    <n v="11"/>
    <n v="3.0568042501021658E-2"/>
  </r>
  <r>
    <x v="10"/>
    <s v="RM3"/>
    <x v="3"/>
    <s v="NORTHERN CARE ALLIANCE NHS FOUNDATION TRUST"/>
    <n v="23361"/>
    <n v="8354"/>
    <n v="9499"/>
    <n v="324"/>
    <n v="807"/>
    <n v="1246"/>
    <d v="2026-02-01T00:00:00"/>
    <s v="Q4"/>
    <x v="3"/>
    <n v="0.40661786738581396"/>
    <n v="31715"/>
    <n v="11"/>
    <n v="5.3336757844270367E-2"/>
  </r>
  <r>
    <x v="10"/>
    <s v="RRV"/>
    <x v="4"/>
    <s v="UNIVERSITY COLLEGE LONDON HOSPITALS NHS FOUNDATION TRUST"/>
    <n v="12017"/>
    <n v="0"/>
    <n v="3222"/>
    <n v="0"/>
    <n v="391"/>
    <n v="287"/>
    <d v="2026-02-01T00:00:00"/>
    <s v="Q4"/>
    <x v="3"/>
    <n v="0.26812016310227177"/>
    <n v="12017"/>
    <n v="11"/>
    <n v="2.3882832653740534E-2"/>
  </r>
  <r>
    <x v="10"/>
    <s v="RTH"/>
    <x v="0"/>
    <s v="OXFORD UNIVERSITY HOSPITALS NHS FOUNDATION TRUST"/>
    <n v="10971"/>
    <n v="3223"/>
    <n v="3002"/>
    <n v="50"/>
    <n v="305"/>
    <n v="0"/>
    <d v="2026-02-01T00:00:00"/>
    <s v="Q4"/>
    <x v="3"/>
    <n v="0.27363048035730564"/>
    <n v="14194"/>
    <n v="11"/>
    <n v="0"/>
  </r>
  <r>
    <x v="10"/>
    <s v="RYX"/>
    <x v="4"/>
    <s v="CENTRAL LONDON COMMUNITY HEALTHCARE NHS TRUST"/>
    <n v="0"/>
    <n v="10763"/>
    <n v="0"/>
    <n v="153"/>
    <n v="0"/>
    <n v="0"/>
    <d v="2026-02-01T00:00:00"/>
    <s v="Q4"/>
    <x v="3"/>
    <n v="0"/>
    <n v="10763"/>
    <n v="11"/>
    <n v="0"/>
  </r>
  <r>
    <x v="10"/>
    <s v="RHU"/>
    <x v="0"/>
    <s v="PORTSMOUTH HOSPITALS UNIVERSITY NHS TRUST"/>
    <n v="9755"/>
    <n v="2840"/>
    <n v="3810"/>
    <n v="0"/>
    <n v="799"/>
    <n v="1039"/>
    <d v="2026-02-01T00:00:00"/>
    <s v="Q4"/>
    <x v="3"/>
    <n v="0.39056893900563816"/>
    <n v="12595"/>
    <n v="11"/>
    <n v="0.10650948231676063"/>
  </r>
  <r>
    <x v="10"/>
    <s v="DT301"/>
    <x v="2"/>
    <s v="HERTS URGENT CARE (ASCOTS LANE)"/>
    <n v="0"/>
    <n v="1792"/>
    <n v="0"/>
    <n v="110"/>
    <n v="0"/>
    <n v="0"/>
    <d v="2026-02-01T00:00:00"/>
    <s v="Q4"/>
    <x v="3"/>
    <n v="0"/>
    <n v="1792"/>
    <n v="11"/>
    <n v="0"/>
  </r>
  <r>
    <x v="10"/>
    <s v="RA7"/>
    <x v="1"/>
    <s v="UNIVERSITY HOSPITALS BRISTOL AND WESTON NHS FOUNDATION TRUST"/>
    <n v="14252"/>
    <n v="0"/>
    <n v="5165"/>
    <n v="0"/>
    <n v="979"/>
    <n v="440"/>
    <d v="2026-02-01T00:00:00"/>
    <s v="Q4"/>
    <x v="3"/>
    <n v="0.3624052764524277"/>
    <n v="14252"/>
    <n v="11"/>
    <n v="3.0872859949480774E-2"/>
  </r>
  <r>
    <x v="10"/>
    <s v="RBL"/>
    <x v="3"/>
    <s v="WIRRAL UNIVERSITY TEACHING HOSPITAL NHS FOUNDATION TRUST"/>
    <n v="6951"/>
    <n v="2546"/>
    <n v="3741"/>
    <n v="67"/>
    <n v="440"/>
    <n v="758"/>
    <d v="2026-02-01T00:00:00"/>
    <s v="Q4"/>
    <x v="3"/>
    <n v="0.53819594302977991"/>
    <n v="9497"/>
    <n v="11"/>
    <n v="0.10904905768954107"/>
  </r>
  <r>
    <x v="10"/>
    <s v="RH5"/>
    <x v="1"/>
    <s v="SOMERSET NHS FOUNDATION TRUST"/>
    <n v="10507"/>
    <n v="8517"/>
    <n v="5465"/>
    <n v="220"/>
    <n v="552"/>
    <n v="196"/>
    <d v="2026-02-01T00:00:00"/>
    <s v="Q4"/>
    <x v="3"/>
    <n v="0.52012943751784524"/>
    <n v="19024"/>
    <n v="11"/>
    <n v="1.8654230512991338E-2"/>
  </r>
  <r>
    <x v="10"/>
    <s v="RAL"/>
    <x v="4"/>
    <s v="ROYAL FREE LONDON NHS FOUNDATION TRUST"/>
    <n v="24307"/>
    <n v="14208"/>
    <n v="8072"/>
    <n v="871"/>
    <n v="836"/>
    <n v="1870"/>
    <d v="2026-02-01T00:00:00"/>
    <s v="Q4"/>
    <x v="3"/>
    <n v="0.33208540749578308"/>
    <n v="38515"/>
    <n v="11"/>
    <n v="7.6932570864360061E-2"/>
  </r>
  <r>
    <x v="10"/>
    <s v="RJ6"/>
    <x v="4"/>
    <s v="CROYDON HEALTH SERVICES NHS TRUST"/>
    <n v="12080"/>
    <n v="4618"/>
    <n v="4902"/>
    <n v="0"/>
    <n v="214"/>
    <n v="685"/>
    <d v="2026-02-01T00:00:00"/>
    <s v="Q4"/>
    <x v="3"/>
    <n v="0.40579470198675499"/>
    <n v="16698"/>
    <n v="11"/>
    <n v="5.6705298013245031E-2"/>
  </r>
  <r>
    <x v="10"/>
    <s v="RWJ"/>
    <x v="3"/>
    <s v="STOCKPORT NHS FOUNDATION TRUST"/>
    <n v="7049"/>
    <n v="821"/>
    <n v="2811"/>
    <n v="38"/>
    <n v="528"/>
    <n v="380"/>
    <d v="2026-02-01T00:00:00"/>
    <s v="Q4"/>
    <x v="3"/>
    <n v="0.3987799687898993"/>
    <n v="7870"/>
    <n v="11"/>
    <n v="5.3908355795148251E-2"/>
  </r>
  <r>
    <x v="10"/>
    <s v="NNJ"/>
    <x v="5"/>
    <s v="DHU HEALTH CARE C.I.C"/>
    <n v="0"/>
    <n v="1788"/>
    <n v="0"/>
    <n v="0"/>
    <n v="0"/>
    <n v="0"/>
    <d v="2026-02-01T00:00:00"/>
    <s v="Q4"/>
    <x v="3"/>
    <n v="0"/>
    <n v="1788"/>
    <n v="11"/>
    <n v="0"/>
  </r>
  <r>
    <x v="10"/>
    <s v="RWH"/>
    <x v="2"/>
    <s v="EAST AND NORTH HERTFORDSHIRE TEACHING NHS TRUST"/>
    <n v="8724"/>
    <n v="7403"/>
    <n v="4954"/>
    <n v="88"/>
    <n v="501"/>
    <n v="209"/>
    <d v="2026-02-01T00:00:00"/>
    <s v="Q4"/>
    <x v="3"/>
    <n v="0.56785878037597437"/>
    <n v="16127"/>
    <n v="11"/>
    <n v="2.39569005043558E-2"/>
  </r>
  <r>
    <x v="10"/>
    <s v="RWD"/>
    <x v="5"/>
    <s v="UNITED LINCOLNSHIRE TEACHING HOSPITALS NHS TRUST"/>
    <n v="16500"/>
    <n v="4132"/>
    <n v="6701"/>
    <n v="299"/>
    <n v="581"/>
    <n v="1296"/>
    <d v="2026-02-01T00:00:00"/>
    <s v="Q4"/>
    <x v="3"/>
    <n v="0.40612121212121211"/>
    <n v="20632"/>
    <n v="11"/>
    <n v="7.8545454545454543E-2"/>
  </r>
  <r>
    <x v="10"/>
    <s v="RJ7"/>
    <x v="4"/>
    <s v="ST GEORGE'S UNIVERSITY HOSPITALS NHS FOUNDATION TRUST"/>
    <n v="8228"/>
    <n v="3579"/>
    <n v="2779"/>
    <n v="124"/>
    <n v="419"/>
    <n v="443"/>
    <d v="2026-02-01T00:00:00"/>
    <s v="Q4"/>
    <x v="3"/>
    <n v="0.33774914924647548"/>
    <n v="11807"/>
    <n v="11"/>
    <n v="5.3840544482255712E-2"/>
  </r>
  <r>
    <x v="10"/>
    <s v="RJN"/>
    <x v="3"/>
    <s v="EAST CHESHIRE NHS TRUST"/>
    <n v="3856"/>
    <n v="0"/>
    <n v="2105"/>
    <n v="0"/>
    <n v="218"/>
    <n v="470"/>
    <d v="2026-02-01T00:00:00"/>
    <s v="Q4"/>
    <x v="3"/>
    <n v="0.54590248962655596"/>
    <n v="3856"/>
    <n v="11"/>
    <n v="0.12188796680497925"/>
  </r>
  <r>
    <x v="10"/>
    <s v="RJZ"/>
    <x v="4"/>
    <s v="KING'S COLLEGE HOSPITAL NHS FOUNDATION TRUST"/>
    <n v="14307"/>
    <n v="8138"/>
    <n v="6570"/>
    <n v="632"/>
    <n v="1448"/>
    <n v="833"/>
    <d v="2026-02-01T00:00:00"/>
    <s v="Q4"/>
    <x v="3"/>
    <n v="0.45921576850492768"/>
    <n v="22445"/>
    <n v="11"/>
    <n v="5.8223247361431467E-2"/>
  </r>
  <r>
    <x v="10"/>
    <s v="RK5"/>
    <x v="5"/>
    <s v="SHERWOOD FOREST HOSPITALS NHS FOUNDATION TRUST"/>
    <n v="10460"/>
    <n v="4919"/>
    <n v="3976"/>
    <n v="376"/>
    <n v="843"/>
    <n v="365"/>
    <d v="2026-02-01T00:00:00"/>
    <s v="Q4"/>
    <x v="3"/>
    <n v="0.38011472275334607"/>
    <n v="15379"/>
    <n v="11"/>
    <n v="3.4894837476099429E-2"/>
  </r>
  <r>
    <x v="10"/>
    <s v="RKE"/>
    <x v="4"/>
    <s v="WHITTINGTON HEALTH NHS TRUST"/>
    <n v="8193"/>
    <n v="0"/>
    <n v="2212"/>
    <n v="0"/>
    <n v="237"/>
    <n v="269"/>
    <d v="2026-02-01T00:00:00"/>
    <s v="Q4"/>
    <x v="3"/>
    <n v="0.26998657390455266"/>
    <n v="8193"/>
    <n v="11"/>
    <n v="3.2832906139387281E-2"/>
  </r>
  <r>
    <x v="10"/>
    <s v="RL4"/>
    <x v="5"/>
    <s v="THE ROYAL WOLVERHAMPTON NHS TRUST"/>
    <n v="10403"/>
    <n v="6123"/>
    <n v="3647"/>
    <n v="145"/>
    <n v="848"/>
    <n v="511"/>
    <d v="2026-02-01T00:00:00"/>
    <s v="Q4"/>
    <x v="3"/>
    <n v="0.35057195039892336"/>
    <n v="16526"/>
    <n v="11"/>
    <n v="4.912044602518504E-2"/>
  </r>
  <r>
    <x v="10"/>
    <s v="RM1"/>
    <x v="2"/>
    <s v="NORFOLK AND NORWICH UNIVERSITY HOSPITALS NHS FOUNDATION TRUST"/>
    <n v="11506"/>
    <n v="7127"/>
    <n v="3622"/>
    <n v="4"/>
    <n v="648"/>
    <n v="410"/>
    <d v="2026-02-01T00:00:00"/>
    <s v="Q4"/>
    <x v="3"/>
    <n v="0.31479228228750217"/>
    <n v="18633"/>
    <n v="11"/>
    <n v="3.5633582478706759E-2"/>
  </r>
  <r>
    <x v="10"/>
    <s v="RMC"/>
    <x v="3"/>
    <s v="BOLTON NHS FOUNDATION TRUST"/>
    <n v="7382"/>
    <n v="3259"/>
    <n v="3575"/>
    <n v="275"/>
    <n v="363"/>
    <n v="483"/>
    <d v="2026-02-01T00:00:00"/>
    <s v="Q4"/>
    <x v="3"/>
    <n v="0.48428610132755351"/>
    <n v="10641"/>
    <n v="11"/>
    <n v="6.5429422920617722E-2"/>
  </r>
  <r>
    <x v="10"/>
    <s v="RN7"/>
    <x v="0"/>
    <s v="DARTFORD AND GRAVESHAM NHS TRUST"/>
    <n v="10902"/>
    <n v="3493"/>
    <n v="2879"/>
    <n v="37"/>
    <n v="612"/>
    <n v="344"/>
    <d v="2026-02-01T00:00:00"/>
    <s v="Q4"/>
    <x v="3"/>
    <n v="0.26407998532379379"/>
    <n v="14395"/>
    <n v="11"/>
    <n v="3.1553843331498806E-2"/>
  </r>
  <r>
    <x v="10"/>
    <s v="RNQ"/>
    <x v="5"/>
    <s v="KETTERING GENERAL HOSPITAL NHS FOUNDATION TRUST"/>
    <n v="9960"/>
    <n v="8182"/>
    <n v="3820"/>
    <n v="7"/>
    <n v="569"/>
    <n v="504"/>
    <d v="2026-02-01T00:00:00"/>
    <s v="Q4"/>
    <x v="3"/>
    <n v="0.38353413654618473"/>
    <n v="18142"/>
    <n v="11"/>
    <n v="5.0602409638554217E-2"/>
  </r>
  <r>
    <x v="10"/>
    <s v="RNS"/>
    <x v="5"/>
    <s v="NORTHAMPTON GENERAL HOSPITAL NHS TRUST"/>
    <n v="9778"/>
    <n v="1775"/>
    <n v="3806"/>
    <n v="15"/>
    <n v="349"/>
    <n v="856"/>
    <d v="2026-02-01T00:00:00"/>
    <s v="Q4"/>
    <x v="3"/>
    <n v="0.38924115361014522"/>
    <n v="11553"/>
    <n v="11"/>
    <n v="8.7543464921251785E-2"/>
  </r>
  <r>
    <x v="10"/>
    <s v="RPA"/>
    <x v="0"/>
    <s v="MEDWAY NHS FOUNDATION TRUST"/>
    <n v="8536"/>
    <n v="5282"/>
    <n v="3136"/>
    <n v="851"/>
    <n v="227"/>
    <n v="817"/>
    <d v="2026-02-01T00:00:00"/>
    <s v="Q4"/>
    <x v="3"/>
    <n v="0.36738519212746018"/>
    <n v="13818"/>
    <n v="11"/>
    <n v="9.5712277413308344E-2"/>
  </r>
  <r>
    <x v="10"/>
    <s v="RQM"/>
    <x v="4"/>
    <s v="CHELSEA AND WESTMINSTER HOSPITAL NHS FOUNDATION TRUST"/>
    <n v="18241"/>
    <n v="5785"/>
    <n v="5070"/>
    <n v="234"/>
    <n v="913"/>
    <n v="43"/>
    <d v="2026-02-01T00:00:00"/>
    <s v="Q4"/>
    <x v="3"/>
    <n v="0.27794528808727592"/>
    <n v="24026"/>
    <n v="11"/>
    <n v="2.3573269009374486E-3"/>
  </r>
  <r>
    <x v="10"/>
    <s v="RR8"/>
    <x v="6"/>
    <s v="LEEDS TEACHING HOSPITALS NHS TRUST"/>
    <n v="16690"/>
    <n v="9963"/>
    <n v="6740"/>
    <n v="254"/>
    <n v="1002"/>
    <n v="884"/>
    <d v="2026-02-01T00:00:00"/>
    <s v="Q4"/>
    <x v="3"/>
    <n v="0.40383463151587778"/>
    <n v="26653"/>
    <n v="11"/>
    <n v="5.2965847813061712E-2"/>
  </r>
  <r>
    <x v="10"/>
    <s v="RRF"/>
    <x v="3"/>
    <s v="WRIGHTINGTON, WIGAN AND LEIGH TEACHING HOSPITALS NHS FOUNDATION TRUST"/>
    <n v="6165"/>
    <n v="5182"/>
    <n v="3757"/>
    <n v="213"/>
    <n v="656"/>
    <n v="520"/>
    <d v="2026-02-01T00:00:00"/>
    <s v="Q4"/>
    <x v="3"/>
    <n v="0.6094079480940795"/>
    <n v="11347"/>
    <n v="11"/>
    <n v="8.4347120843471207E-2"/>
  </r>
  <r>
    <x v="10"/>
    <s v="RTE"/>
    <x v="1"/>
    <s v="GLOUCESTERSHIRE HOSPITALS NHS FOUNDATION TRUST"/>
    <n v="11930"/>
    <n v="0"/>
    <n v="4489"/>
    <n v="0"/>
    <n v="219"/>
    <n v="510"/>
    <d v="2026-02-01T00:00:00"/>
    <s v="Q4"/>
    <x v="3"/>
    <n v="0.37627829002514668"/>
    <n v="11930"/>
    <n v="11"/>
    <n v="4.2749371332774518E-2"/>
  </r>
  <r>
    <x v="10"/>
    <s v="RTR"/>
    <x v="6"/>
    <s v="SOUTH TEES HOSPITALS NHS FOUNDATION TRUST"/>
    <n v="7009"/>
    <n v="8090"/>
    <n v="3486"/>
    <n v="319"/>
    <n v="372"/>
    <n v="35"/>
    <d v="2026-02-01T00:00:00"/>
    <s v="Q4"/>
    <x v="3"/>
    <n v="0.49736053645313166"/>
    <n v="15099"/>
    <n v="11"/>
    <n v="4.9935796832643745E-3"/>
  </r>
  <r>
    <x v="10"/>
    <s v="RVJ"/>
    <x v="1"/>
    <s v="NORTH BRISTOL NHS TRUST"/>
    <n v="8262"/>
    <n v="0"/>
    <n v="2947"/>
    <n v="0"/>
    <n v="441"/>
    <n v="430"/>
    <d v="2026-02-01T00:00:00"/>
    <s v="Q4"/>
    <x v="3"/>
    <n v="0.35669329460179133"/>
    <n v="8262"/>
    <n v="11"/>
    <n v="5.2045509561849432E-2"/>
  </r>
  <r>
    <x v="10"/>
    <s v="RVR"/>
    <x v="4"/>
    <s v="EPSOM AND ST HELIER UNIVERSITY HOSPITALS NHS TRUST"/>
    <n v="10245"/>
    <n v="1883"/>
    <n v="3045"/>
    <n v="101"/>
    <n v="530"/>
    <n v="732"/>
    <d v="2026-02-01T00:00:00"/>
    <s v="Q4"/>
    <x v="3"/>
    <n v="0.29721815519765737"/>
    <n v="12128"/>
    <n v="11"/>
    <n v="7.1449487554904836E-2"/>
  </r>
  <r>
    <x v="10"/>
    <s v="RVV"/>
    <x v="0"/>
    <s v="EAST KENT HOSPITALS UNIVERSITY NHS FOUNDATION TRUST"/>
    <n v="12507"/>
    <n v="10837"/>
    <n v="5609"/>
    <n v="251"/>
    <n v="476"/>
    <n v="995"/>
    <d v="2026-02-01T00:00:00"/>
    <s v="Q4"/>
    <x v="3"/>
    <n v="0.44846885743983367"/>
    <n v="23344"/>
    <n v="11"/>
    <n v="7.9555448948588792E-2"/>
  </r>
  <r>
    <x v="10"/>
    <s v="RWA"/>
    <x v="6"/>
    <s v="HULL UNIVERSITY TEACHING HOSPITALS NHS TRUST"/>
    <n v="8887"/>
    <n v="3896"/>
    <n v="4770"/>
    <n v="310"/>
    <n v="979"/>
    <n v="410"/>
    <d v="2026-02-01T00:00:00"/>
    <s v="Q4"/>
    <x v="3"/>
    <n v="0.53673905704962299"/>
    <n v="12783"/>
    <n v="11"/>
    <n v="4.6134803645774727E-2"/>
  </r>
  <r>
    <x v="10"/>
    <s v="RWG"/>
    <x v="2"/>
    <s v="WEST HERTFORDSHIRE TEACHING HOSPITALS NHS TRUST"/>
    <n v="7839"/>
    <n v="6667"/>
    <n v="2151"/>
    <n v="103"/>
    <n v="486"/>
    <n v="29"/>
    <d v="2026-02-01T00:00:00"/>
    <s v="Q4"/>
    <x v="3"/>
    <n v="0.27439724454649828"/>
    <n v="14506"/>
    <n v="11"/>
    <n v="3.6994514606454904E-3"/>
  </r>
  <r>
    <x v="10"/>
    <s v="K6K0R"/>
    <x v="4"/>
    <s v="HAROLD WOOD POLYCLINIC UTC"/>
    <n v="0"/>
    <n v="2599"/>
    <n v="0"/>
    <n v="11"/>
    <n v="0"/>
    <n v="0"/>
    <d v="2026-02-01T00:00:00"/>
    <s v="Q4"/>
    <x v="3"/>
    <n v="0"/>
    <n v="2599"/>
    <n v="11"/>
    <n v="0"/>
  </r>
  <r>
    <x v="10"/>
    <s v="Y02676"/>
    <x v="0"/>
    <s v="BRIGHTON STATION HEALTH CENTRE"/>
    <n v="0"/>
    <n v="1736"/>
    <n v="0"/>
    <n v="0"/>
    <n v="0"/>
    <n v="0"/>
    <d v="2026-02-01T00:00:00"/>
    <s v="Q4"/>
    <x v="3"/>
    <n v="0"/>
    <n v="1736"/>
    <n v="11"/>
    <n v="0"/>
  </r>
  <r>
    <x v="10"/>
    <s v="G0Q0L"/>
    <x v="4"/>
    <s v="BARKING HOSPITAL UTC"/>
    <n v="0"/>
    <n v="2696"/>
    <n v="0"/>
    <n v="18"/>
    <n v="0"/>
    <n v="0"/>
    <d v="2026-02-01T00:00:00"/>
    <s v="Q4"/>
    <x v="3"/>
    <n v="0"/>
    <n v="2696"/>
    <n v="11"/>
    <n v="0"/>
  </r>
  <r>
    <x v="10"/>
    <s v="RNN"/>
    <x v="6"/>
    <s v="NORTH CUMBRIA INTEGRATED CARE NHS FOUNDATION TRUST"/>
    <n v="8014"/>
    <n v="1548"/>
    <n v="3569"/>
    <n v="59"/>
    <n v="667"/>
    <n v="378"/>
    <d v="2026-02-01T00:00:00"/>
    <s v="Q4"/>
    <x v="3"/>
    <n v="0.44534564512103819"/>
    <n v="9562"/>
    <n v="11"/>
    <n v="4.716745695033691E-2"/>
  </r>
  <r>
    <x v="10"/>
    <s v="ACH01"/>
    <x v="0"/>
    <s v="WHITSTABLE MEDICAL PRACTICE"/>
    <n v="0"/>
    <n v="4381"/>
    <n v="0"/>
    <n v="0"/>
    <n v="0"/>
    <n v="0"/>
    <d v="2026-02-01T00:00:00"/>
    <s v="Q4"/>
    <x v="3"/>
    <n v="0"/>
    <n v="4381"/>
    <n v="11"/>
    <n v="0"/>
  </r>
  <r>
    <x v="10"/>
    <s v="NNF09"/>
    <x v="6"/>
    <s v="BRANSHOLME HEALTH CENTRE"/>
    <n v="0"/>
    <n v="3846"/>
    <n v="0"/>
    <n v="525"/>
    <n v="0"/>
    <n v="0"/>
    <d v="2026-02-01T00:00:00"/>
    <s v="Q4"/>
    <x v="3"/>
    <n v="0"/>
    <n v="3846"/>
    <n v="11"/>
    <n v="0"/>
  </r>
  <r>
    <x v="10"/>
    <s v="NNF16"/>
    <x v="6"/>
    <s v="BRIDLINGTON HOSPITAL"/>
    <n v="0"/>
    <n v="1526"/>
    <n v="0"/>
    <n v="62"/>
    <n v="0"/>
    <n v="0"/>
    <d v="2026-02-01T00:00:00"/>
    <s v="Q4"/>
    <x v="3"/>
    <n v="0"/>
    <n v="1526"/>
    <n v="11"/>
    <n v="0"/>
  </r>
  <r>
    <x v="10"/>
    <s v="NNF94"/>
    <x v="6"/>
    <s v="EAST RIDING COMMUNITY HOSPITAL"/>
    <n v="0"/>
    <n v="3038"/>
    <n v="0"/>
    <n v="212"/>
    <n v="0"/>
    <n v="0"/>
    <d v="2026-02-01T00:00:00"/>
    <s v="Q4"/>
    <x v="3"/>
    <n v="0"/>
    <n v="3038"/>
    <n v="11"/>
    <n v="0"/>
  </r>
  <r>
    <x v="10"/>
    <s v="NNFA7"/>
    <x v="6"/>
    <s v="GOOLE &amp; DISTRICT HOSPITAL"/>
    <n v="0"/>
    <n v="1790"/>
    <n v="0"/>
    <n v="5"/>
    <n v="0"/>
    <n v="0"/>
    <d v="2026-02-01T00:00:00"/>
    <s v="Q4"/>
    <x v="3"/>
    <n v="0"/>
    <n v="1790"/>
    <n v="11"/>
    <n v="0"/>
  </r>
  <r>
    <x v="10"/>
    <s v="NTP11"/>
    <x v="0"/>
    <s v="PRACTICE PLUS GROUP HOSPITAL - SOUTHAMPTON"/>
    <n v="0"/>
    <n v="4608"/>
    <n v="0"/>
    <n v="140"/>
    <n v="0"/>
    <n v="0"/>
    <d v="2026-02-01T00:00:00"/>
    <s v="Q4"/>
    <x v="3"/>
    <n v="0"/>
    <n v="4608"/>
    <n v="11"/>
    <n v="0"/>
  </r>
  <r>
    <x v="10"/>
    <s v="RDU"/>
    <x v="0"/>
    <s v="FRIMLEY HEALTH NHS FOUNDATION TRUST"/>
    <n v="20751"/>
    <n v="10394"/>
    <n v="8634"/>
    <n v="261"/>
    <n v="1233"/>
    <n v="713"/>
    <d v="2026-02-01T00:00:00"/>
    <s v="Q4"/>
    <x v="3"/>
    <n v="0.41607633367066649"/>
    <n v="31145"/>
    <n v="11"/>
    <n v="3.4359789889643874E-2"/>
  </r>
  <r>
    <x v="10"/>
    <s v="REP"/>
    <x v="3"/>
    <s v="LIVERPOOL WOMEN'S NHS FOUNDATION TRUST"/>
    <n v="0"/>
    <n v="0"/>
    <n v="0"/>
    <n v="0"/>
    <n v="0"/>
    <n v="0"/>
    <d v="2026-02-01T00:00:00"/>
    <s v="Q4"/>
    <x v="3"/>
    <n v="0"/>
    <n v="0"/>
    <n v="11"/>
    <n v="0"/>
  </r>
  <r>
    <x v="10"/>
    <s v="RV9"/>
    <x v="6"/>
    <s v="HUMBER TEACHING NHS FOUNDATION TRUST"/>
    <n v="0"/>
    <n v="920"/>
    <n v="0"/>
    <n v="1"/>
    <n v="0"/>
    <n v="0"/>
    <d v="2026-02-01T00:00:00"/>
    <s v="Q4"/>
    <x v="3"/>
    <n v="0"/>
    <n v="920"/>
    <n v="11"/>
    <n v="0"/>
  </r>
  <r>
    <x v="10"/>
    <s v="Y02428"/>
    <x v="2"/>
    <s v="PUTNOE WALK IN CENTRE"/>
    <n v="0"/>
    <n v="2711"/>
    <n v="0"/>
    <n v="0"/>
    <n v="0"/>
    <n v="0"/>
    <d v="2026-02-01T00:00:00"/>
    <s v="Q4"/>
    <x v="3"/>
    <n v="0"/>
    <n v="2711"/>
    <n v="11"/>
    <n v="0"/>
  </r>
  <r>
    <x v="10"/>
    <s v="RBS"/>
    <x v="3"/>
    <s v="ALDER HEY CHILDREN'S NHS FOUNDATION TRUST"/>
    <n v="5576"/>
    <n v="0"/>
    <n v="1114"/>
    <n v="0"/>
    <n v="0"/>
    <n v="0"/>
    <d v="2026-02-01T00:00:00"/>
    <s v="Q4"/>
    <x v="3"/>
    <n v="0.19978479196556673"/>
    <n v="5576"/>
    <n v="11"/>
    <n v="0"/>
  </r>
  <r>
    <x v="10"/>
    <s v="RNU"/>
    <x v="0"/>
    <s v="OXFORD HEALTH NHS FOUNDATION TRUST"/>
    <n v="0"/>
    <n v="3490"/>
    <n v="0"/>
    <n v="72"/>
    <n v="0"/>
    <n v="0"/>
    <d v="2026-02-01T00:00:00"/>
    <s v="Q4"/>
    <x v="3"/>
    <n v="0"/>
    <n v="3490"/>
    <n v="11"/>
    <n v="0"/>
  </r>
  <r>
    <x v="10"/>
    <s v="RQX"/>
    <x v="4"/>
    <s v="HOMERTON HEALTHCARE NHS FOUNDATION TRUST"/>
    <n v="10173"/>
    <n v="0"/>
    <n v="1682"/>
    <n v="0"/>
    <n v="174"/>
    <n v="19"/>
    <d v="2026-02-01T00:00:00"/>
    <s v="Q4"/>
    <x v="3"/>
    <n v="0.16533962449621548"/>
    <n v="10173"/>
    <n v="11"/>
    <n v="1.8676889806350143E-3"/>
  </r>
  <r>
    <x v="10"/>
    <s v="RWE"/>
    <x v="5"/>
    <s v="UNIVERSITY HOSPITALS OF LEICESTER NHS TRUST"/>
    <n v="20546"/>
    <n v="0"/>
    <n v="8190"/>
    <n v="0"/>
    <n v="1192"/>
    <n v="727"/>
    <d v="2026-02-01T00:00:00"/>
    <s v="Q4"/>
    <x v="3"/>
    <n v="0.39861773581232357"/>
    <n v="20546"/>
    <n v="11"/>
    <n v="3.5384016353548133E-2"/>
  </r>
  <r>
    <x v="10"/>
    <s v="8J094"/>
    <x v="5"/>
    <s v="BADGER LTD"/>
    <n v="0"/>
    <n v="0"/>
    <n v="0"/>
    <n v="0"/>
    <n v="0"/>
    <n v="0"/>
    <d v="2026-02-01T00:00:00"/>
    <s v="Q4"/>
    <x v="3"/>
    <n v="0"/>
    <n v="0"/>
    <n v="11"/>
    <n v="0"/>
  </r>
  <r>
    <x v="10"/>
    <s v="NVE43"/>
    <x v="0"/>
    <s v="HASTINGS GP LED HEALTH CENTRE"/>
    <n v="0"/>
    <n v="767"/>
    <n v="0"/>
    <n v="0"/>
    <n v="0"/>
    <n v="0"/>
    <d v="2026-02-01T00:00:00"/>
    <s v="Q4"/>
    <x v="3"/>
    <n v="0"/>
    <n v="767"/>
    <n v="11"/>
    <n v="0"/>
  </r>
  <r>
    <x v="10"/>
    <s v="RBD"/>
    <x v="1"/>
    <s v="DORSET COUNTY HOSPITAL NHS FOUNDATION TRUST"/>
    <n v="3844"/>
    <n v="0"/>
    <n v="1646"/>
    <n v="0"/>
    <n v="183"/>
    <n v="91"/>
    <d v="2026-02-01T00:00:00"/>
    <s v="Q4"/>
    <x v="3"/>
    <n v="0.42819979188345475"/>
    <n v="3844"/>
    <n v="11"/>
    <n v="2.3673257023933404E-2"/>
  </r>
  <r>
    <x v="10"/>
    <s v="RLQ"/>
    <x v="5"/>
    <s v="WYE VALLEY NHS TRUST"/>
    <n v="5398"/>
    <n v="115"/>
    <n v="2364"/>
    <n v="0"/>
    <n v="456"/>
    <n v="234"/>
    <d v="2026-02-01T00:00:00"/>
    <s v="Q4"/>
    <x v="3"/>
    <n v="0.4379399777695443"/>
    <n v="5513"/>
    <n v="11"/>
    <n v="4.3349388662467583E-2"/>
  </r>
  <r>
    <x v="10"/>
    <s v="RTG"/>
    <x v="5"/>
    <s v="UNIVERSITY HOSPITALS OF DERBY AND BURTON NHS FOUNDATION TRUST"/>
    <n v="16670"/>
    <n v="8339"/>
    <n v="8448"/>
    <n v="1"/>
    <n v="1032"/>
    <n v="727"/>
    <d v="2026-02-01T00:00:00"/>
    <s v="Q4"/>
    <x v="3"/>
    <n v="0.50677864427114572"/>
    <n v="25009"/>
    <n v="11"/>
    <n v="4.3611277744451109E-2"/>
  </r>
  <r>
    <x v="10"/>
    <s v="RW4"/>
    <x v="3"/>
    <s v="MERSEY CARE NHS FOUNDATION TRUST"/>
    <n v="0"/>
    <n v="12255"/>
    <n v="0"/>
    <n v="383"/>
    <n v="0"/>
    <n v="0"/>
    <d v="2026-02-01T00:00:00"/>
    <s v="Q4"/>
    <x v="3"/>
    <n v="0"/>
    <n v="12255"/>
    <n v="11"/>
    <n v="0"/>
  </r>
  <r>
    <x v="10"/>
    <s v="RBT"/>
    <x v="3"/>
    <s v="MID CHESHIRE HOSPITALS NHS FOUNDATION TRUST"/>
    <n v="6395"/>
    <n v="2645"/>
    <n v="3649"/>
    <n v="7"/>
    <n v="354"/>
    <n v="634"/>
    <d v="2026-02-01T00:00:00"/>
    <s v="Q4"/>
    <x v="3"/>
    <n v="0.5706020328381548"/>
    <n v="9040"/>
    <n v="11"/>
    <n v="9.9139953088350274E-2"/>
  </r>
  <r>
    <x v="10"/>
    <s v="RWP"/>
    <x v="5"/>
    <s v="WORCESTERSHIRE ACUTE HOSPITALS NHS TRUST"/>
    <n v="12297"/>
    <n v="4732"/>
    <n v="5555"/>
    <n v="49"/>
    <n v="786"/>
    <n v="1059"/>
    <d v="2026-02-01T00:00:00"/>
    <s v="Q4"/>
    <x v="3"/>
    <n v="0.4517361958201187"/>
    <n v="17029"/>
    <n v="11"/>
    <n v="8.6118565503781414E-2"/>
  </r>
  <r>
    <x v="10"/>
    <s v="R1D"/>
    <x v="5"/>
    <s v="SHROPSHIRE COMMUNITY HEALTH NHS TRUST"/>
    <n v="0"/>
    <n v="2843"/>
    <n v="0"/>
    <n v="13"/>
    <n v="0"/>
    <n v="0"/>
    <d v="2026-02-01T00:00:00"/>
    <s v="Q4"/>
    <x v="3"/>
    <n v="0"/>
    <n v="2843"/>
    <n v="11"/>
    <n v="0"/>
  </r>
  <r>
    <x v="10"/>
    <s v="NL7"/>
    <x v="5"/>
    <s v="ASSURA VERTIS URGENT CARE CENTRES (BIRMINGHAM)"/>
    <n v="0"/>
    <n v="2988"/>
    <n v="0"/>
    <n v="0"/>
    <n v="0"/>
    <n v="0"/>
    <d v="2026-02-01T00:00:00"/>
    <s v="Q4"/>
    <x v="3"/>
    <n v="0"/>
    <n v="2988"/>
    <n v="11"/>
    <n v="0"/>
  </r>
  <r>
    <x v="10"/>
    <s v="C83023"/>
    <x v="5"/>
    <s v="SLEAFORD MEDICAL GROUP"/>
    <n v="0"/>
    <n v="506"/>
    <n v="0"/>
    <n v="0"/>
    <n v="0"/>
    <n v="0"/>
    <d v="2026-02-01T00:00:00"/>
    <s v="Q4"/>
    <x v="3"/>
    <n v="0"/>
    <n v="506"/>
    <n v="11"/>
    <n v="0"/>
  </r>
  <r>
    <x v="10"/>
    <s v="DJV01"/>
    <x v="0"/>
    <s v="HERNE BAY HEALTH CARE LTD"/>
    <n v="0"/>
    <n v="2444"/>
    <n v="0"/>
    <n v="0"/>
    <n v="0"/>
    <n v="0"/>
    <d v="2026-02-01T00:00:00"/>
    <s v="Q4"/>
    <x v="3"/>
    <n v="0"/>
    <n v="2444"/>
    <n v="11"/>
    <n v="0"/>
  </r>
  <r>
    <x v="10"/>
    <s v="NDJ"/>
    <x v="0"/>
    <s v="FIRST COMMUNITY HEALTH AND CARE CIC"/>
    <n v="0"/>
    <n v="2041"/>
    <n v="0"/>
    <n v="4"/>
    <n v="0"/>
    <n v="0"/>
    <d v="2026-02-01T00:00:00"/>
    <s v="Q4"/>
    <x v="3"/>
    <n v="0"/>
    <n v="2041"/>
    <n v="11"/>
    <n v="0"/>
  </r>
  <r>
    <x v="10"/>
    <s v="NQT5F"/>
    <x v="3"/>
    <s v="SKELMERSDALE WALK IN CENTRE"/>
    <n v="0"/>
    <n v="1476"/>
    <n v="0"/>
    <n v="19"/>
    <n v="0"/>
    <n v="0"/>
    <d v="2026-02-01T00:00:00"/>
    <s v="Q4"/>
    <x v="3"/>
    <n v="0"/>
    <n v="1476"/>
    <n v="11"/>
    <n v="0"/>
  </r>
  <r>
    <x v="10"/>
    <s v="NTV0B"/>
    <x v="0"/>
    <s v="ASHFORD WALK-IN-CENTRE"/>
    <n v="0"/>
    <n v="2156"/>
    <n v="0"/>
    <n v="29"/>
    <n v="0"/>
    <n v="0"/>
    <d v="2026-02-01T00:00:00"/>
    <s v="Q4"/>
    <x v="3"/>
    <n v="0"/>
    <n v="2156"/>
    <n v="11"/>
    <n v="0"/>
  </r>
  <r>
    <x v="10"/>
    <s v="NTV0W"/>
    <x v="0"/>
    <s v="WOKING WALK IN CENTRE"/>
    <n v="0"/>
    <n v="2462"/>
    <n v="0"/>
    <n v="46"/>
    <n v="0"/>
    <n v="0"/>
    <d v="2026-02-01T00:00:00"/>
    <s v="Q4"/>
    <x v="3"/>
    <n v="0"/>
    <n v="2462"/>
    <n v="11"/>
    <n v="0"/>
  </r>
  <r>
    <x v="10"/>
    <s v="RA9"/>
    <x v="1"/>
    <s v="TORBAY AND SOUTH DEVON NHS FOUNDATION TRUST"/>
    <n v="6060"/>
    <n v="2822"/>
    <n v="3014"/>
    <n v="11"/>
    <n v="156"/>
    <n v="74"/>
    <d v="2026-02-01T00:00:00"/>
    <s v="Q4"/>
    <x v="3"/>
    <n v="0.49735973597359734"/>
    <n v="8882"/>
    <n v="11"/>
    <n v="1.2211221122112211E-2"/>
  </r>
  <r>
    <x v="10"/>
    <s v="RBQ"/>
    <x v="3"/>
    <s v="LIVERPOOL HEART AND CHEST HOSPITAL NHS FOUNDATION TRUST"/>
    <n v="0"/>
    <n v="0"/>
    <n v="0"/>
    <n v="0"/>
    <n v="0"/>
    <n v="0"/>
    <d v="2026-02-01T00:00:00"/>
    <s v="Q4"/>
    <x v="3"/>
    <n v="0"/>
    <n v="0"/>
    <n v="11"/>
    <n v="0"/>
  </r>
  <r>
    <x v="10"/>
    <s v="RDY"/>
    <x v="1"/>
    <s v="DORSET HEALTHCARE UNIVERSITY NHS FOUNDATION TRUST"/>
    <n v="0"/>
    <n v="0"/>
    <n v="0"/>
    <n v="0"/>
    <n v="0"/>
    <n v="0"/>
    <d v="2026-02-01T00:00:00"/>
    <s v="Q4"/>
    <x v="3"/>
    <n v="0"/>
    <n v="0"/>
    <n v="11"/>
    <n v="0"/>
  </r>
  <r>
    <x v="10"/>
    <s v="RGP"/>
    <x v="2"/>
    <s v="JAMES PAGET UNIVERSITY HOSPITALS NHS FOUNDATION TRUST"/>
    <n v="6735"/>
    <n v="1474"/>
    <n v="2319"/>
    <n v="0"/>
    <n v="497"/>
    <n v="358"/>
    <d v="2026-02-01T00:00:00"/>
    <s v="Q4"/>
    <x v="3"/>
    <n v="0.34432071269487752"/>
    <n v="8209"/>
    <n v="11"/>
    <n v="5.3155159613956941E-2"/>
  </r>
  <r>
    <x v="10"/>
    <s v="RJ8"/>
    <x v="1"/>
    <s v="CORNWALL PARTNERSHIP NHS FOUNDATION TRUST"/>
    <n v="0"/>
    <n v="0"/>
    <n v="0"/>
    <n v="0"/>
    <n v="0"/>
    <n v="0"/>
    <d v="2026-02-01T00:00:00"/>
    <s v="Q4"/>
    <x v="3"/>
    <n v="0"/>
    <n v="0"/>
    <n v="11"/>
    <n v="0"/>
  </r>
  <r>
    <x v="10"/>
    <s v="RTX"/>
    <x v="3"/>
    <s v="UNIVERSITY HOSPITALS OF MORECAMBE BAY NHS FOUNDATION TRUST"/>
    <n v="7794"/>
    <n v="2343"/>
    <n v="3545"/>
    <n v="81"/>
    <n v="594"/>
    <n v="766"/>
    <d v="2026-02-01T00:00:00"/>
    <s v="Q4"/>
    <x v="3"/>
    <n v="0.45483705414421349"/>
    <n v="10137"/>
    <n v="11"/>
    <n v="9.8280728765717223E-2"/>
  </r>
  <r>
    <x v="10"/>
    <s v="RW1"/>
    <x v="0"/>
    <s v="HAMPSHIRE AND ISLE OF WIGHT HEALTHCARE NHS FOUNDATION TRUST"/>
    <n v="0"/>
    <n v="2535"/>
    <n v="0"/>
    <n v="23"/>
    <n v="0"/>
    <n v="0"/>
    <d v="2026-02-01T00:00:00"/>
    <s v="Q4"/>
    <x v="3"/>
    <n v="0"/>
    <n v="2535"/>
    <n v="11"/>
    <n v="0"/>
  </r>
  <r>
    <x v="10"/>
    <s v="RXG"/>
    <x v="6"/>
    <s v="SOUTH WEST YORKSHIRE PARTNERSHIP NHS FOUNDATION TRUST"/>
    <n v="0"/>
    <n v="0"/>
    <n v="0"/>
    <n v="0"/>
    <n v="0"/>
    <n v="0"/>
    <d v="2026-02-01T00:00:00"/>
    <s v="Q4"/>
    <x v="3"/>
    <n v="0"/>
    <n v="0"/>
    <n v="11"/>
    <n v="0"/>
  </r>
  <r>
    <x v="10"/>
    <s v="RYF"/>
    <x v="1"/>
    <s v="SOUTH WESTERN AMBULANCE SERVICE NHS FOUNDATION TRUST"/>
    <n v="0"/>
    <n v="1774"/>
    <n v="0"/>
    <n v="22"/>
    <n v="0"/>
    <n v="0"/>
    <d v="2026-02-01T00:00:00"/>
    <s v="Q4"/>
    <x v="3"/>
    <n v="0"/>
    <n v="1774"/>
    <n v="11"/>
    <n v="0"/>
  </r>
  <r>
    <x v="10"/>
    <s v="RYY"/>
    <x v="0"/>
    <s v="KENT COMMUNITY HEALTH NHS FOUNDATION TRUST"/>
    <n v="0"/>
    <n v="5722"/>
    <n v="0"/>
    <n v="12"/>
    <n v="0"/>
    <n v="0"/>
    <d v="2026-02-01T00:00:00"/>
    <s v="Q4"/>
    <x v="3"/>
    <n v="0"/>
    <n v="5722"/>
    <n v="11"/>
    <n v="0"/>
  </r>
  <r>
    <x v="10"/>
    <s v="Y02532"/>
    <x v="3"/>
    <s v="MIRIAM MINOR EMERGENCY"/>
    <n v="0"/>
    <n v="1499"/>
    <n v="0"/>
    <n v="0"/>
    <n v="0"/>
    <n v="0"/>
    <d v="2026-02-01T00:00:00"/>
    <s v="Q4"/>
    <x v="3"/>
    <n v="0"/>
    <n v="1499"/>
    <n v="11"/>
    <n v="0"/>
  </r>
  <r>
    <x v="10"/>
    <s v="Y02615"/>
    <x v="5"/>
    <s v="SOUTH BIRMINGHAM GP WALK IN CENTRE"/>
    <n v="0"/>
    <n v="3764"/>
    <n v="0"/>
    <n v="0"/>
    <n v="0"/>
    <n v="0"/>
    <d v="2026-02-01T00:00:00"/>
    <s v="Q4"/>
    <x v="3"/>
    <n v="0"/>
    <n v="3764"/>
    <n v="11"/>
    <n v="0"/>
  </r>
  <r>
    <x v="10"/>
    <s v="AQM01"/>
    <x v="0"/>
    <s v="FAVERSHAM MEDICAL PRACTICE MIU"/>
    <n v="0"/>
    <n v="2780"/>
    <n v="0"/>
    <n v="0"/>
    <n v="0"/>
    <n v="0"/>
    <d v="2026-02-01T00:00:00"/>
    <s v="Q4"/>
    <x v="3"/>
    <n v="0"/>
    <n v="2780"/>
    <n v="11"/>
    <n v="0"/>
  </r>
  <r>
    <x v="10"/>
    <s v="C82009"/>
    <x v="5"/>
    <s v="MARKET HARBOROUGH MED.CTR"/>
    <n v="0"/>
    <n v="281"/>
    <n v="0"/>
    <n v="0"/>
    <n v="0"/>
    <n v="0"/>
    <d v="2026-02-01T00:00:00"/>
    <s v="Q4"/>
    <x v="3"/>
    <n v="0"/>
    <n v="281"/>
    <n v="11"/>
    <n v="0"/>
  </r>
  <r>
    <x v="10"/>
    <s v="L83087"/>
    <x v="1"/>
    <s v="OKEHAMPTON MEDICAL CENTRE"/>
    <n v="0"/>
    <n v="52"/>
    <n v="0"/>
    <n v="0"/>
    <n v="0"/>
    <n v="0"/>
    <d v="2026-02-01T00:00:00"/>
    <s v="Q4"/>
    <x v="3"/>
    <n v="0"/>
    <n v="52"/>
    <n v="11"/>
    <n v="0"/>
  </r>
  <r>
    <x v="10"/>
    <s v="NQTE4"/>
    <x v="5"/>
    <s v="SUMMERFIELD URGENT CARE CENTRE"/>
    <n v="0"/>
    <n v="2795"/>
    <n v="0"/>
    <n v="0"/>
    <n v="0"/>
    <n v="0"/>
    <d v="2026-02-01T00:00:00"/>
    <s v="Q4"/>
    <x v="3"/>
    <n v="0"/>
    <n v="2795"/>
    <n v="11"/>
    <n v="0"/>
  </r>
  <r>
    <x v="10"/>
    <s v="AAH"/>
    <x v="1"/>
    <s v="TETBURY HOSPITAL TRUST LTD"/>
    <n v="0"/>
    <n v="537"/>
    <n v="0"/>
    <n v="0"/>
    <n v="0"/>
    <n v="0"/>
    <d v="2026-02-01T00:00:00"/>
    <s v="Q4"/>
    <x v="3"/>
    <n v="0"/>
    <n v="537"/>
    <n v="11"/>
    <n v="0"/>
  </r>
  <r>
    <x v="10"/>
    <s v="RWY"/>
    <x v="6"/>
    <s v="CALDERDALE AND HUDDERSFIELD NHS FOUNDATION TRUST"/>
    <n v="14380"/>
    <n v="0"/>
    <n v="2581"/>
    <n v="0"/>
    <n v="1253"/>
    <n v="154"/>
    <d v="2026-02-01T00:00:00"/>
    <s v="Q4"/>
    <x v="3"/>
    <n v="0.17948539638386649"/>
    <n v="14380"/>
    <n v="11"/>
    <n v="1.070931849791377E-2"/>
  </r>
  <r>
    <x v="10"/>
    <s v="RY5"/>
    <x v="5"/>
    <s v="LINCOLNSHIRE COMMUNITY HEALTH SERVICES NHS TRUST"/>
    <n v="0"/>
    <n v="7364"/>
    <n v="0"/>
    <n v="132"/>
    <n v="0"/>
    <n v="0"/>
    <d v="2026-02-01T00:00:00"/>
    <s v="Q4"/>
    <x v="3"/>
    <n v="0"/>
    <n v="7364"/>
    <n v="11"/>
    <n v="0"/>
  </r>
  <r>
    <x v="10"/>
    <s v="ARN03"/>
    <x v="6"/>
    <s v="LOCAL CARE DIRECT"/>
    <n v="0"/>
    <n v="2209"/>
    <n v="0"/>
    <n v="9"/>
    <n v="0"/>
    <n v="0"/>
    <d v="2026-02-01T00:00:00"/>
    <s v="Q4"/>
    <x v="3"/>
    <n v="0"/>
    <n v="2209"/>
    <n v="11"/>
    <n v="0"/>
  </r>
  <r>
    <x v="10"/>
    <s v="NV693"/>
    <x v="3"/>
    <s v="ROSSENDALE MIU &amp; OOH"/>
    <n v="0"/>
    <n v="772"/>
    <n v="0"/>
    <n v="1"/>
    <n v="0"/>
    <n v="0"/>
    <d v="2026-02-01T00:00:00"/>
    <s v="Q4"/>
    <x v="3"/>
    <n v="0"/>
    <n v="772"/>
    <n v="11"/>
    <n v="0"/>
  </r>
  <r>
    <x v="10"/>
    <s v="R1F"/>
    <x v="0"/>
    <s v="ISLE OF WIGHT NHS TRUST"/>
    <n v="3551"/>
    <n v="1324"/>
    <n v="1235"/>
    <n v="78"/>
    <n v="211"/>
    <n v="159"/>
    <d v="2026-02-01T00:00:00"/>
    <s v="Q4"/>
    <x v="3"/>
    <n v="0.34778935511123626"/>
    <n v="4875"/>
    <n v="11"/>
    <n v="4.4776119402985072E-2"/>
  </r>
  <r>
    <x v="10"/>
    <s v="RA2"/>
    <x v="0"/>
    <s v="ROYAL SURREY NHS FOUNDATION TRUST"/>
    <n v="6229"/>
    <n v="1768"/>
    <n v="2097"/>
    <n v="0"/>
    <n v="326"/>
    <n v="8"/>
    <d v="2026-02-01T00:00:00"/>
    <s v="Q4"/>
    <x v="3"/>
    <n v="0.33665114785679884"/>
    <n v="7997"/>
    <n v="11"/>
    <n v="1.2843152994060042E-3"/>
  </r>
  <r>
    <x v="10"/>
    <s v="RAE"/>
    <x v="6"/>
    <s v="BRADFORD TEACHING HOSPITALS NHS FOUNDATION TRUST"/>
    <n v="8619"/>
    <n v="2874"/>
    <n v="1977"/>
    <n v="0"/>
    <n v="572"/>
    <n v="75"/>
    <d v="2026-02-01T00:00:00"/>
    <s v="Q4"/>
    <x v="3"/>
    <n v="0.22937695788374521"/>
    <n v="11493"/>
    <n v="11"/>
    <n v="8.7017055342847194E-3"/>
  </r>
  <r>
    <x v="10"/>
    <s v="RBK"/>
    <x v="5"/>
    <s v="WALSALL HEALTHCARE NHS TRUST"/>
    <n v="8964"/>
    <n v="3526"/>
    <n v="3143"/>
    <n v="54"/>
    <n v="1048"/>
    <n v="331"/>
    <d v="2026-02-01T00:00:00"/>
    <s v="Q4"/>
    <x v="3"/>
    <n v="0.35062472110664883"/>
    <n v="12490"/>
    <n v="11"/>
    <n v="3.6925479696564033E-2"/>
  </r>
  <r>
    <x v="10"/>
    <s v="RC9"/>
    <x v="2"/>
    <s v="BEDFORDSHIRE HOSPITALS NHS FOUNDATION TRUST"/>
    <n v="15343"/>
    <n v="8106"/>
    <n v="5384"/>
    <n v="0"/>
    <n v="80"/>
    <n v="65"/>
    <d v="2026-02-01T00:00:00"/>
    <s v="Q4"/>
    <x v="3"/>
    <n v="0.35090920941145798"/>
    <n v="23449"/>
    <n v="11"/>
    <n v="4.2364596232809752E-3"/>
  </r>
  <r>
    <x v="10"/>
    <s v="RH8"/>
    <x v="1"/>
    <s v="ROYAL DEVON UNIVERSITY HEALTHCARE NHS FOUNDATION TRUST"/>
    <n v="11271"/>
    <n v="3705"/>
    <n v="5037"/>
    <n v="14"/>
    <n v="885"/>
    <n v="298"/>
    <d v="2026-02-01T00:00:00"/>
    <s v="Q4"/>
    <x v="3"/>
    <n v="0.44689912163960605"/>
    <n v="14976"/>
    <n v="11"/>
    <n v="2.6439535090054121E-2"/>
  </r>
  <r>
    <x v="10"/>
    <s v="RJR"/>
    <x v="3"/>
    <s v="COUNTESS OF CHESTER HOSPITAL NHS FOUNDATION TRUST"/>
    <n v="4892"/>
    <n v="2263"/>
    <n v="2525"/>
    <n v="351"/>
    <n v="229"/>
    <n v="747"/>
    <d v="2026-02-01T00:00:00"/>
    <s v="Q4"/>
    <x v="3"/>
    <n v="0.51614881439084215"/>
    <n v="7155"/>
    <n v="11"/>
    <n v="0.15269828291087489"/>
  </r>
  <r>
    <x v="10"/>
    <s v="RK9"/>
    <x v="1"/>
    <s v="UNIVERSITY HOSPITALS PLYMOUTH NHS TRUST"/>
    <n v="7807"/>
    <n v="6932"/>
    <n v="4956"/>
    <n v="143"/>
    <n v="516"/>
    <n v="591"/>
    <d v="2026-02-01T00:00:00"/>
    <s v="Q4"/>
    <x v="3"/>
    <n v="0.63481490969642629"/>
    <n v="14739"/>
    <n v="11"/>
    <n v="7.5701293710772388E-2"/>
  </r>
  <r>
    <x v="10"/>
    <s v="RKB"/>
    <x v="5"/>
    <s v="UNIVERSITY HOSPITALS COVENTRY AND WARWICKSHIRE NHS TRUST"/>
    <n v="11365"/>
    <n v="5403"/>
    <n v="4797"/>
    <n v="87"/>
    <n v="50"/>
    <n v="14"/>
    <d v="2026-02-01T00:00:00"/>
    <s v="Q4"/>
    <x v="3"/>
    <n v="0.42208534975802903"/>
    <n v="16768"/>
    <n v="11"/>
    <n v="1.2318521777386713E-3"/>
  </r>
  <r>
    <x v="10"/>
    <s v="RMP"/>
    <x v="3"/>
    <s v="TAMESIDE AND GLOSSOP INTEGRATED CARE NHS FOUNDATION TRUST"/>
    <n v="7536"/>
    <n v="2572"/>
    <n v="4074"/>
    <n v="49"/>
    <n v="321"/>
    <n v="706"/>
    <d v="2026-02-01T00:00:00"/>
    <s v="Q4"/>
    <x v="3"/>
    <n v="0.54060509554140124"/>
    <n v="10108"/>
    <n v="11"/>
    <n v="9.3683651804670906E-2"/>
  </r>
  <r>
    <x v="10"/>
    <s v="RN5"/>
    <x v="0"/>
    <s v="HAMPSHIRE HOSPITALS NHS FOUNDATION TRUST"/>
    <n v="9416"/>
    <n v="3936"/>
    <n v="4819"/>
    <n v="136"/>
    <n v="197"/>
    <n v="18"/>
    <d v="2026-02-01T00:00:00"/>
    <s v="Q4"/>
    <x v="3"/>
    <n v="0.51178844519966016"/>
    <n v="13352"/>
    <n v="11"/>
    <n v="1.9116397621070519E-3"/>
  </r>
  <r>
    <x v="10"/>
    <s v="RP6"/>
    <x v="4"/>
    <s v="MOORFIELDS EYE HOSPITAL NHS FOUNDATION TRUST"/>
    <n v="0"/>
    <n v="0"/>
    <n v="0"/>
    <n v="0"/>
    <n v="0"/>
    <n v="0"/>
    <d v="2026-02-01T00:00:00"/>
    <s v="Q4"/>
    <x v="3"/>
    <n v="0"/>
    <n v="0"/>
    <n v="11"/>
    <n v="0"/>
  </r>
  <r>
    <x v="10"/>
    <s v="RQW"/>
    <x v="2"/>
    <s v="THE PRINCESS ALEXANDRA HOSPITAL NHS TRUST"/>
    <n v="7845"/>
    <n v="1890"/>
    <n v="2063"/>
    <n v="0"/>
    <n v="522"/>
    <n v="286"/>
    <d v="2026-02-01T00:00:00"/>
    <s v="Q4"/>
    <x v="3"/>
    <n v="0.2629700446144041"/>
    <n v="9735"/>
    <n v="11"/>
    <n v="3.6456341618865518E-2"/>
  </r>
  <r>
    <x v="10"/>
    <s v="RR7"/>
    <x v="6"/>
    <s v="GATESHEAD HEALTH NHS FOUNDATION TRUST"/>
    <n v="5310"/>
    <n v="4073"/>
    <n v="2298"/>
    <n v="38"/>
    <n v="667"/>
    <n v="1"/>
    <d v="2026-02-01T00:00:00"/>
    <s v="Q4"/>
    <x v="3"/>
    <n v="0.43276836158192089"/>
    <n v="9383"/>
    <n v="11"/>
    <n v="1.8832391713747646E-4"/>
  </r>
  <r>
    <x v="10"/>
    <s v="RRK"/>
    <x v="5"/>
    <s v="UNIVERSITY HOSPITALS BIRMINGHAM NHS FOUNDATION TRUST"/>
    <n v="30640"/>
    <n v="2868"/>
    <n v="12820"/>
    <n v="40"/>
    <n v="2238"/>
    <n v="1923"/>
    <d v="2026-02-01T00:00:00"/>
    <s v="Q4"/>
    <x v="3"/>
    <n v="0.41840731070496084"/>
    <n v="33508"/>
    <n v="11"/>
    <n v="6.2761096605744124E-2"/>
  </r>
  <r>
    <x v="10"/>
    <s v="RVW"/>
    <x v="6"/>
    <s v="NORTH TEES AND HARTLEPOOL NHS FOUNDATION TRUST"/>
    <n v="4547"/>
    <n v="10252"/>
    <n v="2496"/>
    <n v="19"/>
    <n v="209"/>
    <n v="39"/>
    <d v="2026-02-01T00:00:00"/>
    <s v="Q4"/>
    <x v="3"/>
    <n v="0.54893336265669668"/>
    <n v="14799"/>
    <n v="11"/>
    <n v="8.5770837915108856E-3"/>
  </r>
  <r>
    <x v="10"/>
    <s v="RXF"/>
    <x v="6"/>
    <s v="MID YORKSHIRE TEACHING NHS TRUST"/>
    <n v="14874"/>
    <n v="5785"/>
    <n v="5674"/>
    <n v="157"/>
    <n v="2006"/>
    <n v="610"/>
    <d v="2026-02-01T00:00:00"/>
    <s v="Q4"/>
    <x v="3"/>
    <n v="0.38147102326206805"/>
    <n v="20659"/>
    <n v="11"/>
    <n v="4.1011160414145487E-2"/>
  </r>
  <r>
    <x v="10"/>
    <s v="RY7"/>
    <x v="3"/>
    <s v="WIRRAL COMMUNITY HEALTH AND CARE NHS FOUNDATION TRUST"/>
    <n v="0"/>
    <n v="3123"/>
    <n v="0"/>
    <n v="205"/>
    <n v="0"/>
    <n v="0"/>
    <d v="2026-02-01T00:00:00"/>
    <s v="Q4"/>
    <x v="3"/>
    <n v="0"/>
    <n v="3123"/>
    <n v="11"/>
    <n v="0"/>
  </r>
  <r>
    <x v="10"/>
    <s v="RYR"/>
    <x v="0"/>
    <s v="UNIVERSITY HOSPITALS SUSSEX NHS FOUNDATION TRUST"/>
    <n v="24026"/>
    <n v="1562"/>
    <n v="10461"/>
    <n v="187"/>
    <n v="894"/>
    <n v="946"/>
    <d v="2026-02-01T00:00:00"/>
    <s v="Q4"/>
    <x v="3"/>
    <n v="0.43540331307749935"/>
    <n v="25588"/>
    <n v="11"/>
    <n v="3.9374011487555149E-2"/>
  </r>
  <r>
    <x v="10"/>
    <s v="AQN04"/>
    <x v="0"/>
    <s v="PHL LYMINGTON UTC"/>
    <n v="0"/>
    <n v="2696"/>
    <n v="0"/>
    <n v="7"/>
    <n v="0"/>
    <n v="0"/>
    <d v="2026-02-01T00:00:00"/>
    <s v="Q4"/>
    <x v="3"/>
    <n v="0"/>
    <n v="2696"/>
    <n v="11"/>
    <n v="0"/>
  </r>
  <r>
    <x v="10"/>
    <s v="RY2"/>
    <x v="3"/>
    <s v="BRIDGEWATER COMMUNITY HEALTHCARE NHS FOUNDATION TRUST"/>
    <n v="0"/>
    <n v="2849"/>
    <n v="0"/>
    <n v="39"/>
    <n v="0"/>
    <n v="0"/>
    <d v="2026-02-01T00:00:00"/>
    <s v="Q4"/>
    <x v="3"/>
    <n v="0"/>
    <n v="2849"/>
    <n v="11"/>
    <n v="0"/>
  </r>
  <r>
    <x v="10"/>
    <s v="AD913"/>
    <x v="4"/>
    <s v="BECKENHAM BEACON UCC"/>
    <n v="0"/>
    <n v="3098"/>
    <n v="0"/>
    <n v="6"/>
    <n v="0"/>
    <n v="0"/>
    <d v="2026-02-01T00:00:00"/>
    <s v="Q4"/>
    <x v="3"/>
    <n v="0"/>
    <n v="3098"/>
    <n v="11"/>
    <n v="0"/>
  </r>
  <r>
    <x v="10"/>
    <s v="RXP"/>
    <x v="6"/>
    <s v="COUNTY DURHAM AND DARLINGTON NHS FOUNDATION TRUST"/>
    <n v="11451"/>
    <n v="3338"/>
    <n v="4871"/>
    <n v="0"/>
    <n v="1808"/>
    <n v="18"/>
    <d v="2026-02-01T00:00:00"/>
    <s v="Q4"/>
    <x v="3"/>
    <n v="0.42537769627106803"/>
    <n v="14789"/>
    <n v="11"/>
    <n v="1.5719151165837044E-3"/>
  </r>
  <r>
    <x v="10"/>
    <s v="RY8"/>
    <x v="5"/>
    <s v="DERBYSHIRE COMMUNITY HEALTH SERVICES NHS FOUNDATION TRUST"/>
    <n v="0"/>
    <n v="6582"/>
    <n v="0"/>
    <n v="261"/>
    <n v="0"/>
    <n v="0"/>
    <d v="2026-02-01T00:00:00"/>
    <s v="Q4"/>
    <x v="3"/>
    <n v="0"/>
    <n v="6582"/>
    <n v="11"/>
    <n v="0"/>
  </r>
  <r>
    <x v="10"/>
    <s v="Y03007"/>
    <x v="5"/>
    <s v="ERDINGTON GP HEALTH &amp; WELLBEING WIC"/>
    <n v="0"/>
    <n v="0"/>
    <n v="0"/>
    <n v="0"/>
    <n v="0"/>
    <n v="0"/>
    <d v="2026-02-01T00:00:00"/>
    <s v="Q4"/>
    <x v="3"/>
    <n v="0"/>
    <n v="0"/>
    <n v="11"/>
    <n v="0"/>
  </r>
  <r>
    <x v="10"/>
    <s v="Y03218"/>
    <x v="4"/>
    <s v="THE PINN UNREGISTERED WIC"/>
    <n v="0"/>
    <n v="780"/>
    <n v="0"/>
    <n v="0"/>
    <n v="0"/>
    <n v="0"/>
    <d v="2026-02-01T00:00:00"/>
    <s v="Q4"/>
    <x v="3"/>
    <n v="0"/>
    <n v="780"/>
    <n v="11"/>
    <n v="0"/>
  </r>
  <r>
    <x v="10"/>
    <s v="G3P9C"/>
    <x v="1"/>
    <s v="TROWBRIDGE MINOR INJURIES UNIT"/>
    <n v="0"/>
    <n v="989"/>
    <n v="0"/>
    <n v="1"/>
    <n v="0"/>
    <n v="0"/>
    <d v="2026-02-01T00:00:00"/>
    <s v="Q4"/>
    <x v="3"/>
    <n v="0"/>
    <n v="989"/>
    <n v="11"/>
    <n v="0"/>
  </r>
  <r>
    <x v="10"/>
    <s v="NLX"/>
    <x v="1"/>
    <s v="SIRONA CARE &amp; HEALTH"/>
    <n v="0"/>
    <n v="7064"/>
    <n v="0"/>
    <n v="136"/>
    <n v="0"/>
    <n v="0"/>
    <d v="2026-02-01T00:00:00"/>
    <s v="Q4"/>
    <x v="3"/>
    <n v="0"/>
    <n v="7064"/>
    <n v="11"/>
    <n v="0"/>
  </r>
  <r>
    <x v="10"/>
    <s v="NQT1I"/>
    <x v="1"/>
    <s v="CHIPPENHAM COMMUNITY HOSPITAL"/>
    <n v="0"/>
    <n v="1393"/>
    <n v="0"/>
    <n v="29"/>
    <n v="0"/>
    <n v="0"/>
    <d v="2026-02-01T00:00:00"/>
    <s v="Q4"/>
    <x v="3"/>
    <n v="0"/>
    <n v="1393"/>
    <n v="11"/>
    <n v="0"/>
  </r>
  <r>
    <x v="10"/>
    <s v="NQT5H"/>
    <x v="1"/>
    <s v="PAULTON MEMORIAL HOSPITAL"/>
    <n v="0"/>
    <n v="998"/>
    <n v="0"/>
    <n v="10"/>
    <n v="0"/>
    <n v="0"/>
    <d v="2026-02-01T00:00:00"/>
    <s v="Q4"/>
    <x v="3"/>
    <n v="0"/>
    <n v="998"/>
    <n v="11"/>
    <n v="0"/>
  </r>
  <r>
    <x v="10"/>
    <s v="RAN"/>
    <x v="4"/>
    <s v="ROYAL NATIONAL ORTHOPAEDIC HOSPITAL NHS TRUST"/>
    <n v="0"/>
    <n v="0"/>
    <n v="0"/>
    <n v="0"/>
    <n v="0"/>
    <n v="0"/>
    <d v="2026-02-01T00:00:00"/>
    <s v="Q4"/>
    <x v="3"/>
    <n v="0"/>
    <n v="0"/>
    <n v="11"/>
    <n v="0"/>
  </r>
  <r>
    <x v="10"/>
    <s v="RAT"/>
    <x v="4"/>
    <s v="NORTH EAST LONDON NHS FOUNDATION TRUST"/>
    <n v="0"/>
    <n v="1605"/>
    <n v="0"/>
    <n v="41"/>
    <n v="0"/>
    <n v="0"/>
    <d v="2026-02-01T00:00:00"/>
    <s v="Q4"/>
    <x v="3"/>
    <n v="0"/>
    <n v="1605"/>
    <n v="11"/>
    <n v="0"/>
  </r>
  <r>
    <x v="10"/>
    <s v="RBV"/>
    <x v="3"/>
    <s v="THE CHRISTIE NHS FOUNDATION TRUST"/>
    <n v="0"/>
    <n v="0"/>
    <n v="0"/>
    <n v="0"/>
    <n v="0"/>
    <n v="0"/>
    <d v="2026-02-01T00:00:00"/>
    <s v="Q4"/>
    <x v="3"/>
    <n v="0"/>
    <n v="0"/>
    <n v="11"/>
    <n v="0"/>
  </r>
  <r>
    <x v="10"/>
    <s v="RCD"/>
    <x v="6"/>
    <s v="HARROGATE AND DISTRICT NHS FOUNDATION TRUST"/>
    <n v="4569"/>
    <n v="1292"/>
    <n v="1375"/>
    <n v="1"/>
    <n v="254"/>
    <n v="12"/>
    <d v="2026-02-01T00:00:00"/>
    <s v="Q4"/>
    <x v="3"/>
    <n v="0.30094112497264169"/>
    <n v="5861"/>
    <n v="11"/>
    <n v="2.6263952724885093E-3"/>
  </r>
  <r>
    <x v="10"/>
    <s v="RCU"/>
    <x v="6"/>
    <s v="SHEFFIELD CHILDREN'S NHS FOUNDATION TRUST"/>
    <n v="4002"/>
    <n v="348"/>
    <n v="295"/>
    <n v="0"/>
    <n v="16"/>
    <n v="0"/>
    <d v="2026-02-01T00:00:00"/>
    <s v="Q4"/>
    <x v="3"/>
    <n v="7.371314342828586E-2"/>
    <n v="4350"/>
    <n v="11"/>
    <n v="0"/>
  </r>
  <r>
    <x v="10"/>
    <s v="RJC"/>
    <x v="5"/>
    <s v="SOUTH WARWICKSHIRE UNIVERSITY NHS FOUNDATION TRUST"/>
    <n v="7533"/>
    <n v="328"/>
    <n v="2135"/>
    <n v="0"/>
    <n v="508"/>
    <n v="87"/>
    <d v="2026-02-01T00:00:00"/>
    <s v="Q4"/>
    <x v="3"/>
    <n v="0.28341962033718304"/>
    <n v="7861"/>
    <n v="11"/>
    <n v="1.1549183592194345E-2"/>
  </r>
  <r>
    <x v="10"/>
    <s v="RJE"/>
    <x v="5"/>
    <s v="UNIVERSITY HOSPITALS OF NORTH MIDLANDS NHS TRUST"/>
    <n v="13322"/>
    <n v="7425"/>
    <n v="7432"/>
    <n v="74"/>
    <n v="1095"/>
    <n v="927"/>
    <d v="2026-02-01T00:00:00"/>
    <s v="Q4"/>
    <x v="3"/>
    <n v="0.55787419306410446"/>
    <n v="20747"/>
    <n v="11"/>
    <n v="6.9584146524545865E-2"/>
  </r>
  <r>
    <x v="10"/>
    <s v="RJL"/>
    <x v="6"/>
    <s v="NORTHERN LINCOLNSHIRE AND GOOLE NHS FOUNDATION TRUST"/>
    <n v="9527"/>
    <n v="5753"/>
    <n v="4382"/>
    <n v="40"/>
    <n v="576"/>
    <n v="874"/>
    <d v="2026-02-01T00:00:00"/>
    <s v="Q4"/>
    <x v="3"/>
    <n v="0.45995591476855252"/>
    <n v="15280"/>
    <n v="11"/>
    <n v="9.1739267345439274E-2"/>
  </r>
  <r>
    <x v="10"/>
    <s v="RLT"/>
    <x v="5"/>
    <s v="GEORGE ELIOT HOSPITAL NHS TRUST"/>
    <n v="6469"/>
    <n v="1502"/>
    <n v="1578"/>
    <n v="3"/>
    <n v="378"/>
    <n v="269"/>
    <d v="2026-02-01T00:00:00"/>
    <s v="Q4"/>
    <x v="3"/>
    <n v="0.24393260163858402"/>
    <n v="7971"/>
    <n v="11"/>
    <n v="4.1582933992889162E-2"/>
  </r>
  <r>
    <x v="10"/>
    <s v="RP5"/>
    <x v="6"/>
    <s v="DONCASTER AND BASSETLAW TEACHING HOSPITALS NHS FOUNDATION TRUST"/>
    <n v="12523"/>
    <n v="3554"/>
    <n v="4722"/>
    <n v="5"/>
    <n v="1169"/>
    <n v="202"/>
    <d v="2026-02-01T00:00:00"/>
    <s v="Q4"/>
    <x v="3"/>
    <n v="0.37706619819532061"/>
    <n v="16077"/>
    <n v="11"/>
    <n v="1.6130320210812107E-2"/>
  </r>
  <r>
    <x v="10"/>
    <s v="RTK"/>
    <x v="0"/>
    <s v="ASHFORD AND ST PETER'S HOSPITALS NHS FOUNDATION TRUST"/>
    <n v="6942"/>
    <n v="2493"/>
    <n v="3607"/>
    <n v="36"/>
    <n v="446"/>
    <n v="452"/>
    <d v="2026-02-01T00:00:00"/>
    <s v="Q4"/>
    <x v="3"/>
    <n v="0.51959089599539032"/>
    <n v="9435"/>
    <n v="11"/>
    <n v="6.5110919043503315E-2"/>
  </r>
  <r>
    <x v="10"/>
    <s v="RTP"/>
    <x v="0"/>
    <s v="SURREY AND SUSSEX HEALTHCARE NHS TRUST"/>
    <n v="9234"/>
    <n v="0"/>
    <n v="4051"/>
    <n v="0"/>
    <n v="485"/>
    <n v="593"/>
    <d v="2026-02-01T00:00:00"/>
    <s v="Q4"/>
    <x v="3"/>
    <n v="0.43870478665800305"/>
    <n v="9234"/>
    <n v="11"/>
    <n v="6.4219189950184108E-2"/>
  </r>
  <r>
    <x v="10"/>
    <s v="RTQ"/>
    <x v="1"/>
    <s v="GLOUCESTERSHIRE HEALTH AND CARE NHS FOUNDATION TRUST"/>
    <n v="0"/>
    <n v="7085"/>
    <n v="0"/>
    <n v="103"/>
    <n v="0"/>
    <n v="0"/>
    <d v="2026-02-01T00:00:00"/>
    <s v="Q4"/>
    <x v="3"/>
    <n v="0"/>
    <n v="7085"/>
    <n v="11"/>
    <n v="0"/>
  </r>
  <r>
    <x v="10"/>
    <s v="RWF"/>
    <x v="0"/>
    <s v="MAIDSTONE AND TUNBRIDGE WELLS NHS TRUST"/>
    <n v="16798"/>
    <n v="1822"/>
    <n v="4094"/>
    <n v="26"/>
    <n v="933"/>
    <n v="373"/>
    <d v="2026-02-01T00:00:00"/>
    <s v="Q4"/>
    <x v="3"/>
    <n v="0.24371949041552565"/>
    <n v="18620"/>
    <n v="11"/>
    <n v="2.2205024407667581E-2"/>
  </r>
  <r>
    <x v="10"/>
    <s v="RXQ"/>
    <x v="0"/>
    <s v="BUCKINGHAMSHIRE HEALTHCARE NHS TRUST"/>
    <n v="8435"/>
    <n v="2617"/>
    <n v="3165"/>
    <n v="32"/>
    <n v="158"/>
    <n v="321"/>
    <d v="2026-02-01T00:00:00"/>
    <s v="Q4"/>
    <x v="3"/>
    <n v="0.37522228808535862"/>
    <n v="11052"/>
    <n v="11"/>
    <n v="3.8055720213396559E-2"/>
  </r>
  <r>
    <x v="11"/>
    <s v="RRV"/>
    <x v="4"/>
    <s v="UNIVERSITY COLLEGE LONDON HOSPITALS NHS FOUNDATION TRUST"/>
    <n v="13996"/>
    <n v="0"/>
    <n v="2783"/>
    <n v="0"/>
    <n v="299"/>
    <n v="66"/>
    <d v="2026-03-01T00:00:00"/>
    <s v="Q4"/>
    <x v="0"/>
    <n v="0.1988425264361246"/>
    <n v="13996"/>
    <n v="12"/>
    <n v="4.7156330380108604E-3"/>
  </r>
  <r>
    <x v="11"/>
    <s v="AQN04"/>
    <x v="0"/>
    <s v="PHL LYMINGTON UTC"/>
    <n v="0"/>
    <n v="3090"/>
    <n v="0"/>
    <n v="30"/>
    <n v="0"/>
    <n v="0"/>
    <d v="2026-03-01T00:00:00"/>
    <s v="Q4"/>
    <x v="0"/>
    <n v="0"/>
    <n v="3090"/>
    <n v="12"/>
    <n v="0"/>
  </r>
  <r>
    <x v="11"/>
    <s v="C82009"/>
    <x v="5"/>
    <s v="MARKET HARBOROUGH MED.CTR"/>
    <n v="0"/>
    <n v="243"/>
    <n v="0"/>
    <n v="0"/>
    <n v="0"/>
    <n v="0"/>
    <d v="2026-03-01T00:00:00"/>
    <s v="Q4"/>
    <x v="0"/>
    <n v="0"/>
    <n v="243"/>
    <n v="12"/>
    <n v="0"/>
  </r>
  <r>
    <x v="11"/>
    <s v="AQM01"/>
    <x v="0"/>
    <s v="FAVERSHAM MEDICAL PRACTICE MIU"/>
    <n v="0"/>
    <n v="3203"/>
    <n v="0"/>
    <n v="0"/>
    <n v="0"/>
    <n v="0"/>
    <d v="2026-03-01T00:00:00"/>
    <s v="Q4"/>
    <x v="0"/>
    <n v="0"/>
    <n v="3203"/>
    <n v="12"/>
    <n v="0"/>
  </r>
  <r>
    <x v="11"/>
    <s v="RVW"/>
    <x v="6"/>
    <s v="NORTH TEES AND HARTLEPOOL NHS FOUNDATION TRUST"/>
    <n v="5064"/>
    <n v="12066"/>
    <n v="2339"/>
    <n v="26"/>
    <n v="100"/>
    <n v="1"/>
    <d v="2026-03-01T00:00:00"/>
    <s v="Q4"/>
    <x v="0"/>
    <n v="0.46188783570300157"/>
    <n v="17130"/>
    <n v="12"/>
    <n v="1.9747235387045813E-4"/>
  </r>
  <r>
    <x v="11"/>
    <s v="RJZ"/>
    <x v="4"/>
    <s v="KING'S COLLEGE HOSPITAL NHS FOUNDATION TRUST"/>
    <n v="16182"/>
    <n v="9930"/>
    <n v="6440"/>
    <n v="975"/>
    <n v="1505"/>
    <n v="661"/>
    <d v="2026-03-01T00:00:00"/>
    <s v="Q4"/>
    <x v="0"/>
    <n v="0.39797305648251141"/>
    <n v="26112"/>
    <n v="12"/>
    <n v="4.084785564207144E-2"/>
  </r>
  <r>
    <x v="11"/>
    <s v="RLQ"/>
    <x v="5"/>
    <s v="WYE VALLEY NHS TRUST"/>
    <n v="6134"/>
    <n v="160"/>
    <n v="2679"/>
    <n v="0"/>
    <n v="497"/>
    <n v="234"/>
    <d v="2026-03-01T00:00:00"/>
    <s v="Q4"/>
    <x v="0"/>
    <n v="0.43674600586892731"/>
    <n v="6294"/>
    <n v="12"/>
    <n v="3.8148027388327357E-2"/>
  </r>
  <r>
    <x v="11"/>
    <s v="C83023"/>
    <x v="5"/>
    <s v="SLEAFORD MEDICAL GROUP"/>
    <n v="0"/>
    <n v="512"/>
    <n v="0"/>
    <n v="0"/>
    <n v="0"/>
    <n v="0"/>
    <d v="2026-03-01T00:00:00"/>
    <s v="Q4"/>
    <x v="0"/>
    <n v="0"/>
    <n v="512"/>
    <n v="12"/>
    <n v="0"/>
  </r>
  <r>
    <x v="11"/>
    <s v="RQ3"/>
    <x v="5"/>
    <s v="BIRMINGHAM WOMEN'S AND CHILDREN'S NHS FOUNDATION TRUST"/>
    <n v="5150"/>
    <n v="0"/>
    <n v="1206"/>
    <n v="0"/>
    <n v="29"/>
    <n v="2"/>
    <d v="2026-03-01T00:00:00"/>
    <s v="Q4"/>
    <x v="0"/>
    <n v="0.2341747572815534"/>
    <n v="5150"/>
    <n v="12"/>
    <n v="3.8834951456310682E-4"/>
  </r>
  <r>
    <x v="11"/>
    <s v="NLX"/>
    <x v="1"/>
    <s v="SIRONA CARE &amp; HEALTH"/>
    <n v="0"/>
    <n v="9046"/>
    <n v="0"/>
    <n v="300"/>
    <n v="0"/>
    <n v="0"/>
    <d v="2026-03-01T00:00:00"/>
    <s v="Q4"/>
    <x v="0"/>
    <n v="0"/>
    <n v="9046"/>
    <n v="12"/>
    <n v="0"/>
  </r>
  <r>
    <x v="11"/>
    <s v="R1K"/>
    <x v="4"/>
    <s v="LONDON NORTH WEST UNIVERSITY HEALTHCARE NHS TRUST"/>
    <n v="13819"/>
    <n v="15806"/>
    <n v="4596"/>
    <n v="82"/>
    <n v="525"/>
    <n v="408"/>
    <d v="2026-03-01T00:00:00"/>
    <s v="Q4"/>
    <x v="0"/>
    <n v="0.33258557059121502"/>
    <n v="29625"/>
    <n v="12"/>
    <n v="2.9524567624285403E-2"/>
  </r>
  <r>
    <x v="11"/>
    <s v="RA2"/>
    <x v="0"/>
    <s v="ROYAL SURREY NHS FOUNDATION TRUST"/>
    <n v="7269"/>
    <n v="2235"/>
    <n v="2396"/>
    <n v="1"/>
    <n v="510"/>
    <n v="15"/>
    <d v="2026-03-01T00:00:00"/>
    <s v="Q4"/>
    <x v="0"/>
    <n v="0.329618929701472"/>
    <n v="9504"/>
    <n v="12"/>
    <n v="2.0635575732562937E-3"/>
  </r>
  <r>
    <x v="11"/>
    <s v="RVV"/>
    <x v="0"/>
    <s v="EAST KENT HOSPITALS UNIVERSITY NHS FOUNDATION TRUST"/>
    <n v="15073"/>
    <n v="13260"/>
    <n v="6439"/>
    <n v="836"/>
    <n v="622"/>
    <n v="1037"/>
    <d v="2026-03-01T00:00:00"/>
    <s v="Q4"/>
    <x v="0"/>
    <n v="0.4271876865919193"/>
    <n v="28333"/>
    <n v="12"/>
    <n v="6.8798513899024749E-2"/>
  </r>
  <r>
    <x v="11"/>
    <s v="RBS"/>
    <x v="3"/>
    <s v="ALDER HEY CHILDREN'S NHS FOUNDATION TRUST"/>
    <n v="6640"/>
    <n v="0"/>
    <n v="1097"/>
    <n v="0"/>
    <n v="0"/>
    <n v="0"/>
    <d v="2026-03-01T00:00:00"/>
    <s v="Q4"/>
    <x v="0"/>
    <n v="0.16521084337349398"/>
    <n v="6640"/>
    <n v="12"/>
    <n v="0"/>
  </r>
  <r>
    <x v="11"/>
    <s v="RGR"/>
    <x v="2"/>
    <s v="WEST SUFFOLK NHS FOUNDATION TRUST"/>
    <n v="8114"/>
    <n v="1068"/>
    <n v="2011"/>
    <n v="0"/>
    <n v="470"/>
    <n v="329"/>
    <d v="2026-03-01T00:00:00"/>
    <s v="Q4"/>
    <x v="0"/>
    <n v="0.24784323391668719"/>
    <n v="9182"/>
    <n v="12"/>
    <n v="4.0547202366280503E-2"/>
  </r>
  <r>
    <x v="11"/>
    <s v="RKB"/>
    <x v="5"/>
    <s v="UNIVERSITY HOSPITALS COVENTRY AND WARWICKSHIRE NHS TRUST"/>
    <n v="13287"/>
    <n v="6422"/>
    <n v="5023"/>
    <n v="179"/>
    <n v="49"/>
    <n v="11"/>
    <d v="2026-03-01T00:00:00"/>
    <s v="Q4"/>
    <x v="0"/>
    <n v="0.37803868442838867"/>
    <n v="19709"/>
    <n v="12"/>
    <n v="8.27876872130654E-4"/>
  </r>
  <r>
    <x v="11"/>
    <s v="RTK"/>
    <x v="0"/>
    <s v="ASHFORD AND ST PETER'S HOSPITALS NHS FOUNDATION TRUST"/>
    <n v="7809"/>
    <n v="2837"/>
    <n v="3374"/>
    <n v="28"/>
    <n v="569"/>
    <n v="311"/>
    <d v="2026-03-01T00:00:00"/>
    <s v="Q4"/>
    <x v="0"/>
    <n v="0.43206556537328722"/>
    <n v="10646"/>
    <n v="12"/>
    <n v="3.9825841977205789E-2"/>
  </r>
  <r>
    <x v="11"/>
    <s v="RV9"/>
    <x v="6"/>
    <s v="HUMBER TEACHING NHS FOUNDATION TRUST"/>
    <n v="0"/>
    <n v="1229"/>
    <n v="0"/>
    <n v="5"/>
    <n v="0"/>
    <n v="0"/>
    <d v="2026-03-01T00:00:00"/>
    <s v="Q4"/>
    <x v="0"/>
    <n v="0"/>
    <n v="1229"/>
    <n v="12"/>
    <n v="0"/>
  </r>
  <r>
    <x v="11"/>
    <s v="R0A"/>
    <x v="3"/>
    <s v="MANCHESTER UNIVERSITY NHS FOUNDATION TRUST"/>
    <n v="26982"/>
    <n v="11549"/>
    <n v="9057"/>
    <n v="258"/>
    <n v="2943"/>
    <n v="53"/>
    <d v="2026-03-01T00:00:00"/>
    <s v="Q4"/>
    <x v="0"/>
    <n v="0.3356682232599511"/>
    <n v="38531"/>
    <n v="12"/>
    <n v="1.9642724779482617E-3"/>
  </r>
  <r>
    <x v="11"/>
    <s v="RAT"/>
    <x v="4"/>
    <s v="NORTH EAST LONDON NHS FOUNDATION TRUST"/>
    <n v="0"/>
    <n v="1896"/>
    <n v="0"/>
    <n v="55"/>
    <n v="0"/>
    <n v="0"/>
    <d v="2026-03-01T00:00:00"/>
    <s v="Q4"/>
    <x v="0"/>
    <n v="0"/>
    <n v="1896"/>
    <n v="12"/>
    <n v="0"/>
  </r>
  <r>
    <x v="11"/>
    <s v="RBN"/>
    <x v="3"/>
    <s v="MERSEY AND WEST LANCASHIRE TEACHING HOSPITALS NHS TRUST"/>
    <n v="18055"/>
    <n v="7402"/>
    <n v="6407"/>
    <n v="48"/>
    <n v="459"/>
    <n v="514"/>
    <d v="2026-03-01T00:00:00"/>
    <s v="Q4"/>
    <x v="0"/>
    <n v="0.35486014954306289"/>
    <n v="25457"/>
    <n v="12"/>
    <n v="2.8468568263638881E-2"/>
  </r>
  <r>
    <x v="11"/>
    <s v="REM"/>
    <x v="3"/>
    <s v="LIVERPOOL UNIVERSITY HOSPITALS NHS FOUNDATION TRUST"/>
    <n v="16352"/>
    <n v="8390"/>
    <n v="7492"/>
    <n v="461"/>
    <n v="923"/>
    <n v="1124"/>
    <d v="2026-03-01T00:00:00"/>
    <s v="Q4"/>
    <x v="0"/>
    <n v="0.45817025440313114"/>
    <n v="24742"/>
    <n v="12"/>
    <n v="6.8737769080234837E-2"/>
  </r>
  <r>
    <x v="11"/>
    <s v="RJC"/>
    <x v="5"/>
    <s v="SOUTH WARWICKSHIRE UNIVERSITY NHS FOUNDATION TRUST"/>
    <n v="8644"/>
    <n v="438"/>
    <n v="1808"/>
    <n v="0"/>
    <n v="423"/>
    <n v="132"/>
    <d v="2026-03-01T00:00:00"/>
    <s v="Q4"/>
    <x v="0"/>
    <n v="0.2091624248033318"/>
    <n v="9082"/>
    <n v="12"/>
    <n v="1.5270708005552984E-2"/>
  </r>
  <r>
    <x v="11"/>
    <s v="RBV"/>
    <x v="3"/>
    <s v="THE CHRISTIE NHS FOUNDATION TRUST"/>
    <n v="0"/>
    <n v="0"/>
    <n v="0"/>
    <n v="0"/>
    <n v="0"/>
    <n v="0"/>
    <d v="2026-03-01T00:00:00"/>
    <s v="Q4"/>
    <x v="0"/>
    <n v="0"/>
    <n v="0"/>
    <n v="12"/>
    <n v="0"/>
  </r>
  <r>
    <x v="11"/>
    <s v="RKE"/>
    <x v="4"/>
    <s v="WHITTINGTON HEALTH NHS TRUST"/>
    <n v="9319"/>
    <n v="0"/>
    <n v="2376"/>
    <n v="0"/>
    <n v="280"/>
    <n v="237"/>
    <d v="2026-03-01T00:00:00"/>
    <s v="Q4"/>
    <x v="0"/>
    <n v="0.25496297886039276"/>
    <n v="9319"/>
    <n v="12"/>
    <n v="2.5431913295417965E-2"/>
  </r>
  <r>
    <x v="11"/>
    <s v="ARN03"/>
    <x v="6"/>
    <s v="LOCAL CARE DIRECT"/>
    <n v="0"/>
    <n v="2490"/>
    <n v="0"/>
    <n v="9"/>
    <n v="0"/>
    <n v="0"/>
    <d v="2026-03-01T00:00:00"/>
    <s v="Q4"/>
    <x v="0"/>
    <n v="0"/>
    <n v="2490"/>
    <n v="12"/>
    <n v="0"/>
  </r>
  <r>
    <x v="11"/>
    <s v="RYX"/>
    <x v="4"/>
    <s v="CENTRAL LONDON COMMUNITY HEALTHCARE NHS TRUST"/>
    <n v="0"/>
    <n v="12658"/>
    <n v="0"/>
    <n v="207"/>
    <n v="0"/>
    <n v="0"/>
    <d v="2026-03-01T00:00:00"/>
    <s v="Q4"/>
    <x v="0"/>
    <n v="0"/>
    <n v="12658"/>
    <n v="12"/>
    <n v="0"/>
  </r>
  <r>
    <x v="11"/>
    <s v="RWH"/>
    <x v="2"/>
    <s v="EAST AND NORTH HERTFORDSHIRE TEACHING NHS TRUST"/>
    <n v="9208"/>
    <n v="9068"/>
    <n v="4522"/>
    <n v="97"/>
    <n v="305"/>
    <n v="65"/>
    <d v="2026-03-01T00:00:00"/>
    <s v="Q4"/>
    <x v="0"/>
    <n v="0.49109470026064295"/>
    <n v="18276"/>
    <n v="12"/>
    <n v="7.0590790616854911E-3"/>
  </r>
  <r>
    <x v="11"/>
    <s v="RXP"/>
    <x v="6"/>
    <s v="COUNTY DURHAM AND DARLINGTON NHS FOUNDATION TRUST"/>
    <n v="13246"/>
    <n v="3934"/>
    <n v="5130"/>
    <n v="0"/>
    <n v="1518"/>
    <n v="10"/>
    <d v="2026-03-01T00:00:00"/>
    <s v="Q4"/>
    <x v="0"/>
    <n v="0.38728672806885095"/>
    <n v="17180"/>
    <n v="12"/>
    <n v="7.5494488902310135E-4"/>
  </r>
  <r>
    <x v="11"/>
    <s v="RXW"/>
    <x v="5"/>
    <s v="THE SHREWSBURY AND TELFORD HOSPITAL NHS TRUST"/>
    <n v="11446"/>
    <n v="2637"/>
    <n v="6281"/>
    <n v="370"/>
    <n v="742"/>
    <n v="1173"/>
    <d v="2026-03-01T00:00:00"/>
    <s v="Q4"/>
    <x v="0"/>
    <n v="0.54875065525074262"/>
    <n v="14083"/>
    <n v="12"/>
    <n v="0.10248121614537829"/>
  </r>
  <r>
    <x v="11"/>
    <s v="R0D"/>
    <x v="1"/>
    <s v="UNIVERSITY HOSPITALS DORSET NHS FOUNDATION TRUST"/>
    <n v="15604"/>
    <n v="4194"/>
    <n v="6397"/>
    <n v="0"/>
    <n v="923"/>
    <n v="501"/>
    <d v="2026-03-01T00:00:00"/>
    <s v="Q4"/>
    <x v="0"/>
    <n v="0.40995898487567289"/>
    <n v="19798"/>
    <n v="12"/>
    <n v="3.2107152012304539E-2"/>
  </r>
  <r>
    <x v="11"/>
    <s v="RA9"/>
    <x v="1"/>
    <s v="TORBAY AND SOUTH DEVON NHS FOUNDATION TRUST"/>
    <n v="6842"/>
    <n v="3228"/>
    <n v="3404"/>
    <n v="2"/>
    <n v="150"/>
    <n v="66"/>
    <d v="2026-03-01T00:00:00"/>
    <s v="Q4"/>
    <x v="0"/>
    <n v="0.49751534638994444"/>
    <n v="10070"/>
    <n v="12"/>
    <n v="9.6463022508038593E-3"/>
  </r>
  <r>
    <x v="11"/>
    <s v="RAN"/>
    <x v="4"/>
    <s v="ROYAL NATIONAL ORTHOPAEDIC HOSPITAL NHS TRUST"/>
    <n v="0"/>
    <n v="0"/>
    <n v="0"/>
    <n v="0"/>
    <n v="0"/>
    <n v="0"/>
    <d v="2026-03-01T00:00:00"/>
    <s v="Q4"/>
    <x v="0"/>
    <n v="0"/>
    <n v="0"/>
    <n v="12"/>
    <n v="0"/>
  </r>
  <r>
    <x v="11"/>
    <s v="RDY"/>
    <x v="1"/>
    <s v="DORSET HEALTHCARE UNIVERSITY NHS FOUNDATION TRUST"/>
    <n v="0"/>
    <n v="0"/>
    <n v="0"/>
    <n v="0"/>
    <n v="0"/>
    <n v="0"/>
    <d v="2026-03-01T00:00:00"/>
    <s v="Q4"/>
    <x v="0"/>
    <n v="0"/>
    <n v="0"/>
    <n v="12"/>
    <n v="0"/>
  </r>
  <r>
    <x v="11"/>
    <s v="RGT"/>
    <x v="2"/>
    <s v="CAMBRIDGE UNIVERSITY HOSPITALS NHS FOUNDATION TRUST"/>
    <n v="11693"/>
    <n v="5652"/>
    <n v="4906"/>
    <n v="111"/>
    <n v="558"/>
    <n v="404"/>
    <d v="2026-03-01T00:00:00"/>
    <s v="Q4"/>
    <x v="0"/>
    <n v="0.41956726246472248"/>
    <n v="17345"/>
    <n v="12"/>
    <n v="3.4550585820576414E-2"/>
  </r>
  <r>
    <x v="11"/>
    <s v="RH5"/>
    <x v="1"/>
    <s v="SOMERSET NHS FOUNDATION TRUST"/>
    <n v="12117"/>
    <n v="10428"/>
    <n v="5807"/>
    <n v="320"/>
    <n v="372"/>
    <n v="73"/>
    <d v="2026-03-01T00:00:00"/>
    <s v="Q4"/>
    <x v="0"/>
    <n v="0.47924403730296278"/>
    <n v="22545"/>
    <n v="12"/>
    <n v="6.0245935462573241E-3"/>
  </r>
  <r>
    <x v="11"/>
    <s v="RK5"/>
    <x v="5"/>
    <s v="SHERWOOD FOREST HOSPITALS NHS FOUNDATION TRUST"/>
    <n v="11782"/>
    <n v="5785"/>
    <n v="3548"/>
    <n v="395"/>
    <n v="728"/>
    <n v="277"/>
    <d v="2026-03-01T00:00:00"/>
    <s v="Q4"/>
    <x v="0"/>
    <n v="0.30113732812765237"/>
    <n v="17567"/>
    <n v="12"/>
    <n v="2.3510439653709046E-2"/>
  </r>
  <r>
    <x v="11"/>
    <s v="RL1"/>
    <x v="5"/>
    <s v="THE ROBERT JONES AND AGNES HUNT ORTHOPAEDIC HOSPITAL NHS FOUNDATION TRUST"/>
    <n v="0"/>
    <n v="0"/>
    <n v="0"/>
    <n v="0"/>
    <n v="0"/>
    <n v="0"/>
    <d v="2026-03-01T00:00:00"/>
    <s v="Q4"/>
    <x v="0"/>
    <n v="0"/>
    <n v="0"/>
    <n v="12"/>
    <n v="0"/>
  </r>
  <r>
    <x v="11"/>
    <s v="RM1"/>
    <x v="2"/>
    <s v="NORFOLK AND NORWICH UNIVERSITY HOSPITALS NHS FOUNDATION TRUST"/>
    <n v="13490"/>
    <n v="7873"/>
    <n v="3626"/>
    <n v="11"/>
    <n v="603"/>
    <n v="261"/>
    <d v="2026-03-01T00:00:00"/>
    <s v="Q4"/>
    <x v="0"/>
    <n v="0.26879169755374349"/>
    <n v="21363"/>
    <n v="12"/>
    <n v="1.9347664936990364E-2"/>
  </r>
  <r>
    <x v="11"/>
    <s v="RP5"/>
    <x v="6"/>
    <s v="DONCASTER AND BASSETLAW TEACHING HOSPITALS NHS FOUNDATION TRUST"/>
    <n v="14337"/>
    <n v="4376"/>
    <n v="4214"/>
    <n v="5"/>
    <n v="1010"/>
    <n v="95"/>
    <d v="2026-03-01T00:00:00"/>
    <s v="Q4"/>
    <x v="0"/>
    <n v="0.29392480993234288"/>
    <n v="18713"/>
    <n v="12"/>
    <n v="6.6262118992815788E-3"/>
  </r>
  <r>
    <x v="11"/>
    <s v="RP6"/>
    <x v="4"/>
    <s v="MOORFIELDS EYE HOSPITAL NHS FOUNDATION TRUST"/>
    <n v="0"/>
    <n v="0"/>
    <n v="0"/>
    <n v="0"/>
    <n v="0"/>
    <n v="0"/>
    <d v="2026-03-01T00:00:00"/>
    <s v="Q4"/>
    <x v="0"/>
    <n v="0"/>
    <n v="0"/>
    <n v="12"/>
    <n v="0"/>
  </r>
  <r>
    <x v="11"/>
    <s v="RQM"/>
    <x v="4"/>
    <s v="CHELSEA AND WESTMINSTER HOSPITAL NHS FOUNDATION TRUST"/>
    <n v="20446"/>
    <n v="6841"/>
    <n v="5552"/>
    <n v="310"/>
    <n v="753"/>
    <n v="45"/>
    <d v="2026-03-01T00:00:00"/>
    <s v="Q4"/>
    <x v="0"/>
    <n v="0.2715445563924484"/>
    <n v="27287"/>
    <n v="12"/>
    <n v="2.2009194952557955E-3"/>
  </r>
  <r>
    <x v="11"/>
    <s v="RRF"/>
    <x v="3"/>
    <s v="WRIGHTINGTON, WIGAN AND LEIGH TEACHING HOSPITALS NHS FOUNDATION TRUST"/>
    <n v="6876"/>
    <n v="6628"/>
    <n v="2920"/>
    <n v="44"/>
    <n v="551"/>
    <n v="407"/>
    <d v="2026-03-01T00:00:00"/>
    <s v="Q4"/>
    <x v="0"/>
    <n v="0.42466550319953461"/>
    <n v="13504"/>
    <n v="12"/>
    <n v="5.9191390343222801E-2"/>
  </r>
  <r>
    <x v="11"/>
    <s v="RTF"/>
    <x v="6"/>
    <s v="NORTHUMBRIA HEALTHCARE NHS FOUNDATION TRUST"/>
    <n v="11038"/>
    <n v="14245"/>
    <n v="2238"/>
    <n v="1"/>
    <n v="12"/>
    <n v="0"/>
    <d v="2026-03-01T00:00:00"/>
    <s v="Q4"/>
    <x v="0"/>
    <n v="0.20275412212357311"/>
    <n v="25283"/>
    <n v="12"/>
    <n v="0"/>
  </r>
  <r>
    <x v="11"/>
    <s v="RWD"/>
    <x v="5"/>
    <s v="UNITED LINCOLNSHIRE TEACHING HOSPITALS NHS TRUST"/>
    <n v="18625"/>
    <n v="4910"/>
    <n v="5727"/>
    <n v="258"/>
    <n v="757"/>
    <n v="1132"/>
    <d v="2026-03-01T00:00:00"/>
    <s v="Q4"/>
    <x v="0"/>
    <n v="0.30748993288590604"/>
    <n v="23535"/>
    <n v="12"/>
    <n v="6.0778523489932887E-2"/>
  </r>
  <r>
    <x v="11"/>
    <s v="RWW"/>
    <x v="3"/>
    <s v="WARRINGTON AND HALTON TEACHING HOSPITALS NHS FOUNDATION TRUST"/>
    <n v="7065"/>
    <n v="2935"/>
    <n v="3412"/>
    <n v="22"/>
    <n v="470"/>
    <n v="909"/>
    <d v="2026-03-01T00:00:00"/>
    <s v="Q4"/>
    <x v="0"/>
    <n v="0.48294409058740267"/>
    <n v="10000"/>
    <n v="12"/>
    <n v="0.1286624203821656"/>
  </r>
  <r>
    <x v="11"/>
    <s v="RXK"/>
    <x v="5"/>
    <s v="SANDWELL AND WEST BIRMINGHAM HOSPITALS NHS TRUST"/>
    <n v="11478"/>
    <n v="8388"/>
    <n v="4899"/>
    <n v="42"/>
    <n v="678"/>
    <n v="612"/>
    <d v="2026-03-01T00:00:00"/>
    <s v="Q4"/>
    <x v="0"/>
    <n v="0.42681651855723995"/>
    <n v="19866"/>
    <n v="12"/>
    <n v="5.3319393622582333E-2"/>
  </r>
  <r>
    <x v="11"/>
    <s v="RY4"/>
    <x v="2"/>
    <s v="HERTFORDSHIRE COMMUNITY NHS TRUST"/>
    <n v="0"/>
    <n v="1223"/>
    <n v="0"/>
    <n v="38"/>
    <n v="0"/>
    <n v="0"/>
    <d v="2026-03-01T00:00:00"/>
    <s v="Q4"/>
    <x v="0"/>
    <n v="0"/>
    <n v="1223"/>
    <n v="12"/>
    <n v="0"/>
  </r>
  <r>
    <x v="11"/>
    <s v="RJL"/>
    <x v="6"/>
    <s v="NORTHERN LINCOLNSHIRE AND GOOLE NHS FOUNDATION TRUST"/>
    <n v="10855"/>
    <n v="6646"/>
    <n v="4901"/>
    <n v="74"/>
    <n v="734"/>
    <n v="715"/>
    <d v="2026-03-01T00:00:00"/>
    <s v="Q4"/>
    <x v="0"/>
    <n v="0.45149700598802395"/>
    <n v="17501"/>
    <n v="12"/>
    <n v="6.5868263473053898E-2"/>
  </r>
  <r>
    <x v="11"/>
    <s v="RK9"/>
    <x v="1"/>
    <s v="UNIVERSITY HOSPITALS PLYMOUTH NHS TRUST"/>
    <n v="9053"/>
    <n v="8349"/>
    <n v="5663"/>
    <n v="126"/>
    <n v="693"/>
    <n v="352"/>
    <d v="2026-03-01T00:00:00"/>
    <s v="Q4"/>
    <x v="0"/>
    <n v="0.62553849552634488"/>
    <n v="17402"/>
    <n v="12"/>
    <n v="3.8882138517618466E-2"/>
  </r>
  <r>
    <x v="11"/>
    <s v="RMP"/>
    <x v="3"/>
    <s v="TAMESIDE AND GLOSSOP INTEGRATED CARE NHS FOUNDATION TRUST"/>
    <n v="8602"/>
    <n v="2694"/>
    <n v="3606"/>
    <n v="102"/>
    <n v="400"/>
    <n v="269"/>
    <d v="2026-03-01T00:00:00"/>
    <s v="Q4"/>
    <x v="0"/>
    <n v="0.41920483608463149"/>
    <n v="11296"/>
    <n v="12"/>
    <n v="3.1271797256451989E-2"/>
  </r>
  <r>
    <x v="11"/>
    <s v="RNQ"/>
    <x v="5"/>
    <s v="KETTERING GENERAL HOSPITAL NHS FOUNDATION TRUST"/>
    <n v="11623"/>
    <n v="9434"/>
    <n v="4163"/>
    <n v="7"/>
    <n v="649"/>
    <n v="560"/>
    <d v="2026-03-01T00:00:00"/>
    <s v="Q4"/>
    <x v="0"/>
    <n v="0.35816914738019445"/>
    <n v="21057"/>
    <n v="12"/>
    <n v="4.8180332100146259E-2"/>
  </r>
  <r>
    <x v="11"/>
    <s v="RTH"/>
    <x v="0"/>
    <s v="OXFORD UNIVERSITY HOSPITALS NHS FOUNDATION TRUST"/>
    <n v="12638"/>
    <n v="3437"/>
    <n v="3523"/>
    <n v="43"/>
    <n v="341"/>
    <n v="5"/>
    <d v="2026-03-01T00:00:00"/>
    <s v="Q4"/>
    <x v="0"/>
    <n v="0.27876246241493907"/>
    <n v="16075"/>
    <n v="12"/>
    <n v="3.9563222028802023E-4"/>
  </r>
  <r>
    <x v="11"/>
    <s v="RTP"/>
    <x v="0"/>
    <s v="SURREY AND SUSSEX HEALTHCARE NHS TRUST"/>
    <n v="10583"/>
    <n v="0"/>
    <n v="4778"/>
    <n v="0"/>
    <n v="597"/>
    <n v="724"/>
    <d v="2026-03-01T00:00:00"/>
    <s v="Q4"/>
    <x v="0"/>
    <n v="0.45147878673344044"/>
    <n v="10583"/>
    <n v="12"/>
    <n v="6.8411603515071334E-2"/>
  </r>
  <r>
    <x v="11"/>
    <s v="RWG"/>
    <x v="2"/>
    <s v="WEST HERTFORDSHIRE TEACHING HOSPITALS NHS TRUST"/>
    <n v="8750"/>
    <n v="7960"/>
    <n v="1584"/>
    <n v="106"/>
    <n v="656"/>
    <n v="33"/>
    <d v="2026-03-01T00:00:00"/>
    <s v="Q4"/>
    <x v="0"/>
    <n v="0.18102857142857143"/>
    <n v="16710"/>
    <n v="12"/>
    <n v="3.7714285714285714E-3"/>
  </r>
  <r>
    <x v="11"/>
    <s v="RXC"/>
    <x v="0"/>
    <s v="EAST SUSSEX HEALTHCARE NHS TRUST"/>
    <n v="9990"/>
    <n v="2172"/>
    <n v="3511"/>
    <n v="30"/>
    <n v="212"/>
    <n v="58"/>
    <d v="2026-03-01T00:00:00"/>
    <s v="Q4"/>
    <x v="0"/>
    <n v="0.35145145145145146"/>
    <n v="12162"/>
    <n v="12"/>
    <n v="5.8058058058058056E-3"/>
  </r>
  <r>
    <x v="11"/>
    <s v="RXF"/>
    <x v="6"/>
    <s v="MID YORKSHIRE TEACHING NHS TRUST"/>
    <n v="16635"/>
    <n v="6852"/>
    <n v="5940"/>
    <n v="178"/>
    <n v="2085"/>
    <n v="308"/>
    <d v="2026-03-01T00:00:00"/>
    <s v="Q4"/>
    <x v="0"/>
    <n v="0.35707844905320107"/>
    <n v="23487"/>
    <n v="12"/>
    <n v="1.8515178839795612E-2"/>
  </r>
  <r>
    <x v="11"/>
    <s v="8J094"/>
    <x v="5"/>
    <s v="BADGER LTD"/>
    <n v="0"/>
    <n v="0"/>
    <n v="0"/>
    <n v="0"/>
    <n v="0"/>
    <n v="0"/>
    <d v="2026-03-01T00:00:00"/>
    <s v="Q4"/>
    <x v="0"/>
    <n v="0"/>
    <n v="0"/>
    <n v="12"/>
    <n v="0"/>
  </r>
  <r>
    <x v="11"/>
    <s v="R1H"/>
    <x v="4"/>
    <s v="BARTS HEALTH NHS TRUST"/>
    <n v="26064"/>
    <n v="18544"/>
    <n v="10076"/>
    <n v="919"/>
    <n v="1010"/>
    <n v="1207"/>
    <d v="2026-03-01T00:00:00"/>
    <s v="Q4"/>
    <x v="0"/>
    <n v="0.38658686310620011"/>
    <n v="44608"/>
    <n v="12"/>
    <n v="4.6309085328422345E-2"/>
  </r>
  <r>
    <x v="11"/>
    <s v="RAX"/>
    <x v="4"/>
    <s v="KINGSTON AND RICHMOND NHS FOUNDATION TRUST"/>
    <n v="7582"/>
    <n v="8517"/>
    <n v="3296"/>
    <n v="237"/>
    <n v="373"/>
    <n v="310"/>
    <d v="2026-03-01T00:00:00"/>
    <s v="Q4"/>
    <x v="0"/>
    <n v="0.43471379583223424"/>
    <n v="16099"/>
    <n v="12"/>
    <n v="4.0886309680823005E-2"/>
  </r>
  <r>
    <x v="11"/>
    <s v="RBT"/>
    <x v="3"/>
    <s v="MID CHESHIRE HOSPITALS NHS FOUNDATION TRUST"/>
    <n v="7509"/>
    <n v="3219"/>
    <n v="3946"/>
    <n v="8"/>
    <n v="402"/>
    <n v="665"/>
    <d v="2026-03-01T00:00:00"/>
    <s v="Q4"/>
    <x v="0"/>
    <n v="0.52550273005726467"/>
    <n v="10728"/>
    <n v="12"/>
    <n v="8.8560394193634304E-2"/>
  </r>
  <r>
    <x v="11"/>
    <s v="RF4"/>
    <x v="4"/>
    <s v="BARKING, HAVERING AND REDBRIDGE UNIVERSITY HOSPITALS NHS TRUST"/>
    <n v="13844"/>
    <n v="14885"/>
    <n v="6100"/>
    <n v="253"/>
    <n v="609"/>
    <n v="608"/>
    <d v="2026-03-01T00:00:00"/>
    <s v="Q4"/>
    <x v="0"/>
    <n v="0.44062409708176825"/>
    <n v="28729"/>
    <n v="12"/>
    <n v="4.3917942791100839E-2"/>
  </r>
  <r>
    <x v="11"/>
    <s v="RHM"/>
    <x v="0"/>
    <s v="UNIVERSITY HOSPITAL SOUTHAMPTON NHS FOUNDATION TRUST"/>
    <n v="12105"/>
    <n v="0"/>
    <n v="3601"/>
    <n v="0"/>
    <n v="455"/>
    <n v="11"/>
    <d v="2026-03-01T00:00:00"/>
    <s v="Q4"/>
    <x v="0"/>
    <n v="0.29748038000826105"/>
    <n v="12105"/>
    <n v="12"/>
    <n v="9.0871540685667079E-4"/>
  </r>
  <r>
    <x v="11"/>
    <s v="RJ2"/>
    <x v="4"/>
    <s v="LEWISHAM AND GREENWICH NHS TRUST"/>
    <n v="16974"/>
    <n v="17385"/>
    <n v="8228"/>
    <n v="320"/>
    <n v="1057"/>
    <n v="487"/>
    <d v="2026-03-01T00:00:00"/>
    <s v="Q4"/>
    <x v="0"/>
    <n v="0.48474136915282195"/>
    <n v="34359"/>
    <n v="12"/>
    <n v="2.8690939083303876E-2"/>
  </r>
  <r>
    <x v="11"/>
    <s v="RJ7"/>
    <x v="4"/>
    <s v="ST GEORGE'S UNIVERSITY HOSPITALS NHS FOUNDATION TRUST"/>
    <n v="8727"/>
    <n v="4237"/>
    <n v="2697"/>
    <n v="145"/>
    <n v="474"/>
    <n v="476"/>
    <d v="2026-03-01T00:00:00"/>
    <s v="Q4"/>
    <x v="0"/>
    <n v="0.30904090752836028"/>
    <n v="12964"/>
    <n v="12"/>
    <n v="5.4543371147015011E-2"/>
  </r>
  <r>
    <x v="11"/>
    <s v="RR8"/>
    <x v="6"/>
    <s v="LEEDS TEACHING HOSPITALS NHS TRUST"/>
    <n v="18894"/>
    <n v="11213"/>
    <n v="6521"/>
    <n v="181"/>
    <n v="1518"/>
    <n v="564"/>
    <d v="2026-03-01T00:00:00"/>
    <s v="Q4"/>
    <x v="0"/>
    <n v="0.34513602201757171"/>
    <n v="30107"/>
    <n v="12"/>
    <n v="2.9850746268656716E-2"/>
  </r>
  <r>
    <x v="11"/>
    <s v="RVR"/>
    <x v="4"/>
    <s v="EPSOM AND ST HELIER UNIVERSITY HOSPITALS NHS TRUST"/>
    <n v="11779"/>
    <n v="2267"/>
    <n v="3299"/>
    <n v="200"/>
    <n v="602"/>
    <n v="764"/>
    <d v="2026-03-01T00:00:00"/>
    <s v="Q4"/>
    <x v="0"/>
    <n v="0.28007470922828764"/>
    <n v="14046"/>
    <n v="12"/>
    <n v="6.4861193649715598E-2"/>
  </r>
  <r>
    <x v="11"/>
    <s v="RWJ"/>
    <x v="3"/>
    <s v="STOCKPORT NHS FOUNDATION TRUST"/>
    <n v="8104"/>
    <n v="981"/>
    <n v="3102"/>
    <n v="58"/>
    <n v="592"/>
    <n v="258"/>
    <d v="2026-03-01T00:00:00"/>
    <s v="Q4"/>
    <x v="0"/>
    <n v="0.38277393879565647"/>
    <n v="9085"/>
    <n v="12"/>
    <n v="3.1836130306021719E-2"/>
  </r>
  <r>
    <x v="11"/>
    <s v="RXN"/>
    <x v="3"/>
    <s v="LANCASHIRE TEACHING HOSPITALS NHS FOUNDATION TRUST"/>
    <n v="12102"/>
    <n v="3298"/>
    <n v="4107"/>
    <n v="210"/>
    <n v="1053"/>
    <n v="368"/>
    <d v="2026-03-01T00:00:00"/>
    <s v="Q4"/>
    <x v="0"/>
    <n v="0.33936539414972733"/>
    <n v="15400"/>
    <n v="12"/>
    <n v="3.040819699223269E-2"/>
  </r>
  <r>
    <x v="11"/>
    <s v="Y03007"/>
    <x v="5"/>
    <s v="ERDINGTON GP HEALTH &amp; WELLBEING WIC"/>
    <n v="0"/>
    <n v="0"/>
    <n v="0"/>
    <n v="0"/>
    <n v="0"/>
    <n v="0"/>
    <d v="2026-03-01T00:00:00"/>
    <s v="Q4"/>
    <x v="0"/>
    <n v="0"/>
    <n v="0"/>
    <n v="12"/>
    <n v="0"/>
  </r>
  <r>
    <x v="11"/>
    <s v="RPA"/>
    <x v="0"/>
    <s v="MEDWAY NHS FOUNDATION TRUST"/>
    <n v="9858"/>
    <n v="6484"/>
    <n v="3038"/>
    <n v="1091"/>
    <n v="335"/>
    <n v="671"/>
    <d v="2026-03-01T00:00:00"/>
    <s v="Q4"/>
    <x v="0"/>
    <n v="0.3081761006289308"/>
    <n v="16342"/>
    <n v="12"/>
    <n v="6.8066544938121323E-2"/>
  </r>
  <r>
    <x v="11"/>
    <s v="DT301"/>
    <x v="2"/>
    <s v="HERTS URGENT CARE (ASCOTS LANE)"/>
    <n v="0"/>
    <n v="2144"/>
    <n v="0"/>
    <n v="110"/>
    <n v="0"/>
    <n v="0"/>
    <d v="2026-03-01T00:00:00"/>
    <s v="Q4"/>
    <x v="0"/>
    <n v="0"/>
    <n v="2144"/>
    <n v="12"/>
    <n v="0"/>
  </r>
  <r>
    <x v="11"/>
    <s v="RNA"/>
    <x v="5"/>
    <s v="THE DUDLEY GROUP NHS FOUNDATION TRUST"/>
    <n v="10359"/>
    <n v="4254"/>
    <n v="2064"/>
    <n v="159"/>
    <n v="957"/>
    <n v="40"/>
    <d v="2026-03-01T00:00:00"/>
    <s v="Q4"/>
    <x v="0"/>
    <n v="0.19924703156675355"/>
    <n v="14613"/>
    <n v="12"/>
    <n v="3.8613765807510377E-3"/>
  </r>
  <r>
    <x v="11"/>
    <s v="RR7"/>
    <x v="6"/>
    <s v="GATESHEAD HEALTH NHS FOUNDATION TRUST"/>
    <n v="6012"/>
    <n v="4693"/>
    <n v="2609"/>
    <n v="56"/>
    <n v="776"/>
    <n v="2"/>
    <d v="2026-03-01T00:00:00"/>
    <s v="Q4"/>
    <x v="0"/>
    <n v="0.43396540252827676"/>
    <n v="10705"/>
    <n v="12"/>
    <n v="3.3266799733865603E-4"/>
  </r>
  <r>
    <x v="11"/>
    <s v="RWE"/>
    <x v="5"/>
    <s v="UNIVERSITY HOSPITALS OF LEICESTER NHS TRUST"/>
    <n v="23461"/>
    <n v="0"/>
    <n v="8490"/>
    <n v="0"/>
    <n v="1325"/>
    <n v="592"/>
    <d v="2026-03-01T00:00:00"/>
    <s v="Q4"/>
    <x v="0"/>
    <n v="0.36187715783640934"/>
    <n v="23461"/>
    <n v="12"/>
    <n v="2.5233366011678957E-2"/>
  </r>
  <r>
    <x v="11"/>
    <s v="RLT"/>
    <x v="5"/>
    <s v="GEORGE ELIOT HOSPITAL NHS TRUST"/>
    <n v="7478"/>
    <n v="1767"/>
    <n v="834"/>
    <n v="2"/>
    <n v="159"/>
    <n v="92"/>
    <d v="2026-03-01T00:00:00"/>
    <s v="Q4"/>
    <x v="0"/>
    <n v="0.11152714629580102"/>
    <n v="9245"/>
    <n v="12"/>
    <n v="1.2302754747258626E-2"/>
  </r>
  <r>
    <x v="11"/>
    <s v="RET"/>
    <x v="3"/>
    <s v="THE WALTON CENTRE NHS FOUNDATION TRUST"/>
    <n v="0"/>
    <n v="0"/>
    <n v="0"/>
    <n v="0"/>
    <n v="0"/>
    <n v="0"/>
    <d v="2026-03-01T00:00:00"/>
    <s v="Q4"/>
    <x v="0"/>
    <n v="0"/>
    <n v="0"/>
    <n v="12"/>
    <n v="0"/>
  </r>
  <r>
    <x v="11"/>
    <s v="RNS"/>
    <x v="5"/>
    <s v="NORTHAMPTON GENERAL HOSPITAL NHS TRUST"/>
    <n v="11112"/>
    <n v="2110"/>
    <n v="3453"/>
    <n v="2"/>
    <n v="430"/>
    <n v="767"/>
    <d v="2026-03-01T00:00:00"/>
    <s v="Q4"/>
    <x v="0"/>
    <n v="0.31074514038876888"/>
    <n v="13222"/>
    <n v="12"/>
    <n v="6.9024478041756654E-2"/>
  </r>
  <r>
    <x v="11"/>
    <s v="RTD"/>
    <x v="6"/>
    <s v="THE NEWCASTLE UPON TYNE HOSPITALS NHS FOUNDATION TRUST"/>
    <n v="11211"/>
    <n v="9607"/>
    <n v="4662"/>
    <n v="118"/>
    <n v="293"/>
    <n v="11"/>
    <d v="2026-03-01T00:00:00"/>
    <s v="Q4"/>
    <x v="0"/>
    <n v="0.41584158415841582"/>
    <n v="20818"/>
    <n v="12"/>
    <n v="9.8117919900098127E-4"/>
  </r>
  <r>
    <x v="11"/>
    <s v="RTE"/>
    <x v="1"/>
    <s v="GLOUCESTERSHIRE HOSPITALS NHS FOUNDATION TRUST"/>
    <n v="14347"/>
    <n v="0"/>
    <n v="5083"/>
    <n v="0"/>
    <n v="282"/>
    <n v="489"/>
    <d v="2026-03-01T00:00:00"/>
    <s v="Q4"/>
    <x v="0"/>
    <n v="0.3542900954903464"/>
    <n v="14347"/>
    <n v="12"/>
    <n v="3.4083780581306199E-2"/>
  </r>
  <r>
    <x v="11"/>
    <s v="RXQ"/>
    <x v="0"/>
    <s v="BUCKINGHAMSHIRE HEALTHCARE NHS TRUST"/>
    <n v="9559"/>
    <n v="3114"/>
    <n v="2991"/>
    <n v="29"/>
    <n v="259"/>
    <n v="249"/>
    <d v="2026-03-01T00:00:00"/>
    <s v="Q4"/>
    <x v="0"/>
    <n v="0.31289883879066849"/>
    <n v="12673"/>
    <n v="12"/>
    <n v="2.6048749869233185E-2"/>
  </r>
  <r>
    <x v="11"/>
    <s v="RY5"/>
    <x v="5"/>
    <s v="LINCOLNSHIRE COMMUNITY HEALTH SERVICES NHS TRUST"/>
    <n v="0"/>
    <n v="8730"/>
    <n v="0"/>
    <n v="156"/>
    <n v="0"/>
    <n v="0"/>
    <d v="2026-03-01T00:00:00"/>
    <s v="Q4"/>
    <x v="0"/>
    <n v="0"/>
    <n v="8730"/>
    <n v="12"/>
    <n v="0"/>
  </r>
  <r>
    <x v="11"/>
    <s v="RA7"/>
    <x v="1"/>
    <s v="UNIVERSITY HOSPITALS BRISTOL AND WESTON NHS FOUNDATION TRUST"/>
    <n v="16839"/>
    <n v="0"/>
    <n v="6340"/>
    <n v="0"/>
    <n v="1198"/>
    <n v="529"/>
    <d v="2026-03-01T00:00:00"/>
    <s v="Q4"/>
    <x v="0"/>
    <n v="0.37650691846309164"/>
    <n v="16839"/>
    <n v="12"/>
    <n v="3.1415167171447232E-2"/>
  </r>
  <r>
    <x v="11"/>
    <s v="RAL"/>
    <x v="4"/>
    <s v="ROYAL FREE LONDON NHS FOUNDATION TRUST"/>
    <n v="27033"/>
    <n v="16624"/>
    <n v="7828"/>
    <n v="728"/>
    <n v="912"/>
    <n v="1771"/>
    <d v="2026-03-01T00:00:00"/>
    <s v="Q4"/>
    <x v="0"/>
    <n v="0.28957200458698629"/>
    <n v="43657"/>
    <n v="12"/>
    <n v="6.5512521732697074E-2"/>
  </r>
  <r>
    <x v="11"/>
    <s v="RCB"/>
    <x v="6"/>
    <s v="YORK AND SCARBOROUGH TEACHING HOSPITALS NHS FOUNDATION TRUST"/>
    <n v="12231"/>
    <n v="7237"/>
    <n v="5296"/>
    <n v="456"/>
    <n v="693"/>
    <n v="237"/>
    <d v="2026-03-01T00:00:00"/>
    <s v="Q4"/>
    <x v="0"/>
    <n v="0.43299811953233586"/>
    <n v="19468"/>
    <n v="12"/>
    <n v="1.9376992886926663E-2"/>
  </r>
  <r>
    <x v="11"/>
    <s v="RD1"/>
    <x v="1"/>
    <s v="ROYAL UNITED HOSPITALS BATH NHS FOUNDATION TRUST"/>
    <n v="9444"/>
    <n v="0"/>
    <n v="3528"/>
    <n v="0"/>
    <n v="943"/>
    <n v="85"/>
    <d v="2026-03-01T00:00:00"/>
    <s v="Q4"/>
    <x v="0"/>
    <n v="0.37357052096569249"/>
    <n v="9444"/>
    <n v="12"/>
    <n v="9.0004235493434982E-3"/>
  </r>
  <r>
    <x v="11"/>
    <s v="RHU"/>
    <x v="0"/>
    <s v="PORTSMOUTH HOSPITALS UNIVERSITY NHS TRUST"/>
    <n v="11058"/>
    <n v="3469"/>
    <n v="3736"/>
    <n v="2"/>
    <n v="954"/>
    <n v="901"/>
    <d v="2026-03-01T00:00:00"/>
    <s v="Q4"/>
    <x v="0"/>
    <n v="0.33785494664496291"/>
    <n v="14527"/>
    <n v="12"/>
    <n v="8.1479471875565201E-2"/>
  </r>
  <r>
    <x v="11"/>
    <s v="RHW"/>
    <x v="0"/>
    <s v="ROYAL BERKSHIRE NHS FOUNDATION TRUST"/>
    <n v="11568"/>
    <n v="3067"/>
    <n v="3906"/>
    <n v="0"/>
    <n v="392"/>
    <n v="28"/>
    <d v="2026-03-01T00:00:00"/>
    <s v="Q4"/>
    <x v="0"/>
    <n v="0.33765560165975106"/>
    <n v="14635"/>
    <n v="12"/>
    <n v="2.4204702627939143E-3"/>
  </r>
  <r>
    <x v="11"/>
    <s v="RM3"/>
    <x v="3"/>
    <s v="NORTHERN CARE ALLIANCE NHS FOUNDATION TRUST"/>
    <n v="27062"/>
    <n v="9249"/>
    <n v="9404"/>
    <n v="179"/>
    <n v="932"/>
    <n v="1124"/>
    <d v="2026-03-01T00:00:00"/>
    <s v="Q4"/>
    <x v="0"/>
    <n v="0.34749833715172568"/>
    <n v="36311"/>
    <n v="12"/>
    <n v="4.1534254674451258E-2"/>
  </r>
  <r>
    <x v="11"/>
    <s v="RN5"/>
    <x v="0"/>
    <s v="HAMPSHIRE HOSPITALS NHS FOUNDATION TRUST"/>
    <n v="10649"/>
    <n v="4499"/>
    <n v="5251"/>
    <n v="440"/>
    <n v="126"/>
    <n v="13"/>
    <d v="2026-03-01T00:00:00"/>
    <s v="Q4"/>
    <x v="0"/>
    <n v="0.49309794346887031"/>
    <n v="15148"/>
    <n v="12"/>
    <n v="1.2207719034651142E-3"/>
  </r>
  <r>
    <x v="11"/>
    <s v="RWA"/>
    <x v="6"/>
    <s v="HULL UNIVERSITY TEACHING HOSPITALS NHS TRUST"/>
    <n v="10114"/>
    <n v="4397"/>
    <n v="4985"/>
    <n v="236"/>
    <n v="1054"/>
    <n v="375"/>
    <d v="2026-03-01T00:00:00"/>
    <s v="Q4"/>
    <x v="0"/>
    <n v="0.49288115483488232"/>
    <n v="14511"/>
    <n v="12"/>
    <n v="3.7077318568321138E-2"/>
  </r>
  <r>
    <x v="11"/>
    <s v="RXL"/>
    <x v="3"/>
    <s v="BLACKPOOL TEACHING HOSPITALS NHS FOUNDATION TRUST"/>
    <n v="8417"/>
    <n v="10241"/>
    <n v="3022"/>
    <n v="240"/>
    <n v="518"/>
    <n v="261"/>
    <d v="2026-03-01T00:00:00"/>
    <s v="Q4"/>
    <x v="0"/>
    <n v="0.35903528573125815"/>
    <n v="18658"/>
    <n v="12"/>
    <n v="3.1008672923844599E-2"/>
  </r>
  <r>
    <x v="11"/>
    <s v="RYG"/>
    <x v="5"/>
    <s v="COVENTRY AND WARWICKSHIRE PARTNERSHIP NHS TRUST"/>
    <n v="0"/>
    <n v="0"/>
    <n v="0"/>
    <n v="0"/>
    <n v="0"/>
    <n v="0"/>
    <d v="2026-03-01T00:00:00"/>
    <s v="Q4"/>
    <x v="0"/>
    <n v="0"/>
    <n v="0"/>
    <n v="12"/>
    <n v="0"/>
  </r>
  <r>
    <x v="11"/>
    <s v="R1F"/>
    <x v="0"/>
    <s v="ISLE OF WIGHT NHS TRUST"/>
    <n v="4228"/>
    <n v="1661"/>
    <n v="1327"/>
    <n v="90"/>
    <n v="270"/>
    <n v="196"/>
    <d v="2026-03-01T00:00:00"/>
    <s v="Q4"/>
    <x v="0"/>
    <n v="0.31385998107852414"/>
    <n v="5889"/>
    <n v="12"/>
    <n v="4.6357615894039736E-2"/>
  </r>
  <r>
    <x v="11"/>
    <s v="RC9"/>
    <x v="2"/>
    <s v="BEDFORDSHIRE HOSPITALS NHS FOUNDATION TRUST"/>
    <n v="17712"/>
    <n v="9389"/>
    <n v="5426"/>
    <n v="0"/>
    <n v="80"/>
    <n v="15"/>
    <d v="2026-03-01T00:00:00"/>
    <s v="Q4"/>
    <x v="0"/>
    <n v="0.30634598012646791"/>
    <n v="27101"/>
    <n v="12"/>
    <n v="8.468834688346884E-4"/>
  </r>
  <r>
    <x v="11"/>
    <s v="RCF"/>
    <x v="6"/>
    <s v="AIREDALE NHS FOUNDATION TRUST"/>
    <n v="5874"/>
    <n v="0"/>
    <n v="2060"/>
    <n v="0"/>
    <n v="413"/>
    <n v="428"/>
    <d v="2026-03-01T00:00:00"/>
    <s v="Q4"/>
    <x v="0"/>
    <n v="0.35069799114742933"/>
    <n v="5874"/>
    <n v="12"/>
    <n v="7.2863466121893095E-2"/>
  </r>
  <r>
    <x v="11"/>
    <s v="RD8"/>
    <x v="2"/>
    <s v="MILTON KEYNES UNIVERSITY HOSPITAL NHS FOUNDATION TRUST"/>
    <n v="8309"/>
    <n v="5506"/>
    <n v="2730"/>
    <n v="93"/>
    <n v="603"/>
    <n v="0"/>
    <d v="2026-03-01T00:00:00"/>
    <s v="Q4"/>
    <x v="0"/>
    <n v="0.32855939342881213"/>
    <n v="13815"/>
    <n v="12"/>
    <n v="0"/>
  </r>
  <r>
    <x v="11"/>
    <s v="RDE"/>
    <x v="2"/>
    <s v="EAST SUFFOLK AND NORTH ESSEX NHS FOUNDATION TRUST"/>
    <n v="11646"/>
    <n v="13538"/>
    <n v="5020"/>
    <n v="844"/>
    <n v="883"/>
    <n v="548"/>
    <d v="2026-03-01T00:00:00"/>
    <s v="Q4"/>
    <x v="0"/>
    <n v="0.43104928730894726"/>
    <n v="25184"/>
    <n v="12"/>
    <n v="4.7054782758028504E-2"/>
  </r>
  <r>
    <x v="11"/>
    <s v="RFS"/>
    <x v="5"/>
    <s v="CHESTERFIELD ROYAL HOSPITAL NHS FOUNDATION TRUST"/>
    <n v="7179"/>
    <n v="5672"/>
    <n v="3234"/>
    <n v="84"/>
    <n v="534"/>
    <n v="82"/>
    <d v="2026-03-01T00:00:00"/>
    <s v="Q4"/>
    <x v="0"/>
    <n v="0.45048056832427913"/>
    <n v="12851"/>
    <n v="12"/>
    <n v="1.1422203649533362E-2"/>
  </r>
  <r>
    <x v="11"/>
    <s v="RJ6"/>
    <x v="4"/>
    <s v="CROYDON HEALTH SERVICES NHS TRUST"/>
    <n v="13405"/>
    <n v="5222"/>
    <n v="3841"/>
    <n v="0"/>
    <n v="292"/>
    <n v="678"/>
    <d v="2026-03-01T00:00:00"/>
    <s v="Q4"/>
    <x v="0"/>
    <n v="0.28653487504662439"/>
    <n v="18627"/>
    <n v="12"/>
    <n v="5.0578142484147708E-2"/>
  </r>
  <r>
    <x v="11"/>
    <s v="RVJ"/>
    <x v="1"/>
    <s v="NORTH BRISTOL NHS TRUST"/>
    <n v="9545"/>
    <n v="0"/>
    <n v="3386"/>
    <n v="0"/>
    <n v="363"/>
    <n v="576"/>
    <d v="2026-03-01T00:00:00"/>
    <s v="Q4"/>
    <x v="0"/>
    <n v="0.35474070193818752"/>
    <n v="9545"/>
    <n v="12"/>
    <n v="6.0345730749083289E-2"/>
  </r>
  <r>
    <x v="11"/>
    <s v="RN7"/>
    <x v="0"/>
    <s v="DARTFORD AND GRAVESHAM NHS TRUST"/>
    <n v="12229"/>
    <n v="4068"/>
    <n v="2966"/>
    <n v="4"/>
    <n v="567"/>
    <n v="497"/>
    <d v="2026-03-01T00:00:00"/>
    <s v="Q4"/>
    <x v="0"/>
    <n v="0.2425382288003925"/>
    <n v="16297"/>
    <n v="12"/>
    <n v="4.0641099026903264E-2"/>
  </r>
  <r>
    <x v="11"/>
    <s v="NNF16"/>
    <x v="6"/>
    <s v="BRIDLINGTON HOSPITAL"/>
    <n v="0"/>
    <n v="1610"/>
    <n v="0"/>
    <n v="26"/>
    <n v="0"/>
    <n v="0"/>
    <d v="2026-03-01T00:00:00"/>
    <s v="Q4"/>
    <x v="0"/>
    <n v="0"/>
    <n v="1610"/>
    <n v="12"/>
    <n v="0"/>
  </r>
  <r>
    <x v="11"/>
    <s v="NNF94"/>
    <x v="6"/>
    <s v="EAST RIDING COMMUNITY HOSPITAL"/>
    <n v="0"/>
    <n v="2708"/>
    <n v="0"/>
    <n v="127"/>
    <n v="0"/>
    <n v="0"/>
    <d v="2026-03-01T00:00:00"/>
    <s v="Q4"/>
    <x v="0"/>
    <n v="0"/>
    <n v="2708"/>
    <n v="12"/>
    <n v="0"/>
  </r>
  <r>
    <x v="11"/>
    <s v="NNFA7"/>
    <x v="6"/>
    <s v="GOOLE &amp; DISTRICT HOSPITAL"/>
    <n v="0"/>
    <n v="1665"/>
    <n v="0"/>
    <n v="34"/>
    <n v="0"/>
    <n v="0"/>
    <d v="2026-03-01T00:00:00"/>
    <s v="Q4"/>
    <x v="0"/>
    <n v="0"/>
    <n v="1665"/>
    <n v="12"/>
    <n v="0"/>
  </r>
  <r>
    <x v="11"/>
    <s v="RGP"/>
    <x v="2"/>
    <s v="JAMES PAGET UNIVERSITY HOSPITALS NHS FOUNDATION TRUST"/>
    <n v="7717"/>
    <n v="1655"/>
    <n v="2678"/>
    <n v="0"/>
    <n v="479"/>
    <n v="427"/>
    <d v="2026-03-01T00:00:00"/>
    <s v="Q4"/>
    <x v="0"/>
    <n v="0.34702604639108464"/>
    <n v="9372"/>
    <n v="12"/>
    <n v="5.533238305040819E-2"/>
  </r>
  <r>
    <x v="11"/>
    <s v="RQX"/>
    <x v="4"/>
    <s v="HOMERTON HEALTHCARE NHS FOUNDATION TRUST"/>
    <n v="11459"/>
    <n v="0"/>
    <n v="1708"/>
    <n v="0"/>
    <n v="200"/>
    <n v="22"/>
    <d v="2026-03-01T00:00:00"/>
    <s v="Q4"/>
    <x v="0"/>
    <n v="0.14905314599877825"/>
    <n v="11459"/>
    <n v="12"/>
    <n v="1.9198882974081509E-3"/>
  </r>
  <r>
    <x v="11"/>
    <s v="RYJ"/>
    <x v="4"/>
    <s v="IMPERIAL COLLEGE HEALTHCARE NHS TRUST"/>
    <n v="12422"/>
    <n v="6883"/>
    <n v="4438"/>
    <n v="258"/>
    <n v="580"/>
    <n v="0"/>
    <d v="2026-03-01T00:00:00"/>
    <s v="Q4"/>
    <x v="0"/>
    <n v="0.35726936081146354"/>
    <n v="19305"/>
    <n v="12"/>
    <n v="0"/>
  </r>
  <r>
    <x v="11"/>
    <s v="NVE43"/>
    <x v="0"/>
    <s v="HASTINGS GP LED HEALTH CENTRE"/>
    <n v="0"/>
    <n v="1070"/>
    <n v="0"/>
    <n v="0"/>
    <n v="0"/>
    <n v="0"/>
    <d v="2026-03-01T00:00:00"/>
    <s v="Q4"/>
    <x v="0"/>
    <n v="0"/>
    <n v="1070"/>
    <n v="12"/>
    <n v="0"/>
  </r>
  <r>
    <x v="11"/>
    <s v="RCD"/>
    <x v="6"/>
    <s v="HARROGATE AND DISTRICT NHS FOUNDATION TRUST"/>
    <n v="5284"/>
    <n v="1591"/>
    <n v="1454"/>
    <n v="6"/>
    <n v="288"/>
    <n v="10"/>
    <d v="2026-03-01T00:00:00"/>
    <s v="Q4"/>
    <x v="0"/>
    <n v="0.27517032551097653"/>
    <n v="6875"/>
    <n v="12"/>
    <n v="1.8925056775170325E-3"/>
  </r>
  <r>
    <x v="11"/>
    <s v="RCU"/>
    <x v="6"/>
    <s v="SHEFFIELD CHILDREN'S NHS FOUNDATION TRUST"/>
    <n v="4720"/>
    <n v="535"/>
    <n v="102"/>
    <n v="1"/>
    <n v="8"/>
    <n v="0"/>
    <d v="2026-03-01T00:00:00"/>
    <s v="Q4"/>
    <x v="0"/>
    <n v="2.1610169491525423E-2"/>
    <n v="5255"/>
    <n v="12"/>
    <n v="0"/>
  </r>
  <r>
    <x v="11"/>
    <s v="NNF09"/>
    <x v="6"/>
    <s v="BRANSHOLME HEALTH CENTRE"/>
    <n v="0"/>
    <n v="3817"/>
    <n v="0"/>
    <n v="299"/>
    <n v="0"/>
    <n v="0"/>
    <d v="2026-03-01T00:00:00"/>
    <s v="Q4"/>
    <x v="0"/>
    <n v="0"/>
    <n v="3817"/>
    <n v="12"/>
    <n v="0"/>
  </r>
  <r>
    <x v="11"/>
    <s v="RJ1"/>
    <x v="4"/>
    <s v="GUY'S AND ST THOMAS' NHS FOUNDATION TRUST"/>
    <n v="10703"/>
    <n v="7039"/>
    <n v="4286"/>
    <n v="258"/>
    <n v="137"/>
    <n v="69"/>
    <d v="2026-03-01T00:00:00"/>
    <s v="Q4"/>
    <x v="0"/>
    <n v="0.40044847239091841"/>
    <n v="17742"/>
    <n v="12"/>
    <n v="6.4467906194524902E-3"/>
  </r>
  <r>
    <x v="11"/>
    <s v="RAE"/>
    <x v="6"/>
    <s v="BRADFORD TEACHING HOSPITALS NHS FOUNDATION TRUST"/>
    <n v="9453"/>
    <n v="3238"/>
    <n v="2348"/>
    <n v="1"/>
    <n v="643"/>
    <n v="85"/>
    <d v="2026-03-01T00:00:00"/>
    <s v="Q4"/>
    <x v="0"/>
    <n v="0.24838675552734582"/>
    <n v="12691"/>
    <n v="12"/>
    <n v="8.991854437744631E-3"/>
  </r>
  <r>
    <x v="11"/>
    <s v="RAS"/>
    <x v="4"/>
    <s v="THE HILLINGDON HOSPITALS NHS FOUNDATION TRUST"/>
    <n v="5375"/>
    <n v="6912"/>
    <n v="2277"/>
    <n v="82"/>
    <n v="393"/>
    <n v="14"/>
    <d v="2026-03-01T00:00:00"/>
    <s v="Q4"/>
    <x v="0"/>
    <n v="0.42362790697674418"/>
    <n v="12287"/>
    <n v="12"/>
    <n v="2.6046511627906975E-3"/>
  </r>
  <r>
    <x v="11"/>
    <s v="RPC"/>
    <x v="0"/>
    <s v="QUEEN VICTORIA HOSPITAL NHS FOUNDATION TRUST"/>
    <n v="0"/>
    <n v="1372"/>
    <n v="0"/>
    <n v="18"/>
    <n v="0"/>
    <n v="0"/>
    <d v="2026-03-01T00:00:00"/>
    <s v="Q4"/>
    <x v="0"/>
    <n v="0"/>
    <n v="1372"/>
    <n v="12"/>
    <n v="0"/>
  </r>
  <r>
    <x v="11"/>
    <s v="RW4"/>
    <x v="3"/>
    <s v="MERSEY CARE NHS FOUNDATION TRUST"/>
    <n v="0"/>
    <n v="14145"/>
    <n v="0"/>
    <n v="495"/>
    <n v="0"/>
    <n v="0"/>
    <d v="2026-03-01T00:00:00"/>
    <s v="Q4"/>
    <x v="0"/>
    <n v="0"/>
    <n v="14145"/>
    <n v="12"/>
    <n v="0"/>
  </r>
  <r>
    <x v="11"/>
    <s v="RY8"/>
    <x v="5"/>
    <s v="DERBYSHIRE COMMUNITY HEALTH SERVICES NHS FOUNDATION TRUST"/>
    <n v="0"/>
    <n v="7724"/>
    <n v="0"/>
    <n v="491"/>
    <n v="0"/>
    <n v="0"/>
    <d v="2026-03-01T00:00:00"/>
    <s v="Q4"/>
    <x v="0"/>
    <n v="0"/>
    <n v="7724"/>
    <n v="12"/>
    <n v="0"/>
  </r>
  <r>
    <x v="11"/>
    <s v="ACH01"/>
    <x v="0"/>
    <s v="WHITSTABLE MEDICAL PRACTICE"/>
    <n v="0"/>
    <n v="5137"/>
    <n v="0"/>
    <n v="0"/>
    <n v="0"/>
    <n v="0"/>
    <d v="2026-03-01T00:00:00"/>
    <s v="Q4"/>
    <x v="0"/>
    <n v="0"/>
    <n v="5137"/>
    <n v="12"/>
    <n v="0"/>
  </r>
  <r>
    <x v="11"/>
    <s v="AJN"/>
    <x v="6"/>
    <s v="WORKINGTON HEALTH LIMITED"/>
    <n v="0"/>
    <n v="435"/>
    <n v="0"/>
    <n v="0"/>
    <n v="0"/>
    <n v="0"/>
    <d v="2026-03-01T00:00:00"/>
    <s v="Q4"/>
    <x v="0"/>
    <n v="0"/>
    <n v="435"/>
    <n v="12"/>
    <n v="0"/>
  </r>
  <r>
    <x v="11"/>
    <s v="NV693"/>
    <x v="3"/>
    <s v="ROSSENDALE MIU &amp; OOH"/>
    <n v="0"/>
    <n v="951"/>
    <n v="0"/>
    <n v="0"/>
    <n v="0"/>
    <n v="0"/>
    <d v="2026-03-01T00:00:00"/>
    <s v="Q4"/>
    <x v="0"/>
    <n v="0"/>
    <n v="951"/>
    <n v="12"/>
    <n v="0"/>
  </r>
  <r>
    <x v="11"/>
    <s v="RBD"/>
    <x v="1"/>
    <s v="DORSET COUNTY HOSPITAL NHS FOUNDATION TRUST"/>
    <n v="4613"/>
    <n v="0"/>
    <n v="1791"/>
    <n v="0"/>
    <n v="209"/>
    <n v="92"/>
    <d v="2026-03-01T00:00:00"/>
    <s v="Q4"/>
    <x v="0"/>
    <n v="0.38825059614133967"/>
    <n v="4613"/>
    <n v="12"/>
    <n v="1.9943637546065467E-2"/>
  </r>
  <r>
    <x v="11"/>
    <s v="NTPAD"/>
    <x v="0"/>
    <s v="PRACTICE PLUS GROUP SURGICAL CENTRE - ST MARYS PORTSMOUTH"/>
    <n v="0"/>
    <n v="5461"/>
    <n v="0"/>
    <n v="121"/>
    <n v="0"/>
    <n v="0"/>
    <d v="2026-03-01T00:00:00"/>
    <s v="Q4"/>
    <x v="0"/>
    <n v="0"/>
    <n v="5461"/>
    <n v="12"/>
    <n v="0"/>
  </r>
  <r>
    <x v="11"/>
    <s v="L83087"/>
    <x v="1"/>
    <s v="OKEHAMPTON MEDICAL CENTRE"/>
    <n v="0"/>
    <n v="86"/>
    <n v="0"/>
    <n v="0"/>
    <n v="0"/>
    <n v="0"/>
    <d v="2026-03-01T00:00:00"/>
    <s v="Q4"/>
    <x v="0"/>
    <n v="0"/>
    <n v="86"/>
    <n v="12"/>
    <n v="0"/>
  </r>
  <r>
    <x v="11"/>
    <s v="Y02676"/>
    <x v="0"/>
    <s v="BRIGHTON STATION HEALTH CENTRE"/>
    <n v="0"/>
    <n v="1827"/>
    <n v="0"/>
    <n v="0"/>
    <n v="0"/>
    <n v="0"/>
    <d v="2026-03-01T00:00:00"/>
    <s v="Q4"/>
    <x v="0"/>
    <n v="0"/>
    <n v="1827"/>
    <n v="12"/>
    <n v="0"/>
  </r>
  <r>
    <x v="11"/>
    <s v="RYY"/>
    <x v="0"/>
    <s v="KENT COMMUNITY HEALTH NHS FOUNDATION TRUST"/>
    <n v="0"/>
    <n v="7132"/>
    <n v="0"/>
    <n v="62"/>
    <n v="0"/>
    <n v="0"/>
    <d v="2026-03-01T00:00:00"/>
    <s v="Q4"/>
    <x v="0"/>
    <n v="0"/>
    <n v="7132"/>
    <n v="12"/>
    <n v="0"/>
  </r>
  <r>
    <x v="11"/>
    <s v="DJV01"/>
    <x v="0"/>
    <s v="HERNE BAY HEALTH CARE LTD"/>
    <n v="0"/>
    <n v="2623"/>
    <n v="0"/>
    <n v="0"/>
    <n v="0"/>
    <n v="0"/>
    <d v="2026-03-01T00:00:00"/>
    <s v="Q4"/>
    <x v="0"/>
    <n v="0"/>
    <n v="2623"/>
    <n v="12"/>
    <n v="0"/>
  </r>
  <r>
    <x v="11"/>
    <s v="NDJ"/>
    <x v="0"/>
    <s v="FIRST COMMUNITY HEALTH AND CARE CIC"/>
    <n v="0"/>
    <n v="2366"/>
    <n v="0"/>
    <n v="25"/>
    <n v="0"/>
    <n v="0"/>
    <d v="2026-03-01T00:00:00"/>
    <s v="Q4"/>
    <x v="0"/>
    <n v="0"/>
    <n v="2366"/>
    <n v="12"/>
    <n v="0"/>
  </r>
  <r>
    <x v="11"/>
    <s v="NQT5F"/>
    <x v="3"/>
    <s v="SKELMERSDALE WALK IN CENTRE"/>
    <n v="0"/>
    <n v="1696"/>
    <n v="0"/>
    <n v="16"/>
    <n v="0"/>
    <n v="0"/>
    <d v="2026-03-01T00:00:00"/>
    <s v="Q4"/>
    <x v="0"/>
    <n v="0"/>
    <n v="1696"/>
    <n v="12"/>
    <n v="0"/>
  </r>
  <r>
    <x v="11"/>
    <s v="NQT5H"/>
    <x v="1"/>
    <s v="PAULTON MEMORIAL HOSPITAL"/>
    <n v="0"/>
    <n v="1400"/>
    <n v="0"/>
    <n v="9"/>
    <n v="0"/>
    <n v="0"/>
    <d v="2026-03-01T00:00:00"/>
    <s v="Q4"/>
    <x v="0"/>
    <n v="0"/>
    <n v="1400"/>
    <n v="12"/>
    <n v="0"/>
  </r>
  <r>
    <x v="11"/>
    <s v="NQTE4"/>
    <x v="5"/>
    <s v="SUMMERFIELD URGENT CARE CENTRE"/>
    <n v="0"/>
    <n v="3046"/>
    <n v="0"/>
    <n v="0"/>
    <n v="0"/>
    <n v="0"/>
    <d v="2026-03-01T00:00:00"/>
    <s v="Q4"/>
    <x v="0"/>
    <n v="0"/>
    <n v="3046"/>
    <n v="12"/>
    <n v="0"/>
  </r>
  <r>
    <x v="11"/>
    <s v="NTV0B"/>
    <x v="0"/>
    <s v="ASHFORD WALK-IN-CENTRE"/>
    <n v="0"/>
    <n v="2545"/>
    <n v="0"/>
    <n v="46"/>
    <n v="0"/>
    <n v="0"/>
    <d v="2026-03-01T00:00:00"/>
    <s v="Q4"/>
    <x v="0"/>
    <n v="0"/>
    <n v="2545"/>
    <n v="12"/>
    <n v="0"/>
  </r>
  <r>
    <x v="11"/>
    <s v="NTV0W"/>
    <x v="0"/>
    <s v="WOKING WALK IN CENTRE"/>
    <n v="0"/>
    <n v="2883"/>
    <n v="0"/>
    <n v="28"/>
    <n v="0"/>
    <n v="0"/>
    <d v="2026-03-01T00:00:00"/>
    <s v="Q4"/>
    <x v="0"/>
    <n v="0"/>
    <n v="2883"/>
    <n v="12"/>
    <n v="0"/>
  </r>
  <r>
    <x v="11"/>
    <s v="RBQ"/>
    <x v="3"/>
    <s v="LIVERPOOL HEART AND CHEST HOSPITAL NHS FOUNDATION TRUST"/>
    <n v="0"/>
    <n v="0"/>
    <n v="0"/>
    <n v="0"/>
    <n v="0"/>
    <n v="0"/>
    <d v="2026-03-01T00:00:00"/>
    <s v="Q4"/>
    <x v="0"/>
    <n v="0"/>
    <n v="0"/>
    <n v="12"/>
    <n v="0"/>
  </r>
  <r>
    <x v="11"/>
    <s v="RW1"/>
    <x v="0"/>
    <s v="HAMPSHIRE AND ISLE OF WIGHT HEALTHCARE NHS FOUNDATION TRUST"/>
    <n v="0"/>
    <n v="3154"/>
    <n v="0"/>
    <n v="22"/>
    <n v="0"/>
    <n v="0"/>
    <d v="2026-03-01T00:00:00"/>
    <s v="Q4"/>
    <x v="0"/>
    <n v="0"/>
    <n v="3154"/>
    <n v="12"/>
    <n v="0"/>
  </r>
  <r>
    <x v="11"/>
    <s v="RWF"/>
    <x v="0"/>
    <s v="MAIDSTONE AND TUNBRIDGE WELLS NHS TRUST"/>
    <n v="19931"/>
    <n v="2009"/>
    <n v="4411"/>
    <n v="8"/>
    <n v="906"/>
    <n v="131"/>
    <d v="2026-03-01T00:00:00"/>
    <s v="Q4"/>
    <x v="0"/>
    <n v="0.22131353168431087"/>
    <n v="21940"/>
    <n v="12"/>
    <n v="6.5726757312728912E-3"/>
  </r>
  <r>
    <x v="11"/>
    <s v="RWY"/>
    <x v="6"/>
    <s v="CALDERDALE AND HUDDERSFIELD NHS FOUNDATION TRUST"/>
    <n v="16023"/>
    <n v="0"/>
    <n v="1957"/>
    <n v="0"/>
    <n v="808"/>
    <n v="34"/>
    <d v="2026-03-01T00:00:00"/>
    <s v="Q4"/>
    <x v="0"/>
    <n v="0.12213692816576172"/>
    <n v="16023"/>
    <n v="12"/>
    <n v="2.1219496973101169E-3"/>
  </r>
  <r>
    <x v="11"/>
    <s v="RY7"/>
    <x v="3"/>
    <s v="WIRRAL COMMUNITY HEALTH AND CARE NHS FOUNDATION TRUST"/>
    <n v="0"/>
    <n v="3798"/>
    <n v="0"/>
    <n v="154"/>
    <n v="0"/>
    <n v="0"/>
    <d v="2026-03-01T00:00:00"/>
    <s v="Q4"/>
    <x v="0"/>
    <n v="0"/>
    <n v="3798"/>
    <n v="12"/>
    <n v="0"/>
  </r>
  <r>
    <x v="11"/>
    <s v="Y02532"/>
    <x v="3"/>
    <s v="MIRIAM MINOR EMERGENCY"/>
    <n v="0"/>
    <n v="1652"/>
    <n v="0"/>
    <n v="0"/>
    <n v="0"/>
    <n v="0"/>
    <d v="2026-03-01T00:00:00"/>
    <s v="Q4"/>
    <x v="0"/>
    <n v="0"/>
    <n v="1652"/>
    <n v="12"/>
    <n v="0"/>
  </r>
  <r>
    <x v="11"/>
    <s v="Y03218"/>
    <x v="4"/>
    <s v="THE PINN UNREGISTERED WIC"/>
    <n v="0"/>
    <n v="1094"/>
    <n v="0"/>
    <n v="0"/>
    <n v="0"/>
    <n v="0"/>
    <d v="2026-03-01T00:00:00"/>
    <s v="Q4"/>
    <x v="0"/>
    <n v="0"/>
    <n v="1094"/>
    <n v="12"/>
    <n v="0"/>
  </r>
  <r>
    <x v="11"/>
    <s v="AAH"/>
    <x v="1"/>
    <s v="TETBURY HOSPITAL TRUST LTD"/>
    <n v="0"/>
    <n v="667"/>
    <n v="0"/>
    <n v="1"/>
    <n v="0"/>
    <n v="0"/>
    <d v="2026-03-01T00:00:00"/>
    <s v="Q4"/>
    <x v="0"/>
    <n v="0"/>
    <n v="667"/>
    <n v="12"/>
    <n v="0"/>
  </r>
  <r>
    <x v="11"/>
    <s v="C82038"/>
    <x v="5"/>
    <s v="LATHAM HOUSE MEDICAL PRACTICE"/>
    <n v="0"/>
    <n v="379"/>
    <n v="0"/>
    <n v="0"/>
    <n v="0"/>
    <n v="0"/>
    <d v="2026-03-01T00:00:00"/>
    <s v="Q4"/>
    <x v="0"/>
    <n v="0"/>
    <n v="379"/>
    <n v="12"/>
    <n v="0"/>
  </r>
  <r>
    <x v="11"/>
    <s v="NL7"/>
    <x v="5"/>
    <s v="ASSURA VERTIS URGENT CARE CENTRES (BIRMINGHAM)"/>
    <n v="0"/>
    <n v="3415"/>
    <n v="0"/>
    <n v="0"/>
    <n v="0"/>
    <n v="0"/>
    <d v="2026-03-01T00:00:00"/>
    <s v="Q4"/>
    <x v="0"/>
    <n v="0"/>
    <n v="3415"/>
    <n v="12"/>
    <n v="0"/>
  </r>
  <r>
    <x v="11"/>
    <s v="NTP11"/>
    <x v="0"/>
    <s v="PRACTICE PLUS GROUP HOSPITAL - SOUTHAMPTON"/>
    <n v="0"/>
    <n v="5451"/>
    <n v="0"/>
    <n v="77"/>
    <n v="0"/>
    <n v="0"/>
    <d v="2026-03-01T00:00:00"/>
    <s v="Q4"/>
    <x v="0"/>
    <n v="0"/>
    <n v="5451"/>
    <n v="12"/>
    <n v="0"/>
  </r>
  <r>
    <x v="11"/>
    <s v="RFF"/>
    <x v="6"/>
    <s v="BARNSLEY HOSPITAL NHS FOUNDATION TRUST"/>
    <n v="9452"/>
    <n v="0"/>
    <n v="1843"/>
    <n v="0"/>
    <n v="283"/>
    <n v="0"/>
    <d v="2026-03-01T00:00:00"/>
    <s v="Q4"/>
    <x v="0"/>
    <n v="0.19498518831993228"/>
    <n v="9452"/>
    <n v="12"/>
    <n v="0"/>
  </r>
  <r>
    <x v="11"/>
    <s v="RNU"/>
    <x v="0"/>
    <s v="OXFORD HEALTH NHS FOUNDATION TRUST"/>
    <n v="0"/>
    <n v="4189"/>
    <n v="0"/>
    <n v="184"/>
    <n v="0"/>
    <n v="0"/>
    <d v="2026-03-01T00:00:00"/>
    <s v="Q4"/>
    <x v="0"/>
    <n v="0"/>
    <n v="4189"/>
    <n v="12"/>
    <n v="0"/>
  </r>
  <r>
    <x v="11"/>
    <s v="RYF"/>
    <x v="1"/>
    <s v="SOUTH WESTERN AMBULANCE SERVICE NHS FOUNDATION TRUST"/>
    <n v="0"/>
    <n v="2158"/>
    <n v="0"/>
    <n v="38"/>
    <n v="0"/>
    <n v="0"/>
    <d v="2026-03-01T00:00:00"/>
    <s v="Q4"/>
    <x v="0"/>
    <n v="0"/>
    <n v="2158"/>
    <n v="12"/>
    <n v="0"/>
  </r>
  <r>
    <x v="11"/>
    <s v="RJ8"/>
    <x v="1"/>
    <s v="CORNWALL PARTNERSHIP NHS FOUNDATION TRUST"/>
    <n v="0"/>
    <n v="0"/>
    <n v="0"/>
    <n v="0"/>
    <n v="0"/>
    <n v="0"/>
    <d v="2026-03-01T00:00:00"/>
    <s v="Q4"/>
    <x v="0"/>
    <n v="0"/>
    <n v="0"/>
    <n v="12"/>
    <n v="0"/>
  </r>
  <r>
    <x v="11"/>
    <s v="RJE"/>
    <x v="5"/>
    <s v="UNIVERSITY HOSPITALS OF NORTH MIDLANDS NHS TRUST"/>
    <n v="15324"/>
    <n v="8614"/>
    <n v="8188"/>
    <n v="118"/>
    <n v="1208"/>
    <n v="820"/>
    <d v="2026-03-01T00:00:00"/>
    <s v="Q4"/>
    <x v="0"/>
    <n v="0.53432524145131821"/>
    <n v="23938"/>
    <n v="12"/>
    <n v="5.3510832680762205E-2"/>
  </r>
  <r>
    <x v="11"/>
    <s v="RNN"/>
    <x v="6"/>
    <s v="NORTH CUMBRIA INTEGRATED CARE NHS FOUNDATION TRUST"/>
    <n v="9401"/>
    <n v="1760"/>
    <n v="4075"/>
    <n v="97"/>
    <n v="563"/>
    <n v="346"/>
    <d v="2026-03-01T00:00:00"/>
    <s v="Q4"/>
    <x v="0"/>
    <n v="0.43346452505052652"/>
    <n v="11161"/>
    <n v="12"/>
    <n v="3.6804595255823851E-2"/>
  </r>
  <r>
    <x v="11"/>
    <s v="RQW"/>
    <x v="2"/>
    <s v="THE PRINCESS ALEXANDRA HOSPITAL NHS TRUST"/>
    <n v="8912"/>
    <n v="2230"/>
    <n v="2370"/>
    <n v="0"/>
    <n v="477"/>
    <n v="177"/>
    <d v="2026-03-01T00:00:00"/>
    <s v="Q4"/>
    <x v="0"/>
    <n v="0.26593357271095153"/>
    <n v="11142"/>
    <n v="12"/>
    <n v="1.9860861759425495E-2"/>
  </r>
  <r>
    <x v="11"/>
    <s v="RWP"/>
    <x v="5"/>
    <s v="WORCESTERSHIRE ACUTE HOSPITALS NHS TRUST"/>
    <n v="14334"/>
    <n v="6163"/>
    <n v="5805"/>
    <n v="47"/>
    <n v="841"/>
    <n v="835"/>
    <d v="2026-03-01T00:00:00"/>
    <s v="Q4"/>
    <x v="0"/>
    <n v="0.4049811636668062"/>
    <n v="20497"/>
    <n v="12"/>
    <n v="5.8253104506767128E-2"/>
  </r>
  <r>
    <x v="11"/>
    <s v="RWX"/>
    <x v="0"/>
    <s v="BERKSHIRE HEALTHCARE NHS FOUNDATION TRUST"/>
    <n v="0"/>
    <n v="1461"/>
    <n v="0"/>
    <n v="14"/>
    <n v="0"/>
    <n v="0"/>
    <d v="2026-03-01T00:00:00"/>
    <s v="Q4"/>
    <x v="0"/>
    <n v="0"/>
    <n v="1461"/>
    <n v="12"/>
    <n v="0"/>
  </r>
  <r>
    <x v="11"/>
    <s v="RX1"/>
    <x v="5"/>
    <s v="NOTTINGHAM UNIVERSITY HOSPITALS NHS TRUST"/>
    <n v="13228"/>
    <n v="9850"/>
    <n v="7322"/>
    <n v="1196"/>
    <n v="114"/>
    <n v="1200"/>
    <d v="2026-03-01T00:00:00"/>
    <s v="Q4"/>
    <x v="0"/>
    <n v="0.55352283035984273"/>
    <n v="23078"/>
    <n v="12"/>
    <n v="9.071666162685213E-2"/>
  </r>
  <r>
    <x v="11"/>
    <s v="RXG"/>
    <x v="6"/>
    <s v="SOUTH WEST YORKSHIRE PARTNERSHIP NHS FOUNDATION TRUST"/>
    <n v="0"/>
    <n v="0"/>
    <n v="0"/>
    <n v="0"/>
    <n v="0"/>
    <n v="0"/>
    <d v="2026-03-01T00:00:00"/>
    <s v="Q4"/>
    <x v="0"/>
    <n v="0"/>
    <n v="0"/>
    <n v="12"/>
    <n v="0"/>
  </r>
  <r>
    <x v="11"/>
    <s v="RY2"/>
    <x v="3"/>
    <s v="BRIDGEWATER COMMUNITY HEALTHCARE NHS FOUNDATION TRUST"/>
    <n v="0"/>
    <n v="3320"/>
    <n v="0"/>
    <n v="64"/>
    <n v="0"/>
    <n v="0"/>
    <d v="2026-03-01T00:00:00"/>
    <s v="Q4"/>
    <x v="0"/>
    <n v="0"/>
    <n v="3320"/>
    <n v="12"/>
    <n v="0"/>
  </r>
  <r>
    <x v="11"/>
    <s v="Y02428"/>
    <x v="2"/>
    <s v="PUTNOE WALK IN CENTRE"/>
    <n v="0"/>
    <n v="2867"/>
    <n v="0"/>
    <n v="0"/>
    <n v="0"/>
    <n v="0"/>
    <d v="2026-03-01T00:00:00"/>
    <s v="Q4"/>
    <x v="0"/>
    <n v="0"/>
    <n v="2867"/>
    <n v="12"/>
    <n v="0"/>
  </r>
  <r>
    <x v="11"/>
    <s v="G0Q0L"/>
    <x v="4"/>
    <s v="BARKING HOSPITAL UTC"/>
    <n v="0"/>
    <n v="3069"/>
    <n v="0"/>
    <n v="17"/>
    <n v="0"/>
    <n v="0"/>
    <d v="2026-03-01T00:00:00"/>
    <s v="Q4"/>
    <x v="0"/>
    <n v="0"/>
    <n v="3069"/>
    <n v="12"/>
    <n v="0"/>
  </r>
  <r>
    <x v="11"/>
    <s v="G3P9C"/>
    <x v="1"/>
    <s v="TROWBRIDGE MINOR INJURIES UNIT"/>
    <n v="0"/>
    <n v="1340"/>
    <n v="0"/>
    <n v="4"/>
    <n v="0"/>
    <n v="0"/>
    <d v="2026-03-01T00:00:00"/>
    <s v="Q4"/>
    <x v="0"/>
    <n v="0"/>
    <n v="1340"/>
    <n v="12"/>
    <n v="0"/>
  </r>
  <r>
    <x v="11"/>
    <s v="K6K0R"/>
    <x v="4"/>
    <s v="HAROLD WOOD POLYCLINIC UTC"/>
    <n v="0"/>
    <n v="2878"/>
    <n v="0"/>
    <n v="21"/>
    <n v="0"/>
    <n v="0"/>
    <d v="2026-03-01T00:00:00"/>
    <s v="Q4"/>
    <x v="0"/>
    <n v="0"/>
    <n v="2878"/>
    <n v="12"/>
    <n v="0"/>
  </r>
  <r>
    <x v="11"/>
    <s v="NQT1I"/>
    <x v="1"/>
    <s v="CHIPPENHAM COMMUNITY HOSPITAL"/>
    <n v="0"/>
    <n v="1657"/>
    <n v="0"/>
    <n v="25"/>
    <n v="0"/>
    <n v="0"/>
    <d v="2026-03-01T00:00:00"/>
    <s v="Q4"/>
    <x v="0"/>
    <n v="0"/>
    <n v="1657"/>
    <n v="12"/>
    <n v="0"/>
  </r>
  <r>
    <x v="11"/>
    <s v="RAJ"/>
    <x v="2"/>
    <s v="MID AND SOUTH ESSEX NHS FOUNDATION TRUST"/>
    <n v="28522"/>
    <n v="8415"/>
    <n v="11459"/>
    <n v="343"/>
    <n v="2337"/>
    <n v="793"/>
    <d v="2026-03-01T00:00:00"/>
    <s v="Q4"/>
    <x v="0"/>
    <n v="0.40176004487763833"/>
    <n v="36937"/>
    <n v="12"/>
    <n v="2.780309936189608E-2"/>
  </r>
  <r>
    <x v="11"/>
    <s v="RBK"/>
    <x v="5"/>
    <s v="WALSALL HEALTHCARE NHS TRUST"/>
    <n v="9801"/>
    <n v="4476"/>
    <n v="1828"/>
    <n v="91"/>
    <n v="720"/>
    <n v="106"/>
    <d v="2026-03-01T00:00:00"/>
    <s v="Q4"/>
    <x v="0"/>
    <n v="0.18651158045097438"/>
    <n v="14277"/>
    <n v="12"/>
    <n v="1.0815222936435057E-2"/>
  </r>
  <r>
    <x v="11"/>
    <s v="RBL"/>
    <x v="3"/>
    <s v="WIRRAL UNIVERSITY TEACHING HOSPITAL NHS FOUNDATION TRUST"/>
    <n v="8469"/>
    <n v="2937"/>
    <n v="4382"/>
    <n v="75"/>
    <n v="534"/>
    <n v="626"/>
    <d v="2026-03-01T00:00:00"/>
    <s v="Q4"/>
    <x v="0"/>
    <n v="0.51741646003070019"/>
    <n v="11406"/>
    <n v="12"/>
    <n v="7.3916637147242892E-2"/>
  </r>
  <r>
    <x v="11"/>
    <s v="RDR"/>
    <x v="0"/>
    <s v="SUSSEX COMMUNITY NHS FOUNDATION TRUST"/>
    <n v="0"/>
    <n v="11899"/>
    <n v="0"/>
    <n v="238"/>
    <n v="0"/>
    <n v="0"/>
    <d v="2026-03-01T00:00:00"/>
    <s v="Q4"/>
    <x v="0"/>
    <n v="0"/>
    <n v="11899"/>
    <n v="12"/>
    <n v="0"/>
  </r>
  <r>
    <x v="11"/>
    <s v="RDU"/>
    <x v="0"/>
    <s v="FRIMLEY HEALTH NHS FOUNDATION TRUST"/>
    <n v="23737"/>
    <n v="11602"/>
    <n v="7555"/>
    <n v="243"/>
    <n v="1066"/>
    <n v="637"/>
    <d v="2026-03-01T00:00:00"/>
    <s v="Q4"/>
    <x v="0"/>
    <n v="0.3182794792939293"/>
    <n v="35339"/>
    <n v="12"/>
    <n v="2.6835741669124152E-2"/>
  </r>
  <r>
    <x v="11"/>
    <s v="REP"/>
    <x v="3"/>
    <s v="LIVERPOOL WOMEN'S NHS FOUNDATION TRUST"/>
    <n v="0"/>
    <n v="0"/>
    <n v="0"/>
    <n v="0"/>
    <n v="0"/>
    <n v="0"/>
    <d v="2026-03-01T00:00:00"/>
    <s v="Q4"/>
    <x v="0"/>
    <n v="0"/>
    <n v="0"/>
    <n v="12"/>
    <n v="0"/>
  </r>
  <r>
    <x v="11"/>
    <s v="RFR"/>
    <x v="6"/>
    <s v="THE ROTHERHAM NHS FOUNDATION TRUST"/>
    <n v="9778"/>
    <n v="0"/>
    <n v="3026"/>
    <n v="0"/>
    <n v="741"/>
    <n v="40"/>
    <d v="2026-03-01T00:00:00"/>
    <s v="Q4"/>
    <x v="0"/>
    <n v="0.30947023931274287"/>
    <n v="9778"/>
    <n v="12"/>
    <n v="4.0908161178155045E-3"/>
  </r>
  <r>
    <x v="11"/>
    <s v="RH8"/>
    <x v="1"/>
    <s v="ROYAL DEVON UNIVERSITY HEALTHCARE NHS FOUNDATION TRUST"/>
    <n v="13587"/>
    <n v="4364"/>
    <n v="5264"/>
    <n v="9"/>
    <n v="860"/>
    <n v="172"/>
    <d v="2026-03-01T00:00:00"/>
    <s v="Q4"/>
    <x v="0"/>
    <n v="0.38742916022668727"/>
    <n v="17951"/>
    <n v="12"/>
    <n v="1.2659159490689629E-2"/>
  </r>
  <r>
    <x v="11"/>
    <s v="RHQ"/>
    <x v="6"/>
    <s v="SHEFFIELD TEACHING HOSPITALS NHS FOUNDATION TRUST"/>
    <n v="8916"/>
    <n v="7691"/>
    <n v="4221"/>
    <n v="283"/>
    <n v="895"/>
    <n v="10"/>
    <d v="2026-03-01T00:00:00"/>
    <s v="Q4"/>
    <x v="0"/>
    <n v="0.47341857335127863"/>
    <n v="16607"/>
    <n v="12"/>
    <n v="1.1215791834903544E-3"/>
  </r>
  <r>
    <x v="11"/>
    <s v="RL4"/>
    <x v="5"/>
    <s v="THE ROYAL WOLVERHAMPTON NHS TRUST"/>
    <n v="11409"/>
    <n v="7357"/>
    <n v="4000"/>
    <n v="264"/>
    <n v="829"/>
    <n v="604"/>
    <d v="2026-03-01T00:00:00"/>
    <s v="Q4"/>
    <x v="0"/>
    <n v="0.35060040319046365"/>
    <n v="18766"/>
    <n v="12"/>
    <n v="5.2940660881760013E-2"/>
  </r>
  <r>
    <x v="11"/>
    <s v="RN3"/>
    <x v="1"/>
    <s v="GREAT WESTERN HOSPITALS NHS FOUNDATION TRUST"/>
    <n v="6241"/>
    <n v="5981"/>
    <n v="3250"/>
    <n v="553"/>
    <n v="539"/>
    <n v="436"/>
    <d v="2026-03-01T00:00:00"/>
    <s v="Q4"/>
    <x v="0"/>
    <n v="0.52074987982695076"/>
    <n v="12222"/>
    <n v="12"/>
    <n v="6.9860599262938639E-2"/>
  </r>
  <r>
    <x v="11"/>
    <s v="RTR"/>
    <x v="6"/>
    <s v="SOUTH TEES HOSPITALS NHS FOUNDATION TRUST"/>
    <n v="7762"/>
    <n v="9952"/>
    <n v="3524"/>
    <n v="414"/>
    <n v="305"/>
    <n v="6"/>
    <d v="2026-03-01T00:00:00"/>
    <s v="Q4"/>
    <x v="0"/>
    <n v="0.45400669930430304"/>
    <n v="17714"/>
    <n v="12"/>
    <n v="7.7299665034784846E-4"/>
  </r>
  <r>
    <x v="11"/>
    <s v="RNZ"/>
    <x v="1"/>
    <s v="SALISBURY NHS FOUNDATION TRUST"/>
    <n v="4875"/>
    <n v="2070"/>
    <n v="2214"/>
    <n v="0"/>
    <n v="417"/>
    <n v="147"/>
    <d v="2026-03-01T00:00:00"/>
    <s v="Q4"/>
    <x v="0"/>
    <n v="0.45415384615384613"/>
    <n v="6945"/>
    <n v="12"/>
    <n v="3.0153846153846153E-2"/>
  </r>
  <r>
    <x v="11"/>
    <s v="RTG"/>
    <x v="5"/>
    <s v="UNIVERSITY HOSPITALS OF DERBY AND BURTON NHS FOUNDATION TRUST"/>
    <n v="20981"/>
    <n v="9855"/>
    <n v="9279"/>
    <n v="3"/>
    <n v="1225"/>
    <n v="455"/>
    <d v="2026-03-01T00:00:00"/>
    <s v="Q4"/>
    <x v="0"/>
    <n v="0.44225728039654927"/>
    <n v="30836"/>
    <n v="12"/>
    <n v="2.168628759353701E-2"/>
  </r>
  <r>
    <x v="11"/>
    <s v="RJR"/>
    <x v="3"/>
    <s v="COUNTESS OF CHESTER HOSPITAL NHS FOUNDATION TRUST"/>
    <n v="5416"/>
    <n v="2673"/>
    <n v="2759"/>
    <n v="397"/>
    <n v="288"/>
    <n v="778"/>
    <d v="2026-03-01T00:00:00"/>
    <s v="Q4"/>
    <x v="0"/>
    <n v="0.50941654357459376"/>
    <n v="8089"/>
    <n v="12"/>
    <n v="0.14364844903988183"/>
  </r>
  <r>
    <x v="11"/>
    <s v="RTQ"/>
    <x v="1"/>
    <s v="GLOUCESTERSHIRE HEALTH AND CARE NHS FOUNDATION TRUST"/>
    <n v="0"/>
    <n v="8390"/>
    <n v="0"/>
    <n v="223"/>
    <n v="0"/>
    <n v="0"/>
    <d v="2026-03-01T00:00:00"/>
    <s v="Q4"/>
    <x v="0"/>
    <n v="0"/>
    <n v="8390"/>
    <n v="12"/>
    <n v="0"/>
  </r>
  <r>
    <x v="11"/>
    <s v="RTX"/>
    <x v="3"/>
    <s v="UNIVERSITY HOSPITALS OF MORECAMBE BAY NHS FOUNDATION TRUST"/>
    <n v="8736"/>
    <n v="2678"/>
    <n v="3810"/>
    <n v="120"/>
    <n v="590"/>
    <n v="654"/>
    <d v="2026-03-01T00:00:00"/>
    <s v="Q4"/>
    <x v="0"/>
    <n v="0.43612637362637363"/>
    <n v="11414"/>
    <n v="12"/>
    <n v="7.486263736263736E-2"/>
  </r>
  <r>
    <x v="11"/>
    <s v="RXR"/>
    <x v="3"/>
    <s v="EAST LANCASHIRE HOSPITALS NHS TRUST"/>
    <n v="13923"/>
    <n v="11422"/>
    <n v="4268"/>
    <n v="464"/>
    <n v="529"/>
    <n v="977"/>
    <d v="2026-03-01T00:00:00"/>
    <s v="Q4"/>
    <x v="0"/>
    <n v="0.30654313007254186"/>
    <n v="25345"/>
    <n v="12"/>
    <n v="7.0171658406952525E-2"/>
  </r>
  <r>
    <x v="11"/>
    <s v="RYR"/>
    <x v="0"/>
    <s v="UNIVERSITY HOSPITALS SUSSEX NHS FOUNDATION TRUST"/>
    <n v="27989"/>
    <n v="1826"/>
    <n v="11131"/>
    <n v="211"/>
    <n v="834"/>
    <n v="1005"/>
    <d v="2026-03-01T00:00:00"/>
    <s v="Q4"/>
    <x v="0"/>
    <n v="0.39769195040908928"/>
    <n v="29815"/>
    <n v="12"/>
    <n v="3.5906963449926756E-2"/>
  </r>
  <r>
    <x v="11"/>
    <s v="Y02615"/>
    <x v="5"/>
    <s v="SOUTH BIRMINGHAM GP WALK IN CENTRE"/>
    <n v="0"/>
    <n v="3836"/>
    <n v="0"/>
    <n v="0"/>
    <n v="0"/>
    <n v="0"/>
    <d v="2026-03-01T00:00:00"/>
    <s v="Q4"/>
    <x v="0"/>
    <n v="0"/>
    <n v="3836"/>
    <n v="12"/>
    <n v="0"/>
  </r>
  <r>
    <x v="11"/>
    <s v="AD913"/>
    <x v="4"/>
    <s v="BECKENHAM BEACON UCC"/>
    <n v="0"/>
    <n v="3686"/>
    <n v="0"/>
    <n v="21"/>
    <n v="0"/>
    <n v="0"/>
    <d v="2026-03-01T00:00:00"/>
    <s v="Q4"/>
    <x v="0"/>
    <n v="0"/>
    <n v="3686"/>
    <n v="12"/>
    <n v="0"/>
  </r>
  <r>
    <x v="11"/>
    <s v="NNJ07"/>
    <x v="5"/>
    <s v="LOUGHBOROUGH URGENT CARE CENTRE"/>
    <n v="0"/>
    <n v="5538"/>
    <n v="0"/>
    <n v="38"/>
    <n v="0"/>
    <n v="0"/>
    <d v="2026-03-01T00:00:00"/>
    <s v="Q4"/>
    <x v="0"/>
    <n v="0"/>
    <n v="5538"/>
    <n v="12"/>
    <n v="0"/>
  </r>
  <r>
    <x v="11"/>
    <s v="NNJ0H"/>
    <x v="5"/>
    <s v="LLR EA - THE MERLYN VAZ HEALTH &amp; SOCIAL CARE CENTRE"/>
    <n v="0"/>
    <n v="171"/>
    <n v="0"/>
    <n v="0"/>
    <n v="0"/>
    <n v="0"/>
    <d v="2026-03-01T00:00:00"/>
    <s v="Q4"/>
    <x v="0"/>
    <n v="0"/>
    <n v="171"/>
    <n v="12"/>
    <n v="0"/>
  </r>
  <r>
    <x v="11"/>
    <s v="NNJ10"/>
    <x v="5"/>
    <s v="ENDERBY LEISURE CENTRE"/>
    <n v="0"/>
    <n v="57"/>
    <n v="0"/>
    <n v="0"/>
    <n v="0"/>
    <n v="0"/>
    <d v="2026-03-01T00:00:00"/>
    <s v="Q4"/>
    <x v="0"/>
    <n v="0"/>
    <n v="57"/>
    <n v="12"/>
    <n v="0"/>
  </r>
  <r>
    <x v="11"/>
    <s v="NNJ11"/>
    <x v="5"/>
    <s v="LUTTERWORTH HOSPITAL"/>
    <n v="0"/>
    <n v="38"/>
    <n v="0"/>
    <n v="0"/>
    <n v="0"/>
    <n v="0"/>
    <d v="2026-03-01T00:00:00"/>
    <s v="Q4"/>
    <x v="0"/>
    <n v="0"/>
    <n v="38"/>
    <n v="12"/>
    <n v="0"/>
  </r>
  <r>
    <x v="11"/>
    <s v="NNJ12"/>
    <x v="5"/>
    <s v="MARKET HARBOROUGH"/>
    <n v="0"/>
    <n v="105"/>
    <n v="0"/>
    <n v="0"/>
    <n v="0"/>
    <n v="0"/>
    <d v="2026-03-01T00:00:00"/>
    <s v="Q4"/>
    <x v="0"/>
    <n v="0"/>
    <n v="105"/>
    <n v="12"/>
    <n v="0"/>
  </r>
  <r>
    <x v="11"/>
    <s v="NNJ13"/>
    <x v="5"/>
    <s v="MELTON MOWBRAY"/>
    <n v="0"/>
    <n v="52"/>
    <n v="0"/>
    <n v="0"/>
    <n v="0"/>
    <n v="0"/>
    <d v="2026-03-01T00:00:00"/>
    <s v="Q4"/>
    <x v="0"/>
    <n v="0"/>
    <n v="52"/>
    <n v="12"/>
    <n v="0"/>
  </r>
  <r>
    <x v="11"/>
    <s v="NNJ14"/>
    <x v="5"/>
    <s v="OADBY"/>
    <n v="0"/>
    <n v="540"/>
    <n v="0"/>
    <n v="2"/>
    <n v="0"/>
    <n v="0"/>
    <d v="2026-03-01T00:00:00"/>
    <s v="Q4"/>
    <x v="0"/>
    <n v="0"/>
    <n v="540"/>
    <n v="12"/>
    <n v="0"/>
  </r>
  <r>
    <x v="11"/>
    <s v="NNJ15"/>
    <x v="5"/>
    <s v="OAKHAM"/>
    <n v="0"/>
    <n v="294"/>
    <n v="0"/>
    <n v="0"/>
    <n v="0"/>
    <n v="0"/>
    <d v="2026-03-01T00:00:00"/>
    <s v="Q4"/>
    <x v="0"/>
    <n v="0"/>
    <n v="294"/>
    <n v="12"/>
    <n v="0"/>
  </r>
  <r>
    <x v="11"/>
    <s v="NNJ"/>
    <x v="5"/>
    <s v="DHU HEALTH CARE C.I.C"/>
    <n v="0"/>
    <n v="1999"/>
    <n v="0"/>
    <n v="0"/>
    <n v="0"/>
    <n v="0"/>
    <d v="2026-03-01T00:00:00"/>
    <s v="Q4"/>
    <x v="0"/>
    <n v="0"/>
    <n v="1999"/>
    <n v="12"/>
    <n v="0"/>
  </r>
  <r>
    <x v="11"/>
    <s v="R0B"/>
    <x v="6"/>
    <s v="SOUTH TYNESIDE AND SUNDERLAND NHS FOUNDATION TRUST"/>
    <n v="11540"/>
    <n v="5982"/>
    <n v="4059"/>
    <n v="134"/>
    <n v="174"/>
    <n v="0"/>
    <d v="2026-03-01T00:00:00"/>
    <s v="Q4"/>
    <x v="0"/>
    <n v="0.35173310225303295"/>
    <n v="17522"/>
    <n v="12"/>
    <n v="0"/>
  </r>
  <r>
    <x v="11"/>
    <s v="R1D"/>
    <x v="5"/>
    <s v="SHROPSHIRE COMMUNITY HEALTH NHS TRUST"/>
    <n v="0"/>
    <n v="3203"/>
    <n v="0"/>
    <n v="12"/>
    <n v="0"/>
    <n v="0"/>
    <d v="2026-03-01T00:00:00"/>
    <s v="Q4"/>
    <x v="0"/>
    <n v="0"/>
    <n v="3203"/>
    <n v="12"/>
    <n v="0"/>
  </r>
  <r>
    <x v="11"/>
    <s v="RCX"/>
    <x v="2"/>
    <s v="THE QUEEN ELIZABETH HOSPITAL, KING'S LYNN, NHS FOUNDATION TRUST"/>
    <n v="7041"/>
    <n v="2045"/>
    <n v="2973"/>
    <n v="0"/>
    <n v="166"/>
    <n v="108"/>
    <d v="2026-03-01T00:00:00"/>
    <s v="Q4"/>
    <x v="0"/>
    <n v="0.42224115892628888"/>
    <n v="9086"/>
    <n v="12"/>
    <n v="1.5338730293992331E-2"/>
  </r>
  <r>
    <x v="11"/>
    <s v="REF"/>
    <x v="1"/>
    <s v="ROYAL CORNWALL HOSPITALS NHS TRUST"/>
    <n v="6938"/>
    <n v="12626"/>
    <n v="3391"/>
    <n v="601"/>
    <n v="518"/>
    <n v="467"/>
    <d v="2026-03-01T00:00:00"/>
    <s v="Q4"/>
    <x v="0"/>
    <n v="0.48875756702219658"/>
    <n v="19564"/>
    <n v="12"/>
    <n v="6.7310464110694732E-2"/>
  </r>
  <r>
    <x v="11"/>
    <s v="RGN"/>
    <x v="2"/>
    <s v="NORTH WEST ANGLIA NHS FOUNDATION TRUST"/>
    <n v="15848"/>
    <n v="5117"/>
    <n v="5755"/>
    <n v="180"/>
    <n v="403"/>
    <n v="945"/>
    <d v="2026-03-01T00:00:00"/>
    <s v="Q4"/>
    <x v="0"/>
    <n v="0.36313730439172137"/>
    <n v="20965"/>
    <n v="12"/>
    <n v="5.9628975265017668E-2"/>
  </r>
  <r>
    <x v="11"/>
    <s v="RJN"/>
    <x v="3"/>
    <s v="EAST CHESHIRE NHS TRUST"/>
    <n v="4365"/>
    <n v="0"/>
    <n v="2215"/>
    <n v="0"/>
    <n v="246"/>
    <n v="388"/>
    <d v="2026-03-01T00:00:00"/>
    <s v="Q4"/>
    <x v="0"/>
    <n v="0.5074455899198167"/>
    <n v="4365"/>
    <n v="12"/>
    <n v="8.8888888888888892E-2"/>
  </r>
  <r>
    <x v="11"/>
    <s v="RMC"/>
    <x v="3"/>
    <s v="BOLTON NHS FOUNDATION TRUST"/>
    <n v="8619"/>
    <n v="3561"/>
    <n v="3753"/>
    <n v="131"/>
    <n v="581"/>
    <n v="374"/>
    <d v="2026-03-01T00:00:00"/>
    <s v="Q4"/>
    <x v="0"/>
    <n v="0.43543334493560737"/>
    <n v="12180"/>
    <n v="12"/>
    <n v="4.3392504930966469E-2"/>
  </r>
  <r>
    <x v="11"/>
    <s v="RRK"/>
    <x v="5"/>
    <s v="UNIVERSITY HOSPITALS BIRMINGHAM NHS FOUNDATION TRUST"/>
    <n v="34602"/>
    <n v="3203"/>
    <n v="13660"/>
    <n v="25"/>
    <n v="2883"/>
    <n v="1511"/>
    <d v="2026-03-01T00:00:00"/>
    <s v="Q4"/>
    <x v="0"/>
    <n v="0.39477486850471072"/>
    <n v="37805"/>
    <n v="12"/>
    <n v="4.3667996069591354E-2"/>
  </r>
  <r>
    <x v="12"/>
    <m/>
    <x v="7"/>
    <m/>
    <m/>
    <m/>
    <m/>
    <m/>
    <m/>
    <m/>
    <m/>
    <m/>
    <x v="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5">
  <r>
    <x v="0"/>
    <s v="NDJ"/>
    <x v="0"/>
    <x v="0"/>
    <n v="0"/>
    <n v="2350"/>
    <n v="0"/>
    <n v="0"/>
    <n v="0"/>
    <n v="0"/>
    <x v="0"/>
    <x v="0"/>
    <x v="0"/>
    <n v="0"/>
    <n v="2350"/>
    <n v="1"/>
    <n v="0"/>
    <s v="April"/>
  </r>
  <r>
    <x v="0"/>
    <s v="RD1"/>
    <x v="1"/>
    <x v="1"/>
    <n v="8660"/>
    <n v="0"/>
    <n v="3622"/>
    <n v="0"/>
    <n v="778"/>
    <n v="120"/>
    <x v="0"/>
    <x v="0"/>
    <x v="0"/>
    <n v="0.4182448036951501"/>
    <n v="8660"/>
    <n v="1"/>
    <n v="1.3856812933025405E-2"/>
    <s v="April"/>
  </r>
  <r>
    <x v="0"/>
    <s v="RDE"/>
    <x v="2"/>
    <x v="2"/>
    <n v="11291"/>
    <n v="13576"/>
    <n v="5453"/>
    <n v="329"/>
    <n v="1139"/>
    <n v="589"/>
    <x v="0"/>
    <x v="0"/>
    <x v="0"/>
    <n v="0.48295102293862369"/>
    <n v="24867"/>
    <n v="1"/>
    <n v="5.2165441502081307E-2"/>
    <s v="April"/>
  </r>
  <r>
    <x v="0"/>
    <s v="RDR"/>
    <x v="0"/>
    <x v="3"/>
    <n v="0"/>
    <n v="11779"/>
    <n v="0"/>
    <n v="132"/>
    <n v="0"/>
    <n v="0"/>
    <x v="0"/>
    <x v="0"/>
    <x v="0"/>
    <n v="0"/>
    <n v="11779"/>
    <n v="1"/>
    <n v="0"/>
    <s v="April"/>
  </r>
  <r>
    <x v="0"/>
    <s v="REF"/>
    <x v="1"/>
    <x v="4"/>
    <n v="6767"/>
    <n v="12428"/>
    <n v="3415"/>
    <n v="567"/>
    <n v="777"/>
    <n v="457"/>
    <x v="0"/>
    <x v="0"/>
    <x v="0"/>
    <n v="0.50465494310625092"/>
    <n v="19195"/>
    <n v="1"/>
    <n v="6.7533619033545142E-2"/>
    <s v="April"/>
  </r>
  <r>
    <x v="0"/>
    <s v="REM"/>
    <x v="3"/>
    <x v="5"/>
    <n v="15728"/>
    <n v="7763"/>
    <n v="8092"/>
    <n v="173"/>
    <n v="1799"/>
    <n v="818"/>
    <x v="0"/>
    <x v="0"/>
    <x v="0"/>
    <n v="0.51449643947100709"/>
    <n v="23491"/>
    <n v="1"/>
    <n v="5.2009155645981686E-2"/>
    <s v="April"/>
  </r>
  <r>
    <x v="0"/>
    <s v="RET"/>
    <x v="3"/>
    <x v="6"/>
    <n v="0"/>
    <n v="0"/>
    <n v="0"/>
    <n v="0"/>
    <n v="0"/>
    <n v="0"/>
    <x v="0"/>
    <x v="0"/>
    <x v="0"/>
    <n v="0"/>
    <n v="0"/>
    <n v="1"/>
    <n v="0"/>
    <s v="April"/>
  </r>
  <r>
    <x v="0"/>
    <s v="RF4"/>
    <x v="4"/>
    <x v="7"/>
    <n v="13402"/>
    <n v="14066"/>
    <n v="5899"/>
    <n v="197"/>
    <n v="713"/>
    <n v="795"/>
    <x v="0"/>
    <x v="0"/>
    <x v="0"/>
    <n v="0.4401581853454708"/>
    <n v="27468"/>
    <n v="1"/>
    <n v="5.9319504551559467E-2"/>
    <s v="April"/>
  </r>
  <r>
    <x v="0"/>
    <s v="RJ2"/>
    <x v="4"/>
    <x v="8"/>
    <n v="15481"/>
    <n v="9128"/>
    <n v="8235"/>
    <n v="265"/>
    <n v="1279"/>
    <n v="778"/>
    <x v="0"/>
    <x v="0"/>
    <x v="0"/>
    <n v="0.53194238098314062"/>
    <n v="24609"/>
    <n v="1"/>
    <n v="5.0255151476002839E-2"/>
    <s v="April"/>
  </r>
  <r>
    <x v="0"/>
    <s v="RJE"/>
    <x v="5"/>
    <x v="9"/>
    <n v="13944"/>
    <n v="8487"/>
    <n v="7686"/>
    <n v="239"/>
    <n v="1119"/>
    <n v="930"/>
    <x v="0"/>
    <x v="0"/>
    <x v="0"/>
    <n v="0.5512048192771084"/>
    <n v="22431"/>
    <n v="1"/>
    <n v="6.6695352839931152E-2"/>
    <s v="April"/>
  </r>
  <r>
    <x v="0"/>
    <s v="RK5"/>
    <x v="5"/>
    <x v="10"/>
    <n v="10304"/>
    <n v="5724"/>
    <n v="3312"/>
    <n v="306"/>
    <n v="476"/>
    <n v="105"/>
    <x v="0"/>
    <x v="0"/>
    <x v="0"/>
    <n v="0.32142857142857145"/>
    <n v="16028"/>
    <n v="1"/>
    <n v="1.0190217391304348E-2"/>
    <s v="April"/>
  </r>
  <r>
    <x v="0"/>
    <s v="RKB"/>
    <x v="5"/>
    <x v="11"/>
    <n v="11718"/>
    <n v="6014"/>
    <n v="4898"/>
    <n v="175"/>
    <n v="70"/>
    <n v="29"/>
    <x v="0"/>
    <x v="0"/>
    <x v="0"/>
    <n v="0.41798941798941797"/>
    <n v="17732"/>
    <n v="1"/>
    <n v="2.4748250554702169E-3"/>
    <s v="April"/>
  </r>
  <r>
    <x v="0"/>
    <s v="RL1"/>
    <x v="5"/>
    <x v="12"/>
    <n v="0"/>
    <n v="0"/>
    <n v="0"/>
    <n v="0"/>
    <n v="0"/>
    <n v="0"/>
    <x v="0"/>
    <x v="0"/>
    <x v="0"/>
    <n v="0"/>
    <n v="0"/>
    <n v="1"/>
    <n v="0"/>
    <s v="April"/>
  </r>
  <r>
    <x v="0"/>
    <s v="RLT"/>
    <x v="5"/>
    <x v="13"/>
    <n v="6867"/>
    <n v="1611"/>
    <n v="2312"/>
    <n v="23"/>
    <n v="401"/>
    <n v="307"/>
    <x v="0"/>
    <x v="0"/>
    <x v="0"/>
    <n v="0.3366826853065385"/>
    <n v="8478"/>
    <n v="1"/>
    <n v="4.4706567642347456E-2"/>
    <s v="April"/>
  </r>
  <r>
    <x v="0"/>
    <s v="RN7"/>
    <x v="0"/>
    <x v="14"/>
    <n v="11082"/>
    <n v="4063"/>
    <n v="3911"/>
    <n v="22"/>
    <n v="458"/>
    <n v="525"/>
    <x v="0"/>
    <x v="0"/>
    <x v="0"/>
    <n v="0.35291463634722975"/>
    <n v="15145"/>
    <n v="1"/>
    <n v="4.7374120194910663E-2"/>
    <s v="April"/>
  </r>
  <r>
    <x v="0"/>
    <s v="RNS"/>
    <x v="5"/>
    <x v="15"/>
    <n v="9964"/>
    <n v="2168"/>
    <n v="4211"/>
    <n v="88"/>
    <n v="712"/>
    <n v="667"/>
    <x v="0"/>
    <x v="0"/>
    <x v="0"/>
    <n v="0.42262143717382578"/>
    <n v="12132"/>
    <n v="1"/>
    <n v="6.6940987555198714E-2"/>
    <s v="April"/>
  </r>
  <r>
    <x v="0"/>
    <s v="RNU"/>
    <x v="0"/>
    <x v="16"/>
    <n v="0"/>
    <n v="4227"/>
    <n v="0"/>
    <n v="292"/>
    <n v="0"/>
    <n v="0"/>
    <x v="0"/>
    <x v="0"/>
    <x v="0"/>
    <n v="0"/>
    <n v="4227"/>
    <n v="1"/>
    <n v="0"/>
    <s v="April"/>
  </r>
  <r>
    <x v="0"/>
    <s v="RNZ"/>
    <x v="1"/>
    <x v="17"/>
    <n v="4720"/>
    <n v="1878"/>
    <n v="2075"/>
    <n v="0"/>
    <n v="477"/>
    <n v="57"/>
    <x v="0"/>
    <x v="0"/>
    <x v="0"/>
    <n v="0.4396186440677966"/>
    <n v="6598"/>
    <n v="1"/>
    <n v="1.2076271186440678E-2"/>
    <s v="April"/>
  </r>
  <r>
    <x v="0"/>
    <s v="RQ3"/>
    <x v="5"/>
    <x v="18"/>
    <n v="4837"/>
    <n v="0"/>
    <n v="479"/>
    <n v="0"/>
    <n v="1"/>
    <n v="1"/>
    <x v="0"/>
    <x v="0"/>
    <x v="0"/>
    <n v="9.9028323340913785E-2"/>
    <n v="4837"/>
    <n v="1"/>
    <n v="2.0673971469919371E-4"/>
    <s v="April"/>
  </r>
  <r>
    <x v="0"/>
    <s v="RQM"/>
    <x v="4"/>
    <x v="19"/>
    <n v="18876"/>
    <n v="6084"/>
    <n v="4578"/>
    <n v="75"/>
    <n v="572"/>
    <n v="49"/>
    <x v="0"/>
    <x v="0"/>
    <x v="0"/>
    <n v="0.24253019707565163"/>
    <n v="24960"/>
    <n v="1"/>
    <n v="2.5958889595253231E-3"/>
    <s v="April"/>
  </r>
  <r>
    <x v="0"/>
    <s v="RR8"/>
    <x v="6"/>
    <x v="20"/>
    <n v="17114"/>
    <n v="12040"/>
    <n v="6974"/>
    <n v="234"/>
    <n v="1740"/>
    <n v="275"/>
    <x v="0"/>
    <x v="0"/>
    <x v="0"/>
    <n v="0.40750262942620075"/>
    <n v="29154"/>
    <n v="1"/>
    <n v="1.6068715671380157E-2"/>
    <s v="April"/>
  </r>
  <r>
    <x v="0"/>
    <s v="RRF"/>
    <x v="3"/>
    <x v="21"/>
    <n v="6430"/>
    <n v="5708"/>
    <n v="3394"/>
    <n v="75"/>
    <n v="1095"/>
    <n v="444"/>
    <x v="0"/>
    <x v="0"/>
    <x v="0"/>
    <n v="0.5278382581648523"/>
    <n v="12138"/>
    <n v="1"/>
    <n v="6.9051321928460335E-2"/>
    <s v="April"/>
  </r>
  <r>
    <x v="0"/>
    <s v="RBV"/>
    <x v="3"/>
    <x v="22"/>
    <n v="0"/>
    <n v="0"/>
    <n v="0"/>
    <n v="0"/>
    <n v="0"/>
    <n v="0"/>
    <x v="0"/>
    <x v="0"/>
    <x v="0"/>
    <n v="0"/>
    <n v="0"/>
    <n v="1"/>
    <n v="0"/>
    <s v="April"/>
  </r>
  <r>
    <x v="0"/>
    <s v="RTE"/>
    <x v="1"/>
    <x v="23"/>
    <n v="13095"/>
    <n v="0"/>
    <n v="5171"/>
    <n v="0"/>
    <n v="412"/>
    <n v="461"/>
    <x v="0"/>
    <x v="0"/>
    <x v="0"/>
    <n v="0.39488354333715159"/>
    <n v="13095"/>
    <n v="1"/>
    <n v="3.5204276441389841E-2"/>
    <s v="April"/>
  </r>
  <r>
    <x v="0"/>
    <s v="RAN"/>
    <x v="4"/>
    <x v="24"/>
    <n v="0"/>
    <n v="0"/>
    <n v="0"/>
    <n v="0"/>
    <n v="0"/>
    <n v="0"/>
    <x v="0"/>
    <x v="0"/>
    <x v="0"/>
    <n v="0"/>
    <n v="0"/>
    <n v="1"/>
    <n v="0"/>
    <s v="April"/>
  </r>
  <r>
    <x v="0"/>
    <s v="R1F"/>
    <x v="0"/>
    <x v="25"/>
    <n v="4279"/>
    <n v="1558"/>
    <n v="1845"/>
    <n v="0"/>
    <n v="317"/>
    <n v="132"/>
    <x v="0"/>
    <x v="0"/>
    <x v="0"/>
    <n v="0.43117550829633094"/>
    <n v="5837"/>
    <n v="1"/>
    <n v="3.0848329048843187E-2"/>
    <s v="April"/>
  </r>
  <r>
    <x v="0"/>
    <s v="NNF09"/>
    <x v="6"/>
    <x v="26"/>
    <n v="0"/>
    <n v="3556"/>
    <n v="0"/>
    <n v="584"/>
    <n v="0"/>
    <n v="0"/>
    <x v="0"/>
    <x v="0"/>
    <x v="0"/>
    <n v="0"/>
    <n v="3556"/>
    <n v="1"/>
    <n v="0"/>
    <s v="April"/>
  </r>
  <r>
    <x v="0"/>
    <s v="NNF16"/>
    <x v="6"/>
    <x v="27"/>
    <n v="0"/>
    <n v="1586"/>
    <n v="0"/>
    <n v="61"/>
    <n v="0"/>
    <n v="0"/>
    <x v="0"/>
    <x v="0"/>
    <x v="0"/>
    <n v="0"/>
    <n v="1586"/>
    <n v="1"/>
    <n v="0"/>
    <s v="April"/>
  </r>
  <r>
    <x v="0"/>
    <s v="NNF94"/>
    <x v="6"/>
    <x v="28"/>
    <n v="0"/>
    <n v="3043"/>
    <n v="0"/>
    <n v="231"/>
    <n v="0"/>
    <n v="0"/>
    <x v="0"/>
    <x v="0"/>
    <x v="0"/>
    <n v="0"/>
    <n v="3043"/>
    <n v="1"/>
    <n v="0"/>
    <s v="April"/>
  </r>
  <r>
    <x v="0"/>
    <s v="NNFA7"/>
    <x v="6"/>
    <x v="29"/>
    <n v="0"/>
    <n v="1675"/>
    <n v="0"/>
    <n v="7"/>
    <n v="0"/>
    <n v="0"/>
    <x v="0"/>
    <x v="0"/>
    <x v="0"/>
    <n v="0"/>
    <n v="1675"/>
    <n v="1"/>
    <n v="0"/>
    <s v="April"/>
  </r>
  <r>
    <x v="0"/>
    <s v="R1K"/>
    <x v="4"/>
    <x v="30"/>
    <n v="13592"/>
    <n v="14950"/>
    <n v="6467"/>
    <n v="195"/>
    <n v="666"/>
    <n v="385"/>
    <x v="0"/>
    <x v="0"/>
    <x v="0"/>
    <n v="0.47579458505002942"/>
    <n v="28542"/>
    <n v="1"/>
    <n v="2.8325485579752795E-2"/>
    <s v="April"/>
  </r>
  <r>
    <x v="0"/>
    <s v="RAE"/>
    <x v="6"/>
    <x v="31"/>
    <n v="8991"/>
    <n v="3331"/>
    <n v="2270"/>
    <n v="0"/>
    <n v="648"/>
    <n v="71"/>
    <x v="0"/>
    <x v="0"/>
    <x v="0"/>
    <n v="0.25247469691914137"/>
    <n v="12322"/>
    <n v="1"/>
    <n v="7.8967856745634519E-3"/>
    <s v="April"/>
  </r>
  <r>
    <x v="0"/>
    <s v="RAJ"/>
    <x v="2"/>
    <x v="32"/>
    <n v="29676"/>
    <n v="3801"/>
    <n v="10890"/>
    <n v="181"/>
    <n v="2531"/>
    <n v="640"/>
    <x v="0"/>
    <x v="0"/>
    <x v="0"/>
    <n v="0.36696320258794984"/>
    <n v="33477"/>
    <n v="1"/>
    <n v="2.1566248820595768E-2"/>
    <s v="April"/>
  </r>
  <r>
    <x v="0"/>
    <s v="RAL"/>
    <x v="4"/>
    <x v="33"/>
    <n v="24636"/>
    <n v="15931"/>
    <n v="9696"/>
    <n v="997"/>
    <n v="1192"/>
    <n v="1792"/>
    <x v="0"/>
    <x v="0"/>
    <x v="0"/>
    <n v="0.39357038480272771"/>
    <n v="40567"/>
    <n v="1"/>
    <n v="7.2739081019646046E-2"/>
    <s v="April"/>
  </r>
  <r>
    <x v="0"/>
    <s v="RBN"/>
    <x v="3"/>
    <x v="34"/>
    <n v="16848"/>
    <n v="7163"/>
    <n v="5987"/>
    <n v="140"/>
    <n v="490"/>
    <n v="349"/>
    <x v="0"/>
    <x v="0"/>
    <x v="0"/>
    <n v="0.35535375118708451"/>
    <n v="24011"/>
    <n v="1"/>
    <n v="2.0714624881291548E-2"/>
    <s v="April"/>
  </r>
  <r>
    <x v="0"/>
    <s v="RCB"/>
    <x v="6"/>
    <x v="35"/>
    <n v="10390"/>
    <n v="6987"/>
    <n v="6046"/>
    <n v="384"/>
    <n v="852"/>
    <n v="628"/>
    <x v="0"/>
    <x v="0"/>
    <x v="0"/>
    <n v="0.58190567853705488"/>
    <n v="17377"/>
    <n v="1"/>
    <n v="6.0442733397497596E-2"/>
    <s v="April"/>
  </r>
  <r>
    <x v="0"/>
    <s v="RD8"/>
    <x v="2"/>
    <x v="36"/>
    <n v="7762"/>
    <n v="4994"/>
    <n v="2374"/>
    <n v="71"/>
    <n v="478"/>
    <n v="0"/>
    <x v="0"/>
    <x v="0"/>
    <x v="0"/>
    <n v="0.30584900798763204"/>
    <n v="12756"/>
    <n v="1"/>
    <n v="0"/>
    <s v="April"/>
  </r>
  <r>
    <x v="0"/>
    <s v="RDU"/>
    <x v="0"/>
    <x v="37"/>
    <n v="21751"/>
    <n v="11461"/>
    <n v="9653"/>
    <n v="300"/>
    <n v="1563"/>
    <n v="129"/>
    <x v="0"/>
    <x v="0"/>
    <x v="0"/>
    <n v="0.4437956875545952"/>
    <n v="33212"/>
    <n v="1"/>
    <n v="5.9307618040549863E-3"/>
    <s v="April"/>
  </r>
  <r>
    <x v="0"/>
    <s v="REP"/>
    <x v="3"/>
    <x v="38"/>
    <n v="0"/>
    <n v="0"/>
    <n v="0"/>
    <n v="0"/>
    <n v="0"/>
    <n v="0"/>
    <x v="0"/>
    <x v="0"/>
    <x v="0"/>
    <n v="0"/>
    <n v="0"/>
    <n v="1"/>
    <n v="0"/>
    <s v="April"/>
  </r>
  <r>
    <x v="0"/>
    <s v="RFR"/>
    <x v="6"/>
    <x v="39"/>
    <n v="8977"/>
    <n v="0"/>
    <n v="2806"/>
    <n v="0"/>
    <n v="525"/>
    <n v="3"/>
    <x v="0"/>
    <x v="0"/>
    <x v="0"/>
    <n v="0.3125765846051019"/>
    <n v="8977"/>
    <n v="1"/>
    <n v="3.3418736771750028E-4"/>
    <s v="April"/>
  </r>
  <r>
    <x v="0"/>
    <s v="RH5"/>
    <x v="1"/>
    <x v="40"/>
    <n v="12443"/>
    <n v="9709"/>
    <n v="6110"/>
    <n v="246"/>
    <n v="676"/>
    <n v="175"/>
    <x v="0"/>
    <x v="0"/>
    <x v="0"/>
    <n v="0.49103913847142971"/>
    <n v="22152"/>
    <n v="1"/>
    <n v="1.4064132443944386E-2"/>
    <s v="April"/>
  </r>
  <r>
    <x v="0"/>
    <s v="RHM"/>
    <x v="0"/>
    <x v="41"/>
    <n v="11577"/>
    <n v="0"/>
    <n v="4553"/>
    <n v="0"/>
    <n v="628"/>
    <n v="10"/>
    <x v="0"/>
    <x v="0"/>
    <x v="0"/>
    <n v="0.39327977887190119"/>
    <n v="11577"/>
    <n v="1"/>
    <n v="8.6378163600241858E-4"/>
    <s v="April"/>
  </r>
  <r>
    <x v="0"/>
    <s v="RHQ"/>
    <x v="6"/>
    <x v="42"/>
    <n v="8806"/>
    <n v="6881"/>
    <n v="4677"/>
    <n v="289"/>
    <n v="1157"/>
    <n v="4"/>
    <x v="0"/>
    <x v="0"/>
    <x v="0"/>
    <n v="0.53111514876220756"/>
    <n v="15687"/>
    <n v="1"/>
    <n v="4.5423574835339541E-4"/>
    <s v="April"/>
  </r>
  <r>
    <x v="0"/>
    <s v="RJ1"/>
    <x v="4"/>
    <x v="43"/>
    <n v="9921"/>
    <n v="6810"/>
    <n v="3744"/>
    <n v="182"/>
    <n v="98"/>
    <n v="64"/>
    <x v="0"/>
    <x v="0"/>
    <x v="0"/>
    <n v="0.37738131236770489"/>
    <n v="16731"/>
    <n v="1"/>
    <n v="6.4509626045761515E-3"/>
    <s v="April"/>
  </r>
  <r>
    <x v="0"/>
    <s v="C83023"/>
    <x v="5"/>
    <x v="44"/>
    <n v="0"/>
    <n v="480"/>
    <n v="0"/>
    <n v="0"/>
    <n v="0"/>
    <n v="0"/>
    <x v="0"/>
    <x v="0"/>
    <x v="0"/>
    <n v="0"/>
    <n v="480"/>
    <n v="1"/>
    <n v="0"/>
    <s v="April"/>
  </r>
  <r>
    <x v="0"/>
    <s v="NR3"/>
    <x v="5"/>
    <x v="45"/>
    <n v="0"/>
    <n v="4992"/>
    <n v="0"/>
    <n v="580"/>
    <n v="0"/>
    <n v="0"/>
    <x v="0"/>
    <x v="0"/>
    <x v="0"/>
    <n v="0"/>
    <n v="4992"/>
    <n v="1"/>
    <n v="0"/>
    <s v="April"/>
  </r>
  <r>
    <x v="0"/>
    <s v="R1D"/>
    <x v="5"/>
    <x v="46"/>
    <n v="0"/>
    <n v="3041"/>
    <n v="0"/>
    <n v="5"/>
    <n v="0"/>
    <n v="0"/>
    <x v="0"/>
    <x v="0"/>
    <x v="0"/>
    <n v="0"/>
    <n v="3041"/>
    <n v="1"/>
    <n v="0"/>
    <s v="April"/>
  </r>
  <r>
    <x v="0"/>
    <s v="RA2"/>
    <x v="0"/>
    <x v="47"/>
    <n v="6632"/>
    <n v="1551"/>
    <n v="2022"/>
    <n v="0"/>
    <n v="261"/>
    <n v="1"/>
    <x v="0"/>
    <x v="0"/>
    <x v="0"/>
    <n v="0.30488540410132692"/>
    <n v="8183"/>
    <n v="1"/>
    <n v="1.5078407720144752E-4"/>
    <s v="April"/>
  </r>
  <r>
    <x v="0"/>
    <s v="RXQ"/>
    <x v="0"/>
    <x v="48"/>
    <n v="10175"/>
    <n v="3428"/>
    <n v="2970"/>
    <n v="64"/>
    <n v="245"/>
    <n v="212"/>
    <x v="0"/>
    <x v="0"/>
    <x v="0"/>
    <n v="0.29189189189189191"/>
    <n v="13603"/>
    <n v="1"/>
    <n v="2.0835380835380835E-2"/>
    <s v="April"/>
  </r>
  <r>
    <x v="0"/>
    <s v="RTK"/>
    <x v="0"/>
    <x v="49"/>
    <n v="6744"/>
    <n v="8207"/>
    <n v="3640"/>
    <n v="149"/>
    <n v="548"/>
    <n v="183"/>
    <x v="0"/>
    <x v="0"/>
    <x v="0"/>
    <n v="0.53973902728351131"/>
    <n v="14951"/>
    <n v="1"/>
    <n v="2.7135231316725978E-2"/>
    <s v="April"/>
  </r>
  <r>
    <x v="0"/>
    <s v="RVV"/>
    <x v="0"/>
    <x v="50"/>
    <n v="12301"/>
    <n v="12385"/>
    <n v="5640"/>
    <n v="243"/>
    <n v="449"/>
    <n v="1256"/>
    <x v="0"/>
    <x v="0"/>
    <x v="0"/>
    <n v="0.45849930899926833"/>
    <n v="24686"/>
    <n v="1"/>
    <n v="0.10210551987643281"/>
    <s v="April"/>
  </r>
  <r>
    <x v="0"/>
    <s v="RYX"/>
    <x v="4"/>
    <x v="51"/>
    <n v="0"/>
    <n v="12442"/>
    <n v="0"/>
    <n v="375"/>
    <n v="0"/>
    <n v="0"/>
    <x v="0"/>
    <x v="0"/>
    <x v="0"/>
    <n v="0"/>
    <n v="12442"/>
    <n v="1"/>
    <n v="0"/>
    <s v="April"/>
  </r>
  <r>
    <x v="0"/>
    <s v="Y02676"/>
    <x v="0"/>
    <x v="52"/>
    <n v="0"/>
    <n v="2001"/>
    <n v="0"/>
    <n v="0"/>
    <n v="0"/>
    <n v="0"/>
    <x v="0"/>
    <x v="0"/>
    <x v="0"/>
    <n v="0"/>
    <n v="2001"/>
    <n v="1"/>
    <n v="0"/>
    <s v="April"/>
  </r>
  <r>
    <x v="0"/>
    <s v="RP5"/>
    <x v="6"/>
    <x v="53"/>
    <n v="13769"/>
    <n v="4221"/>
    <n v="4725"/>
    <n v="33"/>
    <n v="1050"/>
    <n v="65"/>
    <x v="0"/>
    <x v="0"/>
    <x v="0"/>
    <n v="0.3431621759023894"/>
    <n v="17990"/>
    <n v="1"/>
    <n v="4.7207495097683202E-3"/>
    <s v="April"/>
  </r>
  <r>
    <x v="0"/>
    <s v="RTG"/>
    <x v="5"/>
    <x v="54"/>
    <n v="18237"/>
    <n v="9226"/>
    <n v="8556"/>
    <n v="10"/>
    <n v="1219"/>
    <n v="386"/>
    <x v="0"/>
    <x v="0"/>
    <x v="0"/>
    <n v="0.46915611120250039"/>
    <n v="27463"/>
    <n v="1"/>
    <n v="2.1165761912595272E-2"/>
    <s v="April"/>
  </r>
  <r>
    <x v="0"/>
    <s v="RWX"/>
    <x v="0"/>
    <x v="55"/>
    <n v="0"/>
    <n v="1472"/>
    <n v="0"/>
    <n v="10"/>
    <n v="0"/>
    <n v="0"/>
    <x v="0"/>
    <x v="0"/>
    <x v="0"/>
    <n v="0"/>
    <n v="1472"/>
    <n v="1"/>
    <n v="0"/>
    <s v="April"/>
  </r>
  <r>
    <x v="0"/>
    <s v="NNJ07"/>
    <x v="5"/>
    <x v="56"/>
    <n v="0"/>
    <n v="5168"/>
    <n v="0"/>
    <n v="24"/>
    <n v="0"/>
    <n v="0"/>
    <x v="0"/>
    <x v="0"/>
    <x v="0"/>
    <n v="0"/>
    <n v="5168"/>
    <n v="1"/>
    <n v="0"/>
    <s v="April"/>
  </r>
  <r>
    <x v="0"/>
    <s v="NNJ0H"/>
    <x v="5"/>
    <x v="57"/>
    <n v="0"/>
    <n v="164"/>
    <n v="0"/>
    <n v="0"/>
    <n v="0"/>
    <n v="0"/>
    <x v="0"/>
    <x v="0"/>
    <x v="0"/>
    <n v="0"/>
    <n v="164"/>
    <n v="1"/>
    <n v="0"/>
    <s v="April"/>
  </r>
  <r>
    <x v="0"/>
    <s v="NNJ12"/>
    <x v="5"/>
    <x v="58"/>
    <n v="0"/>
    <n v="112"/>
    <n v="0"/>
    <n v="0"/>
    <n v="0"/>
    <n v="0"/>
    <x v="0"/>
    <x v="0"/>
    <x v="0"/>
    <n v="0"/>
    <n v="112"/>
    <n v="1"/>
    <n v="0"/>
    <s v="April"/>
  </r>
  <r>
    <x v="0"/>
    <s v="NNJ13"/>
    <x v="5"/>
    <x v="59"/>
    <n v="0"/>
    <n v="64"/>
    <n v="0"/>
    <n v="0"/>
    <n v="0"/>
    <n v="0"/>
    <x v="0"/>
    <x v="0"/>
    <x v="0"/>
    <n v="0"/>
    <n v="64"/>
    <n v="1"/>
    <n v="0"/>
    <s v="April"/>
  </r>
  <r>
    <x v="0"/>
    <s v="NNJ14"/>
    <x v="5"/>
    <x v="60"/>
    <n v="0"/>
    <n v="561"/>
    <n v="0"/>
    <n v="0"/>
    <n v="0"/>
    <n v="0"/>
    <x v="0"/>
    <x v="0"/>
    <x v="0"/>
    <n v="0"/>
    <n v="561"/>
    <n v="1"/>
    <n v="0"/>
    <s v="April"/>
  </r>
  <r>
    <x v="0"/>
    <s v="NNJ15"/>
    <x v="5"/>
    <x v="61"/>
    <n v="0"/>
    <n v="75"/>
    <n v="0"/>
    <n v="0"/>
    <n v="0"/>
    <n v="0"/>
    <x v="0"/>
    <x v="0"/>
    <x v="0"/>
    <n v="0"/>
    <n v="75"/>
    <n v="1"/>
    <n v="0"/>
    <s v="April"/>
  </r>
  <r>
    <x v="0"/>
    <s v="NNJ"/>
    <x v="5"/>
    <x v="62"/>
    <n v="0"/>
    <n v="1994"/>
    <n v="0"/>
    <n v="0"/>
    <n v="0"/>
    <n v="0"/>
    <x v="0"/>
    <x v="0"/>
    <x v="0"/>
    <n v="0"/>
    <n v="1994"/>
    <n v="1"/>
    <n v="0"/>
    <s v="April"/>
  </r>
  <r>
    <x v="0"/>
    <s v="RHU"/>
    <x v="0"/>
    <x v="63"/>
    <n v="9902"/>
    <n v="3041"/>
    <n v="4250"/>
    <n v="170"/>
    <n v="1009"/>
    <n v="503"/>
    <x v="0"/>
    <x v="0"/>
    <x v="0"/>
    <n v="0.42920622096546152"/>
    <n v="12943"/>
    <n v="1"/>
    <n v="5.0797818622500504E-2"/>
    <s v="April"/>
  </r>
  <r>
    <x v="0"/>
    <s v="RM3"/>
    <x v="3"/>
    <x v="64"/>
    <n v="25192"/>
    <n v="8446"/>
    <n v="10385"/>
    <n v="403"/>
    <n v="1013"/>
    <n v="1222"/>
    <x v="0"/>
    <x v="0"/>
    <x v="0"/>
    <n v="0.41223404255319152"/>
    <n v="33638"/>
    <n v="1"/>
    <n v="4.8507462686567165E-2"/>
    <s v="April"/>
  </r>
  <r>
    <x v="0"/>
    <s v="RXN"/>
    <x v="3"/>
    <x v="65"/>
    <n v="11684"/>
    <n v="3459"/>
    <n v="4328"/>
    <n v="194"/>
    <n v="948"/>
    <n v="435"/>
    <x v="0"/>
    <x v="0"/>
    <x v="0"/>
    <n v="0.37042108866826429"/>
    <n v="15143"/>
    <n v="1"/>
    <n v="3.7230400547757614E-2"/>
    <s v="April"/>
  </r>
  <r>
    <x v="0"/>
    <s v="RHW"/>
    <x v="0"/>
    <x v="66"/>
    <n v="10298"/>
    <n v="2087"/>
    <n v="4206"/>
    <n v="0"/>
    <n v="672"/>
    <n v="25"/>
    <x v="0"/>
    <x v="0"/>
    <x v="0"/>
    <n v="0.40842882113031659"/>
    <n v="12385"/>
    <n v="1"/>
    <n v="2.4276558555059234E-3"/>
    <s v="April"/>
  </r>
  <r>
    <x v="0"/>
    <s v="RRK"/>
    <x v="5"/>
    <x v="67"/>
    <n v="34366"/>
    <n v="1862"/>
    <n v="14652"/>
    <n v="87"/>
    <n v="2801"/>
    <n v="2096"/>
    <x v="0"/>
    <x v="0"/>
    <x v="0"/>
    <n v="0.42635162660769366"/>
    <n v="36228"/>
    <n v="1"/>
    <n v="6.0990513879997675E-2"/>
    <s v="April"/>
  </r>
  <r>
    <x v="0"/>
    <s v="RFS"/>
    <x v="5"/>
    <x v="68"/>
    <n v="6703"/>
    <n v="6382"/>
    <n v="3410"/>
    <n v="376"/>
    <n v="873"/>
    <n v="139"/>
    <x v="0"/>
    <x v="0"/>
    <x v="0"/>
    <n v="0.50872743547665222"/>
    <n v="13085"/>
    <n v="1"/>
    <n v="2.0736983440250635E-2"/>
    <s v="April"/>
  </r>
  <r>
    <x v="0"/>
    <s v="RBT"/>
    <x v="3"/>
    <x v="69"/>
    <n v="6945"/>
    <n v="2890"/>
    <n v="4074"/>
    <n v="53"/>
    <n v="594"/>
    <n v="492"/>
    <x v="0"/>
    <x v="0"/>
    <x v="0"/>
    <n v="0.58660907127429807"/>
    <n v="9835"/>
    <n v="1"/>
    <n v="7.0842332613390929E-2"/>
    <s v="April"/>
  </r>
  <r>
    <x v="0"/>
    <s v="AD913"/>
    <x v="4"/>
    <x v="70"/>
    <n v="0"/>
    <n v="3736"/>
    <n v="0"/>
    <n v="49"/>
    <n v="0"/>
    <n v="0"/>
    <x v="0"/>
    <x v="0"/>
    <x v="0"/>
    <n v="0"/>
    <n v="3736"/>
    <n v="1"/>
    <n v="0"/>
    <s v="April"/>
  </r>
  <r>
    <x v="0"/>
    <s v="RTD"/>
    <x v="6"/>
    <x v="71"/>
    <n v="11926"/>
    <n v="6352"/>
    <n v="4751"/>
    <n v="0"/>
    <n v="738"/>
    <n v="85"/>
    <x v="0"/>
    <x v="0"/>
    <x v="0"/>
    <n v="0.39837330202917992"/>
    <n v="18278"/>
    <n v="1"/>
    <n v="7.1272849236961259E-3"/>
    <s v="April"/>
  </r>
  <r>
    <x v="0"/>
    <s v="RMC"/>
    <x v="3"/>
    <x v="72"/>
    <n v="7889"/>
    <n v="3897"/>
    <n v="3771"/>
    <n v="210"/>
    <n v="551"/>
    <n v="488"/>
    <x v="0"/>
    <x v="0"/>
    <x v="0"/>
    <n v="0.47800735200912664"/>
    <n v="11786"/>
    <n v="1"/>
    <n v="6.1858283686145266E-2"/>
    <s v="April"/>
  </r>
  <r>
    <x v="0"/>
    <s v="RVJ"/>
    <x v="1"/>
    <x v="73"/>
    <n v="8866"/>
    <n v="0"/>
    <n v="3494"/>
    <n v="0"/>
    <n v="606"/>
    <n v="299"/>
    <x v="0"/>
    <x v="0"/>
    <x v="0"/>
    <n v="0.39408978118655535"/>
    <n v="8866"/>
    <n v="1"/>
    <n v="3.3724340175953077E-2"/>
    <s v="April"/>
  </r>
  <r>
    <x v="0"/>
    <s v="RVR"/>
    <x v="4"/>
    <x v="74"/>
    <n v="10804"/>
    <n v="1568"/>
    <n v="3246"/>
    <n v="123"/>
    <n v="266"/>
    <n v="700"/>
    <x v="0"/>
    <x v="0"/>
    <x v="0"/>
    <n v="0.30044427989633471"/>
    <n v="12372"/>
    <n v="1"/>
    <n v="6.4790818215475748E-2"/>
    <s v="April"/>
  </r>
  <r>
    <x v="0"/>
    <s v="RM1"/>
    <x v="2"/>
    <x v="75"/>
    <n v="12259"/>
    <n v="8063"/>
    <n v="4018"/>
    <n v="5"/>
    <n v="994"/>
    <n v="246"/>
    <x v="0"/>
    <x v="0"/>
    <x v="0"/>
    <n v="0.32775919732441472"/>
    <n v="20322"/>
    <n v="1"/>
    <n v="2.0066889632107024E-2"/>
    <s v="April"/>
  </r>
  <r>
    <x v="0"/>
    <s v="RVW"/>
    <x v="6"/>
    <x v="76"/>
    <n v="5058"/>
    <n v="11581"/>
    <n v="2734"/>
    <n v="47"/>
    <n v="196"/>
    <n v="10"/>
    <x v="0"/>
    <x v="0"/>
    <x v="0"/>
    <n v="0.54052985369711348"/>
    <n v="16639"/>
    <n v="1"/>
    <n v="1.9770660340055358E-3"/>
    <s v="April"/>
  </r>
  <r>
    <x v="0"/>
    <s v="RWA"/>
    <x v="6"/>
    <x v="77"/>
    <n v="9122"/>
    <n v="4645"/>
    <n v="5265"/>
    <n v="745"/>
    <n v="1037"/>
    <n v="506"/>
    <x v="0"/>
    <x v="0"/>
    <x v="0"/>
    <n v="0.5771760578820434"/>
    <n v="13767"/>
    <n v="1"/>
    <n v="5.5470291602718699E-2"/>
    <s v="April"/>
  </r>
  <r>
    <x v="0"/>
    <s v="RWD"/>
    <x v="5"/>
    <x v="78"/>
    <n v="16201"/>
    <n v="3803"/>
    <n v="5913"/>
    <n v="487"/>
    <n v="998"/>
    <n v="969"/>
    <x v="0"/>
    <x v="0"/>
    <x v="0"/>
    <n v="0.36497747052651069"/>
    <n v="20004"/>
    <n v="1"/>
    <n v="5.9811122770199371E-2"/>
    <s v="April"/>
  </r>
  <r>
    <x v="0"/>
    <s v="RWE"/>
    <x v="5"/>
    <x v="79"/>
    <n v="21293"/>
    <n v="0"/>
    <n v="9211"/>
    <n v="0"/>
    <n v="1390"/>
    <n v="724"/>
    <x v="0"/>
    <x v="0"/>
    <x v="0"/>
    <n v="0.43258347813835535"/>
    <n v="21293"/>
    <n v="1"/>
    <n v="3.4001784624054857E-2"/>
    <s v="April"/>
  </r>
  <r>
    <x v="0"/>
    <s v="RWG"/>
    <x v="2"/>
    <x v="80"/>
    <n v="8283"/>
    <n v="7118"/>
    <n v="2522"/>
    <n v="15"/>
    <n v="699"/>
    <n v="30"/>
    <x v="0"/>
    <x v="0"/>
    <x v="0"/>
    <n v="0.30447905348303755"/>
    <n v="15401"/>
    <n v="1"/>
    <n v="3.621876131836291E-3"/>
    <s v="April"/>
  </r>
  <r>
    <x v="0"/>
    <s v="RWH"/>
    <x v="2"/>
    <x v="81"/>
    <n v="8663"/>
    <n v="8440"/>
    <n v="4563"/>
    <n v="32"/>
    <n v="127"/>
    <n v="116"/>
    <x v="0"/>
    <x v="0"/>
    <x v="0"/>
    <n v="0.52672284428027238"/>
    <n v="17103"/>
    <n v="1"/>
    <n v="1.3390280503289853E-2"/>
    <s v="April"/>
  </r>
  <r>
    <x v="0"/>
    <s v="RWJ"/>
    <x v="3"/>
    <x v="82"/>
    <n v="7518"/>
    <n v="1027"/>
    <n v="3016"/>
    <n v="63"/>
    <n v="645"/>
    <n v="364"/>
    <x v="0"/>
    <x v="0"/>
    <x v="0"/>
    <n v="0.40117052407555198"/>
    <n v="8545"/>
    <n v="1"/>
    <n v="4.8417132216014895E-2"/>
    <s v="April"/>
  </r>
  <r>
    <x v="0"/>
    <s v="RWW"/>
    <x v="3"/>
    <x v="83"/>
    <n v="6929"/>
    <n v="3240"/>
    <n v="3541"/>
    <n v="86"/>
    <n v="762"/>
    <n v="663"/>
    <x v="0"/>
    <x v="0"/>
    <x v="0"/>
    <n v="0.51104055419252414"/>
    <n v="10169"/>
    <n v="1"/>
    <n v="9.5684803001876179E-2"/>
    <s v="April"/>
  </r>
  <r>
    <x v="0"/>
    <s v="RXC"/>
    <x v="0"/>
    <x v="84"/>
    <n v="7497"/>
    <n v="2991"/>
    <n v="3155"/>
    <n v="66"/>
    <n v="191"/>
    <n v="7"/>
    <x v="0"/>
    <x v="0"/>
    <x v="0"/>
    <n v="0.42083500066693347"/>
    <n v="10488"/>
    <n v="1"/>
    <n v="9.3370681605975728E-4"/>
    <s v="April"/>
  </r>
  <r>
    <x v="0"/>
    <s v="RXG"/>
    <x v="6"/>
    <x v="85"/>
    <n v="0"/>
    <n v="0"/>
    <n v="0"/>
    <n v="0"/>
    <n v="0"/>
    <n v="0"/>
    <x v="0"/>
    <x v="0"/>
    <x v="0"/>
    <n v="0"/>
    <n v="0"/>
    <n v="1"/>
    <n v="0"/>
    <s v="April"/>
  </r>
  <r>
    <x v="0"/>
    <s v="RXL"/>
    <x v="3"/>
    <x v="86"/>
    <n v="8750"/>
    <n v="10410"/>
    <n v="4228"/>
    <n v="53"/>
    <n v="473"/>
    <n v="539"/>
    <x v="0"/>
    <x v="0"/>
    <x v="0"/>
    <n v="0.48320000000000002"/>
    <n v="19160"/>
    <n v="1"/>
    <n v="6.1600000000000002E-2"/>
    <s v="April"/>
  </r>
  <r>
    <x v="0"/>
    <s v="RXP"/>
    <x v="6"/>
    <x v="87"/>
    <n v="12948"/>
    <n v="4225"/>
    <n v="5194"/>
    <n v="0"/>
    <n v="1927"/>
    <n v="12"/>
    <x v="0"/>
    <x v="0"/>
    <x v="0"/>
    <n v="0.40114303367315418"/>
    <n v="17173"/>
    <n v="1"/>
    <n v="9.2678405931417981E-4"/>
    <s v="April"/>
  </r>
  <r>
    <x v="0"/>
    <s v="RXW"/>
    <x v="5"/>
    <x v="88"/>
    <n v="10930"/>
    <n v="2321"/>
    <n v="6438"/>
    <n v="589"/>
    <n v="327"/>
    <n v="1362"/>
    <x v="0"/>
    <x v="0"/>
    <x v="0"/>
    <n v="0.58902104300091496"/>
    <n v="13251"/>
    <n v="1"/>
    <n v="0.12461116193961573"/>
    <s v="April"/>
  </r>
  <r>
    <x v="0"/>
    <s v="RYF"/>
    <x v="1"/>
    <x v="89"/>
    <n v="0"/>
    <n v="1900"/>
    <n v="0"/>
    <n v="25"/>
    <n v="0"/>
    <n v="0"/>
    <x v="0"/>
    <x v="0"/>
    <x v="0"/>
    <n v="0"/>
    <n v="1900"/>
    <n v="1"/>
    <n v="0"/>
    <s v="April"/>
  </r>
  <r>
    <x v="0"/>
    <s v="RYG"/>
    <x v="5"/>
    <x v="90"/>
    <n v="0"/>
    <n v="0"/>
    <n v="0"/>
    <n v="0"/>
    <n v="0"/>
    <n v="0"/>
    <x v="0"/>
    <x v="0"/>
    <x v="0"/>
    <n v="0"/>
    <n v="0"/>
    <n v="1"/>
    <n v="0"/>
    <s v="April"/>
  </r>
  <r>
    <x v="0"/>
    <s v="RYJ"/>
    <x v="4"/>
    <x v="91"/>
    <n v="11832"/>
    <n v="6919"/>
    <n v="5046"/>
    <n v="654"/>
    <n v="680"/>
    <n v="390"/>
    <x v="0"/>
    <x v="0"/>
    <x v="0"/>
    <n v="0.4264705882352941"/>
    <n v="18751"/>
    <n v="1"/>
    <n v="3.2961460446247468E-2"/>
    <s v="April"/>
  </r>
  <r>
    <x v="0"/>
    <s v="RYR"/>
    <x v="0"/>
    <x v="92"/>
    <n v="25328"/>
    <n v="2041"/>
    <n v="9316"/>
    <n v="269"/>
    <n v="832"/>
    <n v="723"/>
    <x v="0"/>
    <x v="0"/>
    <x v="0"/>
    <n v="0.36781427668982941"/>
    <n v="27369"/>
    <n v="1"/>
    <n v="2.8545483259633606E-2"/>
    <s v="April"/>
  </r>
  <r>
    <x v="0"/>
    <s v="R1H"/>
    <x v="4"/>
    <x v="93"/>
    <n v="25265"/>
    <n v="18255"/>
    <n v="11668"/>
    <n v="1609"/>
    <n v="1215"/>
    <n v="1148"/>
    <x v="0"/>
    <x v="0"/>
    <x v="0"/>
    <n v="0.46182465861864241"/>
    <n v="43520"/>
    <n v="1"/>
    <n v="4.5438353453394024E-2"/>
    <s v="April"/>
  </r>
  <r>
    <x v="0"/>
    <s v="RBL"/>
    <x v="3"/>
    <x v="94"/>
    <n v="7388"/>
    <n v="2994"/>
    <n v="3758"/>
    <n v="128"/>
    <n v="469"/>
    <n v="783"/>
    <x v="0"/>
    <x v="0"/>
    <x v="0"/>
    <n v="0.50866269626421223"/>
    <n v="10382"/>
    <n v="1"/>
    <n v="0.10598267460747157"/>
    <s v="April"/>
  </r>
  <r>
    <x v="0"/>
    <s v="RGT"/>
    <x v="2"/>
    <x v="95"/>
    <n v="10171"/>
    <n v="5676"/>
    <n v="4127"/>
    <n v="94"/>
    <n v="498"/>
    <n v="242"/>
    <x v="0"/>
    <x v="0"/>
    <x v="0"/>
    <n v="0.40576147871399076"/>
    <n v="15847"/>
    <n v="1"/>
    <n v="2.3793137351292893E-2"/>
    <s v="April"/>
  </r>
  <r>
    <x v="0"/>
    <s v="RJ7"/>
    <x v="4"/>
    <x v="96"/>
    <n v="8495"/>
    <n v="3443"/>
    <n v="1972"/>
    <n v="0"/>
    <n v="397"/>
    <n v="834"/>
    <x v="0"/>
    <x v="0"/>
    <x v="0"/>
    <n v="0.23213655091230134"/>
    <n v="11938"/>
    <n v="1"/>
    <n v="9.8175397292525016E-2"/>
    <s v="April"/>
  </r>
  <r>
    <x v="0"/>
    <s v="RN5"/>
    <x v="0"/>
    <x v="97"/>
    <n v="10837"/>
    <n v="3296"/>
    <n v="4897"/>
    <n v="103"/>
    <n v="261"/>
    <n v="54"/>
    <x v="0"/>
    <x v="0"/>
    <x v="0"/>
    <n v="0.45187782596659593"/>
    <n v="14133"/>
    <n v="1"/>
    <n v="4.9829288548491283E-3"/>
    <s v="April"/>
  </r>
  <r>
    <x v="0"/>
    <s v="RTX"/>
    <x v="3"/>
    <x v="98"/>
    <n v="9021"/>
    <n v="2983"/>
    <n v="3380"/>
    <n v="60"/>
    <n v="658"/>
    <n v="443"/>
    <x v="0"/>
    <x v="0"/>
    <x v="0"/>
    <n v="0.37468129919077708"/>
    <n v="12004"/>
    <n v="1"/>
    <n v="4.9107637734175813E-2"/>
    <s v="April"/>
  </r>
  <r>
    <x v="0"/>
    <s v="RTF"/>
    <x v="6"/>
    <x v="99"/>
    <n v="9960"/>
    <n v="13376"/>
    <n v="2557"/>
    <n v="9"/>
    <n v="61"/>
    <n v="0"/>
    <x v="0"/>
    <x v="0"/>
    <x v="0"/>
    <n v="0.25672690763052208"/>
    <n v="23336"/>
    <n v="1"/>
    <n v="0"/>
    <s v="April"/>
  </r>
  <r>
    <x v="0"/>
    <s v="RTH"/>
    <x v="0"/>
    <x v="100"/>
    <n v="12200"/>
    <n v="3436"/>
    <n v="4243"/>
    <n v="2"/>
    <n v="650"/>
    <n v="0"/>
    <x v="0"/>
    <x v="0"/>
    <x v="0"/>
    <n v="0.34778688524590162"/>
    <n v="15636"/>
    <n v="1"/>
    <n v="0"/>
    <s v="April"/>
  </r>
  <r>
    <x v="0"/>
    <s v="Y07709"/>
    <x v="0"/>
    <x v="101"/>
    <n v="0"/>
    <n v="2244"/>
    <n v="0"/>
    <n v="0"/>
    <n v="0"/>
    <n v="0"/>
    <x v="0"/>
    <x v="0"/>
    <x v="0"/>
    <n v="0"/>
    <n v="2244"/>
    <n v="1"/>
    <n v="0"/>
    <s v="April"/>
  </r>
  <r>
    <x v="0"/>
    <s v="NV693"/>
    <x v="3"/>
    <x v="102"/>
    <n v="0"/>
    <n v="1108"/>
    <n v="0"/>
    <n v="0"/>
    <n v="0"/>
    <n v="0"/>
    <x v="0"/>
    <x v="0"/>
    <x v="0"/>
    <n v="0"/>
    <n v="1108"/>
    <n v="1"/>
    <n v="0"/>
    <s v="April"/>
  </r>
  <r>
    <x v="0"/>
    <s v="RCX"/>
    <x v="2"/>
    <x v="103"/>
    <n v="6646"/>
    <n v="1170"/>
    <n v="3021"/>
    <n v="0"/>
    <n v="772"/>
    <n v="111"/>
    <x v="0"/>
    <x v="0"/>
    <x v="0"/>
    <n v="0.45455913331327114"/>
    <n v="7816"/>
    <n v="1"/>
    <n v="1.6701775504062592E-2"/>
    <s v="April"/>
  </r>
  <r>
    <x v="0"/>
    <s v="RFF"/>
    <x v="6"/>
    <x v="104"/>
    <n v="8877"/>
    <n v="0"/>
    <n v="2936"/>
    <n v="0"/>
    <n v="439"/>
    <n v="5"/>
    <x v="0"/>
    <x v="0"/>
    <x v="0"/>
    <n v="0.33074236791708911"/>
    <n v="8877"/>
    <n v="1"/>
    <n v="5.6325335135744053E-4"/>
    <s v="April"/>
  </r>
  <r>
    <x v="0"/>
    <s v="RJR"/>
    <x v="3"/>
    <x v="105"/>
    <n v="5079"/>
    <n v="2376"/>
    <n v="2712"/>
    <n v="262"/>
    <n v="234"/>
    <n v="709"/>
    <x v="0"/>
    <x v="0"/>
    <x v="0"/>
    <n v="0.53396337861783816"/>
    <n v="7455"/>
    <n v="1"/>
    <n v="0.13959440834810002"/>
    <s v="April"/>
  </r>
  <r>
    <x v="0"/>
    <s v="RQX"/>
    <x v="4"/>
    <x v="106"/>
    <n v="10777"/>
    <n v="0"/>
    <n v="1940"/>
    <n v="0"/>
    <n v="198"/>
    <n v="24"/>
    <x v="0"/>
    <x v="0"/>
    <x v="0"/>
    <n v="0.18001299062818965"/>
    <n v="10777"/>
    <n v="1"/>
    <n v="2.2269648325136866E-3"/>
    <s v="April"/>
  </r>
  <r>
    <x v="0"/>
    <s v="RXR"/>
    <x v="3"/>
    <x v="107"/>
    <n v="13049"/>
    <n v="10635"/>
    <n v="4198"/>
    <n v="439"/>
    <n v="643"/>
    <n v="814"/>
    <x v="0"/>
    <x v="0"/>
    <x v="0"/>
    <n v="0.3217104758985363"/>
    <n v="23684"/>
    <n v="1"/>
    <n v="6.2380259023679975E-2"/>
    <s v="April"/>
  </r>
  <r>
    <x v="0"/>
    <s v="Y03218"/>
    <x v="4"/>
    <x v="108"/>
    <n v="0"/>
    <n v="889"/>
    <n v="0"/>
    <n v="0"/>
    <n v="0"/>
    <n v="0"/>
    <x v="0"/>
    <x v="0"/>
    <x v="0"/>
    <n v="0"/>
    <n v="889"/>
    <n v="1"/>
    <n v="0"/>
    <s v="April"/>
  </r>
  <r>
    <x v="0"/>
    <s v="8J094"/>
    <x v="5"/>
    <x v="109"/>
    <n v="0"/>
    <n v="0"/>
    <n v="0"/>
    <n v="0"/>
    <n v="0"/>
    <n v="0"/>
    <x v="0"/>
    <x v="0"/>
    <x v="0"/>
    <n v="0"/>
    <n v="0"/>
    <n v="1"/>
    <n v="0"/>
    <s v="April"/>
  </r>
  <r>
    <x v="0"/>
    <s v="DT301"/>
    <x v="2"/>
    <x v="110"/>
    <n v="0"/>
    <n v="2137"/>
    <n v="0"/>
    <n v="83"/>
    <n v="0"/>
    <n v="0"/>
    <x v="0"/>
    <x v="0"/>
    <x v="0"/>
    <n v="0"/>
    <n v="2137"/>
    <n v="1"/>
    <n v="0"/>
    <s v="April"/>
  </r>
  <r>
    <x v="0"/>
    <s v="NQT51"/>
    <x v="0"/>
    <x v="111"/>
    <n v="0"/>
    <n v="1209"/>
    <n v="0"/>
    <n v="0"/>
    <n v="0"/>
    <n v="0"/>
    <x v="0"/>
    <x v="0"/>
    <x v="0"/>
    <n v="0"/>
    <n v="1209"/>
    <n v="1"/>
    <n v="0"/>
    <s v="April"/>
  </r>
  <r>
    <x v="0"/>
    <s v="NTPAD"/>
    <x v="0"/>
    <x v="112"/>
    <n v="0"/>
    <n v="5249"/>
    <n v="0"/>
    <n v="207"/>
    <n v="0"/>
    <n v="0"/>
    <x v="0"/>
    <x v="0"/>
    <x v="0"/>
    <n v="0"/>
    <n v="5249"/>
    <n v="1"/>
    <n v="0"/>
    <s v="April"/>
  </r>
  <r>
    <x v="0"/>
    <s v="RA9"/>
    <x v="1"/>
    <x v="113"/>
    <n v="6336"/>
    <n v="3247"/>
    <n v="2613"/>
    <n v="15"/>
    <n v="202"/>
    <n v="23"/>
    <x v="0"/>
    <x v="0"/>
    <x v="0"/>
    <n v="0.41240530303030304"/>
    <n v="9583"/>
    <n v="1"/>
    <n v="3.630050505050505E-3"/>
    <s v="April"/>
  </r>
  <r>
    <x v="0"/>
    <s v="RAX"/>
    <x v="4"/>
    <x v="114"/>
    <n v="6646"/>
    <n v="8505"/>
    <n v="3351"/>
    <n v="257"/>
    <n v="135"/>
    <n v="504"/>
    <x v="0"/>
    <x v="0"/>
    <x v="0"/>
    <n v="0.50421306048751124"/>
    <n v="15151"/>
    <n v="1"/>
    <n v="7.5835088775203133E-2"/>
    <s v="April"/>
  </r>
  <r>
    <x v="0"/>
    <s v="RR7"/>
    <x v="6"/>
    <x v="115"/>
    <n v="5888"/>
    <n v="3944"/>
    <n v="2646"/>
    <n v="50"/>
    <n v="796"/>
    <n v="0"/>
    <x v="0"/>
    <x v="0"/>
    <x v="0"/>
    <n v="0.44938858695652173"/>
    <n v="9832"/>
    <n v="1"/>
    <n v="0"/>
    <s v="April"/>
  </r>
  <r>
    <x v="0"/>
    <s v="Y00751"/>
    <x v="0"/>
    <x v="116"/>
    <n v="0"/>
    <n v="0"/>
    <n v="0"/>
    <n v="0"/>
    <n v="0"/>
    <n v="0"/>
    <x v="0"/>
    <x v="0"/>
    <x v="0"/>
    <n v="0"/>
    <n v="0"/>
    <n v="1"/>
    <n v="0"/>
    <s v="April"/>
  </r>
  <r>
    <x v="0"/>
    <s v="Y02147"/>
    <x v="4"/>
    <x v="117"/>
    <n v="0"/>
    <n v="7961"/>
    <n v="0"/>
    <n v="133"/>
    <n v="0"/>
    <n v="0"/>
    <x v="0"/>
    <x v="0"/>
    <x v="0"/>
    <n v="0"/>
    <n v="7961"/>
    <n v="1"/>
    <n v="0"/>
    <s v="April"/>
  </r>
  <r>
    <x v="0"/>
    <s v="Y03007"/>
    <x v="5"/>
    <x v="118"/>
    <n v="0"/>
    <n v="0"/>
    <n v="0"/>
    <n v="0"/>
    <n v="0"/>
    <n v="0"/>
    <x v="0"/>
    <x v="0"/>
    <x v="0"/>
    <n v="0"/>
    <n v="0"/>
    <n v="1"/>
    <n v="0"/>
    <s v="April"/>
  </r>
  <r>
    <x v="0"/>
    <s v="ACH01"/>
    <x v="0"/>
    <x v="119"/>
    <n v="0"/>
    <n v="4951"/>
    <n v="0"/>
    <n v="0"/>
    <n v="0"/>
    <n v="0"/>
    <x v="0"/>
    <x v="0"/>
    <x v="0"/>
    <n v="0"/>
    <n v="4951"/>
    <n v="1"/>
    <n v="0"/>
    <s v="April"/>
  </r>
  <r>
    <x v="0"/>
    <s v="G0Q0L"/>
    <x v="4"/>
    <x v="120"/>
    <n v="0"/>
    <n v="2768"/>
    <n v="0"/>
    <n v="13"/>
    <n v="0"/>
    <n v="0"/>
    <x v="0"/>
    <x v="0"/>
    <x v="0"/>
    <n v="0"/>
    <n v="2768"/>
    <n v="1"/>
    <n v="0"/>
    <s v="April"/>
  </r>
  <r>
    <x v="0"/>
    <s v="K6K0R"/>
    <x v="4"/>
    <x v="121"/>
    <n v="0"/>
    <n v="2491"/>
    <n v="0"/>
    <n v="10"/>
    <n v="0"/>
    <n v="0"/>
    <x v="0"/>
    <x v="0"/>
    <x v="0"/>
    <n v="0"/>
    <n v="2491"/>
    <n v="1"/>
    <n v="0"/>
    <s v="April"/>
  </r>
  <r>
    <x v="0"/>
    <s v="RYY"/>
    <x v="0"/>
    <x v="122"/>
    <n v="0"/>
    <n v="9195"/>
    <n v="0"/>
    <n v="31"/>
    <n v="0"/>
    <n v="0"/>
    <x v="0"/>
    <x v="0"/>
    <x v="0"/>
    <n v="0"/>
    <n v="9195"/>
    <n v="1"/>
    <n v="0"/>
    <s v="April"/>
  </r>
  <r>
    <x v="0"/>
    <s v="RLQ"/>
    <x v="5"/>
    <x v="123"/>
    <n v="5878"/>
    <n v="114"/>
    <n v="3041"/>
    <n v="0"/>
    <n v="429"/>
    <n v="277"/>
    <x v="0"/>
    <x v="0"/>
    <x v="0"/>
    <n v="0.51735284110241575"/>
    <n v="5992"/>
    <n v="1"/>
    <n v="4.712487240558013E-2"/>
    <s v="April"/>
  </r>
  <r>
    <x v="0"/>
    <s v="RW4"/>
    <x v="3"/>
    <x v="124"/>
    <n v="0"/>
    <n v="13070"/>
    <n v="0"/>
    <n v="194"/>
    <n v="0"/>
    <n v="0"/>
    <x v="0"/>
    <x v="0"/>
    <x v="0"/>
    <n v="0"/>
    <n v="13070"/>
    <n v="1"/>
    <n v="0"/>
    <s v="April"/>
  </r>
  <r>
    <x v="0"/>
    <s v="RJN"/>
    <x v="3"/>
    <x v="125"/>
    <n v="4406"/>
    <n v="0"/>
    <n v="2314"/>
    <n v="0"/>
    <n v="163"/>
    <n v="278"/>
    <x v="0"/>
    <x v="0"/>
    <x v="0"/>
    <n v="0.52519291874716301"/>
    <n v="4406"/>
    <n v="1"/>
    <n v="6.3095778483885617E-2"/>
    <s v="April"/>
  </r>
  <r>
    <x v="0"/>
    <s v="RTQ"/>
    <x v="1"/>
    <x v="126"/>
    <n v="0"/>
    <n v="8409"/>
    <n v="0"/>
    <n v="170"/>
    <n v="0"/>
    <n v="0"/>
    <x v="0"/>
    <x v="0"/>
    <x v="0"/>
    <n v="0"/>
    <n v="8409"/>
    <n v="1"/>
    <n v="0"/>
    <s v="April"/>
  </r>
  <r>
    <x v="0"/>
    <s v="NTV0B"/>
    <x v="0"/>
    <x v="127"/>
    <n v="0"/>
    <n v="2333"/>
    <n v="0"/>
    <n v="49"/>
    <n v="0"/>
    <n v="0"/>
    <x v="0"/>
    <x v="0"/>
    <x v="0"/>
    <n v="0"/>
    <n v="2333"/>
    <n v="1"/>
    <n v="0"/>
    <s v="April"/>
  </r>
  <r>
    <x v="0"/>
    <s v="NTV0W"/>
    <x v="0"/>
    <x v="128"/>
    <n v="0"/>
    <n v="2528"/>
    <n v="0"/>
    <n v="58"/>
    <n v="0"/>
    <n v="0"/>
    <x v="0"/>
    <x v="0"/>
    <x v="0"/>
    <n v="0"/>
    <n v="2528"/>
    <n v="1"/>
    <n v="0"/>
    <s v="April"/>
  </r>
  <r>
    <x v="0"/>
    <s v="Y02615"/>
    <x v="5"/>
    <x v="129"/>
    <n v="0"/>
    <n v="6628"/>
    <n v="0"/>
    <n v="0"/>
    <n v="0"/>
    <n v="0"/>
    <x v="0"/>
    <x v="0"/>
    <x v="0"/>
    <n v="0"/>
    <n v="6628"/>
    <n v="1"/>
    <n v="0"/>
    <s v="April"/>
  </r>
  <r>
    <x v="0"/>
    <s v="AQN04"/>
    <x v="0"/>
    <x v="130"/>
    <n v="0"/>
    <n v="3297"/>
    <n v="0"/>
    <n v="42"/>
    <n v="0"/>
    <n v="0"/>
    <x v="0"/>
    <x v="0"/>
    <x v="0"/>
    <n v="0"/>
    <n v="3297"/>
    <n v="1"/>
    <n v="0"/>
    <s v="April"/>
  </r>
  <r>
    <x v="0"/>
    <s v="C82038"/>
    <x v="5"/>
    <x v="131"/>
    <n v="0"/>
    <n v="338"/>
    <n v="0"/>
    <n v="0"/>
    <n v="0"/>
    <n v="0"/>
    <x v="0"/>
    <x v="0"/>
    <x v="0"/>
    <n v="0"/>
    <n v="338"/>
    <n v="1"/>
    <n v="0"/>
    <s v="April"/>
  </r>
  <r>
    <x v="0"/>
    <s v="NQTE4"/>
    <x v="5"/>
    <x v="132"/>
    <n v="0"/>
    <n v="3055"/>
    <n v="0"/>
    <n v="0"/>
    <n v="0"/>
    <n v="0"/>
    <x v="0"/>
    <x v="0"/>
    <x v="0"/>
    <n v="0"/>
    <n v="3055"/>
    <n v="1"/>
    <n v="0"/>
    <s v="April"/>
  </r>
  <r>
    <x v="0"/>
    <s v="RBQ"/>
    <x v="3"/>
    <x v="133"/>
    <n v="0"/>
    <n v="0"/>
    <n v="0"/>
    <n v="0"/>
    <n v="0"/>
    <n v="0"/>
    <x v="0"/>
    <x v="0"/>
    <x v="0"/>
    <n v="0"/>
    <n v="0"/>
    <n v="1"/>
    <n v="0"/>
    <s v="April"/>
  </r>
  <r>
    <x v="0"/>
    <s v="RCD"/>
    <x v="6"/>
    <x v="134"/>
    <n v="4918"/>
    <n v="969"/>
    <n v="1081"/>
    <n v="1"/>
    <n v="185"/>
    <n v="2"/>
    <x v="0"/>
    <x v="0"/>
    <x v="0"/>
    <n v="0.21980479869865799"/>
    <n v="5887"/>
    <n v="1"/>
    <n v="4.0666937779585197E-4"/>
    <s v="April"/>
  </r>
  <r>
    <x v="0"/>
    <s v="RJ8"/>
    <x v="1"/>
    <x v="135"/>
    <n v="0"/>
    <n v="0"/>
    <n v="0"/>
    <n v="0"/>
    <n v="0"/>
    <n v="0"/>
    <x v="0"/>
    <x v="0"/>
    <x v="0"/>
    <n v="0"/>
    <n v="0"/>
    <n v="1"/>
    <n v="0"/>
    <s v="April"/>
  </r>
  <r>
    <x v="0"/>
    <s v="RTP"/>
    <x v="0"/>
    <x v="136"/>
    <n v="10067"/>
    <n v="0"/>
    <n v="3783"/>
    <n v="0"/>
    <n v="507"/>
    <n v="609"/>
    <x v="0"/>
    <x v="0"/>
    <x v="0"/>
    <n v="0.37578225886560046"/>
    <n v="10067"/>
    <n v="1"/>
    <n v="6.0494685606436872E-2"/>
    <s v="April"/>
  </r>
  <r>
    <x v="0"/>
    <s v="RW1"/>
    <x v="0"/>
    <x v="137"/>
    <n v="0"/>
    <n v="2866"/>
    <n v="0"/>
    <n v="70"/>
    <n v="0"/>
    <n v="0"/>
    <x v="0"/>
    <x v="0"/>
    <x v="0"/>
    <n v="0"/>
    <n v="2866"/>
    <n v="1"/>
    <n v="0"/>
    <s v="April"/>
  </r>
  <r>
    <x v="0"/>
    <s v="RWY"/>
    <x v="6"/>
    <x v="138"/>
    <n v="15871"/>
    <n v="0"/>
    <n v="2746"/>
    <n v="0"/>
    <n v="944"/>
    <n v="24"/>
    <x v="0"/>
    <x v="0"/>
    <x v="0"/>
    <n v="0.17301997353663914"/>
    <n v="15871"/>
    <n v="1"/>
    <n v="1.5121920483901455E-3"/>
    <s v="April"/>
  </r>
  <r>
    <x v="0"/>
    <s v="RY7"/>
    <x v="3"/>
    <x v="139"/>
    <n v="0"/>
    <n v="4134"/>
    <n v="0"/>
    <n v="265"/>
    <n v="0"/>
    <n v="0"/>
    <x v="0"/>
    <x v="0"/>
    <x v="0"/>
    <n v="0"/>
    <n v="4134"/>
    <n v="1"/>
    <n v="0"/>
    <s v="April"/>
  </r>
  <r>
    <x v="0"/>
    <s v="Y02428"/>
    <x v="2"/>
    <x v="140"/>
    <n v="0"/>
    <n v="2729"/>
    <n v="0"/>
    <n v="0"/>
    <n v="0"/>
    <n v="0"/>
    <x v="0"/>
    <x v="0"/>
    <x v="0"/>
    <n v="0"/>
    <n v="2729"/>
    <n v="1"/>
    <n v="0"/>
    <s v="April"/>
  </r>
  <r>
    <x v="0"/>
    <s v="Y02532"/>
    <x v="3"/>
    <x v="141"/>
    <n v="0"/>
    <n v="1583"/>
    <n v="0"/>
    <n v="0"/>
    <n v="0"/>
    <n v="0"/>
    <x v="0"/>
    <x v="0"/>
    <x v="0"/>
    <n v="0"/>
    <n v="1583"/>
    <n v="1"/>
    <n v="0"/>
    <s v="April"/>
  </r>
  <r>
    <x v="0"/>
    <s v="NL7"/>
    <x v="5"/>
    <x v="142"/>
    <n v="0"/>
    <n v="3148"/>
    <n v="0"/>
    <n v="0"/>
    <n v="0"/>
    <n v="0"/>
    <x v="0"/>
    <x v="0"/>
    <x v="0"/>
    <n v="0"/>
    <n v="3148"/>
    <n v="1"/>
    <n v="0"/>
    <s v="April"/>
  </r>
  <r>
    <x v="0"/>
    <s v="NQT5F"/>
    <x v="3"/>
    <x v="143"/>
    <n v="0"/>
    <n v="1730"/>
    <n v="0"/>
    <n v="6"/>
    <n v="0"/>
    <n v="0"/>
    <x v="0"/>
    <x v="0"/>
    <x v="0"/>
    <n v="0"/>
    <n v="1730"/>
    <n v="1"/>
    <n v="0"/>
    <s v="April"/>
  </r>
  <r>
    <x v="0"/>
    <s v="NQT5H"/>
    <x v="1"/>
    <x v="144"/>
    <n v="0"/>
    <n v="913"/>
    <n v="0"/>
    <n v="5"/>
    <n v="0"/>
    <n v="0"/>
    <x v="0"/>
    <x v="0"/>
    <x v="0"/>
    <n v="0"/>
    <n v="913"/>
    <n v="1"/>
    <n v="0"/>
    <s v="April"/>
  </r>
  <r>
    <x v="0"/>
    <s v="RDY"/>
    <x v="1"/>
    <x v="145"/>
    <n v="0"/>
    <n v="0"/>
    <n v="0"/>
    <n v="0"/>
    <n v="0"/>
    <n v="0"/>
    <x v="0"/>
    <x v="0"/>
    <x v="0"/>
    <n v="0"/>
    <n v="0"/>
    <n v="1"/>
    <n v="0"/>
    <s v="April"/>
  </r>
  <r>
    <x v="0"/>
    <s v="RGP"/>
    <x v="2"/>
    <x v="146"/>
    <n v="7431"/>
    <n v="1387"/>
    <n v="3244"/>
    <n v="0"/>
    <n v="615"/>
    <n v="344"/>
    <x v="0"/>
    <x v="0"/>
    <x v="0"/>
    <n v="0.43654958955726014"/>
    <n v="8818"/>
    <n v="1"/>
    <n v="4.629255820212623E-2"/>
    <s v="April"/>
  </r>
  <r>
    <x v="0"/>
    <s v="RTR"/>
    <x v="6"/>
    <x v="147"/>
    <n v="7386"/>
    <n v="9340"/>
    <n v="3650"/>
    <n v="556"/>
    <n v="318"/>
    <n v="13"/>
    <x v="0"/>
    <x v="0"/>
    <x v="0"/>
    <n v="0.49417817492553479"/>
    <n v="16726"/>
    <n v="1"/>
    <n v="1.760086650419713E-3"/>
    <s v="April"/>
  </r>
  <r>
    <x v="0"/>
    <s v="RV9"/>
    <x v="6"/>
    <x v="148"/>
    <n v="0"/>
    <n v="1134"/>
    <n v="0"/>
    <n v="0"/>
    <n v="0"/>
    <n v="0"/>
    <x v="0"/>
    <x v="0"/>
    <x v="0"/>
    <n v="0"/>
    <n v="1134"/>
    <n v="1"/>
    <n v="0"/>
    <s v="April"/>
  </r>
  <r>
    <x v="0"/>
    <s v="AAH"/>
    <x v="1"/>
    <x v="149"/>
    <n v="0"/>
    <n v="536"/>
    <n v="0"/>
    <n v="0"/>
    <n v="0"/>
    <n v="0"/>
    <x v="0"/>
    <x v="0"/>
    <x v="0"/>
    <n v="0"/>
    <n v="536"/>
    <n v="1"/>
    <n v="0"/>
    <s v="April"/>
  </r>
  <r>
    <x v="0"/>
    <s v="RQW"/>
    <x v="2"/>
    <x v="150"/>
    <n v="7467"/>
    <n v="1919"/>
    <n v="3194"/>
    <n v="0"/>
    <n v="379"/>
    <n v="87"/>
    <x v="0"/>
    <x v="0"/>
    <x v="0"/>
    <n v="0.42774876121601713"/>
    <n v="9386"/>
    <n v="1"/>
    <n v="1.1651265568501407E-2"/>
    <s v="April"/>
  </r>
  <r>
    <x v="0"/>
    <s v="RY5"/>
    <x v="5"/>
    <x v="151"/>
    <n v="0"/>
    <n v="8540"/>
    <n v="0"/>
    <n v="187"/>
    <n v="0"/>
    <n v="0"/>
    <x v="0"/>
    <x v="0"/>
    <x v="0"/>
    <n v="0"/>
    <n v="8540"/>
    <n v="1"/>
    <n v="0"/>
    <s v="April"/>
  </r>
  <r>
    <x v="0"/>
    <s v="RY8"/>
    <x v="5"/>
    <x v="152"/>
    <n v="0"/>
    <n v="8013"/>
    <n v="0"/>
    <n v="168"/>
    <n v="0"/>
    <n v="0"/>
    <x v="0"/>
    <x v="0"/>
    <x v="0"/>
    <n v="0"/>
    <n v="8013"/>
    <n v="1"/>
    <n v="0"/>
    <s v="April"/>
  </r>
  <r>
    <x v="0"/>
    <s v="A5D4Q"/>
    <x v="5"/>
    <x v="153"/>
    <n v="0"/>
    <n v="3399"/>
    <n v="0"/>
    <n v="777"/>
    <n v="0"/>
    <n v="0"/>
    <x v="0"/>
    <x v="0"/>
    <x v="0"/>
    <n v="0"/>
    <n v="3399"/>
    <n v="1"/>
    <n v="0"/>
    <s v="April"/>
  </r>
  <r>
    <x v="0"/>
    <s v="NTP11"/>
    <x v="0"/>
    <x v="154"/>
    <n v="0"/>
    <n v="5503"/>
    <n v="0"/>
    <n v="54"/>
    <n v="0"/>
    <n v="0"/>
    <x v="0"/>
    <x v="0"/>
    <x v="0"/>
    <n v="0"/>
    <n v="5503"/>
    <n v="1"/>
    <n v="0"/>
    <s v="April"/>
  </r>
  <r>
    <x v="0"/>
    <s v="R0A"/>
    <x v="3"/>
    <x v="155"/>
    <n v="24296"/>
    <n v="11474"/>
    <n v="10628"/>
    <n v="633"/>
    <n v="3597"/>
    <n v="101"/>
    <x v="0"/>
    <x v="0"/>
    <x v="0"/>
    <n v="0.43743826144221271"/>
    <n v="35770"/>
    <n v="1"/>
    <n v="4.1570628910108662E-3"/>
    <s v="April"/>
  </r>
  <r>
    <x v="0"/>
    <s v="R0B"/>
    <x v="6"/>
    <x v="156"/>
    <n v="11042"/>
    <n v="6082"/>
    <n v="5342"/>
    <n v="161"/>
    <n v="814"/>
    <n v="15"/>
    <x v="0"/>
    <x v="0"/>
    <x v="0"/>
    <n v="0.48378916862887156"/>
    <n v="17124"/>
    <n v="1"/>
    <n v="1.3584495562398117E-3"/>
    <s v="April"/>
  </r>
  <r>
    <x v="0"/>
    <s v="R0D"/>
    <x v="1"/>
    <x v="157"/>
    <n v="13652"/>
    <n v="5432"/>
    <n v="5603"/>
    <n v="0"/>
    <n v="902"/>
    <n v="185"/>
    <x v="0"/>
    <x v="0"/>
    <x v="0"/>
    <n v="0.41041605625549371"/>
    <n v="19084"/>
    <n v="1"/>
    <n v="1.3551128039847642E-2"/>
    <s v="April"/>
  </r>
  <r>
    <x v="0"/>
    <s v="RA7"/>
    <x v="1"/>
    <x v="158"/>
    <n v="14960"/>
    <n v="0"/>
    <n v="5377"/>
    <n v="0"/>
    <n v="1107"/>
    <n v="486"/>
    <x v="0"/>
    <x v="0"/>
    <x v="0"/>
    <n v="0.35942513368983958"/>
    <n v="14960"/>
    <n v="1"/>
    <n v="3.248663101604278E-2"/>
    <s v="April"/>
  </r>
  <r>
    <x v="0"/>
    <s v="RBK"/>
    <x v="5"/>
    <x v="159"/>
    <n v="9005"/>
    <n v="4288"/>
    <n v="3149"/>
    <n v="101"/>
    <n v="987"/>
    <n v="238"/>
    <x v="0"/>
    <x v="0"/>
    <x v="0"/>
    <n v="0.34969461410327596"/>
    <n v="13293"/>
    <n v="1"/>
    <n v="2.6429761243753472E-2"/>
    <s v="April"/>
  </r>
  <r>
    <x v="0"/>
    <s v="RBS"/>
    <x v="3"/>
    <x v="160"/>
    <n v="5674"/>
    <n v="0"/>
    <n v="804"/>
    <n v="0"/>
    <n v="1"/>
    <n v="0"/>
    <x v="0"/>
    <x v="0"/>
    <x v="0"/>
    <n v="0.14169897779344379"/>
    <n v="5674"/>
    <n v="1"/>
    <n v="0"/>
    <s v="April"/>
  </r>
  <r>
    <x v="0"/>
    <s v="RC9"/>
    <x v="2"/>
    <x v="161"/>
    <n v="16149"/>
    <n v="7907"/>
    <n v="6626"/>
    <n v="0"/>
    <n v="80"/>
    <n v="4"/>
    <x v="0"/>
    <x v="0"/>
    <x v="0"/>
    <n v="0.41030404359403061"/>
    <n v="24056"/>
    <n v="1"/>
    <n v="2.4769335562573535E-4"/>
    <s v="April"/>
  </r>
  <r>
    <x v="0"/>
    <s v="RCF"/>
    <x v="6"/>
    <x v="162"/>
    <n v="5994"/>
    <n v="0"/>
    <n v="2246"/>
    <n v="0"/>
    <n v="381"/>
    <n v="116"/>
    <x v="0"/>
    <x v="0"/>
    <x v="0"/>
    <n v="0.37470804137470803"/>
    <n v="5994"/>
    <n v="1"/>
    <n v="1.9352686019352687E-2"/>
    <s v="April"/>
  </r>
  <r>
    <x v="0"/>
    <s v="RH8"/>
    <x v="1"/>
    <x v="163"/>
    <n v="12301"/>
    <n v="4080"/>
    <n v="4983"/>
    <n v="6"/>
    <n v="932"/>
    <n v="214"/>
    <x v="0"/>
    <x v="0"/>
    <x v="0"/>
    <n v="0.40508901715307699"/>
    <n v="16381"/>
    <n v="1"/>
    <n v="1.739695959678075E-2"/>
    <s v="April"/>
  </r>
  <r>
    <x v="0"/>
    <s v="RJL"/>
    <x v="6"/>
    <x v="164"/>
    <n v="9087"/>
    <n v="7047"/>
    <n v="4947"/>
    <n v="82"/>
    <n v="654"/>
    <n v="800"/>
    <x v="0"/>
    <x v="0"/>
    <x v="0"/>
    <n v="0.54440409376031695"/>
    <n v="16134"/>
    <n v="1"/>
    <n v="8.8037856278199628E-2"/>
    <s v="April"/>
  </r>
  <r>
    <x v="0"/>
    <s v="RL4"/>
    <x v="5"/>
    <x v="165"/>
    <n v="12293"/>
    <n v="8309"/>
    <n v="3523"/>
    <n v="192"/>
    <n v="989"/>
    <n v="244"/>
    <x v="0"/>
    <x v="0"/>
    <x v="0"/>
    <n v="0.28658586187261043"/>
    <n v="20602"/>
    <n v="1"/>
    <n v="1.984869437891483E-2"/>
    <s v="April"/>
  </r>
  <r>
    <x v="0"/>
    <s v="RMP"/>
    <x v="3"/>
    <x v="166"/>
    <n v="8544"/>
    <n v="2878"/>
    <n v="3997"/>
    <n v="17"/>
    <n v="574"/>
    <n v="368"/>
    <x v="0"/>
    <x v="0"/>
    <x v="0"/>
    <n v="0.46781367041198502"/>
    <n v="11422"/>
    <n v="1"/>
    <n v="4.307116104868914E-2"/>
    <s v="April"/>
  </r>
  <r>
    <x v="0"/>
    <s v="RN3"/>
    <x v="1"/>
    <x v="167"/>
    <n v="5552"/>
    <n v="5481"/>
    <n v="2911"/>
    <n v="443"/>
    <n v="540"/>
    <n v="342"/>
    <x v="0"/>
    <x v="0"/>
    <x v="0"/>
    <n v="0.52431556195965423"/>
    <n v="11033"/>
    <n v="1"/>
    <n v="6.1599423631123917E-2"/>
    <s v="April"/>
  </r>
  <r>
    <x v="0"/>
    <s v="RNA"/>
    <x v="5"/>
    <x v="168"/>
    <n v="9578"/>
    <n v="4106"/>
    <n v="3362"/>
    <n v="120"/>
    <n v="1921"/>
    <n v="145"/>
    <x v="0"/>
    <x v="0"/>
    <x v="0"/>
    <n v="0.35101273752349132"/>
    <n v="13684"/>
    <n v="1"/>
    <n v="1.5138859887241595E-2"/>
    <s v="April"/>
  </r>
  <r>
    <x v="0"/>
    <s v="RNQ"/>
    <x v="5"/>
    <x v="169"/>
    <n v="9774"/>
    <n v="8433"/>
    <n v="3753"/>
    <n v="125"/>
    <n v="562"/>
    <n v="815"/>
    <x v="0"/>
    <x v="0"/>
    <x v="0"/>
    <n v="0.38397790055248621"/>
    <n v="18207"/>
    <n v="1"/>
    <n v="8.3384489461837533E-2"/>
    <s v="April"/>
  </r>
  <r>
    <x v="0"/>
    <s v="RWP"/>
    <x v="5"/>
    <x v="170"/>
    <n v="13649"/>
    <n v="5858"/>
    <n v="7557"/>
    <n v="66"/>
    <n v="793"/>
    <n v="880"/>
    <x v="0"/>
    <x v="0"/>
    <x v="0"/>
    <n v="0.55366693530661582"/>
    <n v="19507"/>
    <n v="1"/>
    <n v="6.4473587808630675E-2"/>
    <s v="April"/>
  </r>
  <r>
    <x v="0"/>
    <s v="RRV"/>
    <x v="4"/>
    <x v="171"/>
    <n v="12998"/>
    <n v="0"/>
    <n v="3829"/>
    <n v="0"/>
    <n v="427"/>
    <n v="126"/>
    <x v="0"/>
    <x v="0"/>
    <x v="0"/>
    <n v="0.29458378212032621"/>
    <n v="12998"/>
    <n v="1"/>
    <n v="9.6937990460070778E-3"/>
    <s v="April"/>
  </r>
  <r>
    <x v="0"/>
    <s v="RY4"/>
    <x v="2"/>
    <x v="172"/>
    <n v="0"/>
    <n v="1182"/>
    <n v="0"/>
    <n v="37"/>
    <n v="0"/>
    <n v="0"/>
    <x v="0"/>
    <x v="0"/>
    <x v="0"/>
    <n v="0"/>
    <n v="1182"/>
    <n v="1"/>
    <n v="0"/>
    <s v="April"/>
  </r>
  <r>
    <x v="0"/>
    <s v="RY2"/>
    <x v="3"/>
    <x v="173"/>
    <n v="0"/>
    <n v="3003"/>
    <n v="0"/>
    <n v="178"/>
    <n v="0"/>
    <n v="0"/>
    <x v="0"/>
    <x v="0"/>
    <x v="0"/>
    <n v="0"/>
    <n v="3003"/>
    <n v="1"/>
    <n v="0"/>
    <s v="April"/>
  </r>
  <r>
    <x v="0"/>
    <s v="RAS"/>
    <x v="4"/>
    <x v="174"/>
    <n v="5926"/>
    <n v="6844"/>
    <n v="3174"/>
    <n v="49"/>
    <n v="583"/>
    <n v="78"/>
    <x v="0"/>
    <x v="0"/>
    <x v="0"/>
    <n v="0.53560580492743837"/>
    <n v="12770"/>
    <n v="1"/>
    <n v="1.3162335470806615E-2"/>
    <s v="April"/>
  </r>
  <r>
    <x v="0"/>
    <s v="RX1"/>
    <x v="5"/>
    <x v="175"/>
    <n v="12371"/>
    <n v="542"/>
    <n v="6491"/>
    <n v="123"/>
    <n v="254"/>
    <n v="581"/>
    <x v="0"/>
    <x v="0"/>
    <x v="0"/>
    <n v="0.5246948508608843"/>
    <n v="12913"/>
    <n v="1"/>
    <n v="4.6964675450650716E-2"/>
    <s v="April"/>
  </r>
  <r>
    <x v="0"/>
    <s v="RXK"/>
    <x v="5"/>
    <x v="176"/>
    <n v="10840"/>
    <n v="8329"/>
    <n v="4504"/>
    <n v="146"/>
    <n v="808"/>
    <n v="270"/>
    <x v="0"/>
    <x v="0"/>
    <x v="0"/>
    <n v="0.41549815498154979"/>
    <n v="19169"/>
    <n v="1"/>
    <n v="2.4907749077490774E-2"/>
    <s v="April"/>
  </r>
  <r>
    <x v="0"/>
    <s v="RXF"/>
    <x v="6"/>
    <x v="177"/>
    <n v="16584"/>
    <n v="5751"/>
    <n v="6218"/>
    <n v="340"/>
    <n v="2070"/>
    <n v="311"/>
    <x v="0"/>
    <x v="0"/>
    <x v="0"/>
    <n v="0.37493970091654605"/>
    <n v="22335"/>
    <n v="1"/>
    <n v="1.8753014954172698E-2"/>
    <s v="April"/>
  </r>
  <r>
    <x v="0"/>
    <s v="ARN03"/>
    <x v="6"/>
    <x v="178"/>
    <n v="0"/>
    <n v="2226"/>
    <n v="0"/>
    <n v="9"/>
    <n v="0"/>
    <n v="0"/>
    <x v="0"/>
    <x v="0"/>
    <x v="0"/>
    <n v="0"/>
    <n v="2226"/>
    <n v="1"/>
    <n v="0"/>
    <s v="April"/>
  </r>
  <r>
    <x v="0"/>
    <s v="C82009"/>
    <x v="5"/>
    <x v="179"/>
    <n v="0"/>
    <n v="266"/>
    <n v="0"/>
    <n v="0"/>
    <n v="0"/>
    <n v="0"/>
    <x v="0"/>
    <x v="0"/>
    <x v="0"/>
    <n v="0"/>
    <n v="266"/>
    <n v="1"/>
    <n v="0"/>
    <s v="April"/>
  </r>
  <r>
    <x v="0"/>
    <s v="L83087"/>
    <x v="1"/>
    <x v="180"/>
    <n v="0"/>
    <n v="77"/>
    <n v="0"/>
    <n v="0"/>
    <n v="0"/>
    <n v="0"/>
    <x v="0"/>
    <x v="0"/>
    <x v="0"/>
    <n v="0"/>
    <n v="77"/>
    <n v="1"/>
    <n v="0"/>
    <s v="April"/>
  </r>
  <r>
    <x v="0"/>
    <s v="NLX"/>
    <x v="1"/>
    <x v="181"/>
    <n v="0"/>
    <n v="8692"/>
    <n v="0"/>
    <n v="328"/>
    <n v="0"/>
    <n v="0"/>
    <x v="0"/>
    <x v="0"/>
    <x v="0"/>
    <n v="0"/>
    <n v="8692"/>
    <n v="1"/>
    <n v="0"/>
    <s v="April"/>
  </r>
  <r>
    <x v="0"/>
    <s v="RAT"/>
    <x v="4"/>
    <x v="182"/>
    <n v="0"/>
    <n v="1730"/>
    <n v="0"/>
    <n v="63"/>
    <n v="0"/>
    <n v="0"/>
    <x v="0"/>
    <x v="0"/>
    <x v="0"/>
    <n v="0"/>
    <n v="1730"/>
    <n v="1"/>
    <n v="0"/>
    <s v="April"/>
  </r>
  <r>
    <x v="0"/>
    <s v="RBD"/>
    <x v="1"/>
    <x v="183"/>
    <n v="4319"/>
    <n v="0"/>
    <n v="1549"/>
    <n v="0"/>
    <n v="201"/>
    <n v="25"/>
    <x v="0"/>
    <x v="0"/>
    <x v="0"/>
    <n v="0.35864783514702475"/>
    <n v="4319"/>
    <n v="1"/>
    <n v="5.788376939106275E-3"/>
    <s v="April"/>
  </r>
  <r>
    <x v="0"/>
    <s v="RCU"/>
    <x v="6"/>
    <x v="184"/>
    <n v="4162"/>
    <n v="351"/>
    <n v="299"/>
    <n v="0"/>
    <n v="7"/>
    <n v="0"/>
    <x v="0"/>
    <x v="0"/>
    <x v="0"/>
    <n v="7.1840461316674681E-2"/>
    <n v="4513"/>
    <n v="1"/>
    <n v="0"/>
    <s v="April"/>
  </r>
  <r>
    <x v="0"/>
    <s v="RGN"/>
    <x v="2"/>
    <x v="185"/>
    <n v="14259"/>
    <n v="4206"/>
    <n v="5836"/>
    <n v="85"/>
    <n v="576"/>
    <n v="767"/>
    <x v="0"/>
    <x v="0"/>
    <x v="0"/>
    <n v="0.40928536362998807"/>
    <n v="18465"/>
    <n v="1"/>
    <n v="5.3790588400308578E-2"/>
    <s v="April"/>
  </r>
  <r>
    <x v="0"/>
    <s v="RGR"/>
    <x v="2"/>
    <x v="186"/>
    <n v="7602"/>
    <n v="724"/>
    <n v="1570"/>
    <n v="0"/>
    <n v="285"/>
    <n v="118"/>
    <x v="0"/>
    <x v="0"/>
    <x v="0"/>
    <n v="0.20652459878979215"/>
    <n v="8326"/>
    <n v="1"/>
    <n v="1.5522230991844252E-2"/>
    <s v="April"/>
  </r>
  <r>
    <x v="0"/>
    <s v="AJN"/>
    <x v="6"/>
    <x v="187"/>
    <n v="0"/>
    <n v="361"/>
    <n v="0"/>
    <n v="0"/>
    <n v="0"/>
    <n v="0"/>
    <x v="0"/>
    <x v="0"/>
    <x v="0"/>
    <n v="0"/>
    <n v="361"/>
    <n v="1"/>
    <n v="0"/>
    <s v="April"/>
  </r>
  <r>
    <x v="0"/>
    <s v="RJC"/>
    <x v="5"/>
    <x v="188"/>
    <n v="7824"/>
    <n v="441"/>
    <n v="2271"/>
    <n v="0"/>
    <n v="397"/>
    <n v="35"/>
    <x v="0"/>
    <x v="0"/>
    <x v="0"/>
    <n v="0.29026073619631904"/>
    <n v="8265"/>
    <n v="1"/>
    <n v="4.4734151329243353E-3"/>
    <s v="April"/>
  </r>
  <r>
    <x v="0"/>
    <s v="RJ6"/>
    <x v="4"/>
    <x v="189"/>
    <n v="12685"/>
    <n v="4850"/>
    <n v="3660"/>
    <n v="0"/>
    <n v="295"/>
    <n v="538"/>
    <x v="0"/>
    <x v="0"/>
    <x v="0"/>
    <n v="0.28852975955853372"/>
    <n v="17535"/>
    <n v="1"/>
    <n v="4.2412297989751678E-2"/>
    <s v="April"/>
  </r>
  <r>
    <x v="0"/>
    <s v="RPC"/>
    <x v="0"/>
    <x v="190"/>
    <n v="0"/>
    <n v="1450"/>
    <n v="0"/>
    <n v="15"/>
    <n v="0"/>
    <n v="0"/>
    <x v="0"/>
    <x v="0"/>
    <x v="0"/>
    <n v="0"/>
    <n v="1450"/>
    <n v="1"/>
    <n v="0"/>
    <s v="April"/>
  </r>
  <r>
    <x v="0"/>
    <s v="RPA"/>
    <x v="0"/>
    <x v="191"/>
    <n v="8901"/>
    <n v="6431"/>
    <n v="2989"/>
    <n v="693"/>
    <n v="419"/>
    <n v="412"/>
    <x v="0"/>
    <x v="0"/>
    <x v="0"/>
    <n v="0.33580496573418717"/>
    <n v="15332"/>
    <n v="1"/>
    <n v="4.6286934052353665E-2"/>
    <s v="April"/>
  </r>
  <r>
    <x v="0"/>
    <s v="RP6"/>
    <x v="4"/>
    <x v="192"/>
    <n v="0"/>
    <n v="0"/>
    <n v="0"/>
    <n v="0"/>
    <n v="0"/>
    <n v="0"/>
    <x v="0"/>
    <x v="0"/>
    <x v="0"/>
    <n v="0"/>
    <n v="0"/>
    <n v="1"/>
    <n v="0"/>
    <s v="April"/>
  </r>
  <r>
    <x v="0"/>
    <s v="RWF"/>
    <x v="0"/>
    <x v="193"/>
    <n v="17983"/>
    <n v="2285"/>
    <n v="3733"/>
    <n v="14"/>
    <n v="926"/>
    <n v="185"/>
    <x v="0"/>
    <x v="0"/>
    <x v="0"/>
    <n v="0.20758494133348163"/>
    <n v="20268"/>
    <n v="1"/>
    <n v="1.0287493744091642E-2"/>
    <s v="April"/>
  </r>
  <r>
    <x v="0"/>
    <s v="RKE"/>
    <x v="4"/>
    <x v="194"/>
    <n v="8831"/>
    <n v="0"/>
    <n v="2619"/>
    <n v="0"/>
    <n v="243"/>
    <n v="222"/>
    <x v="0"/>
    <x v="0"/>
    <x v="0"/>
    <n v="0.29656890499377192"/>
    <n v="8831"/>
    <n v="1"/>
    <n v="2.5138715887215491E-2"/>
    <s v="April"/>
  </r>
  <r>
    <x v="0"/>
    <s v="RK9"/>
    <x v="1"/>
    <x v="195"/>
    <n v="9037"/>
    <n v="5353"/>
    <n v="4695"/>
    <n v="99"/>
    <n v="506"/>
    <n v="583"/>
    <x v="0"/>
    <x v="0"/>
    <x v="0"/>
    <n v="0.51953081774925303"/>
    <n v="14390"/>
    <n v="1"/>
    <n v="6.4512559477702777E-2"/>
    <s v="April"/>
  </r>
  <r>
    <x v="0"/>
    <s v="RJZ"/>
    <x v="4"/>
    <x v="196"/>
    <n v="15261"/>
    <n v="9200"/>
    <n v="6420"/>
    <n v="464"/>
    <n v="1693"/>
    <n v="583"/>
    <x v="0"/>
    <x v="0"/>
    <x v="0"/>
    <n v="0.42068016512679379"/>
    <n v="24461"/>
    <n v="1"/>
    <n v="3.8201952689863053E-2"/>
    <s v="April"/>
  </r>
  <r>
    <x v="0"/>
    <s v="RNN"/>
    <x v="6"/>
    <x v="197"/>
    <n v="8794"/>
    <n v="2236"/>
    <n v="3968"/>
    <n v="30"/>
    <n v="556"/>
    <n v="496"/>
    <x v="0"/>
    <x v="0"/>
    <x v="0"/>
    <n v="0.45121673868546736"/>
    <n v="11030"/>
    <n v="1"/>
    <n v="5.6402092335683419E-2"/>
    <s v="April"/>
  </r>
  <r>
    <x v="1"/>
    <s v="RBS"/>
    <x v="3"/>
    <x v="160"/>
    <n v="6141"/>
    <n v="0"/>
    <n v="833"/>
    <n v="0"/>
    <n v="0"/>
    <n v="0"/>
    <x v="1"/>
    <x v="0"/>
    <x v="0"/>
    <n v="0.13564566031590947"/>
    <n v="6141"/>
    <n v="2"/>
    <n v="0"/>
    <s v="May"/>
  </r>
  <r>
    <x v="1"/>
    <s v="RQW"/>
    <x v="2"/>
    <x v="150"/>
    <n v="8572"/>
    <n v="2012"/>
    <n v="3928"/>
    <n v="0"/>
    <n v="463"/>
    <n v="125"/>
    <x v="1"/>
    <x v="0"/>
    <x v="0"/>
    <n v="0.45823611759216054"/>
    <n v="10584"/>
    <n v="2"/>
    <n v="1.4582361175921606E-2"/>
    <s v="May"/>
  </r>
  <r>
    <x v="1"/>
    <s v="RP6"/>
    <x v="4"/>
    <x v="192"/>
    <n v="0"/>
    <n v="0"/>
    <n v="0"/>
    <n v="0"/>
    <n v="0"/>
    <n v="0"/>
    <x v="1"/>
    <x v="0"/>
    <x v="0"/>
    <n v="0"/>
    <n v="0"/>
    <n v="2"/>
    <n v="0"/>
    <s v="May"/>
  </r>
  <r>
    <x v="1"/>
    <s v="RL4"/>
    <x v="5"/>
    <x v="165"/>
    <n v="12857"/>
    <n v="7821"/>
    <n v="3564"/>
    <n v="394"/>
    <n v="1012"/>
    <n v="383"/>
    <x v="1"/>
    <x v="0"/>
    <x v="0"/>
    <n v="0.27720308003422262"/>
    <n v="20678"/>
    <n v="2"/>
    <n v="2.9789219880220891E-2"/>
    <s v="May"/>
  </r>
  <r>
    <x v="1"/>
    <s v="RJL"/>
    <x v="6"/>
    <x v="164"/>
    <n v="9285"/>
    <n v="7632"/>
    <n v="5091"/>
    <n v="86"/>
    <n v="740"/>
    <n v="796"/>
    <x v="1"/>
    <x v="0"/>
    <x v="0"/>
    <n v="0.54830371567043623"/>
    <n v="16917"/>
    <n v="2"/>
    <n v="8.5729671513193328E-2"/>
    <s v="May"/>
  </r>
  <r>
    <x v="1"/>
    <s v="RJE"/>
    <x v="5"/>
    <x v="9"/>
    <n v="14521"/>
    <n v="9125"/>
    <n v="7254"/>
    <n v="61"/>
    <n v="1020"/>
    <n v="857"/>
    <x v="1"/>
    <x v="0"/>
    <x v="0"/>
    <n v="0.49955237242614148"/>
    <n v="23646"/>
    <n v="2"/>
    <n v="5.9017973968734934E-2"/>
    <s v="May"/>
  </r>
  <r>
    <x v="1"/>
    <s v="RJC"/>
    <x v="5"/>
    <x v="188"/>
    <n v="8577"/>
    <n v="404"/>
    <n v="2589"/>
    <n v="0"/>
    <n v="374"/>
    <n v="76"/>
    <x v="1"/>
    <x v="0"/>
    <x v="0"/>
    <n v="0.3018537950332284"/>
    <n v="8981"/>
    <n v="2"/>
    <n v="8.8609070770665731E-3"/>
    <s v="May"/>
  </r>
  <r>
    <x v="1"/>
    <s v="RW4"/>
    <x v="3"/>
    <x v="124"/>
    <n v="0"/>
    <n v="13831"/>
    <n v="0"/>
    <n v="132"/>
    <n v="0"/>
    <n v="0"/>
    <x v="1"/>
    <x v="0"/>
    <x v="0"/>
    <n v="0"/>
    <n v="13831"/>
    <n v="2"/>
    <n v="0"/>
    <s v="May"/>
  </r>
  <r>
    <x v="1"/>
    <s v="REF"/>
    <x v="1"/>
    <x v="4"/>
    <n v="7244"/>
    <n v="13592"/>
    <n v="3689"/>
    <n v="828"/>
    <n v="612"/>
    <n v="487"/>
    <x v="1"/>
    <x v="0"/>
    <x v="0"/>
    <n v="0.50924903368304808"/>
    <n v="20836"/>
    <n v="2"/>
    <n v="6.7228050800662617E-2"/>
    <s v="May"/>
  </r>
  <r>
    <x v="1"/>
    <s v="RBD"/>
    <x v="1"/>
    <x v="183"/>
    <n v="4522"/>
    <n v="0"/>
    <n v="1479"/>
    <n v="0"/>
    <n v="231"/>
    <n v="23"/>
    <x v="1"/>
    <x v="0"/>
    <x v="0"/>
    <n v="0.32706766917293234"/>
    <n v="4522"/>
    <n v="2"/>
    <n v="5.0862450243255196E-3"/>
    <s v="May"/>
  </r>
  <r>
    <x v="1"/>
    <s v="RY7"/>
    <x v="3"/>
    <x v="139"/>
    <n v="0"/>
    <n v="4576"/>
    <n v="0"/>
    <n v="307"/>
    <n v="0"/>
    <n v="0"/>
    <x v="1"/>
    <x v="0"/>
    <x v="0"/>
    <n v="0"/>
    <n v="4576"/>
    <n v="2"/>
    <n v="0"/>
    <s v="May"/>
  </r>
  <r>
    <x v="1"/>
    <s v="R0A"/>
    <x v="3"/>
    <x v="155"/>
    <n v="25682"/>
    <n v="12283"/>
    <n v="10832"/>
    <n v="660"/>
    <n v="2893"/>
    <n v="106"/>
    <x v="1"/>
    <x v="0"/>
    <x v="0"/>
    <n v="0.42177400513978663"/>
    <n v="37965"/>
    <n v="2"/>
    <n v="4.1274044077564053E-3"/>
    <s v="May"/>
  </r>
  <r>
    <x v="1"/>
    <s v="NLX"/>
    <x v="1"/>
    <x v="181"/>
    <n v="0"/>
    <n v="9490"/>
    <n v="0"/>
    <n v="504"/>
    <n v="0"/>
    <n v="0"/>
    <x v="1"/>
    <x v="0"/>
    <x v="0"/>
    <n v="0"/>
    <n v="9490"/>
    <n v="2"/>
    <n v="0"/>
    <s v="May"/>
  </r>
  <r>
    <x v="1"/>
    <s v="AJN"/>
    <x v="6"/>
    <x v="187"/>
    <n v="0"/>
    <n v="442"/>
    <n v="0"/>
    <n v="0"/>
    <n v="0"/>
    <n v="0"/>
    <x v="1"/>
    <x v="0"/>
    <x v="0"/>
    <n v="0"/>
    <n v="442"/>
    <n v="2"/>
    <n v="0"/>
    <s v="May"/>
  </r>
  <r>
    <x v="1"/>
    <s v="RWP"/>
    <x v="5"/>
    <x v="170"/>
    <n v="13949"/>
    <n v="6564"/>
    <n v="7070"/>
    <n v="96"/>
    <n v="693"/>
    <n v="819"/>
    <x v="1"/>
    <x v="0"/>
    <x v="0"/>
    <n v="0.50684636891533441"/>
    <n v="20513"/>
    <n v="2"/>
    <n v="5.8713886300093193E-2"/>
    <s v="May"/>
  </r>
  <r>
    <x v="1"/>
    <s v="RTK"/>
    <x v="0"/>
    <x v="49"/>
    <n v="7315"/>
    <n v="3197"/>
    <n v="3562"/>
    <n v="33"/>
    <n v="636"/>
    <n v="145"/>
    <x v="1"/>
    <x v="0"/>
    <x v="0"/>
    <n v="0.48694463431305535"/>
    <n v="10512"/>
    <n v="2"/>
    <n v="1.9822282980177717E-2"/>
    <s v="May"/>
  </r>
  <r>
    <x v="1"/>
    <s v="RHW"/>
    <x v="0"/>
    <x v="66"/>
    <n v="12073"/>
    <n v="1713"/>
    <n v="4572"/>
    <n v="0"/>
    <n v="584"/>
    <n v="31"/>
    <x v="1"/>
    <x v="0"/>
    <x v="0"/>
    <n v="0.37869626439161763"/>
    <n v="13786"/>
    <n v="2"/>
    <n v="2.5677130787708107E-3"/>
    <s v="May"/>
  </r>
  <r>
    <x v="1"/>
    <s v="RFR"/>
    <x v="6"/>
    <x v="39"/>
    <n v="9248"/>
    <n v="0"/>
    <n v="2903"/>
    <n v="0"/>
    <n v="357"/>
    <n v="1"/>
    <x v="1"/>
    <x v="0"/>
    <x v="0"/>
    <n v="0.31390570934256057"/>
    <n v="9248"/>
    <n v="2"/>
    <n v="1.0813148788927336E-4"/>
    <s v="May"/>
  </r>
  <r>
    <x v="1"/>
    <s v="RDU"/>
    <x v="0"/>
    <x v="37"/>
    <n v="23038"/>
    <n v="12588"/>
    <n v="9511"/>
    <n v="453"/>
    <n v="1843"/>
    <n v="323"/>
    <x v="1"/>
    <x v="0"/>
    <x v="0"/>
    <n v="0.412839656220158"/>
    <n v="35626"/>
    <n v="2"/>
    <n v="1.4020314263390919E-2"/>
    <s v="May"/>
  </r>
  <r>
    <x v="1"/>
    <s v="RAE"/>
    <x v="6"/>
    <x v="31"/>
    <n v="9416"/>
    <n v="3475"/>
    <n v="2417"/>
    <n v="0"/>
    <n v="719"/>
    <n v="49"/>
    <x v="1"/>
    <x v="0"/>
    <x v="0"/>
    <n v="0.25669073916737467"/>
    <n v="12891"/>
    <n v="2"/>
    <n v="5.2039082412914193E-3"/>
    <s v="May"/>
  </r>
  <r>
    <x v="1"/>
    <s v="RWA"/>
    <x v="6"/>
    <x v="77"/>
    <n v="9636"/>
    <n v="4518"/>
    <n v="5515"/>
    <n v="685"/>
    <n v="1035"/>
    <n v="467"/>
    <x v="1"/>
    <x v="0"/>
    <x v="0"/>
    <n v="0.57233291822332921"/>
    <n v="14154"/>
    <n v="2"/>
    <n v="4.8464092984640932E-2"/>
    <s v="May"/>
  </r>
  <r>
    <x v="1"/>
    <s v="RAS"/>
    <x v="4"/>
    <x v="174"/>
    <n v="6146"/>
    <n v="7001"/>
    <n v="2946"/>
    <n v="74"/>
    <n v="482"/>
    <n v="58"/>
    <x v="1"/>
    <x v="0"/>
    <x v="0"/>
    <n v="0.4793361535958347"/>
    <n v="13147"/>
    <n v="2"/>
    <n v="9.4370322160754957E-3"/>
    <s v="May"/>
  </r>
  <r>
    <x v="1"/>
    <s v="RY5"/>
    <x v="5"/>
    <x v="151"/>
    <n v="0"/>
    <n v="8967"/>
    <n v="0"/>
    <n v="214"/>
    <n v="0"/>
    <n v="0"/>
    <x v="1"/>
    <x v="0"/>
    <x v="0"/>
    <n v="0"/>
    <n v="8967"/>
    <n v="2"/>
    <n v="0"/>
    <s v="May"/>
  </r>
  <r>
    <x v="1"/>
    <s v="RP5"/>
    <x v="6"/>
    <x v="53"/>
    <n v="13955"/>
    <n v="4362"/>
    <n v="4718"/>
    <n v="46"/>
    <n v="1100"/>
    <n v="113"/>
    <x v="1"/>
    <x v="0"/>
    <x v="0"/>
    <n v="0.33808670727337869"/>
    <n v="18317"/>
    <n v="2"/>
    <n v="8.0974561089215327E-3"/>
    <s v="May"/>
  </r>
  <r>
    <x v="1"/>
    <s v="AD913"/>
    <x v="4"/>
    <x v="70"/>
    <n v="0"/>
    <n v="3726"/>
    <n v="0"/>
    <n v="20"/>
    <n v="0"/>
    <n v="0"/>
    <x v="1"/>
    <x v="0"/>
    <x v="0"/>
    <n v="0"/>
    <n v="3726"/>
    <n v="2"/>
    <n v="0"/>
    <s v="May"/>
  </r>
  <r>
    <x v="1"/>
    <s v="R1F"/>
    <x v="0"/>
    <x v="25"/>
    <n v="4389"/>
    <n v="1654"/>
    <n v="1709"/>
    <n v="0"/>
    <n v="268"/>
    <n v="96"/>
    <x v="1"/>
    <x v="0"/>
    <x v="0"/>
    <n v="0.38938254727728411"/>
    <n v="6043"/>
    <n v="2"/>
    <n v="2.1872863978127138E-2"/>
    <s v="May"/>
  </r>
  <r>
    <x v="1"/>
    <s v="RNQ"/>
    <x v="5"/>
    <x v="169"/>
    <n v="10011"/>
    <n v="8406"/>
    <n v="3732"/>
    <n v="133"/>
    <n v="639"/>
    <n v="788"/>
    <x v="1"/>
    <x v="0"/>
    <x v="0"/>
    <n v="0.37278993107581659"/>
    <n v="18417"/>
    <n v="2"/>
    <n v="7.8713415243232443E-2"/>
    <s v="May"/>
  </r>
  <r>
    <x v="1"/>
    <s v="RNA"/>
    <x v="5"/>
    <x v="168"/>
    <n v="10164"/>
    <n v="4027"/>
    <n v="3043"/>
    <n v="65"/>
    <n v="1888"/>
    <n v="144"/>
    <x v="1"/>
    <x v="0"/>
    <x v="0"/>
    <n v="0.2993900039354585"/>
    <n v="14191"/>
    <n v="2"/>
    <n v="1.4167650531286895E-2"/>
    <s v="May"/>
  </r>
  <r>
    <x v="1"/>
    <s v="RN7"/>
    <x v="0"/>
    <x v="14"/>
    <n v="11360"/>
    <n v="4308"/>
    <n v="4453"/>
    <n v="25"/>
    <n v="454"/>
    <n v="579"/>
    <x v="1"/>
    <x v="0"/>
    <x v="0"/>
    <n v="0.3919894366197183"/>
    <n v="15668"/>
    <n v="2"/>
    <n v="5.0968309859154931E-2"/>
    <s v="May"/>
  </r>
  <r>
    <x v="1"/>
    <s v="RMP"/>
    <x v="3"/>
    <x v="166"/>
    <n v="9055"/>
    <n v="2637"/>
    <n v="4663"/>
    <n v="13"/>
    <n v="411"/>
    <n v="650"/>
    <x v="1"/>
    <x v="0"/>
    <x v="0"/>
    <n v="0.51496410822749861"/>
    <n v="11692"/>
    <n v="2"/>
    <n v="7.1783545002760907E-2"/>
    <s v="May"/>
  </r>
  <r>
    <x v="1"/>
    <s v="RMC"/>
    <x v="3"/>
    <x v="72"/>
    <n v="8145"/>
    <n v="4199"/>
    <n v="3494"/>
    <n v="190"/>
    <n v="519"/>
    <n v="196"/>
    <x v="1"/>
    <x v="0"/>
    <x v="0"/>
    <n v="0.42897483118477592"/>
    <n v="12344"/>
    <n v="2"/>
    <n v="2.4063842848373235E-2"/>
    <s v="May"/>
  </r>
  <r>
    <x v="1"/>
    <s v="RK9"/>
    <x v="1"/>
    <x v="195"/>
    <n v="9650"/>
    <n v="6077"/>
    <n v="4636"/>
    <n v="133"/>
    <n v="634"/>
    <n v="526"/>
    <x v="1"/>
    <x v="0"/>
    <x v="0"/>
    <n v="0.48041450777202072"/>
    <n v="15727"/>
    <n v="2"/>
    <n v="5.450777202072539E-2"/>
    <s v="May"/>
  </r>
  <r>
    <x v="1"/>
    <s v="RK5"/>
    <x v="5"/>
    <x v="10"/>
    <n v="11073"/>
    <n v="5880"/>
    <n v="3370"/>
    <n v="167"/>
    <n v="442"/>
    <n v="73"/>
    <x v="1"/>
    <x v="0"/>
    <x v="0"/>
    <n v="0.30434389957554414"/>
    <n v="16953"/>
    <n v="2"/>
    <n v="6.5926126614287003E-3"/>
    <s v="May"/>
  </r>
  <r>
    <x v="1"/>
    <s v="RJZ"/>
    <x v="4"/>
    <x v="196"/>
    <n v="15424"/>
    <n v="9349"/>
    <n v="6518"/>
    <n v="361"/>
    <n v="1454"/>
    <n v="833"/>
    <x v="1"/>
    <x v="0"/>
    <x v="0"/>
    <n v="0.42258817427385892"/>
    <n v="24773"/>
    <n v="2"/>
    <n v="5.4006742738589214E-2"/>
    <s v="May"/>
  </r>
  <r>
    <x v="1"/>
    <s v="RGR"/>
    <x v="2"/>
    <x v="186"/>
    <n v="8108"/>
    <n v="737"/>
    <n v="1923"/>
    <n v="0"/>
    <n v="341"/>
    <n v="102"/>
    <x v="1"/>
    <x v="0"/>
    <x v="0"/>
    <n v="0.23717316230883079"/>
    <n v="8845"/>
    <n v="2"/>
    <n v="1.2580167735569808E-2"/>
    <s v="May"/>
  </r>
  <r>
    <x v="1"/>
    <s v="REP"/>
    <x v="3"/>
    <x v="38"/>
    <n v="0"/>
    <n v="0"/>
    <n v="0"/>
    <n v="0"/>
    <n v="0"/>
    <n v="0"/>
    <x v="1"/>
    <x v="0"/>
    <x v="0"/>
    <n v="0"/>
    <n v="0"/>
    <n v="2"/>
    <n v="0"/>
    <s v="May"/>
  </r>
  <r>
    <x v="1"/>
    <s v="RCB"/>
    <x v="6"/>
    <x v="35"/>
    <n v="10790"/>
    <n v="7601"/>
    <n v="5568"/>
    <n v="303"/>
    <n v="814"/>
    <n v="445"/>
    <x v="1"/>
    <x v="0"/>
    <x v="0"/>
    <n v="0.51603336422613533"/>
    <n v="18391"/>
    <n v="2"/>
    <n v="4.1241890639480999E-2"/>
    <s v="May"/>
  </r>
  <r>
    <x v="1"/>
    <s v="RBN"/>
    <x v="3"/>
    <x v="34"/>
    <n v="17566"/>
    <n v="7465"/>
    <n v="6302"/>
    <n v="171"/>
    <n v="547"/>
    <n v="366"/>
    <x v="1"/>
    <x v="0"/>
    <x v="0"/>
    <n v="0.35876124331094161"/>
    <n v="25031"/>
    <n v="2"/>
    <n v="2.0835705339861094E-2"/>
    <s v="May"/>
  </r>
  <r>
    <x v="1"/>
    <s v="RBK"/>
    <x v="5"/>
    <x v="159"/>
    <n v="9340"/>
    <n v="4176"/>
    <n v="2710"/>
    <n v="91"/>
    <n v="963"/>
    <n v="105"/>
    <x v="1"/>
    <x v="0"/>
    <x v="0"/>
    <n v="0.29014989293361887"/>
    <n v="13516"/>
    <n v="2"/>
    <n v="1.1241970021413276E-2"/>
    <s v="May"/>
  </r>
  <r>
    <x v="1"/>
    <s v="RAX"/>
    <x v="4"/>
    <x v="114"/>
    <n v="6888"/>
    <n v="8681"/>
    <n v="3296"/>
    <n v="219"/>
    <n v="306"/>
    <n v="261"/>
    <x v="1"/>
    <x v="0"/>
    <x v="0"/>
    <n v="0.47851335656213706"/>
    <n v="15569"/>
    <n v="2"/>
    <n v="3.7891986062717771E-2"/>
    <s v="May"/>
  </r>
  <r>
    <x v="1"/>
    <s v="RA7"/>
    <x v="1"/>
    <x v="158"/>
    <n v="15844"/>
    <n v="0"/>
    <n v="5623"/>
    <n v="0"/>
    <n v="1069"/>
    <n v="252"/>
    <x v="1"/>
    <x v="0"/>
    <x v="0"/>
    <n v="0.35489775309265337"/>
    <n v="15844"/>
    <n v="2"/>
    <n v="1.5905074476142388E-2"/>
    <s v="May"/>
  </r>
  <r>
    <x v="1"/>
    <s v="NV693"/>
    <x v="3"/>
    <x v="102"/>
    <n v="0"/>
    <n v="1247"/>
    <n v="0"/>
    <n v="0"/>
    <n v="0"/>
    <n v="0"/>
    <x v="1"/>
    <x v="0"/>
    <x v="0"/>
    <n v="0"/>
    <n v="1247"/>
    <n v="2"/>
    <n v="0"/>
    <s v="May"/>
  </r>
  <r>
    <x v="1"/>
    <s v="NNFA7"/>
    <x v="6"/>
    <x v="29"/>
    <n v="0"/>
    <n v="1776"/>
    <n v="0"/>
    <n v="20"/>
    <n v="0"/>
    <n v="0"/>
    <x v="1"/>
    <x v="0"/>
    <x v="0"/>
    <n v="0"/>
    <n v="1776"/>
    <n v="2"/>
    <n v="0"/>
    <s v="May"/>
  </r>
  <r>
    <x v="1"/>
    <s v="NNF94"/>
    <x v="6"/>
    <x v="28"/>
    <n v="0"/>
    <n v="3089"/>
    <n v="0"/>
    <n v="188"/>
    <n v="0"/>
    <n v="0"/>
    <x v="1"/>
    <x v="0"/>
    <x v="0"/>
    <n v="0"/>
    <n v="3089"/>
    <n v="2"/>
    <n v="0"/>
    <s v="May"/>
  </r>
  <r>
    <x v="1"/>
    <s v="NNF16"/>
    <x v="6"/>
    <x v="27"/>
    <n v="0"/>
    <n v="1521"/>
    <n v="0"/>
    <n v="63"/>
    <n v="0"/>
    <n v="0"/>
    <x v="1"/>
    <x v="0"/>
    <x v="0"/>
    <n v="0"/>
    <n v="1521"/>
    <n v="2"/>
    <n v="0"/>
    <s v="May"/>
  </r>
  <r>
    <x v="1"/>
    <s v="NNF09"/>
    <x v="6"/>
    <x v="26"/>
    <n v="0"/>
    <n v="3723"/>
    <n v="0"/>
    <n v="576"/>
    <n v="0"/>
    <n v="0"/>
    <x v="1"/>
    <x v="0"/>
    <x v="0"/>
    <n v="0"/>
    <n v="3723"/>
    <n v="2"/>
    <n v="0"/>
    <s v="May"/>
  </r>
  <r>
    <x v="1"/>
    <s v="RYX"/>
    <x v="4"/>
    <x v="51"/>
    <n v="0"/>
    <n v="13220"/>
    <n v="0"/>
    <n v="204"/>
    <n v="0"/>
    <n v="0"/>
    <x v="1"/>
    <x v="0"/>
    <x v="0"/>
    <n v="0"/>
    <n v="13220"/>
    <n v="2"/>
    <n v="0"/>
    <s v="May"/>
  </r>
  <r>
    <x v="1"/>
    <s v="NR3"/>
    <x v="5"/>
    <x v="45"/>
    <n v="0"/>
    <n v="5381"/>
    <n v="0"/>
    <n v="311"/>
    <n v="0"/>
    <n v="0"/>
    <x v="1"/>
    <x v="0"/>
    <x v="0"/>
    <n v="0"/>
    <n v="5381"/>
    <n v="2"/>
    <n v="0"/>
    <s v="May"/>
  </r>
  <r>
    <x v="1"/>
    <s v="RAN"/>
    <x v="4"/>
    <x v="24"/>
    <n v="0"/>
    <n v="0"/>
    <n v="0"/>
    <n v="0"/>
    <n v="0"/>
    <n v="0"/>
    <x v="1"/>
    <x v="0"/>
    <x v="0"/>
    <n v="0"/>
    <n v="0"/>
    <n v="2"/>
    <n v="0"/>
    <s v="May"/>
  </r>
  <r>
    <x v="1"/>
    <s v="RQX"/>
    <x v="4"/>
    <x v="106"/>
    <n v="11355"/>
    <n v="0"/>
    <n v="1983"/>
    <n v="0"/>
    <n v="202"/>
    <n v="26"/>
    <x v="1"/>
    <x v="0"/>
    <x v="0"/>
    <n v="0.17463672391017174"/>
    <n v="11355"/>
    <n v="2"/>
    <n v="2.2897402025539408E-3"/>
    <s v="May"/>
  </r>
  <r>
    <x v="1"/>
    <s v="RBV"/>
    <x v="3"/>
    <x v="22"/>
    <n v="0"/>
    <n v="0"/>
    <n v="0"/>
    <n v="0"/>
    <n v="0"/>
    <n v="0"/>
    <x v="1"/>
    <x v="0"/>
    <x v="0"/>
    <n v="0"/>
    <n v="0"/>
    <n v="2"/>
    <n v="0"/>
    <s v="May"/>
  </r>
  <r>
    <x v="1"/>
    <s v="NL7"/>
    <x v="5"/>
    <x v="142"/>
    <n v="0"/>
    <n v="3179"/>
    <n v="0"/>
    <n v="0"/>
    <n v="0"/>
    <n v="0"/>
    <x v="1"/>
    <x v="0"/>
    <x v="0"/>
    <n v="0"/>
    <n v="3179"/>
    <n v="2"/>
    <n v="0"/>
    <s v="May"/>
  </r>
  <r>
    <x v="1"/>
    <s v="AQM01"/>
    <x v="0"/>
    <x v="198"/>
    <n v="0"/>
    <n v="2828"/>
    <n v="0"/>
    <n v="0"/>
    <n v="0"/>
    <n v="0"/>
    <x v="1"/>
    <x v="0"/>
    <x v="0"/>
    <n v="0"/>
    <n v="2828"/>
    <n v="2"/>
    <n v="0"/>
    <s v="May"/>
  </r>
  <r>
    <x v="1"/>
    <s v="Y02532"/>
    <x v="3"/>
    <x v="141"/>
    <n v="0"/>
    <n v="1612"/>
    <n v="0"/>
    <n v="2"/>
    <n v="0"/>
    <n v="0"/>
    <x v="1"/>
    <x v="0"/>
    <x v="0"/>
    <n v="0"/>
    <n v="1612"/>
    <n v="2"/>
    <n v="0"/>
    <s v="May"/>
  </r>
  <r>
    <x v="1"/>
    <s v="Y02428"/>
    <x v="2"/>
    <x v="140"/>
    <n v="0"/>
    <n v="2636"/>
    <n v="0"/>
    <n v="0"/>
    <n v="0"/>
    <n v="0"/>
    <x v="1"/>
    <x v="0"/>
    <x v="0"/>
    <n v="0"/>
    <n v="2636"/>
    <n v="2"/>
    <n v="0"/>
    <s v="May"/>
  </r>
  <r>
    <x v="1"/>
    <s v="RYF"/>
    <x v="1"/>
    <x v="89"/>
    <n v="0"/>
    <n v="2037"/>
    <n v="0"/>
    <n v="49"/>
    <n v="0"/>
    <n v="0"/>
    <x v="1"/>
    <x v="0"/>
    <x v="0"/>
    <n v="0"/>
    <n v="2037"/>
    <n v="2"/>
    <n v="0"/>
    <s v="May"/>
  </r>
  <r>
    <x v="1"/>
    <s v="RWY"/>
    <x v="6"/>
    <x v="138"/>
    <n v="16305"/>
    <n v="0"/>
    <n v="2568"/>
    <n v="0"/>
    <n v="719"/>
    <n v="5"/>
    <x v="1"/>
    <x v="0"/>
    <x v="0"/>
    <n v="0.15749770009199632"/>
    <n v="16305"/>
    <n v="2"/>
    <n v="3.0665440049064706E-4"/>
    <s v="May"/>
  </r>
  <r>
    <x v="1"/>
    <s v="RW1"/>
    <x v="0"/>
    <x v="137"/>
    <n v="0"/>
    <n v="3058"/>
    <n v="0"/>
    <n v="156"/>
    <n v="0"/>
    <n v="0"/>
    <x v="1"/>
    <x v="0"/>
    <x v="0"/>
    <n v="0"/>
    <n v="3058"/>
    <n v="2"/>
    <n v="0"/>
    <s v="May"/>
  </r>
  <r>
    <x v="1"/>
    <s v="RTP"/>
    <x v="0"/>
    <x v="136"/>
    <n v="10479"/>
    <n v="0"/>
    <n v="3919"/>
    <n v="0"/>
    <n v="462"/>
    <n v="661"/>
    <x v="1"/>
    <x v="0"/>
    <x v="0"/>
    <n v="0.3739860673728409"/>
    <n v="10479"/>
    <n v="2"/>
    <n v="6.3078538028437825E-2"/>
    <s v="May"/>
  </r>
  <r>
    <x v="1"/>
    <s v="RJ8"/>
    <x v="1"/>
    <x v="135"/>
    <n v="0"/>
    <n v="0"/>
    <n v="0"/>
    <n v="0"/>
    <n v="0"/>
    <n v="0"/>
    <x v="1"/>
    <x v="0"/>
    <x v="0"/>
    <n v="0"/>
    <n v="0"/>
    <n v="2"/>
    <n v="0"/>
    <s v="May"/>
  </r>
  <r>
    <x v="1"/>
    <s v="RGP"/>
    <x v="2"/>
    <x v="146"/>
    <n v="7796"/>
    <n v="1263"/>
    <n v="2945"/>
    <n v="0"/>
    <n v="574"/>
    <n v="205"/>
    <x v="1"/>
    <x v="0"/>
    <x v="0"/>
    <n v="0.37775782452539763"/>
    <n v="9059"/>
    <n v="2"/>
    <n v="2.6295536172396102E-2"/>
    <s v="May"/>
  </r>
  <r>
    <x v="1"/>
    <s v="RA9"/>
    <x v="1"/>
    <x v="113"/>
    <n v="6821"/>
    <n v="3781"/>
    <n v="3146"/>
    <n v="16"/>
    <n v="319"/>
    <n v="65"/>
    <x v="1"/>
    <x v="0"/>
    <x v="0"/>
    <n v="0.46122269461955723"/>
    <n v="10602"/>
    <n v="2"/>
    <n v="9.5293945169330017E-3"/>
    <s v="May"/>
  </r>
  <r>
    <x v="1"/>
    <s v="NTP11"/>
    <x v="0"/>
    <x v="154"/>
    <n v="0"/>
    <n v="5679"/>
    <n v="0"/>
    <n v="189"/>
    <n v="0"/>
    <n v="0"/>
    <x v="1"/>
    <x v="0"/>
    <x v="0"/>
    <n v="0"/>
    <n v="5679"/>
    <n v="2"/>
    <n v="0"/>
    <s v="May"/>
  </r>
  <r>
    <x v="1"/>
    <s v="C82038"/>
    <x v="5"/>
    <x v="131"/>
    <n v="0"/>
    <n v="354"/>
    <n v="0"/>
    <n v="0"/>
    <n v="0"/>
    <n v="0"/>
    <x v="1"/>
    <x v="0"/>
    <x v="0"/>
    <n v="0"/>
    <n v="354"/>
    <n v="2"/>
    <n v="0"/>
    <s v="May"/>
  </r>
  <r>
    <x v="1"/>
    <s v="AQN04"/>
    <x v="0"/>
    <x v="130"/>
    <n v="0"/>
    <n v="3567"/>
    <n v="0"/>
    <n v="24"/>
    <n v="0"/>
    <n v="0"/>
    <x v="1"/>
    <x v="0"/>
    <x v="0"/>
    <n v="0"/>
    <n v="3567"/>
    <n v="2"/>
    <n v="0"/>
    <s v="May"/>
  </r>
  <r>
    <x v="1"/>
    <s v="AAH"/>
    <x v="1"/>
    <x v="149"/>
    <n v="0"/>
    <n v="524"/>
    <n v="0"/>
    <n v="0"/>
    <n v="0"/>
    <n v="0"/>
    <x v="1"/>
    <x v="0"/>
    <x v="0"/>
    <n v="0"/>
    <n v="524"/>
    <n v="2"/>
    <n v="0"/>
    <s v="May"/>
  </r>
  <r>
    <x v="1"/>
    <s v="Y02676"/>
    <x v="0"/>
    <x v="52"/>
    <n v="0"/>
    <n v="1986"/>
    <n v="0"/>
    <n v="0"/>
    <n v="0"/>
    <n v="0"/>
    <x v="1"/>
    <x v="0"/>
    <x v="0"/>
    <n v="0"/>
    <n v="1986"/>
    <n v="2"/>
    <n v="0"/>
    <s v="May"/>
  </r>
  <r>
    <x v="1"/>
    <s v="Y02615"/>
    <x v="5"/>
    <x v="129"/>
    <n v="0"/>
    <n v="6661"/>
    <n v="0"/>
    <n v="0"/>
    <n v="0"/>
    <n v="0"/>
    <x v="1"/>
    <x v="0"/>
    <x v="0"/>
    <n v="0"/>
    <n v="6661"/>
    <n v="2"/>
    <n v="0"/>
    <s v="May"/>
  </r>
  <r>
    <x v="1"/>
    <s v="RBT"/>
    <x v="3"/>
    <x v="69"/>
    <n v="7250"/>
    <n v="3317"/>
    <n v="4462"/>
    <n v="50"/>
    <n v="610"/>
    <n v="645"/>
    <x v="1"/>
    <x v="0"/>
    <x v="0"/>
    <n v="0.61544827586206896"/>
    <n v="10567"/>
    <n v="2"/>
    <n v="8.8965517241379313E-2"/>
    <s v="May"/>
  </r>
  <r>
    <x v="1"/>
    <s v="RBQ"/>
    <x v="3"/>
    <x v="133"/>
    <n v="0"/>
    <n v="0"/>
    <n v="0"/>
    <n v="0"/>
    <n v="0"/>
    <n v="0"/>
    <x v="1"/>
    <x v="0"/>
    <x v="0"/>
    <n v="0"/>
    <n v="0"/>
    <n v="2"/>
    <n v="0"/>
    <s v="May"/>
  </r>
  <r>
    <x v="1"/>
    <s v="RPA"/>
    <x v="0"/>
    <x v="191"/>
    <n v="9610"/>
    <n v="6563"/>
    <n v="3160"/>
    <n v="407"/>
    <n v="398"/>
    <n v="533"/>
    <x v="1"/>
    <x v="0"/>
    <x v="0"/>
    <n v="0.32882414151925077"/>
    <n v="16173"/>
    <n v="2"/>
    <n v="5.54630593132154E-2"/>
    <s v="May"/>
  </r>
  <r>
    <x v="1"/>
    <s v="RCX"/>
    <x v="2"/>
    <x v="103"/>
    <n v="6756"/>
    <n v="1203"/>
    <n v="3003"/>
    <n v="0"/>
    <n v="1542"/>
    <n v="90"/>
    <x v="1"/>
    <x v="0"/>
    <x v="0"/>
    <n v="0.44449378330373002"/>
    <n v="7959"/>
    <n v="2"/>
    <n v="1.3321492007104795E-2"/>
    <s v="May"/>
  </r>
  <r>
    <x v="1"/>
    <s v="RNU"/>
    <x v="0"/>
    <x v="16"/>
    <n v="0"/>
    <n v="4266"/>
    <n v="0"/>
    <n v="234"/>
    <n v="0"/>
    <n v="0"/>
    <x v="1"/>
    <x v="0"/>
    <x v="0"/>
    <n v="0"/>
    <n v="4266"/>
    <n v="2"/>
    <n v="0"/>
    <s v="May"/>
  </r>
  <r>
    <x v="1"/>
    <s v="RY2"/>
    <x v="3"/>
    <x v="173"/>
    <n v="0"/>
    <n v="3030"/>
    <n v="0"/>
    <n v="50"/>
    <n v="0"/>
    <n v="0"/>
    <x v="1"/>
    <x v="0"/>
    <x v="0"/>
    <n v="0"/>
    <n v="3030"/>
    <n v="2"/>
    <n v="0"/>
    <s v="May"/>
  </r>
  <r>
    <x v="1"/>
    <s v="RY8"/>
    <x v="5"/>
    <x v="152"/>
    <n v="0"/>
    <n v="8372"/>
    <n v="0"/>
    <n v="166"/>
    <n v="0"/>
    <n v="0"/>
    <x v="1"/>
    <x v="0"/>
    <x v="0"/>
    <n v="0"/>
    <n v="8372"/>
    <n v="2"/>
    <n v="0"/>
    <s v="May"/>
  </r>
  <r>
    <x v="1"/>
    <s v="RJR"/>
    <x v="3"/>
    <x v="105"/>
    <n v="5321"/>
    <n v="2456"/>
    <n v="2837"/>
    <n v="283"/>
    <n v="244"/>
    <n v="751"/>
    <x v="1"/>
    <x v="0"/>
    <x v="0"/>
    <n v="0.53317045668107499"/>
    <n v="7777"/>
    <n v="2"/>
    <n v="0.14113888366848337"/>
    <s v="May"/>
  </r>
  <r>
    <x v="1"/>
    <s v="RJN"/>
    <x v="3"/>
    <x v="125"/>
    <n v="4561"/>
    <n v="0"/>
    <n v="1991"/>
    <n v="0"/>
    <n v="151"/>
    <n v="148"/>
    <x v="1"/>
    <x v="0"/>
    <x v="0"/>
    <n v="0.43652707739530805"/>
    <n v="4561"/>
    <n v="2"/>
    <n v="3.2449024336768252E-2"/>
    <s v="May"/>
  </r>
  <r>
    <x v="1"/>
    <s v="RDY"/>
    <x v="1"/>
    <x v="145"/>
    <n v="0"/>
    <n v="0"/>
    <n v="0"/>
    <n v="0"/>
    <n v="0"/>
    <n v="0"/>
    <x v="1"/>
    <x v="0"/>
    <x v="0"/>
    <n v="0"/>
    <n v="0"/>
    <n v="2"/>
    <n v="0"/>
    <s v="May"/>
  </r>
  <r>
    <x v="1"/>
    <s v="RCU"/>
    <x v="6"/>
    <x v="184"/>
    <n v="4611"/>
    <n v="319"/>
    <n v="401"/>
    <n v="0"/>
    <n v="14"/>
    <n v="0"/>
    <x v="1"/>
    <x v="0"/>
    <x v="0"/>
    <n v="8.6965950986770763E-2"/>
    <n v="4930"/>
    <n v="2"/>
    <n v="0"/>
    <s v="May"/>
  </r>
  <r>
    <x v="1"/>
    <s v="RCD"/>
    <x v="6"/>
    <x v="134"/>
    <n v="5246"/>
    <n v="1090"/>
    <n v="1393"/>
    <n v="0"/>
    <n v="170"/>
    <n v="15"/>
    <x v="1"/>
    <x v="0"/>
    <x v="0"/>
    <n v="0.26553564620663361"/>
    <n v="6336"/>
    <n v="2"/>
    <n v="2.8593213877239803E-3"/>
    <s v="May"/>
  </r>
  <r>
    <x v="1"/>
    <s v="R0B"/>
    <x v="6"/>
    <x v="156"/>
    <n v="11022"/>
    <n v="6079"/>
    <n v="4902"/>
    <n v="218"/>
    <n v="697"/>
    <n v="12"/>
    <x v="1"/>
    <x v="0"/>
    <x v="0"/>
    <n v="0.44474686989657047"/>
    <n v="17101"/>
    <n v="2"/>
    <n v="1.0887316276537834E-3"/>
    <s v="May"/>
  </r>
  <r>
    <x v="1"/>
    <s v="NTV0W"/>
    <x v="0"/>
    <x v="128"/>
    <n v="0"/>
    <n v="2665"/>
    <n v="0"/>
    <n v="77"/>
    <n v="0"/>
    <n v="0"/>
    <x v="1"/>
    <x v="0"/>
    <x v="0"/>
    <n v="0"/>
    <n v="2665"/>
    <n v="2"/>
    <n v="0"/>
    <s v="May"/>
  </r>
  <r>
    <x v="1"/>
    <s v="NTV0B"/>
    <x v="0"/>
    <x v="127"/>
    <n v="0"/>
    <n v="2433"/>
    <n v="0"/>
    <n v="96"/>
    <n v="0"/>
    <n v="0"/>
    <x v="1"/>
    <x v="0"/>
    <x v="0"/>
    <n v="0"/>
    <n v="2433"/>
    <n v="2"/>
    <n v="0"/>
    <s v="May"/>
  </r>
  <r>
    <x v="1"/>
    <s v="NTPAD"/>
    <x v="0"/>
    <x v="112"/>
    <n v="0"/>
    <n v="5614"/>
    <n v="0"/>
    <n v="245"/>
    <n v="0"/>
    <n v="0"/>
    <x v="1"/>
    <x v="0"/>
    <x v="0"/>
    <n v="0"/>
    <n v="5614"/>
    <n v="2"/>
    <n v="0"/>
    <s v="May"/>
  </r>
  <r>
    <x v="1"/>
    <s v="L83087"/>
    <x v="1"/>
    <x v="180"/>
    <n v="0"/>
    <n v="87"/>
    <n v="0"/>
    <n v="0"/>
    <n v="0"/>
    <n v="0"/>
    <x v="1"/>
    <x v="0"/>
    <x v="0"/>
    <n v="0"/>
    <n v="87"/>
    <n v="2"/>
    <n v="0"/>
    <s v="May"/>
  </r>
  <r>
    <x v="1"/>
    <s v="ARN03"/>
    <x v="6"/>
    <x v="178"/>
    <n v="0"/>
    <n v="2236"/>
    <n v="0"/>
    <n v="9"/>
    <n v="0"/>
    <n v="0"/>
    <x v="1"/>
    <x v="0"/>
    <x v="0"/>
    <n v="0"/>
    <n v="2236"/>
    <n v="2"/>
    <n v="0"/>
    <s v="May"/>
  </r>
  <r>
    <x v="1"/>
    <s v="Y00751"/>
    <x v="0"/>
    <x v="116"/>
    <n v="0"/>
    <n v="0"/>
    <n v="0"/>
    <n v="0"/>
    <n v="0"/>
    <n v="0"/>
    <x v="1"/>
    <x v="0"/>
    <x v="0"/>
    <n v="0"/>
    <n v="0"/>
    <n v="2"/>
    <n v="0"/>
    <s v="May"/>
  </r>
  <r>
    <x v="1"/>
    <s v="RLQ"/>
    <x v="5"/>
    <x v="123"/>
    <n v="6022"/>
    <n v="164"/>
    <n v="2883"/>
    <n v="0"/>
    <n v="479"/>
    <n v="249"/>
    <x v="1"/>
    <x v="0"/>
    <x v="0"/>
    <n v="0.47874460312188644"/>
    <n v="6186"/>
    <n v="2"/>
    <n v="4.134838923945533E-2"/>
    <s v="May"/>
  </r>
  <r>
    <x v="1"/>
    <s v="RFF"/>
    <x v="6"/>
    <x v="104"/>
    <n v="9300"/>
    <n v="0"/>
    <n v="2619"/>
    <n v="0"/>
    <n v="427"/>
    <n v="0"/>
    <x v="1"/>
    <x v="0"/>
    <x v="0"/>
    <n v="0.28161290322580645"/>
    <n v="9300"/>
    <n v="2"/>
    <n v="0"/>
    <s v="May"/>
  </r>
  <r>
    <x v="1"/>
    <s v="NQTE4"/>
    <x v="5"/>
    <x v="132"/>
    <n v="0"/>
    <n v="3089"/>
    <n v="0"/>
    <n v="0"/>
    <n v="0"/>
    <n v="0"/>
    <x v="1"/>
    <x v="0"/>
    <x v="0"/>
    <n v="0"/>
    <n v="3089"/>
    <n v="2"/>
    <n v="0"/>
    <s v="May"/>
  </r>
  <r>
    <x v="1"/>
    <s v="NQT5H"/>
    <x v="1"/>
    <x v="144"/>
    <n v="0"/>
    <n v="1209"/>
    <n v="0"/>
    <n v="5"/>
    <n v="0"/>
    <n v="0"/>
    <x v="1"/>
    <x v="0"/>
    <x v="0"/>
    <n v="0"/>
    <n v="1209"/>
    <n v="2"/>
    <n v="0"/>
    <s v="May"/>
  </r>
  <r>
    <x v="1"/>
    <s v="NQT5F"/>
    <x v="3"/>
    <x v="143"/>
    <n v="0"/>
    <n v="1743"/>
    <n v="0"/>
    <n v="8"/>
    <n v="0"/>
    <n v="0"/>
    <x v="1"/>
    <x v="0"/>
    <x v="0"/>
    <n v="0"/>
    <n v="1743"/>
    <n v="2"/>
    <n v="0"/>
    <s v="May"/>
  </r>
  <r>
    <x v="1"/>
    <s v="NQT51"/>
    <x v="0"/>
    <x v="111"/>
    <n v="0"/>
    <n v="1075"/>
    <n v="0"/>
    <n v="0"/>
    <n v="0"/>
    <n v="0"/>
    <x v="1"/>
    <x v="0"/>
    <x v="0"/>
    <n v="0"/>
    <n v="1075"/>
    <n v="2"/>
    <n v="0"/>
    <s v="May"/>
  </r>
  <r>
    <x v="1"/>
    <s v="NDJ"/>
    <x v="0"/>
    <x v="0"/>
    <n v="0"/>
    <n v="2565"/>
    <n v="0"/>
    <n v="0"/>
    <n v="0"/>
    <n v="0"/>
    <x v="1"/>
    <x v="0"/>
    <x v="0"/>
    <n v="0"/>
    <n v="2565"/>
    <n v="2"/>
    <n v="0"/>
    <s v="May"/>
  </r>
  <r>
    <x v="1"/>
    <s v="DT301"/>
    <x v="2"/>
    <x v="110"/>
    <n v="0"/>
    <n v="2378"/>
    <n v="0"/>
    <n v="37"/>
    <n v="0"/>
    <n v="0"/>
    <x v="1"/>
    <x v="0"/>
    <x v="0"/>
    <n v="0"/>
    <n v="2378"/>
    <n v="2"/>
    <n v="0"/>
    <s v="May"/>
  </r>
  <r>
    <x v="1"/>
    <s v="Y07709"/>
    <x v="0"/>
    <x v="101"/>
    <n v="0"/>
    <n v="1916"/>
    <n v="0"/>
    <n v="0"/>
    <n v="0"/>
    <n v="0"/>
    <x v="1"/>
    <x v="0"/>
    <x v="0"/>
    <n v="0"/>
    <n v="1916"/>
    <n v="2"/>
    <n v="0"/>
    <s v="May"/>
  </r>
  <r>
    <x v="1"/>
    <s v="Y03218"/>
    <x v="4"/>
    <x v="108"/>
    <n v="0"/>
    <n v="843"/>
    <n v="0"/>
    <n v="0"/>
    <n v="0"/>
    <n v="0"/>
    <x v="1"/>
    <x v="0"/>
    <x v="0"/>
    <n v="0"/>
    <n v="843"/>
    <n v="2"/>
    <n v="0"/>
    <s v="May"/>
  </r>
  <r>
    <x v="1"/>
    <s v="RV9"/>
    <x v="6"/>
    <x v="148"/>
    <n v="0"/>
    <n v="1171"/>
    <n v="0"/>
    <n v="3"/>
    <n v="0"/>
    <n v="0"/>
    <x v="1"/>
    <x v="0"/>
    <x v="0"/>
    <n v="0"/>
    <n v="1171"/>
    <n v="2"/>
    <n v="0"/>
    <s v="May"/>
  </r>
  <r>
    <x v="1"/>
    <s v="RTQ"/>
    <x v="1"/>
    <x v="126"/>
    <n v="0"/>
    <n v="8995"/>
    <n v="0"/>
    <n v="120"/>
    <n v="0"/>
    <n v="0"/>
    <x v="1"/>
    <x v="0"/>
    <x v="0"/>
    <n v="0"/>
    <n v="8995"/>
    <n v="2"/>
    <n v="0"/>
    <s v="May"/>
  </r>
  <r>
    <x v="1"/>
    <s v="RTR"/>
    <x v="6"/>
    <x v="147"/>
    <n v="7284"/>
    <n v="9912"/>
    <n v="3697"/>
    <n v="602"/>
    <n v="298"/>
    <n v="6"/>
    <x v="1"/>
    <x v="0"/>
    <x v="0"/>
    <n v="0.50755079626578803"/>
    <n v="17196"/>
    <n v="2"/>
    <n v="8.2372322899505767E-4"/>
    <s v="May"/>
  </r>
  <r>
    <x v="1"/>
    <s v="RTD"/>
    <x v="6"/>
    <x v="71"/>
    <n v="12515"/>
    <n v="6488"/>
    <n v="4128"/>
    <n v="0"/>
    <n v="445"/>
    <n v="26"/>
    <x v="1"/>
    <x v="0"/>
    <x v="0"/>
    <n v="0.32984418697562923"/>
    <n v="19003"/>
    <n v="2"/>
    <n v="2.0775069916100677E-3"/>
    <s v="May"/>
  </r>
  <r>
    <x v="1"/>
    <s v="RXP"/>
    <x v="6"/>
    <x v="87"/>
    <n v="13233"/>
    <n v="4259"/>
    <n v="5320"/>
    <n v="0"/>
    <n v="2030"/>
    <n v="13"/>
    <x v="1"/>
    <x v="0"/>
    <x v="0"/>
    <n v="0.40202523993047684"/>
    <n v="17492"/>
    <n v="2"/>
    <n v="9.8239250358951114E-4"/>
    <s v="May"/>
  </r>
  <r>
    <x v="1"/>
    <s v="RXN"/>
    <x v="3"/>
    <x v="65"/>
    <n v="12077"/>
    <n v="3555"/>
    <n v="4478"/>
    <n v="121"/>
    <n v="1008"/>
    <n v="476"/>
    <x v="1"/>
    <x v="0"/>
    <x v="0"/>
    <n v="0.37078744721371204"/>
    <n v="15632"/>
    <n v="2"/>
    <n v="3.9413761695785379E-2"/>
    <s v="May"/>
  </r>
  <r>
    <x v="1"/>
    <s v="RXK"/>
    <x v="5"/>
    <x v="176"/>
    <n v="11353"/>
    <n v="8458"/>
    <n v="4165"/>
    <n v="176"/>
    <n v="702"/>
    <n v="145"/>
    <x v="1"/>
    <x v="0"/>
    <x v="0"/>
    <n v="0.36686338412754338"/>
    <n v="19811"/>
    <n v="2"/>
    <n v="1.2771954549458293E-2"/>
    <s v="May"/>
  </r>
  <r>
    <x v="1"/>
    <s v="RXC"/>
    <x v="0"/>
    <x v="84"/>
    <n v="8442"/>
    <n v="2476"/>
    <n v="3019"/>
    <n v="30"/>
    <n v="184"/>
    <n v="20"/>
    <x v="1"/>
    <x v="0"/>
    <x v="0"/>
    <n v="0.35761667851220091"/>
    <n v="10918"/>
    <n v="2"/>
    <n v="2.3691068467187868E-3"/>
    <s v="May"/>
  </r>
  <r>
    <x v="1"/>
    <s v="RWH"/>
    <x v="2"/>
    <x v="81"/>
    <n v="8815"/>
    <n v="8659"/>
    <n v="4414"/>
    <n v="86"/>
    <n v="220"/>
    <n v="132"/>
    <x v="1"/>
    <x v="0"/>
    <x v="0"/>
    <n v="0.50073737946681796"/>
    <n v="17474"/>
    <n v="2"/>
    <n v="1.4974475326148611E-2"/>
    <s v="May"/>
  </r>
  <r>
    <x v="1"/>
    <s v="RTF"/>
    <x v="6"/>
    <x v="99"/>
    <n v="9963"/>
    <n v="13656"/>
    <n v="2254"/>
    <n v="7"/>
    <n v="14"/>
    <n v="0"/>
    <x v="1"/>
    <x v="0"/>
    <x v="0"/>
    <n v="0.22623707718558667"/>
    <n v="23619"/>
    <n v="2"/>
    <n v="0"/>
    <s v="May"/>
  </r>
  <r>
    <x v="1"/>
    <s v="RQ3"/>
    <x v="5"/>
    <x v="18"/>
    <n v="5061"/>
    <n v="0"/>
    <n v="1073"/>
    <n v="0"/>
    <n v="3"/>
    <n v="5"/>
    <x v="1"/>
    <x v="0"/>
    <x v="0"/>
    <n v="0.21201343607982612"/>
    <n v="5061"/>
    <n v="2"/>
    <n v="9.879470460383323E-4"/>
    <s v="May"/>
  </r>
  <r>
    <x v="1"/>
    <s v="RN5"/>
    <x v="0"/>
    <x v="97"/>
    <n v="11189"/>
    <n v="3433"/>
    <n v="4945"/>
    <n v="138"/>
    <n v="254"/>
    <n v="40"/>
    <x v="1"/>
    <x v="0"/>
    <x v="0"/>
    <n v="0.44195191706139958"/>
    <n v="14622"/>
    <n v="2"/>
    <n v="3.57493967289302E-3"/>
    <s v="May"/>
  </r>
  <r>
    <x v="1"/>
    <s v="RN3"/>
    <x v="1"/>
    <x v="167"/>
    <n v="5509"/>
    <n v="5600"/>
    <n v="2868"/>
    <n v="434"/>
    <n v="533"/>
    <n v="355"/>
    <x v="1"/>
    <x v="0"/>
    <x v="0"/>
    <n v="0.5206026502087493"/>
    <n v="11109"/>
    <n v="2"/>
    <n v="6.4440007260845894E-2"/>
    <s v="May"/>
  </r>
  <r>
    <x v="1"/>
    <s v="RM1"/>
    <x v="2"/>
    <x v="75"/>
    <n v="13181"/>
    <n v="7869"/>
    <n v="3914"/>
    <n v="6"/>
    <n v="911"/>
    <n v="198"/>
    <x v="1"/>
    <x v="0"/>
    <x v="0"/>
    <n v="0.29694256884910097"/>
    <n v="21050"/>
    <n v="2"/>
    <n v="1.5021622031712313E-2"/>
    <s v="May"/>
  </r>
  <r>
    <x v="1"/>
    <s v="RL1"/>
    <x v="5"/>
    <x v="12"/>
    <n v="0"/>
    <n v="0"/>
    <n v="0"/>
    <n v="0"/>
    <n v="0"/>
    <n v="0"/>
    <x v="1"/>
    <x v="0"/>
    <x v="0"/>
    <n v="0"/>
    <n v="0"/>
    <n v="2"/>
    <n v="0"/>
    <s v="May"/>
  </r>
  <r>
    <x v="1"/>
    <s v="RJ6"/>
    <x v="4"/>
    <x v="189"/>
    <n v="13210"/>
    <n v="5278"/>
    <n v="4123"/>
    <n v="0"/>
    <n v="254"/>
    <n v="873"/>
    <x v="1"/>
    <x v="0"/>
    <x v="0"/>
    <n v="0.31211203633610901"/>
    <n v="18488"/>
    <n v="2"/>
    <n v="6.6086298258894782E-2"/>
    <s v="May"/>
  </r>
  <r>
    <x v="1"/>
    <s v="RJ1"/>
    <x v="4"/>
    <x v="43"/>
    <n v="10064"/>
    <n v="7309"/>
    <n v="3483"/>
    <n v="247"/>
    <n v="103"/>
    <n v="69"/>
    <x v="1"/>
    <x v="0"/>
    <x v="0"/>
    <n v="0.34608505564387915"/>
    <n v="17373"/>
    <n v="2"/>
    <n v="6.8561208267090617E-3"/>
    <s v="May"/>
  </r>
  <r>
    <x v="1"/>
    <s v="RHM"/>
    <x v="0"/>
    <x v="41"/>
    <n v="12346"/>
    <n v="0"/>
    <n v="5402"/>
    <n v="0"/>
    <n v="472"/>
    <n v="15"/>
    <x v="1"/>
    <x v="0"/>
    <x v="0"/>
    <n v="0.43755062368378422"/>
    <n v="12346"/>
    <n v="2"/>
    <n v="1.2149684108213187E-3"/>
    <s v="May"/>
  </r>
  <r>
    <x v="1"/>
    <s v="RGN"/>
    <x v="2"/>
    <x v="185"/>
    <n v="14921"/>
    <n v="4675"/>
    <n v="6334"/>
    <n v="189"/>
    <n v="578"/>
    <n v="838"/>
    <x v="1"/>
    <x v="0"/>
    <x v="0"/>
    <n v="0.42450237919710476"/>
    <n v="19596"/>
    <n v="2"/>
    <n v="5.6162455599490652E-2"/>
    <s v="May"/>
  </r>
  <r>
    <x v="1"/>
    <s v="RF4"/>
    <x v="4"/>
    <x v="7"/>
    <n v="13616"/>
    <n v="14880"/>
    <n v="5949"/>
    <n v="197"/>
    <n v="735"/>
    <n v="642"/>
    <x v="1"/>
    <x v="0"/>
    <x v="0"/>
    <n v="0.43691245593419509"/>
    <n v="28496"/>
    <n v="2"/>
    <n v="4.7150411280846065E-2"/>
    <s v="May"/>
  </r>
  <r>
    <x v="1"/>
    <s v="RET"/>
    <x v="3"/>
    <x v="6"/>
    <n v="0"/>
    <n v="0"/>
    <n v="0"/>
    <n v="0"/>
    <n v="0"/>
    <n v="0"/>
    <x v="1"/>
    <x v="0"/>
    <x v="0"/>
    <n v="0"/>
    <n v="0"/>
    <n v="2"/>
    <n v="0"/>
    <s v="May"/>
  </r>
  <r>
    <x v="1"/>
    <s v="REM"/>
    <x v="3"/>
    <x v="5"/>
    <n v="16266"/>
    <n v="8289"/>
    <n v="7834"/>
    <n v="157"/>
    <n v="1918"/>
    <n v="852"/>
    <x v="1"/>
    <x v="0"/>
    <x v="0"/>
    <n v="0.4816180991024222"/>
    <n v="24555"/>
    <n v="2"/>
    <n v="5.2379195868683143E-2"/>
    <s v="May"/>
  </r>
  <r>
    <x v="1"/>
    <s v="RDR"/>
    <x v="0"/>
    <x v="3"/>
    <n v="0"/>
    <n v="12214"/>
    <n v="0"/>
    <n v="165"/>
    <n v="0"/>
    <n v="0"/>
    <x v="1"/>
    <x v="0"/>
    <x v="0"/>
    <n v="0"/>
    <n v="12214"/>
    <n v="2"/>
    <n v="0"/>
    <s v="May"/>
  </r>
  <r>
    <x v="1"/>
    <s v="RAT"/>
    <x v="4"/>
    <x v="182"/>
    <n v="0"/>
    <n v="2020"/>
    <n v="0"/>
    <n v="80"/>
    <n v="0"/>
    <n v="0"/>
    <x v="1"/>
    <x v="0"/>
    <x v="0"/>
    <n v="0"/>
    <n v="2020"/>
    <n v="2"/>
    <n v="0"/>
    <s v="May"/>
  </r>
  <r>
    <x v="1"/>
    <s v="RAJ"/>
    <x v="2"/>
    <x v="32"/>
    <n v="31033"/>
    <n v="4064"/>
    <n v="10241"/>
    <n v="108"/>
    <n v="2666"/>
    <n v="378"/>
    <x v="1"/>
    <x v="0"/>
    <x v="0"/>
    <n v="0.33000354461379822"/>
    <n v="35097"/>
    <n v="2"/>
    <n v="1.2180581961138144E-2"/>
    <s v="May"/>
  </r>
  <r>
    <x v="1"/>
    <s v="RTX"/>
    <x v="3"/>
    <x v="98"/>
    <n v="9591"/>
    <n v="3251"/>
    <n v="3396"/>
    <n v="109"/>
    <n v="622"/>
    <n v="280"/>
    <x v="1"/>
    <x v="0"/>
    <x v="0"/>
    <n v="0.35408195182984048"/>
    <n v="12842"/>
    <n v="2"/>
    <n v="2.9194036075487435E-2"/>
    <s v="May"/>
  </r>
  <r>
    <x v="1"/>
    <s v="C83023"/>
    <x v="5"/>
    <x v="44"/>
    <n v="0"/>
    <n v="537"/>
    <n v="0"/>
    <n v="0"/>
    <n v="0"/>
    <n v="0"/>
    <x v="1"/>
    <x v="0"/>
    <x v="0"/>
    <n v="0"/>
    <n v="537"/>
    <n v="2"/>
    <n v="0"/>
    <s v="May"/>
  </r>
  <r>
    <x v="1"/>
    <s v="NNJ"/>
    <x v="5"/>
    <x v="62"/>
    <n v="0"/>
    <n v="2031"/>
    <n v="0"/>
    <n v="0"/>
    <n v="0"/>
    <n v="0"/>
    <x v="1"/>
    <x v="0"/>
    <x v="0"/>
    <n v="0"/>
    <n v="2031"/>
    <n v="2"/>
    <n v="0"/>
    <s v="May"/>
  </r>
  <r>
    <x v="1"/>
    <s v="R1D"/>
    <x v="5"/>
    <x v="46"/>
    <n v="0"/>
    <n v="3432"/>
    <n v="0"/>
    <n v="59"/>
    <n v="0"/>
    <n v="0"/>
    <x v="1"/>
    <x v="0"/>
    <x v="0"/>
    <n v="0"/>
    <n v="3432"/>
    <n v="2"/>
    <n v="0"/>
    <s v="May"/>
  </r>
  <r>
    <x v="1"/>
    <s v="RLT"/>
    <x v="5"/>
    <x v="13"/>
    <n v="7048"/>
    <n v="1704"/>
    <n v="2766"/>
    <n v="46"/>
    <n v="426"/>
    <n v="284"/>
    <x v="1"/>
    <x v="0"/>
    <x v="0"/>
    <n v="0.39245175936435867"/>
    <n v="8752"/>
    <n v="2"/>
    <n v="4.0295119182746877E-2"/>
    <s v="May"/>
  </r>
  <r>
    <x v="1"/>
    <s v="RFS"/>
    <x v="5"/>
    <x v="68"/>
    <n v="7119"/>
    <n v="6319"/>
    <n v="3319"/>
    <n v="321"/>
    <n v="878"/>
    <n v="95"/>
    <x v="1"/>
    <x v="0"/>
    <x v="0"/>
    <n v="0.46621716533220958"/>
    <n v="13438"/>
    <n v="2"/>
    <n v="1.3344570866694761E-2"/>
    <s v="May"/>
  </r>
  <r>
    <x v="1"/>
    <s v="Y03007"/>
    <x v="5"/>
    <x v="118"/>
    <n v="0"/>
    <n v="0"/>
    <n v="0"/>
    <n v="0"/>
    <n v="0"/>
    <n v="0"/>
    <x v="1"/>
    <x v="0"/>
    <x v="0"/>
    <n v="0"/>
    <n v="0"/>
    <n v="2"/>
    <n v="0"/>
    <s v="May"/>
  </r>
  <r>
    <x v="1"/>
    <s v="8J094"/>
    <x v="5"/>
    <x v="109"/>
    <n v="0"/>
    <n v="0"/>
    <n v="0"/>
    <n v="0"/>
    <n v="0"/>
    <n v="0"/>
    <x v="1"/>
    <x v="0"/>
    <x v="0"/>
    <n v="0"/>
    <n v="0"/>
    <n v="2"/>
    <n v="0"/>
    <s v="May"/>
  </r>
  <r>
    <x v="1"/>
    <s v="RHU"/>
    <x v="0"/>
    <x v="63"/>
    <n v="10593"/>
    <n v="3136"/>
    <n v="4126"/>
    <n v="29"/>
    <n v="1032"/>
    <n v="373"/>
    <x v="1"/>
    <x v="0"/>
    <x v="0"/>
    <n v="0.38950250165203437"/>
    <n v="13729"/>
    <n v="2"/>
    <n v="3.5211932408194091E-2"/>
    <s v="May"/>
  </r>
  <r>
    <x v="1"/>
    <s v="R1K"/>
    <x v="4"/>
    <x v="30"/>
    <n v="14049"/>
    <n v="15575"/>
    <n v="7049"/>
    <n v="142"/>
    <n v="650"/>
    <n v="403"/>
    <x v="1"/>
    <x v="0"/>
    <x v="0"/>
    <n v="0.50174389636273042"/>
    <n v="29624"/>
    <n v="2"/>
    <n v="2.8685315680831377E-2"/>
    <s v="May"/>
  </r>
  <r>
    <x v="1"/>
    <s v="R1H"/>
    <x v="4"/>
    <x v="93"/>
    <n v="25866"/>
    <n v="19100"/>
    <n v="11713"/>
    <n v="1900"/>
    <n v="1229"/>
    <n v="988"/>
    <x v="1"/>
    <x v="0"/>
    <x v="0"/>
    <n v="0.45283383592360626"/>
    <n v="44966"/>
    <n v="2"/>
    <n v="3.8196860743833605E-2"/>
    <s v="May"/>
  </r>
  <r>
    <x v="1"/>
    <s v="RBL"/>
    <x v="3"/>
    <x v="94"/>
    <n v="7728"/>
    <n v="3086"/>
    <n v="3975"/>
    <n v="86"/>
    <n v="451"/>
    <n v="827"/>
    <x v="1"/>
    <x v="0"/>
    <x v="0"/>
    <n v="0.51436335403726707"/>
    <n v="10814"/>
    <n v="2"/>
    <n v="0.10701345755693582"/>
    <s v="May"/>
  </r>
  <r>
    <x v="1"/>
    <s v="RTH"/>
    <x v="0"/>
    <x v="100"/>
    <n v="12792"/>
    <n v="3777"/>
    <n v="4421"/>
    <n v="10"/>
    <n v="714"/>
    <n v="0"/>
    <x v="1"/>
    <x v="0"/>
    <x v="0"/>
    <n v="0.34560662914321449"/>
    <n v="16569"/>
    <n v="2"/>
    <n v="0"/>
    <s v="May"/>
  </r>
  <r>
    <x v="1"/>
    <s v="RPC"/>
    <x v="0"/>
    <x v="190"/>
    <n v="0"/>
    <n v="1544"/>
    <n v="0"/>
    <n v="33"/>
    <n v="0"/>
    <n v="0"/>
    <x v="1"/>
    <x v="0"/>
    <x v="0"/>
    <n v="0"/>
    <n v="1544"/>
    <n v="2"/>
    <n v="0"/>
    <s v="May"/>
  </r>
  <r>
    <x v="1"/>
    <s v="R0D"/>
    <x v="1"/>
    <x v="157"/>
    <n v="14445"/>
    <n v="5561"/>
    <n v="5845"/>
    <n v="0"/>
    <n v="752"/>
    <n v="127"/>
    <x v="1"/>
    <x v="0"/>
    <x v="0"/>
    <n v="0.40463828314295602"/>
    <n v="20006"/>
    <n v="2"/>
    <n v="8.7919695396330919E-3"/>
    <s v="May"/>
  </r>
  <r>
    <x v="1"/>
    <s v="RRV"/>
    <x v="4"/>
    <x v="171"/>
    <n v="13685"/>
    <n v="0"/>
    <n v="4240"/>
    <n v="0"/>
    <n v="398"/>
    <n v="141"/>
    <x v="1"/>
    <x v="0"/>
    <x v="0"/>
    <n v="0.30982827913774208"/>
    <n v="13685"/>
    <n v="2"/>
    <n v="1.0303251735476799E-2"/>
    <s v="May"/>
  </r>
  <r>
    <x v="1"/>
    <s v="RH5"/>
    <x v="1"/>
    <x v="40"/>
    <n v="13063"/>
    <n v="9703"/>
    <n v="5905"/>
    <n v="246"/>
    <n v="518"/>
    <n v="139"/>
    <x v="1"/>
    <x v="0"/>
    <x v="0"/>
    <n v="0.4520401132970987"/>
    <n v="22766"/>
    <n v="2"/>
    <n v="1.0640741024267014E-2"/>
    <s v="May"/>
  </r>
  <r>
    <x v="1"/>
    <s v="RDE"/>
    <x v="2"/>
    <x v="2"/>
    <n v="11965"/>
    <n v="14416"/>
    <n v="5845"/>
    <n v="402"/>
    <n v="993"/>
    <n v="470"/>
    <x v="1"/>
    <x v="0"/>
    <x v="0"/>
    <n v="0.4885081487672378"/>
    <n v="26381"/>
    <n v="2"/>
    <n v="3.9281236941078143E-2"/>
    <s v="May"/>
  </r>
  <r>
    <x v="1"/>
    <s v="RX1"/>
    <x v="5"/>
    <x v="175"/>
    <n v="13644"/>
    <n v="0"/>
    <n v="6813"/>
    <n v="0"/>
    <n v="311"/>
    <n v="460"/>
    <x v="1"/>
    <x v="0"/>
    <x v="0"/>
    <n v="0.49934036939313986"/>
    <n v="13644"/>
    <n v="2"/>
    <n v="3.3714453239519201E-2"/>
    <s v="May"/>
  </r>
  <r>
    <x v="1"/>
    <s v="RWJ"/>
    <x v="3"/>
    <x v="82"/>
    <n v="8299"/>
    <n v="1098"/>
    <n v="3564"/>
    <n v="77"/>
    <n v="834"/>
    <n v="316"/>
    <x v="1"/>
    <x v="0"/>
    <x v="0"/>
    <n v="0.42944933124472828"/>
    <n v="9397"/>
    <n v="2"/>
    <n v="3.8076876732136403E-2"/>
    <s v="May"/>
  </r>
  <r>
    <x v="1"/>
    <s v="RVR"/>
    <x v="4"/>
    <x v="74"/>
    <n v="11686"/>
    <n v="1714"/>
    <n v="4163"/>
    <n v="29"/>
    <n v="438"/>
    <n v="975"/>
    <x v="1"/>
    <x v="0"/>
    <x v="0"/>
    <n v="0.35623823378401503"/>
    <n v="13400"/>
    <n v="2"/>
    <n v="8.343316789320554E-2"/>
    <s v="May"/>
  </r>
  <r>
    <x v="1"/>
    <s v="RRF"/>
    <x v="3"/>
    <x v="21"/>
    <n v="7397"/>
    <n v="5398"/>
    <n v="3496"/>
    <n v="59"/>
    <n v="1193"/>
    <n v="367"/>
    <x v="1"/>
    <x v="0"/>
    <x v="0"/>
    <n v="0.4726240367716642"/>
    <n v="12795"/>
    <n v="2"/>
    <n v="4.9614708665675272E-2"/>
    <s v="May"/>
  </r>
  <r>
    <x v="1"/>
    <s v="RJ7"/>
    <x v="4"/>
    <x v="96"/>
    <n v="8770"/>
    <n v="3900"/>
    <n v="2775"/>
    <n v="0"/>
    <n v="497"/>
    <n v="836"/>
    <x v="1"/>
    <x v="0"/>
    <x v="0"/>
    <n v="0.31641961231470922"/>
    <n v="12670"/>
    <n v="2"/>
    <n v="9.5324971493728622E-2"/>
    <s v="May"/>
  </r>
  <r>
    <x v="1"/>
    <s v="RGT"/>
    <x v="2"/>
    <x v="95"/>
    <n v="10784"/>
    <n v="5981"/>
    <n v="4546"/>
    <n v="93"/>
    <n v="589"/>
    <n v="207"/>
    <x v="1"/>
    <x v="0"/>
    <x v="0"/>
    <n v="0.42155044510385759"/>
    <n v="16765"/>
    <n v="2"/>
    <n v="1.9195103857566766E-2"/>
    <s v="May"/>
  </r>
  <r>
    <x v="1"/>
    <s v="RD1"/>
    <x v="1"/>
    <x v="1"/>
    <n v="9233"/>
    <n v="0"/>
    <n v="3836"/>
    <n v="0"/>
    <n v="803"/>
    <n v="83"/>
    <x v="1"/>
    <x v="0"/>
    <x v="0"/>
    <n v="0.41546626231993933"/>
    <n v="9233"/>
    <n v="2"/>
    <n v="8.9894942055669877E-3"/>
    <s v="May"/>
  </r>
  <r>
    <x v="1"/>
    <s v="RCF"/>
    <x v="6"/>
    <x v="162"/>
    <n v="6214"/>
    <n v="0"/>
    <n v="2200"/>
    <n v="0"/>
    <n v="270"/>
    <n v="47"/>
    <x v="1"/>
    <x v="0"/>
    <x v="0"/>
    <n v="0.3540392661731574"/>
    <n v="6214"/>
    <n v="2"/>
    <n v="7.5635661409719987E-3"/>
    <s v="May"/>
  </r>
  <r>
    <x v="1"/>
    <s v="RM3"/>
    <x v="3"/>
    <x v="64"/>
    <n v="26590"/>
    <n v="8696"/>
    <n v="10741"/>
    <n v="503"/>
    <n v="1156"/>
    <n v="1113"/>
    <x v="1"/>
    <x v="0"/>
    <x v="0"/>
    <n v="0.4039488529522377"/>
    <n v="35286"/>
    <n v="2"/>
    <n v="4.1857841293719444E-2"/>
    <s v="May"/>
  </r>
  <r>
    <x v="1"/>
    <s v="K6K0R"/>
    <x v="4"/>
    <x v="121"/>
    <n v="0"/>
    <n v="2625"/>
    <n v="0"/>
    <n v="18"/>
    <n v="0"/>
    <n v="0"/>
    <x v="1"/>
    <x v="0"/>
    <x v="0"/>
    <n v="0"/>
    <n v="2625"/>
    <n v="2"/>
    <n v="0"/>
    <s v="May"/>
  </r>
  <r>
    <x v="1"/>
    <s v="RYJ"/>
    <x v="4"/>
    <x v="91"/>
    <n v="12279"/>
    <n v="7480"/>
    <n v="5451"/>
    <n v="443"/>
    <n v="749"/>
    <n v="366"/>
    <x v="1"/>
    <x v="0"/>
    <x v="0"/>
    <n v="0.4439286586855607"/>
    <n v="19759"/>
    <n v="2"/>
    <n v="2.9806987539701929E-2"/>
    <s v="May"/>
  </r>
  <r>
    <x v="1"/>
    <s v="Y02147"/>
    <x v="4"/>
    <x v="117"/>
    <n v="0"/>
    <n v="8062"/>
    <n v="0"/>
    <n v="125"/>
    <n v="0"/>
    <n v="0"/>
    <x v="1"/>
    <x v="0"/>
    <x v="0"/>
    <n v="0"/>
    <n v="8062"/>
    <n v="2"/>
    <n v="0"/>
    <s v="May"/>
  </r>
  <r>
    <x v="1"/>
    <s v="NNJ15"/>
    <x v="5"/>
    <x v="61"/>
    <n v="0"/>
    <n v="83"/>
    <n v="0"/>
    <n v="0"/>
    <n v="0"/>
    <n v="0"/>
    <x v="1"/>
    <x v="0"/>
    <x v="0"/>
    <n v="0"/>
    <n v="83"/>
    <n v="2"/>
    <n v="0"/>
    <s v="May"/>
  </r>
  <r>
    <x v="1"/>
    <s v="NNJ14"/>
    <x v="5"/>
    <x v="60"/>
    <n v="0"/>
    <n v="598"/>
    <n v="0"/>
    <n v="0"/>
    <n v="0"/>
    <n v="0"/>
    <x v="1"/>
    <x v="0"/>
    <x v="0"/>
    <n v="0"/>
    <n v="598"/>
    <n v="2"/>
    <n v="0"/>
    <s v="May"/>
  </r>
  <r>
    <x v="1"/>
    <s v="NNJ13"/>
    <x v="5"/>
    <x v="59"/>
    <n v="0"/>
    <n v="65"/>
    <n v="0"/>
    <n v="0"/>
    <n v="0"/>
    <n v="0"/>
    <x v="1"/>
    <x v="0"/>
    <x v="0"/>
    <n v="0"/>
    <n v="65"/>
    <n v="2"/>
    <n v="0"/>
    <s v="May"/>
  </r>
  <r>
    <x v="1"/>
    <s v="NNJ12"/>
    <x v="5"/>
    <x v="58"/>
    <n v="0"/>
    <n v="128"/>
    <n v="0"/>
    <n v="0"/>
    <n v="0"/>
    <n v="0"/>
    <x v="1"/>
    <x v="0"/>
    <x v="0"/>
    <n v="0"/>
    <n v="128"/>
    <n v="2"/>
    <n v="0"/>
    <s v="May"/>
  </r>
  <r>
    <x v="1"/>
    <s v="NNJ0H"/>
    <x v="5"/>
    <x v="57"/>
    <n v="0"/>
    <n v="209"/>
    <n v="0"/>
    <n v="0"/>
    <n v="0"/>
    <n v="0"/>
    <x v="1"/>
    <x v="0"/>
    <x v="0"/>
    <n v="0"/>
    <n v="209"/>
    <n v="2"/>
    <n v="0"/>
    <s v="May"/>
  </r>
  <r>
    <x v="1"/>
    <s v="NNJ07"/>
    <x v="5"/>
    <x v="56"/>
    <n v="0"/>
    <n v="5526"/>
    <n v="0"/>
    <n v="23"/>
    <n v="0"/>
    <n v="0"/>
    <x v="1"/>
    <x v="0"/>
    <x v="0"/>
    <n v="0"/>
    <n v="5526"/>
    <n v="2"/>
    <n v="0"/>
    <s v="May"/>
  </r>
  <r>
    <x v="1"/>
    <s v="G3P9C"/>
    <x v="1"/>
    <x v="199"/>
    <n v="0"/>
    <n v="980"/>
    <n v="0"/>
    <n v="1"/>
    <n v="0"/>
    <n v="0"/>
    <x v="1"/>
    <x v="0"/>
    <x v="0"/>
    <n v="0"/>
    <n v="980"/>
    <n v="2"/>
    <n v="0"/>
    <s v="May"/>
  </r>
  <r>
    <x v="1"/>
    <s v="ACH01"/>
    <x v="0"/>
    <x v="119"/>
    <n v="0"/>
    <n v="5069"/>
    <n v="0"/>
    <n v="0"/>
    <n v="0"/>
    <n v="0"/>
    <x v="1"/>
    <x v="0"/>
    <x v="0"/>
    <n v="0"/>
    <n v="5069"/>
    <n v="2"/>
    <n v="0"/>
    <s v="May"/>
  </r>
  <r>
    <x v="1"/>
    <s v="RYR"/>
    <x v="0"/>
    <x v="92"/>
    <n v="27027"/>
    <n v="2028"/>
    <n v="9659"/>
    <n v="211"/>
    <n v="720"/>
    <n v="588"/>
    <x v="1"/>
    <x v="0"/>
    <x v="0"/>
    <n v="0.35738335738335736"/>
    <n v="29055"/>
    <n v="2"/>
    <n v="2.1756021756021756E-2"/>
    <s v="May"/>
  </r>
  <r>
    <x v="1"/>
    <s v="RXR"/>
    <x v="3"/>
    <x v="107"/>
    <n v="13655"/>
    <n v="11300"/>
    <n v="4634"/>
    <n v="440"/>
    <n v="532"/>
    <n v="1119"/>
    <x v="1"/>
    <x v="0"/>
    <x v="0"/>
    <n v="0.33936287074331745"/>
    <n v="24955"/>
    <n v="2"/>
    <n v="8.1948004393994869E-2"/>
    <s v="May"/>
  </r>
  <r>
    <x v="1"/>
    <s v="RXQ"/>
    <x v="0"/>
    <x v="48"/>
    <n v="10764"/>
    <n v="3107"/>
    <n v="3303"/>
    <n v="95"/>
    <n v="275"/>
    <n v="252"/>
    <x v="1"/>
    <x v="0"/>
    <x v="0"/>
    <n v="0.30685618729096992"/>
    <n v="13871"/>
    <n v="2"/>
    <n v="2.3411371237458192E-2"/>
    <s v="May"/>
  </r>
  <r>
    <x v="1"/>
    <s v="RXL"/>
    <x v="3"/>
    <x v="86"/>
    <n v="9115"/>
    <n v="10342"/>
    <n v="4185"/>
    <n v="70"/>
    <n v="677"/>
    <n v="367"/>
    <x v="1"/>
    <x v="0"/>
    <x v="0"/>
    <n v="0.4591332967635765"/>
    <n v="19457"/>
    <n v="2"/>
    <n v="4.0263302249040046E-2"/>
    <s v="May"/>
  </r>
  <r>
    <x v="1"/>
    <s v="RXG"/>
    <x v="6"/>
    <x v="85"/>
    <n v="0"/>
    <n v="0"/>
    <n v="0"/>
    <n v="0"/>
    <n v="0"/>
    <n v="0"/>
    <x v="1"/>
    <x v="0"/>
    <x v="0"/>
    <n v="0"/>
    <n v="0"/>
    <n v="2"/>
    <n v="0"/>
    <s v="May"/>
  </r>
  <r>
    <x v="1"/>
    <s v="RXF"/>
    <x v="6"/>
    <x v="177"/>
    <n v="17183"/>
    <n v="6434"/>
    <n v="6363"/>
    <n v="139"/>
    <n v="1995"/>
    <n v="175"/>
    <x v="1"/>
    <x v="0"/>
    <x v="0"/>
    <n v="0.37030786242216146"/>
    <n v="23617"/>
    <n v="2"/>
    <n v="1.0184484665075946E-2"/>
    <s v="May"/>
  </r>
  <r>
    <x v="1"/>
    <s v="RWX"/>
    <x v="0"/>
    <x v="55"/>
    <n v="0"/>
    <n v="1662"/>
    <n v="0"/>
    <n v="8"/>
    <n v="0"/>
    <n v="0"/>
    <x v="1"/>
    <x v="0"/>
    <x v="0"/>
    <n v="0"/>
    <n v="1662"/>
    <n v="2"/>
    <n v="0"/>
    <s v="May"/>
  </r>
  <r>
    <x v="1"/>
    <s v="RWF"/>
    <x v="0"/>
    <x v="193"/>
    <n v="18728"/>
    <n v="2370"/>
    <n v="3906"/>
    <n v="26"/>
    <n v="1010"/>
    <n v="111"/>
    <x v="1"/>
    <x v="0"/>
    <x v="0"/>
    <n v="0.20856471593336182"/>
    <n v="21098"/>
    <n v="2"/>
    <n v="5.9269542930371639E-3"/>
    <s v="May"/>
  </r>
  <r>
    <x v="1"/>
    <s v="RWE"/>
    <x v="5"/>
    <x v="79"/>
    <n v="22382"/>
    <n v="0"/>
    <n v="9216"/>
    <n v="0"/>
    <n v="1435"/>
    <n v="609"/>
    <x v="1"/>
    <x v="0"/>
    <x v="0"/>
    <n v="0.41175944955768029"/>
    <n v="22382"/>
    <n v="2"/>
    <n v="2.7209364668036817E-2"/>
    <s v="May"/>
  </r>
  <r>
    <x v="1"/>
    <s v="RVW"/>
    <x v="6"/>
    <x v="76"/>
    <n v="4893"/>
    <n v="11483"/>
    <n v="2330"/>
    <n v="18"/>
    <n v="161"/>
    <n v="1"/>
    <x v="1"/>
    <x v="0"/>
    <x v="0"/>
    <n v="0.47619047619047616"/>
    <n v="16376"/>
    <n v="2"/>
    <n v="2.0437359493153485E-4"/>
    <s v="May"/>
  </r>
  <r>
    <x v="1"/>
    <s v="RVV"/>
    <x v="0"/>
    <x v="50"/>
    <n v="12541"/>
    <n v="13343"/>
    <n v="5695"/>
    <n v="358"/>
    <n v="452"/>
    <n v="1210"/>
    <x v="1"/>
    <x v="0"/>
    <x v="0"/>
    <n v="0.45411051750259152"/>
    <n v="25884"/>
    <n v="2"/>
    <n v="9.6483534008452276E-2"/>
    <s v="May"/>
  </r>
  <r>
    <x v="1"/>
    <s v="RVJ"/>
    <x v="1"/>
    <x v="73"/>
    <n v="9454"/>
    <n v="0"/>
    <n v="3458"/>
    <n v="0"/>
    <n v="603"/>
    <n v="366"/>
    <x v="1"/>
    <x v="0"/>
    <x v="0"/>
    <n v="0.36577110217897185"/>
    <n v="9454"/>
    <n v="2"/>
    <n v="3.8713771948381638E-2"/>
    <s v="May"/>
  </r>
  <r>
    <x v="1"/>
    <s v="G0Q0L"/>
    <x v="4"/>
    <x v="120"/>
    <n v="0"/>
    <n v="2788"/>
    <n v="0"/>
    <n v="34"/>
    <n v="0"/>
    <n v="0"/>
    <x v="1"/>
    <x v="0"/>
    <x v="0"/>
    <n v="0"/>
    <n v="2788"/>
    <n v="2"/>
    <n v="0"/>
    <s v="May"/>
  </r>
  <r>
    <x v="1"/>
    <s v="NQT1I"/>
    <x v="1"/>
    <x v="200"/>
    <n v="0"/>
    <n v="1761"/>
    <n v="0"/>
    <n v="20"/>
    <n v="0"/>
    <n v="0"/>
    <x v="1"/>
    <x v="0"/>
    <x v="0"/>
    <n v="0"/>
    <n v="1761"/>
    <n v="2"/>
    <n v="0"/>
    <s v="May"/>
  </r>
  <r>
    <x v="1"/>
    <s v="RA2"/>
    <x v="0"/>
    <x v="47"/>
    <n v="6751"/>
    <n v="1863"/>
    <n v="2154"/>
    <n v="0"/>
    <n v="372"/>
    <n v="12"/>
    <x v="1"/>
    <x v="0"/>
    <x v="0"/>
    <n v="0.31906384239371943"/>
    <n v="8614"/>
    <n v="2"/>
    <n v="1.7775144423048438E-3"/>
    <s v="May"/>
  </r>
  <r>
    <x v="1"/>
    <s v="A5D4Q"/>
    <x v="5"/>
    <x v="153"/>
    <n v="0"/>
    <n v="3404"/>
    <n v="0"/>
    <n v="776"/>
    <n v="0"/>
    <n v="0"/>
    <x v="1"/>
    <x v="0"/>
    <x v="0"/>
    <n v="0"/>
    <n v="3404"/>
    <n v="2"/>
    <n v="0"/>
    <s v="May"/>
  </r>
  <r>
    <x v="1"/>
    <s v="RC9"/>
    <x v="2"/>
    <x v="161"/>
    <n v="16670"/>
    <n v="8159"/>
    <n v="6174"/>
    <n v="0"/>
    <n v="82"/>
    <n v="5"/>
    <x v="1"/>
    <x v="0"/>
    <x v="0"/>
    <n v="0.37036592681463709"/>
    <n v="24829"/>
    <n v="2"/>
    <n v="2.9994001199760045E-4"/>
    <s v="May"/>
  </r>
  <r>
    <x v="1"/>
    <s v="RAL"/>
    <x v="4"/>
    <x v="33"/>
    <n v="25947"/>
    <n v="16664"/>
    <n v="9265"/>
    <n v="774"/>
    <n v="1234"/>
    <n v="1606"/>
    <x v="1"/>
    <x v="0"/>
    <x v="0"/>
    <n v="0.3570740355339731"/>
    <n v="42611"/>
    <n v="2"/>
    <n v="6.1895402165953677E-2"/>
    <s v="May"/>
  </r>
  <r>
    <x v="1"/>
    <s v="RYG"/>
    <x v="5"/>
    <x v="90"/>
    <n v="0"/>
    <n v="0"/>
    <n v="0"/>
    <n v="0"/>
    <n v="0"/>
    <n v="0"/>
    <x v="1"/>
    <x v="0"/>
    <x v="0"/>
    <n v="0"/>
    <n v="0"/>
    <n v="2"/>
    <n v="0"/>
    <s v="May"/>
  </r>
  <r>
    <x v="1"/>
    <s v="RY4"/>
    <x v="2"/>
    <x v="172"/>
    <n v="0"/>
    <n v="1194"/>
    <n v="0"/>
    <n v="91"/>
    <n v="0"/>
    <n v="0"/>
    <x v="1"/>
    <x v="0"/>
    <x v="0"/>
    <n v="0"/>
    <n v="1194"/>
    <n v="2"/>
    <n v="0"/>
    <s v="May"/>
  </r>
  <r>
    <x v="1"/>
    <s v="RXW"/>
    <x v="5"/>
    <x v="88"/>
    <n v="11139"/>
    <n v="2719"/>
    <n v="6432"/>
    <n v="567"/>
    <n v="488"/>
    <n v="1379"/>
    <x v="1"/>
    <x v="0"/>
    <x v="0"/>
    <n v="0.57743064907083219"/>
    <n v="13858"/>
    <n v="2"/>
    <n v="0.12379926384774216"/>
    <s v="May"/>
  </r>
  <r>
    <x v="1"/>
    <s v="RWW"/>
    <x v="3"/>
    <x v="83"/>
    <n v="7196"/>
    <n v="3319"/>
    <n v="3702"/>
    <n v="45"/>
    <n v="804"/>
    <n v="760"/>
    <x v="1"/>
    <x v="0"/>
    <x v="0"/>
    <n v="0.51445247359644242"/>
    <n v="10515"/>
    <n v="2"/>
    <n v="0.1056142301278488"/>
    <s v="May"/>
  </r>
  <r>
    <x v="1"/>
    <s v="RWG"/>
    <x v="2"/>
    <x v="80"/>
    <n v="8361"/>
    <n v="7948"/>
    <n v="2756"/>
    <n v="33"/>
    <n v="762"/>
    <n v="30"/>
    <x v="1"/>
    <x v="0"/>
    <x v="0"/>
    <n v="0.32962564286568591"/>
    <n v="16309"/>
    <n v="2"/>
    <n v="3.5880875493362039E-3"/>
    <s v="May"/>
  </r>
  <r>
    <x v="1"/>
    <s v="RWD"/>
    <x v="5"/>
    <x v="78"/>
    <n v="17298"/>
    <n v="3864"/>
    <n v="6855"/>
    <n v="350"/>
    <n v="1075"/>
    <n v="942"/>
    <x v="1"/>
    <x v="0"/>
    <x v="0"/>
    <n v="0.39628858827610131"/>
    <n v="21162"/>
    <n v="2"/>
    <n v="5.4457162677766215E-2"/>
    <s v="May"/>
  </r>
  <r>
    <x v="1"/>
    <s v="RTG"/>
    <x v="5"/>
    <x v="54"/>
    <n v="18783"/>
    <n v="9789"/>
    <n v="8654"/>
    <n v="3"/>
    <n v="1123"/>
    <n v="850"/>
    <x v="1"/>
    <x v="0"/>
    <x v="0"/>
    <n v="0.46073577170845975"/>
    <n v="28572"/>
    <n v="2"/>
    <n v="4.5253686844487037E-2"/>
    <s v="May"/>
  </r>
  <r>
    <x v="1"/>
    <s v="RTE"/>
    <x v="1"/>
    <x v="23"/>
    <n v="13825"/>
    <n v="0"/>
    <n v="5194"/>
    <n v="0"/>
    <n v="451"/>
    <n v="395"/>
    <x v="1"/>
    <x v="0"/>
    <x v="0"/>
    <n v="0.3756962025316456"/>
    <n v="13825"/>
    <n v="2"/>
    <n v="2.8571428571428571E-2"/>
    <s v="May"/>
  </r>
  <r>
    <x v="1"/>
    <s v="RRK"/>
    <x v="5"/>
    <x v="67"/>
    <n v="35801"/>
    <n v="1955"/>
    <n v="14957"/>
    <n v="134"/>
    <n v="2720"/>
    <n v="1863"/>
    <x v="1"/>
    <x v="0"/>
    <x v="0"/>
    <n v="0.41778162621155834"/>
    <n v="37756"/>
    <n v="2"/>
    <n v="5.2037652579536887E-2"/>
    <s v="May"/>
  </r>
  <r>
    <x v="1"/>
    <s v="RR8"/>
    <x v="6"/>
    <x v="20"/>
    <n v="18042"/>
    <n v="12282"/>
    <n v="7129"/>
    <n v="236"/>
    <n v="1663"/>
    <n v="331"/>
    <x v="1"/>
    <x v="0"/>
    <x v="0"/>
    <n v="0.39513357720873515"/>
    <n v="30324"/>
    <n v="2"/>
    <n v="1.834608136570225E-2"/>
    <s v="May"/>
  </r>
  <r>
    <x v="1"/>
    <s v="RYY"/>
    <x v="0"/>
    <x v="122"/>
    <n v="0"/>
    <n v="9707"/>
    <n v="0"/>
    <n v="26"/>
    <n v="0"/>
    <n v="0"/>
    <x v="1"/>
    <x v="0"/>
    <x v="0"/>
    <n v="0"/>
    <n v="9707"/>
    <n v="2"/>
    <n v="0"/>
    <s v="May"/>
  </r>
  <r>
    <x v="1"/>
    <s v="RQM"/>
    <x v="4"/>
    <x v="19"/>
    <n v="20275"/>
    <n v="6380"/>
    <n v="5543"/>
    <n v="65"/>
    <n v="733"/>
    <n v="55"/>
    <x v="1"/>
    <x v="0"/>
    <x v="0"/>
    <n v="0.2733908754623921"/>
    <n v="26655"/>
    <n v="2"/>
    <n v="2.7127003699136867E-3"/>
    <s v="May"/>
  </r>
  <r>
    <x v="1"/>
    <s v="RR7"/>
    <x v="6"/>
    <x v="115"/>
    <n v="5902"/>
    <n v="4034"/>
    <n v="2036"/>
    <n v="50"/>
    <n v="459"/>
    <n v="1"/>
    <x v="1"/>
    <x v="0"/>
    <x v="0"/>
    <n v="0.34496780752287359"/>
    <n v="9936"/>
    <n v="2"/>
    <n v="1.6943409013893597E-4"/>
    <s v="May"/>
  </r>
  <r>
    <x v="1"/>
    <s v="RH8"/>
    <x v="1"/>
    <x v="163"/>
    <n v="13179"/>
    <n v="4543"/>
    <n v="5256"/>
    <n v="19"/>
    <n v="861"/>
    <n v="170"/>
    <x v="1"/>
    <x v="0"/>
    <x v="0"/>
    <n v="0.39881629865695423"/>
    <n v="17722"/>
    <n v="2"/>
    <n v="1.289930950754989E-2"/>
    <s v="May"/>
  </r>
  <r>
    <x v="1"/>
    <s v="RHQ"/>
    <x v="6"/>
    <x v="42"/>
    <n v="8804"/>
    <n v="7663"/>
    <n v="4571"/>
    <n v="217"/>
    <n v="865"/>
    <n v="9"/>
    <x v="1"/>
    <x v="0"/>
    <x v="0"/>
    <n v="0.519195820081781"/>
    <n v="16467"/>
    <n v="2"/>
    <n v="1.0222626079054976E-3"/>
    <s v="May"/>
  </r>
  <r>
    <x v="1"/>
    <s v="RJ2"/>
    <x v="4"/>
    <x v="8"/>
    <n v="15988"/>
    <n v="9699"/>
    <n v="8024"/>
    <n v="258"/>
    <n v="1305"/>
    <n v="726"/>
    <x v="1"/>
    <x v="0"/>
    <x v="0"/>
    <n v="0.50187640730547911"/>
    <n v="25687"/>
    <n v="2"/>
    <n v="4.5409056792594445E-2"/>
    <s v="May"/>
  </r>
  <r>
    <x v="1"/>
    <s v="RKB"/>
    <x v="5"/>
    <x v="11"/>
    <n v="12377"/>
    <n v="6215"/>
    <n v="5168"/>
    <n v="184"/>
    <n v="90"/>
    <n v="31"/>
    <x v="1"/>
    <x v="0"/>
    <x v="0"/>
    <n v="0.41754867900137349"/>
    <n v="18592"/>
    <n v="2"/>
    <n v="2.5046457138240283E-3"/>
    <s v="May"/>
  </r>
  <r>
    <x v="1"/>
    <s v="RD8"/>
    <x v="2"/>
    <x v="36"/>
    <n v="8137"/>
    <n v="4920"/>
    <n v="2996"/>
    <n v="18"/>
    <n v="726"/>
    <n v="0"/>
    <x v="1"/>
    <x v="0"/>
    <x v="0"/>
    <n v="0.36819466633894554"/>
    <n v="13057"/>
    <n v="2"/>
    <n v="0"/>
    <s v="May"/>
  </r>
  <r>
    <x v="1"/>
    <s v="RNN"/>
    <x v="6"/>
    <x v="197"/>
    <n v="9176"/>
    <n v="2193"/>
    <n v="3794"/>
    <n v="16"/>
    <n v="657"/>
    <n v="426"/>
    <x v="1"/>
    <x v="0"/>
    <x v="0"/>
    <n v="0.41346992153443768"/>
    <n v="11369"/>
    <n v="2"/>
    <n v="4.6425457715780299E-2"/>
    <s v="May"/>
  </r>
  <r>
    <x v="1"/>
    <s v="RNS"/>
    <x v="5"/>
    <x v="15"/>
    <n v="10430"/>
    <n v="2171"/>
    <n v="4313"/>
    <n v="83"/>
    <n v="746"/>
    <n v="622"/>
    <x v="1"/>
    <x v="0"/>
    <x v="0"/>
    <n v="0.41351869606903163"/>
    <n v="12601"/>
    <n v="2"/>
    <n v="5.963566634707574E-2"/>
    <s v="May"/>
  </r>
  <r>
    <x v="1"/>
    <s v="RNZ"/>
    <x v="1"/>
    <x v="17"/>
    <n v="4928"/>
    <n v="1925"/>
    <n v="2094"/>
    <n v="0"/>
    <n v="430"/>
    <n v="53"/>
    <x v="1"/>
    <x v="0"/>
    <x v="0"/>
    <n v="0.42491883116883117"/>
    <n v="6853"/>
    <n v="2"/>
    <n v="1.075487012987013E-2"/>
    <s v="May"/>
  </r>
  <r>
    <x v="1"/>
    <s v="RKE"/>
    <x v="4"/>
    <x v="194"/>
    <n v="9198"/>
    <n v="0"/>
    <n v="2615"/>
    <n v="0"/>
    <n v="256"/>
    <n v="167"/>
    <x v="1"/>
    <x v="0"/>
    <x v="0"/>
    <n v="0.2843009349858665"/>
    <n v="9198"/>
    <n v="2"/>
    <n v="1.8156120895846922E-2"/>
    <s v="May"/>
  </r>
  <r>
    <x v="2"/>
    <s v="RGP"/>
    <x v="2"/>
    <x v="146"/>
    <n v="7615"/>
    <n v="1279"/>
    <n v="2981"/>
    <n v="0"/>
    <n v="503"/>
    <n v="202"/>
    <x v="2"/>
    <x v="0"/>
    <x v="1"/>
    <n v="0.39146421536441234"/>
    <n v="8894"/>
    <n v="3"/>
    <n v="2.6526592252133947E-2"/>
    <s v="June"/>
  </r>
  <r>
    <x v="2"/>
    <s v="RYF"/>
    <x v="1"/>
    <x v="89"/>
    <n v="0"/>
    <n v="2009"/>
    <n v="0"/>
    <n v="24"/>
    <n v="0"/>
    <n v="0"/>
    <x v="2"/>
    <x v="0"/>
    <x v="1"/>
    <n v="0"/>
    <n v="2009"/>
    <n v="3"/>
    <n v="0"/>
    <s v="June"/>
  </r>
  <r>
    <x v="2"/>
    <s v="RY8"/>
    <x v="5"/>
    <x v="152"/>
    <n v="0"/>
    <n v="8156"/>
    <n v="0"/>
    <n v="248"/>
    <n v="0"/>
    <n v="0"/>
    <x v="2"/>
    <x v="0"/>
    <x v="1"/>
    <n v="0"/>
    <n v="8156"/>
    <n v="3"/>
    <n v="0"/>
    <s v="June"/>
  </r>
  <r>
    <x v="2"/>
    <s v="RXK"/>
    <x v="5"/>
    <x v="176"/>
    <n v="11589"/>
    <n v="8183"/>
    <n v="4324"/>
    <n v="257"/>
    <n v="629"/>
    <n v="87"/>
    <x v="2"/>
    <x v="0"/>
    <x v="1"/>
    <n v="0.37311243420484941"/>
    <n v="19772"/>
    <n v="3"/>
    <n v="7.5071188195702824E-3"/>
    <s v="June"/>
  </r>
  <r>
    <x v="2"/>
    <s v="RTQ"/>
    <x v="1"/>
    <x v="126"/>
    <n v="0"/>
    <n v="8850"/>
    <n v="0"/>
    <n v="172"/>
    <n v="0"/>
    <n v="0"/>
    <x v="2"/>
    <x v="0"/>
    <x v="1"/>
    <n v="0"/>
    <n v="8850"/>
    <n v="3"/>
    <n v="0"/>
    <s v="June"/>
  </r>
  <r>
    <x v="2"/>
    <s v="RR7"/>
    <x v="6"/>
    <x v="115"/>
    <n v="6051"/>
    <n v="3871"/>
    <n v="2269"/>
    <n v="40"/>
    <n v="614"/>
    <n v="2"/>
    <x v="2"/>
    <x v="0"/>
    <x v="1"/>
    <n v="0.37497934225747809"/>
    <n v="9922"/>
    <n v="3"/>
    <n v="3.3052388035035532E-4"/>
    <s v="June"/>
  </r>
  <r>
    <x v="2"/>
    <s v="RYG"/>
    <x v="5"/>
    <x v="90"/>
    <n v="0"/>
    <n v="0"/>
    <n v="0"/>
    <n v="0"/>
    <n v="0"/>
    <n v="0"/>
    <x v="2"/>
    <x v="0"/>
    <x v="1"/>
    <n v="0"/>
    <n v="0"/>
    <n v="3"/>
    <n v="0"/>
    <s v="June"/>
  </r>
  <r>
    <x v="2"/>
    <s v="RNN"/>
    <x v="6"/>
    <x v="197"/>
    <n v="8759"/>
    <n v="2068"/>
    <n v="3932"/>
    <n v="37"/>
    <n v="701"/>
    <n v="403"/>
    <x v="2"/>
    <x v="0"/>
    <x v="1"/>
    <n v="0.44890969288731591"/>
    <n v="10827"/>
    <n v="3"/>
    <n v="4.6009818472428361E-2"/>
    <s v="June"/>
  </r>
  <r>
    <x v="2"/>
    <s v="RK9"/>
    <x v="1"/>
    <x v="195"/>
    <n v="9169"/>
    <n v="5765"/>
    <n v="4584"/>
    <n v="85"/>
    <n v="477"/>
    <n v="658"/>
    <x v="2"/>
    <x v="0"/>
    <x v="1"/>
    <n v="0.49994546842621879"/>
    <n v="14934"/>
    <n v="3"/>
    <n v="7.1763551096084635E-2"/>
    <s v="June"/>
  </r>
  <r>
    <x v="2"/>
    <s v="RCF"/>
    <x v="6"/>
    <x v="162"/>
    <n v="6194"/>
    <n v="0"/>
    <n v="2095"/>
    <n v="0"/>
    <n v="328"/>
    <n v="99"/>
    <x v="2"/>
    <x v="0"/>
    <x v="1"/>
    <n v="0.33823054568937683"/>
    <n v="6194"/>
    <n v="3"/>
    <n v="1.5983209557636421E-2"/>
    <s v="June"/>
  </r>
  <r>
    <x v="2"/>
    <s v="NNF94"/>
    <x v="6"/>
    <x v="28"/>
    <n v="0"/>
    <n v="3038"/>
    <n v="0"/>
    <n v="212"/>
    <n v="0"/>
    <n v="0"/>
    <x v="2"/>
    <x v="0"/>
    <x v="1"/>
    <n v="0"/>
    <n v="3038"/>
    <n v="3"/>
    <n v="0"/>
    <s v="June"/>
  </r>
  <r>
    <x v="2"/>
    <s v="RAX"/>
    <x v="4"/>
    <x v="114"/>
    <n v="6808"/>
    <n v="8564"/>
    <n v="3230"/>
    <n v="243"/>
    <n v="298"/>
    <n v="221"/>
    <x v="2"/>
    <x v="0"/>
    <x v="1"/>
    <n v="0.47444183313748534"/>
    <n v="15372"/>
    <n v="3"/>
    <n v="3.2461809635722677E-2"/>
    <s v="June"/>
  </r>
  <r>
    <x v="2"/>
    <s v="NQT5F"/>
    <x v="3"/>
    <x v="143"/>
    <n v="0"/>
    <n v="1587"/>
    <n v="0"/>
    <n v="9"/>
    <n v="0"/>
    <n v="0"/>
    <x v="2"/>
    <x v="0"/>
    <x v="1"/>
    <n v="0"/>
    <n v="1587"/>
    <n v="3"/>
    <n v="0"/>
    <s v="June"/>
  </r>
  <r>
    <x v="2"/>
    <s v="NQT1I"/>
    <x v="1"/>
    <x v="200"/>
    <n v="0"/>
    <n v="1833"/>
    <n v="0"/>
    <n v="37"/>
    <n v="0"/>
    <n v="0"/>
    <x v="2"/>
    <x v="0"/>
    <x v="1"/>
    <n v="0"/>
    <n v="1833"/>
    <n v="3"/>
    <n v="0"/>
    <s v="June"/>
  </r>
  <r>
    <x v="2"/>
    <s v="NNFA7"/>
    <x v="6"/>
    <x v="29"/>
    <n v="0"/>
    <n v="1790"/>
    <n v="0"/>
    <n v="5"/>
    <n v="0"/>
    <n v="0"/>
    <x v="2"/>
    <x v="0"/>
    <x v="1"/>
    <n v="0"/>
    <n v="1790"/>
    <n v="3"/>
    <n v="0"/>
    <s v="June"/>
  </r>
  <r>
    <x v="2"/>
    <s v="NNF16"/>
    <x v="6"/>
    <x v="27"/>
    <n v="0"/>
    <n v="1526"/>
    <n v="0"/>
    <n v="62"/>
    <n v="0"/>
    <n v="0"/>
    <x v="2"/>
    <x v="0"/>
    <x v="1"/>
    <n v="0"/>
    <n v="1526"/>
    <n v="3"/>
    <n v="0"/>
    <s v="June"/>
  </r>
  <r>
    <x v="2"/>
    <s v="NNF09"/>
    <x v="6"/>
    <x v="26"/>
    <n v="0"/>
    <n v="3846"/>
    <n v="0"/>
    <n v="525"/>
    <n v="0"/>
    <n v="0"/>
    <x v="2"/>
    <x v="0"/>
    <x v="1"/>
    <n v="0"/>
    <n v="3846"/>
    <n v="3"/>
    <n v="0"/>
    <s v="June"/>
  </r>
  <r>
    <x v="2"/>
    <s v="NLX"/>
    <x v="1"/>
    <x v="181"/>
    <n v="0"/>
    <n v="9376"/>
    <n v="0"/>
    <n v="417"/>
    <n v="0"/>
    <n v="0"/>
    <x v="2"/>
    <x v="0"/>
    <x v="1"/>
    <n v="0"/>
    <n v="9376"/>
    <n v="3"/>
    <n v="0"/>
    <s v="June"/>
  </r>
  <r>
    <x v="2"/>
    <s v="L83087"/>
    <x v="1"/>
    <x v="180"/>
    <n v="0"/>
    <n v="99"/>
    <n v="0"/>
    <n v="0"/>
    <n v="0"/>
    <n v="0"/>
    <x v="2"/>
    <x v="0"/>
    <x v="1"/>
    <n v="0"/>
    <n v="99"/>
    <n v="3"/>
    <n v="0"/>
    <s v="June"/>
  </r>
  <r>
    <x v="2"/>
    <s v="G3P9C"/>
    <x v="1"/>
    <x v="199"/>
    <n v="0"/>
    <n v="1048"/>
    <n v="0"/>
    <n v="1"/>
    <n v="0"/>
    <n v="0"/>
    <x v="2"/>
    <x v="0"/>
    <x v="1"/>
    <n v="0"/>
    <n v="1048"/>
    <n v="3"/>
    <n v="0"/>
    <s v="June"/>
  </r>
  <r>
    <x v="2"/>
    <s v="AQM01"/>
    <x v="0"/>
    <x v="198"/>
    <n v="0"/>
    <n v="2755"/>
    <n v="0"/>
    <n v="0"/>
    <n v="0"/>
    <n v="0"/>
    <x v="2"/>
    <x v="0"/>
    <x v="1"/>
    <n v="0"/>
    <n v="2755"/>
    <n v="3"/>
    <n v="0"/>
    <s v="June"/>
  </r>
  <r>
    <x v="2"/>
    <s v="RBD"/>
    <x v="1"/>
    <x v="183"/>
    <n v="4556"/>
    <n v="0"/>
    <n v="1499"/>
    <n v="0"/>
    <n v="208"/>
    <n v="18"/>
    <x v="2"/>
    <x v="0"/>
    <x v="1"/>
    <n v="0.32901668129938544"/>
    <n v="4556"/>
    <n v="3"/>
    <n v="3.9508340649692716E-3"/>
    <s v="June"/>
  </r>
  <r>
    <x v="2"/>
    <s v="NQT5H"/>
    <x v="1"/>
    <x v="144"/>
    <n v="0"/>
    <n v="1290"/>
    <n v="0"/>
    <n v="5"/>
    <n v="0"/>
    <n v="0"/>
    <x v="2"/>
    <x v="0"/>
    <x v="1"/>
    <n v="0"/>
    <n v="1290"/>
    <n v="3"/>
    <n v="0"/>
    <s v="June"/>
  </r>
  <r>
    <x v="2"/>
    <s v="RXL"/>
    <x v="3"/>
    <x v="86"/>
    <n v="8886"/>
    <n v="10078"/>
    <n v="4182"/>
    <n v="45"/>
    <n v="750"/>
    <n v="310"/>
    <x v="2"/>
    <x v="0"/>
    <x v="1"/>
    <n v="0.47062795408507763"/>
    <n v="18964"/>
    <n v="3"/>
    <n v="3.4886338059869459E-2"/>
    <s v="June"/>
  </r>
  <r>
    <x v="2"/>
    <s v="RA2"/>
    <x v="0"/>
    <x v="47"/>
    <n v="6763"/>
    <n v="1944"/>
    <n v="1863"/>
    <n v="0"/>
    <n v="296"/>
    <n v="5"/>
    <x v="2"/>
    <x v="0"/>
    <x v="1"/>
    <n v="0.27546946621321899"/>
    <n v="8707"/>
    <n v="3"/>
    <n v="7.3931687121100108E-4"/>
    <s v="June"/>
  </r>
  <r>
    <x v="2"/>
    <s v="RXF"/>
    <x v="6"/>
    <x v="177"/>
    <n v="16824"/>
    <n v="6620"/>
    <n v="6283"/>
    <n v="170"/>
    <n v="1584"/>
    <n v="49"/>
    <x v="2"/>
    <x v="0"/>
    <x v="1"/>
    <n v="0.37345458868283404"/>
    <n v="23444"/>
    <n v="3"/>
    <n v="2.9125059438896814E-3"/>
    <s v="June"/>
  </r>
  <r>
    <x v="2"/>
    <s v="RX1"/>
    <x v="5"/>
    <x v="175"/>
    <n v="13038"/>
    <n v="0"/>
    <n v="6606"/>
    <n v="0"/>
    <n v="282"/>
    <n v="518"/>
    <x v="2"/>
    <x v="0"/>
    <x v="1"/>
    <n v="0.50667280257708236"/>
    <n v="13038"/>
    <n v="3"/>
    <n v="3.9730019941708848E-2"/>
    <s v="June"/>
  </r>
  <r>
    <x v="2"/>
    <s v="RWF"/>
    <x v="0"/>
    <x v="193"/>
    <n v="18050"/>
    <n v="2451"/>
    <n v="3527"/>
    <n v="70"/>
    <n v="985"/>
    <n v="172"/>
    <x v="2"/>
    <x v="0"/>
    <x v="1"/>
    <n v="0.19540166204986151"/>
    <n v="20501"/>
    <n v="3"/>
    <n v="9.5290858725761776E-3"/>
    <s v="June"/>
  </r>
  <r>
    <x v="2"/>
    <s v="RWA"/>
    <x v="6"/>
    <x v="77"/>
    <n v="9584"/>
    <n v="4415"/>
    <n v="5539"/>
    <n v="532"/>
    <n v="1105"/>
    <n v="408"/>
    <x v="2"/>
    <x v="0"/>
    <x v="1"/>
    <n v="0.57794240400667785"/>
    <n v="13999"/>
    <n v="3"/>
    <n v="4.2570951585976631E-2"/>
    <s v="June"/>
  </r>
  <r>
    <x v="2"/>
    <s v="RVW"/>
    <x v="6"/>
    <x v="76"/>
    <n v="4778"/>
    <n v="11254"/>
    <n v="2497"/>
    <n v="49"/>
    <n v="233"/>
    <n v="11"/>
    <x v="2"/>
    <x v="0"/>
    <x v="1"/>
    <n v="0.52260359983256588"/>
    <n v="16032"/>
    <n v="3"/>
    <n v="2.3022185014650483E-3"/>
    <s v="June"/>
  </r>
  <r>
    <x v="2"/>
    <s v="RTK"/>
    <x v="0"/>
    <x v="49"/>
    <n v="7124"/>
    <n v="3048"/>
    <n v="3452"/>
    <n v="26"/>
    <n v="584"/>
    <n v="183"/>
    <x v="2"/>
    <x v="0"/>
    <x v="1"/>
    <n v="0.4845592363840539"/>
    <n v="10172"/>
    <n v="3"/>
    <n v="2.5687815833801236E-2"/>
    <s v="June"/>
  </r>
  <r>
    <x v="2"/>
    <s v="RTG"/>
    <x v="5"/>
    <x v="54"/>
    <n v="18581"/>
    <n v="9680"/>
    <n v="8586"/>
    <n v="0"/>
    <n v="1059"/>
    <n v="709"/>
    <x v="2"/>
    <x v="0"/>
    <x v="1"/>
    <n v="0.46208492546149293"/>
    <n v="28261"/>
    <n v="3"/>
    <n v="3.8157257413486897E-2"/>
    <s v="June"/>
  </r>
  <r>
    <x v="2"/>
    <s v="RRV"/>
    <x v="4"/>
    <x v="171"/>
    <n v="13449"/>
    <n v="0"/>
    <n v="3610"/>
    <n v="0"/>
    <n v="252"/>
    <n v="55"/>
    <x v="2"/>
    <x v="0"/>
    <x v="1"/>
    <n v="0.26842144397352963"/>
    <n v="13449"/>
    <n v="3"/>
    <n v="4.0895233846382634E-3"/>
    <s v="June"/>
  </r>
  <r>
    <x v="2"/>
    <s v="RP5"/>
    <x v="6"/>
    <x v="53"/>
    <n v="14268"/>
    <n v="4315"/>
    <n v="4511"/>
    <n v="15"/>
    <n v="987"/>
    <n v="80"/>
    <x v="2"/>
    <x v="0"/>
    <x v="1"/>
    <n v="0.31616204093075412"/>
    <n v="18583"/>
    <n v="3"/>
    <n v="5.6069526212503508E-3"/>
    <s v="June"/>
  </r>
  <r>
    <x v="2"/>
    <s v="RNQ"/>
    <x v="5"/>
    <x v="169"/>
    <n v="9895"/>
    <n v="8172"/>
    <n v="3673"/>
    <n v="135"/>
    <n v="724"/>
    <n v="556"/>
    <x v="2"/>
    <x v="0"/>
    <x v="1"/>
    <n v="0.37119757453259222"/>
    <n v="18067"/>
    <n v="3"/>
    <n v="5.6189994946942899E-2"/>
    <s v="June"/>
  </r>
  <r>
    <x v="2"/>
    <s v="RNA"/>
    <x v="5"/>
    <x v="168"/>
    <n v="10299"/>
    <n v="3929"/>
    <n v="2978"/>
    <n v="25"/>
    <n v="1724"/>
    <n v="78"/>
    <x v="2"/>
    <x v="0"/>
    <x v="1"/>
    <n v="0.28915428682396349"/>
    <n v="14228"/>
    <n v="3"/>
    <n v="7.5735508301776871E-3"/>
    <s v="June"/>
  </r>
  <r>
    <x v="2"/>
    <s v="RMP"/>
    <x v="3"/>
    <x v="166"/>
    <n v="8629"/>
    <n v="2431"/>
    <n v="4721"/>
    <n v="22"/>
    <n v="376"/>
    <n v="705"/>
    <x v="2"/>
    <x v="0"/>
    <x v="1"/>
    <n v="0.54710858732182177"/>
    <n v="11060"/>
    <n v="3"/>
    <n v="8.1701240004635536E-2"/>
    <s v="June"/>
  </r>
  <r>
    <x v="2"/>
    <s v="RMC"/>
    <x v="3"/>
    <x v="72"/>
    <n v="7988"/>
    <n v="3979"/>
    <n v="3910"/>
    <n v="288"/>
    <n v="545"/>
    <n v="245"/>
    <x v="2"/>
    <x v="0"/>
    <x v="1"/>
    <n v="0.48948422633950928"/>
    <n v="11967"/>
    <n v="3"/>
    <n v="3.0671006509764648E-2"/>
    <s v="June"/>
  </r>
  <r>
    <x v="2"/>
    <s v="RLQ"/>
    <x v="5"/>
    <x v="123"/>
    <n v="6098"/>
    <n v="217"/>
    <n v="2576"/>
    <n v="0"/>
    <n v="411"/>
    <n v="234"/>
    <x v="2"/>
    <x v="0"/>
    <x v="1"/>
    <n v="0.42243358478189569"/>
    <n v="6315"/>
    <n v="3"/>
    <n v="3.8373237126926862E-2"/>
    <s v="June"/>
  </r>
  <r>
    <x v="2"/>
    <s v="RJZ"/>
    <x v="4"/>
    <x v="196"/>
    <n v="15041"/>
    <n v="9358"/>
    <n v="6741"/>
    <n v="547"/>
    <n v="1619"/>
    <n v="931"/>
    <x v="2"/>
    <x v="0"/>
    <x v="1"/>
    <n v="0.44817498836513531"/>
    <n v="24399"/>
    <n v="3"/>
    <n v="6.1897480220730001E-2"/>
    <s v="June"/>
  </r>
  <r>
    <x v="2"/>
    <s v="RJC"/>
    <x v="5"/>
    <x v="188"/>
    <n v="8366"/>
    <n v="397"/>
    <n v="2124"/>
    <n v="0"/>
    <n v="334"/>
    <n v="11"/>
    <x v="2"/>
    <x v="0"/>
    <x v="1"/>
    <n v="0.25388477169495577"/>
    <n v="8763"/>
    <n v="3"/>
    <n v="1.3148458044465695E-3"/>
    <s v="June"/>
  </r>
  <r>
    <x v="2"/>
    <s v="REF"/>
    <x v="1"/>
    <x v="4"/>
    <n v="7034"/>
    <n v="13590"/>
    <n v="3980"/>
    <n v="916"/>
    <n v="735"/>
    <n v="429"/>
    <x v="2"/>
    <x v="0"/>
    <x v="1"/>
    <n v="0.56582314472561845"/>
    <n v="20624"/>
    <n v="3"/>
    <n v="6.0989479670173444E-2"/>
    <s v="June"/>
  </r>
  <r>
    <x v="2"/>
    <s v="RD8"/>
    <x v="2"/>
    <x v="36"/>
    <n v="8358"/>
    <n v="4975"/>
    <n v="3075"/>
    <n v="10"/>
    <n v="647"/>
    <n v="0"/>
    <x v="2"/>
    <x v="0"/>
    <x v="1"/>
    <n v="0.36791098348887291"/>
    <n v="13333"/>
    <n v="3"/>
    <n v="0"/>
    <s v="June"/>
  </r>
  <r>
    <x v="2"/>
    <s v="RBT"/>
    <x v="3"/>
    <x v="69"/>
    <n v="7306"/>
    <n v="2848"/>
    <n v="4083"/>
    <n v="90"/>
    <n v="511"/>
    <n v="427"/>
    <x v="2"/>
    <x v="0"/>
    <x v="1"/>
    <n v="0.55885573501231867"/>
    <n v="10154"/>
    <n v="3"/>
    <n v="5.8445113605255956E-2"/>
    <s v="June"/>
  </r>
  <r>
    <x v="2"/>
    <s v="RAT"/>
    <x v="4"/>
    <x v="182"/>
    <n v="0"/>
    <n v="1728"/>
    <n v="0"/>
    <n v="60"/>
    <n v="0"/>
    <n v="0"/>
    <x v="2"/>
    <x v="0"/>
    <x v="1"/>
    <n v="0"/>
    <n v="1728"/>
    <n v="3"/>
    <n v="0"/>
    <s v="June"/>
  </r>
  <r>
    <x v="2"/>
    <s v="RAJ"/>
    <x v="2"/>
    <x v="32"/>
    <n v="30471"/>
    <n v="3900"/>
    <n v="8343"/>
    <n v="120"/>
    <n v="2177"/>
    <n v="165"/>
    <x v="2"/>
    <x v="0"/>
    <x v="1"/>
    <n v="0.27380131928719109"/>
    <n v="34371"/>
    <n v="3"/>
    <n v="5.4149847395884611E-3"/>
    <s v="June"/>
  </r>
  <r>
    <x v="2"/>
    <s v="R0A"/>
    <x v="3"/>
    <x v="155"/>
    <n v="24752"/>
    <n v="11652"/>
    <n v="10611"/>
    <n v="600"/>
    <n v="3081"/>
    <n v="108"/>
    <x v="2"/>
    <x v="0"/>
    <x v="1"/>
    <n v="0.42869263089851323"/>
    <n v="36404"/>
    <n v="3"/>
    <n v="4.363283775048481E-3"/>
    <s v="June"/>
  </r>
  <r>
    <x v="2"/>
    <s v="ARN03"/>
    <x v="6"/>
    <x v="178"/>
    <n v="0"/>
    <n v="2174"/>
    <n v="0"/>
    <n v="9"/>
    <n v="0"/>
    <n v="0"/>
    <x v="2"/>
    <x v="0"/>
    <x v="1"/>
    <n v="0"/>
    <n v="2174"/>
    <n v="3"/>
    <n v="0"/>
    <s v="June"/>
  </r>
  <r>
    <x v="2"/>
    <s v="Y02615"/>
    <x v="5"/>
    <x v="129"/>
    <n v="0"/>
    <n v="6125"/>
    <n v="0"/>
    <n v="0"/>
    <n v="0"/>
    <n v="0"/>
    <x v="2"/>
    <x v="0"/>
    <x v="1"/>
    <n v="0"/>
    <n v="6125"/>
    <n v="3"/>
    <n v="0"/>
    <s v="June"/>
  </r>
  <r>
    <x v="2"/>
    <s v="RQX"/>
    <x v="4"/>
    <x v="106"/>
    <n v="11079"/>
    <n v="0"/>
    <n v="2188"/>
    <n v="0"/>
    <n v="185"/>
    <n v="23"/>
    <x v="2"/>
    <x v="0"/>
    <x v="1"/>
    <n v="0.19749074826247856"/>
    <n v="11079"/>
    <n v="3"/>
    <n v="2.0759996389565845E-3"/>
    <s v="June"/>
  </r>
  <r>
    <x v="2"/>
    <s v="ACH01"/>
    <x v="0"/>
    <x v="119"/>
    <n v="0"/>
    <n v="4942"/>
    <n v="0"/>
    <n v="0"/>
    <n v="0"/>
    <n v="0"/>
    <x v="2"/>
    <x v="0"/>
    <x v="1"/>
    <n v="0"/>
    <n v="4942"/>
    <n v="3"/>
    <n v="0"/>
    <s v="June"/>
  </r>
  <r>
    <x v="2"/>
    <s v="Y07709"/>
    <x v="0"/>
    <x v="101"/>
    <n v="0"/>
    <n v="1793"/>
    <n v="0"/>
    <n v="0"/>
    <n v="0"/>
    <n v="0"/>
    <x v="2"/>
    <x v="0"/>
    <x v="1"/>
    <n v="0"/>
    <n v="1793"/>
    <n v="3"/>
    <n v="0"/>
    <s v="June"/>
  </r>
  <r>
    <x v="2"/>
    <s v="Y03218"/>
    <x v="4"/>
    <x v="108"/>
    <n v="0"/>
    <n v="822"/>
    <n v="0"/>
    <n v="0"/>
    <n v="0"/>
    <n v="0"/>
    <x v="2"/>
    <x v="0"/>
    <x v="1"/>
    <n v="0"/>
    <n v="822"/>
    <n v="3"/>
    <n v="0"/>
    <s v="June"/>
  </r>
  <r>
    <x v="2"/>
    <s v="Y02532"/>
    <x v="3"/>
    <x v="141"/>
    <n v="0"/>
    <n v="1611"/>
    <n v="0"/>
    <n v="0"/>
    <n v="0"/>
    <n v="0"/>
    <x v="2"/>
    <x v="0"/>
    <x v="1"/>
    <n v="0"/>
    <n v="1611"/>
    <n v="3"/>
    <n v="0"/>
    <s v="June"/>
  </r>
  <r>
    <x v="2"/>
    <s v="Y02428"/>
    <x v="2"/>
    <x v="140"/>
    <n v="0"/>
    <n v="2269"/>
    <n v="0"/>
    <n v="0"/>
    <n v="0"/>
    <n v="0"/>
    <x v="2"/>
    <x v="0"/>
    <x v="1"/>
    <n v="0"/>
    <n v="2269"/>
    <n v="3"/>
    <n v="0"/>
    <s v="June"/>
  </r>
  <r>
    <x v="2"/>
    <s v="Y00751"/>
    <x v="0"/>
    <x v="116"/>
    <n v="0"/>
    <n v="0"/>
    <n v="0"/>
    <n v="0"/>
    <n v="0"/>
    <n v="0"/>
    <x v="2"/>
    <x v="0"/>
    <x v="1"/>
    <n v="0"/>
    <n v="0"/>
    <n v="3"/>
    <n v="0"/>
    <s v="June"/>
  </r>
  <r>
    <x v="2"/>
    <s v="RY7"/>
    <x v="3"/>
    <x v="139"/>
    <n v="0"/>
    <n v="4352"/>
    <n v="0"/>
    <n v="273"/>
    <n v="0"/>
    <n v="0"/>
    <x v="2"/>
    <x v="0"/>
    <x v="1"/>
    <n v="0"/>
    <n v="4352"/>
    <n v="3"/>
    <n v="0"/>
    <s v="June"/>
  </r>
  <r>
    <x v="2"/>
    <s v="RWY"/>
    <x v="6"/>
    <x v="138"/>
    <n v="16287"/>
    <n v="0"/>
    <n v="2692"/>
    <n v="0"/>
    <n v="652"/>
    <n v="7"/>
    <x v="2"/>
    <x v="0"/>
    <x v="1"/>
    <n v="0.16528519678271014"/>
    <n v="16287"/>
    <n v="3"/>
    <n v="4.2979063056425369E-4"/>
    <s v="June"/>
  </r>
  <r>
    <x v="2"/>
    <s v="RTP"/>
    <x v="0"/>
    <x v="136"/>
    <n v="10423"/>
    <n v="0"/>
    <n v="3709"/>
    <n v="0"/>
    <n v="486"/>
    <n v="587"/>
    <x v="2"/>
    <x v="0"/>
    <x v="1"/>
    <n v="0.3558476446320637"/>
    <n v="10423"/>
    <n v="3"/>
    <n v="5.6317758802647992E-2"/>
    <s v="June"/>
  </r>
  <r>
    <x v="2"/>
    <s v="RDY"/>
    <x v="1"/>
    <x v="145"/>
    <n v="0"/>
    <n v="0"/>
    <n v="0"/>
    <n v="0"/>
    <n v="0"/>
    <n v="0"/>
    <x v="2"/>
    <x v="0"/>
    <x v="1"/>
    <n v="0"/>
    <n v="0"/>
    <n v="3"/>
    <n v="0"/>
    <s v="June"/>
  </r>
  <r>
    <x v="2"/>
    <s v="RCD"/>
    <x v="6"/>
    <x v="134"/>
    <n v="5412"/>
    <n v="1105"/>
    <n v="1498"/>
    <n v="0"/>
    <n v="165"/>
    <n v="5"/>
    <x v="2"/>
    <x v="0"/>
    <x v="1"/>
    <n v="0.27679231337767923"/>
    <n v="6517"/>
    <n v="3"/>
    <n v="9.2387287509238729E-4"/>
    <s v="June"/>
  </r>
  <r>
    <x v="2"/>
    <s v="RBQ"/>
    <x v="3"/>
    <x v="133"/>
    <n v="0"/>
    <n v="0"/>
    <n v="0"/>
    <n v="0"/>
    <n v="0"/>
    <n v="0"/>
    <x v="2"/>
    <x v="0"/>
    <x v="1"/>
    <n v="0"/>
    <n v="0"/>
    <n v="3"/>
    <n v="0"/>
    <s v="June"/>
  </r>
  <r>
    <x v="2"/>
    <s v="RA9"/>
    <x v="1"/>
    <x v="113"/>
    <n v="6570"/>
    <n v="3704"/>
    <n v="2841"/>
    <n v="8"/>
    <n v="273"/>
    <n v="70"/>
    <x v="2"/>
    <x v="0"/>
    <x v="1"/>
    <n v="0.43242009132420089"/>
    <n v="10274"/>
    <n v="3"/>
    <n v="1.06544901065449E-2"/>
    <s v="June"/>
  </r>
  <r>
    <x v="2"/>
    <s v="NTV0W"/>
    <x v="0"/>
    <x v="128"/>
    <n v="0"/>
    <n v="2655"/>
    <n v="0"/>
    <n v="195"/>
    <n v="0"/>
    <n v="0"/>
    <x v="2"/>
    <x v="0"/>
    <x v="1"/>
    <n v="0"/>
    <n v="2655"/>
    <n v="3"/>
    <n v="0"/>
    <s v="June"/>
  </r>
  <r>
    <x v="2"/>
    <s v="NTV0B"/>
    <x v="0"/>
    <x v="127"/>
    <n v="0"/>
    <n v="2273"/>
    <n v="0"/>
    <n v="278"/>
    <n v="0"/>
    <n v="0"/>
    <x v="2"/>
    <x v="0"/>
    <x v="1"/>
    <n v="0"/>
    <n v="2273"/>
    <n v="3"/>
    <n v="0"/>
    <s v="June"/>
  </r>
  <r>
    <x v="2"/>
    <s v="NQTE4"/>
    <x v="5"/>
    <x v="132"/>
    <n v="0"/>
    <n v="2962"/>
    <n v="0"/>
    <n v="0"/>
    <n v="0"/>
    <n v="0"/>
    <x v="2"/>
    <x v="0"/>
    <x v="1"/>
    <n v="0"/>
    <n v="2962"/>
    <n v="3"/>
    <n v="0"/>
    <s v="June"/>
  </r>
  <r>
    <x v="2"/>
    <s v="C82038"/>
    <x v="5"/>
    <x v="131"/>
    <n v="0"/>
    <n v="426"/>
    <n v="0"/>
    <n v="0"/>
    <n v="0"/>
    <n v="0"/>
    <x v="2"/>
    <x v="0"/>
    <x v="1"/>
    <n v="0"/>
    <n v="426"/>
    <n v="3"/>
    <n v="0"/>
    <s v="June"/>
  </r>
  <r>
    <x v="2"/>
    <s v="AQN04"/>
    <x v="0"/>
    <x v="130"/>
    <n v="0"/>
    <n v="3421"/>
    <n v="0"/>
    <n v="104"/>
    <n v="0"/>
    <n v="0"/>
    <x v="2"/>
    <x v="0"/>
    <x v="1"/>
    <n v="0"/>
    <n v="3421"/>
    <n v="3"/>
    <n v="0"/>
    <s v="June"/>
  </r>
  <r>
    <x v="2"/>
    <s v="AAH"/>
    <x v="1"/>
    <x v="149"/>
    <n v="0"/>
    <n v="611"/>
    <n v="0"/>
    <n v="0"/>
    <n v="0"/>
    <n v="0"/>
    <x v="2"/>
    <x v="0"/>
    <x v="1"/>
    <n v="0"/>
    <n v="611"/>
    <n v="3"/>
    <n v="0"/>
    <s v="June"/>
  </r>
  <r>
    <x v="2"/>
    <s v="Y02676"/>
    <x v="0"/>
    <x v="52"/>
    <n v="0"/>
    <n v="1793"/>
    <n v="0"/>
    <n v="1"/>
    <n v="0"/>
    <n v="0"/>
    <x v="2"/>
    <x v="0"/>
    <x v="1"/>
    <n v="0"/>
    <n v="1793"/>
    <n v="3"/>
    <n v="0"/>
    <s v="June"/>
  </r>
  <r>
    <x v="2"/>
    <s v="RYR"/>
    <x v="0"/>
    <x v="92"/>
    <n v="26467"/>
    <n v="1927"/>
    <n v="9334"/>
    <n v="217"/>
    <n v="663"/>
    <n v="514"/>
    <x v="2"/>
    <x v="0"/>
    <x v="1"/>
    <n v="0.35266558355688216"/>
    <n v="28394"/>
    <n v="3"/>
    <n v="1.9420410322288133E-2"/>
    <s v="June"/>
  </r>
  <r>
    <x v="2"/>
    <s v="C82009"/>
    <x v="5"/>
    <x v="179"/>
    <n v="0"/>
    <n v="336"/>
    <n v="0"/>
    <n v="0"/>
    <n v="0"/>
    <n v="0"/>
    <x v="2"/>
    <x v="0"/>
    <x v="1"/>
    <n v="0"/>
    <n v="336"/>
    <n v="3"/>
    <n v="0"/>
    <s v="June"/>
  </r>
  <r>
    <x v="2"/>
    <s v="NDJ"/>
    <x v="0"/>
    <x v="0"/>
    <n v="0"/>
    <n v="2636"/>
    <n v="0"/>
    <n v="0"/>
    <n v="0"/>
    <n v="0"/>
    <x v="2"/>
    <x v="0"/>
    <x v="1"/>
    <n v="0"/>
    <n v="2636"/>
    <n v="3"/>
    <n v="0"/>
    <s v="June"/>
  </r>
  <r>
    <x v="2"/>
    <s v="RAS"/>
    <x v="4"/>
    <x v="174"/>
    <n v="5813"/>
    <n v="6820"/>
    <n v="2574"/>
    <n v="125"/>
    <n v="324"/>
    <n v="33"/>
    <x v="2"/>
    <x v="0"/>
    <x v="1"/>
    <n v="0.44280061930156545"/>
    <n v="12633"/>
    <n v="3"/>
    <n v="5.6769310166867367E-3"/>
    <s v="June"/>
  </r>
  <r>
    <x v="2"/>
    <s v="RFF"/>
    <x v="6"/>
    <x v="104"/>
    <n v="9221"/>
    <n v="0"/>
    <n v="3419"/>
    <n v="0"/>
    <n v="429"/>
    <n v="0"/>
    <x v="2"/>
    <x v="0"/>
    <x v="1"/>
    <n v="0.3707840798178072"/>
    <n v="9221"/>
    <n v="3"/>
    <n v="0"/>
    <s v="June"/>
  </r>
  <r>
    <x v="2"/>
    <s v="RFR"/>
    <x v="6"/>
    <x v="39"/>
    <n v="9049"/>
    <n v="0"/>
    <n v="2401"/>
    <n v="0"/>
    <n v="275"/>
    <n v="1"/>
    <x v="2"/>
    <x v="0"/>
    <x v="1"/>
    <n v="0.26533318598740191"/>
    <n v="9049"/>
    <n v="3"/>
    <n v="1.1050944855785169E-4"/>
    <s v="June"/>
  </r>
  <r>
    <x v="2"/>
    <s v="RCX"/>
    <x v="2"/>
    <x v="103"/>
    <n v="6635"/>
    <n v="1176"/>
    <n v="2967"/>
    <n v="0"/>
    <n v="758"/>
    <n v="95"/>
    <x v="2"/>
    <x v="0"/>
    <x v="1"/>
    <n v="0.44717407686510929"/>
    <n v="7811"/>
    <n v="3"/>
    <n v="1.4318010550113038E-2"/>
    <s v="June"/>
  </r>
  <r>
    <x v="2"/>
    <s v="R0B"/>
    <x v="6"/>
    <x v="156"/>
    <n v="11137"/>
    <n v="5843"/>
    <n v="5337"/>
    <n v="311"/>
    <n v="779"/>
    <n v="2"/>
    <x v="2"/>
    <x v="0"/>
    <x v="1"/>
    <n v="0.47921343270180478"/>
    <n v="16980"/>
    <n v="3"/>
    <n v="1.7958157493041214E-4"/>
    <s v="June"/>
  </r>
  <r>
    <x v="2"/>
    <s v="NTPAD"/>
    <x v="0"/>
    <x v="112"/>
    <n v="0"/>
    <n v="5372"/>
    <n v="0"/>
    <n v="171"/>
    <n v="0"/>
    <n v="0"/>
    <x v="2"/>
    <x v="0"/>
    <x v="1"/>
    <n v="0"/>
    <n v="5372"/>
    <n v="3"/>
    <n v="0"/>
    <s v="June"/>
  </r>
  <r>
    <x v="2"/>
    <s v="AJN"/>
    <x v="6"/>
    <x v="187"/>
    <n v="0"/>
    <n v="401"/>
    <n v="0"/>
    <n v="0"/>
    <n v="0"/>
    <n v="0"/>
    <x v="2"/>
    <x v="0"/>
    <x v="1"/>
    <n v="0"/>
    <n v="401"/>
    <n v="3"/>
    <n v="0"/>
    <s v="June"/>
  </r>
  <r>
    <x v="2"/>
    <s v="RV9"/>
    <x v="6"/>
    <x v="148"/>
    <n v="0"/>
    <n v="1256"/>
    <n v="0"/>
    <n v="4"/>
    <n v="0"/>
    <n v="0"/>
    <x v="2"/>
    <x v="0"/>
    <x v="1"/>
    <n v="0"/>
    <n v="1256"/>
    <n v="3"/>
    <n v="0"/>
    <s v="June"/>
  </r>
  <r>
    <x v="2"/>
    <s v="REM"/>
    <x v="3"/>
    <x v="5"/>
    <n v="15366"/>
    <n v="7468"/>
    <n v="7502"/>
    <n v="223"/>
    <n v="1873"/>
    <n v="870"/>
    <x v="2"/>
    <x v="0"/>
    <x v="1"/>
    <n v="0.48822074710399582"/>
    <n v="22834"/>
    <n v="3"/>
    <n v="5.661850839515814E-2"/>
    <s v="June"/>
  </r>
  <r>
    <x v="2"/>
    <s v="NQT51"/>
    <x v="0"/>
    <x v="111"/>
    <n v="0"/>
    <n v="987"/>
    <n v="0"/>
    <n v="0"/>
    <n v="0"/>
    <n v="0"/>
    <x v="2"/>
    <x v="0"/>
    <x v="1"/>
    <n v="0"/>
    <n v="987"/>
    <n v="3"/>
    <n v="0"/>
    <s v="June"/>
  </r>
  <r>
    <x v="2"/>
    <s v="NL7"/>
    <x v="5"/>
    <x v="142"/>
    <n v="0"/>
    <n v="2863"/>
    <n v="0"/>
    <n v="0"/>
    <n v="0"/>
    <n v="0"/>
    <x v="2"/>
    <x v="0"/>
    <x v="1"/>
    <n v="0"/>
    <n v="2863"/>
    <n v="3"/>
    <n v="0"/>
    <s v="June"/>
  </r>
  <r>
    <x v="2"/>
    <s v="K6K0R"/>
    <x v="4"/>
    <x v="121"/>
    <n v="0"/>
    <n v="2715"/>
    <n v="0"/>
    <n v="23"/>
    <n v="0"/>
    <n v="0"/>
    <x v="2"/>
    <x v="0"/>
    <x v="1"/>
    <n v="0"/>
    <n v="2715"/>
    <n v="3"/>
    <n v="0"/>
    <s v="June"/>
  </r>
  <r>
    <x v="2"/>
    <s v="A5D4Q"/>
    <x v="5"/>
    <x v="153"/>
    <n v="0"/>
    <n v="3731"/>
    <n v="0"/>
    <n v="722"/>
    <n v="0"/>
    <n v="0"/>
    <x v="2"/>
    <x v="0"/>
    <x v="1"/>
    <n v="0"/>
    <n v="3731"/>
    <n v="3"/>
    <n v="0"/>
    <s v="June"/>
  </r>
  <r>
    <x v="2"/>
    <s v="G0Q0L"/>
    <x v="4"/>
    <x v="120"/>
    <n v="0"/>
    <n v="2890"/>
    <n v="0"/>
    <n v="32"/>
    <n v="0"/>
    <n v="0"/>
    <x v="2"/>
    <x v="0"/>
    <x v="1"/>
    <n v="0"/>
    <n v="2890"/>
    <n v="3"/>
    <n v="0"/>
    <s v="June"/>
  </r>
  <r>
    <x v="2"/>
    <s v="Y02147"/>
    <x v="4"/>
    <x v="117"/>
    <n v="0"/>
    <n v="8011"/>
    <n v="0"/>
    <n v="131"/>
    <n v="0"/>
    <n v="0"/>
    <x v="2"/>
    <x v="0"/>
    <x v="1"/>
    <n v="0"/>
    <n v="8011"/>
    <n v="3"/>
    <n v="0"/>
    <s v="June"/>
  </r>
  <r>
    <x v="2"/>
    <s v="RXR"/>
    <x v="3"/>
    <x v="107"/>
    <n v="13323"/>
    <n v="10988"/>
    <n v="4409"/>
    <n v="446"/>
    <n v="514"/>
    <n v="957"/>
    <x v="2"/>
    <x v="0"/>
    <x v="1"/>
    <n v="0.33093147189071531"/>
    <n v="24311"/>
    <n v="3"/>
    <n v="7.1830668768295428E-2"/>
    <s v="June"/>
  </r>
  <r>
    <x v="2"/>
    <s v="RTR"/>
    <x v="6"/>
    <x v="147"/>
    <n v="7240"/>
    <n v="9725"/>
    <n v="3588"/>
    <n v="734"/>
    <n v="250"/>
    <n v="6"/>
    <x v="2"/>
    <x v="0"/>
    <x v="1"/>
    <n v="0.49558011049723755"/>
    <n v="16965"/>
    <n v="3"/>
    <n v="8.2872928176795581E-4"/>
    <s v="June"/>
  </r>
  <r>
    <x v="2"/>
    <s v="RJL"/>
    <x v="6"/>
    <x v="164"/>
    <n v="9049"/>
    <n v="7383"/>
    <n v="4843"/>
    <n v="109"/>
    <n v="728"/>
    <n v="761"/>
    <x v="2"/>
    <x v="0"/>
    <x v="1"/>
    <n v="0.53519725936567575"/>
    <n v="16432"/>
    <n v="3"/>
    <n v="8.4097690352525137E-2"/>
    <s v="June"/>
  </r>
  <r>
    <x v="2"/>
    <s v="NV693"/>
    <x v="3"/>
    <x v="102"/>
    <n v="0"/>
    <n v="1112"/>
    <n v="0"/>
    <n v="1"/>
    <n v="0"/>
    <n v="0"/>
    <x v="2"/>
    <x v="0"/>
    <x v="1"/>
    <n v="0"/>
    <n v="1112"/>
    <n v="3"/>
    <n v="0"/>
    <s v="June"/>
  </r>
  <r>
    <x v="2"/>
    <s v="DT301"/>
    <x v="2"/>
    <x v="110"/>
    <n v="0"/>
    <n v="2403"/>
    <n v="0"/>
    <n v="111"/>
    <n v="0"/>
    <n v="0"/>
    <x v="2"/>
    <x v="0"/>
    <x v="1"/>
    <n v="0"/>
    <n v="2403"/>
    <n v="3"/>
    <n v="0"/>
    <s v="June"/>
  </r>
  <r>
    <x v="2"/>
    <s v="C83023"/>
    <x v="5"/>
    <x v="44"/>
    <n v="0"/>
    <n v="453"/>
    <n v="0"/>
    <n v="0"/>
    <n v="0"/>
    <n v="0"/>
    <x v="2"/>
    <x v="0"/>
    <x v="1"/>
    <n v="0"/>
    <n v="453"/>
    <n v="3"/>
    <n v="0"/>
    <s v="June"/>
  </r>
  <r>
    <x v="2"/>
    <s v="8J094"/>
    <x v="5"/>
    <x v="109"/>
    <n v="0"/>
    <n v="0"/>
    <n v="0"/>
    <n v="0"/>
    <n v="0"/>
    <n v="0"/>
    <x v="2"/>
    <x v="0"/>
    <x v="1"/>
    <n v="0"/>
    <n v="0"/>
    <n v="3"/>
    <n v="0"/>
    <s v="June"/>
  </r>
  <r>
    <x v="2"/>
    <s v="RXQ"/>
    <x v="0"/>
    <x v="48"/>
    <n v="10914"/>
    <n v="3089"/>
    <n v="3341"/>
    <n v="58"/>
    <n v="231"/>
    <n v="223"/>
    <x v="2"/>
    <x v="0"/>
    <x v="1"/>
    <n v="0.30612057907275059"/>
    <n v="14003"/>
    <n v="3"/>
    <n v="2.0432472054242257E-2"/>
    <s v="June"/>
  </r>
  <r>
    <x v="2"/>
    <s v="RWP"/>
    <x v="5"/>
    <x v="170"/>
    <n v="13862"/>
    <n v="6476"/>
    <n v="6811"/>
    <n v="87"/>
    <n v="684"/>
    <n v="795"/>
    <x v="2"/>
    <x v="0"/>
    <x v="1"/>
    <n v="0.49134324051363437"/>
    <n v="20338"/>
    <n v="3"/>
    <n v="5.7351031597172128E-2"/>
    <s v="June"/>
  </r>
  <r>
    <x v="2"/>
    <s v="Y03007"/>
    <x v="5"/>
    <x v="118"/>
    <n v="0"/>
    <n v="0"/>
    <n v="0"/>
    <n v="0"/>
    <n v="0"/>
    <n v="0"/>
    <x v="2"/>
    <x v="0"/>
    <x v="1"/>
    <n v="0"/>
    <n v="0"/>
    <n v="3"/>
    <n v="0"/>
    <s v="June"/>
  </r>
  <r>
    <x v="2"/>
    <s v="RYY"/>
    <x v="0"/>
    <x v="122"/>
    <n v="0"/>
    <n v="9813"/>
    <n v="0"/>
    <n v="28"/>
    <n v="0"/>
    <n v="0"/>
    <x v="2"/>
    <x v="0"/>
    <x v="1"/>
    <n v="0"/>
    <n v="9813"/>
    <n v="3"/>
    <n v="0"/>
    <s v="June"/>
  </r>
  <r>
    <x v="2"/>
    <s v="RJ7"/>
    <x v="4"/>
    <x v="96"/>
    <n v="8539"/>
    <n v="4126"/>
    <n v="2394"/>
    <n v="150"/>
    <n v="519"/>
    <n v="694"/>
    <x v="2"/>
    <x v="0"/>
    <x v="1"/>
    <n v="0.28036069797400165"/>
    <n v="12665"/>
    <n v="3"/>
    <n v="8.1274153882187616E-2"/>
    <s v="June"/>
  </r>
  <r>
    <x v="2"/>
    <s v="NTP11"/>
    <x v="0"/>
    <x v="154"/>
    <n v="0"/>
    <n v="5502"/>
    <n v="0"/>
    <n v="261"/>
    <n v="0"/>
    <n v="0"/>
    <x v="2"/>
    <x v="0"/>
    <x v="1"/>
    <n v="0"/>
    <n v="5502"/>
    <n v="3"/>
    <n v="0"/>
    <s v="June"/>
  </r>
  <r>
    <x v="2"/>
    <s v="RTH"/>
    <x v="0"/>
    <x v="100"/>
    <n v="12268"/>
    <n v="3750"/>
    <n v="3498"/>
    <n v="111"/>
    <n v="511"/>
    <n v="0"/>
    <x v="2"/>
    <x v="0"/>
    <x v="1"/>
    <n v="0.28513205086403653"/>
    <n v="16018"/>
    <n v="3"/>
    <n v="0"/>
    <s v="June"/>
  </r>
  <r>
    <x v="2"/>
    <s v="RJN"/>
    <x v="3"/>
    <x v="125"/>
    <n v="4831"/>
    <n v="0"/>
    <n v="2575"/>
    <n v="0"/>
    <n v="172"/>
    <n v="259"/>
    <x v="2"/>
    <x v="0"/>
    <x v="1"/>
    <n v="0.53301593872904163"/>
    <n v="4831"/>
    <n v="3"/>
    <n v="5.3612088594493894E-2"/>
    <s v="June"/>
  </r>
  <r>
    <x v="2"/>
    <s v="RJ6"/>
    <x v="4"/>
    <x v="189"/>
    <n v="12910"/>
    <n v="5052"/>
    <n v="4521"/>
    <n v="0"/>
    <n v="252"/>
    <n v="0"/>
    <x v="2"/>
    <x v="0"/>
    <x v="1"/>
    <n v="0.3501936483346243"/>
    <n v="17962"/>
    <n v="3"/>
    <n v="0"/>
    <s v="June"/>
  </r>
  <r>
    <x v="2"/>
    <s v="RHM"/>
    <x v="0"/>
    <x v="41"/>
    <n v="11765"/>
    <n v="0"/>
    <n v="5029"/>
    <n v="0"/>
    <n v="363"/>
    <n v="9"/>
    <x v="2"/>
    <x v="0"/>
    <x v="1"/>
    <n v="0.42745431364215897"/>
    <n v="11765"/>
    <n v="3"/>
    <n v="7.6498087547811303E-4"/>
    <s v="June"/>
  </r>
  <r>
    <x v="2"/>
    <s v="RGT"/>
    <x v="2"/>
    <x v="95"/>
    <n v="10891"/>
    <n v="6055"/>
    <n v="4397"/>
    <n v="139"/>
    <n v="519"/>
    <n v="236"/>
    <x v="2"/>
    <x v="0"/>
    <x v="1"/>
    <n v="0.4037278486823983"/>
    <n v="16946"/>
    <n v="3"/>
    <n v="2.166926820310348E-2"/>
    <s v="June"/>
  </r>
  <r>
    <x v="2"/>
    <s v="RC9"/>
    <x v="2"/>
    <x v="161"/>
    <n v="16839"/>
    <n v="7673"/>
    <n v="6761"/>
    <n v="0"/>
    <n v="81"/>
    <n v="0"/>
    <x v="2"/>
    <x v="0"/>
    <x v="1"/>
    <n v="0.40150840311182373"/>
    <n v="24512"/>
    <n v="3"/>
    <n v="0"/>
    <s v="June"/>
  </r>
  <r>
    <x v="2"/>
    <s v="RAE"/>
    <x v="6"/>
    <x v="31"/>
    <n v="9369"/>
    <n v="3297"/>
    <n v="2373"/>
    <n v="1"/>
    <n v="653"/>
    <n v="63"/>
    <x v="2"/>
    <x v="0"/>
    <x v="1"/>
    <n v="0.25328210054434841"/>
    <n v="12666"/>
    <n v="3"/>
    <n v="6.7243035542747355E-3"/>
    <s v="June"/>
  </r>
  <r>
    <x v="2"/>
    <s v="R1F"/>
    <x v="0"/>
    <x v="25"/>
    <n v="4192"/>
    <n v="1567"/>
    <n v="1754"/>
    <n v="115"/>
    <n v="264"/>
    <n v="181"/>
    <x v="2"/>
    <x v="0"/>
    <x v="1"/>
    <n v="0.41841603053435117"/>
    <n v="5759"/>
    <n v="3"/>
    <n v="4.3177480916030533E-2"/>
    <s v="June"/>
  </r>
  <r>
    <x v="2"/>
    <s v="NR3"/>
    <x v="5"/>
    <x v="45"/>
    <n v="0"/>
    <n v="4946"/>
    <n v="0"/>
    <n v="377"/>
    <n v="0"/>
    <n v="0"/>
    <x v="2"/>
    <x v="0"/>
    <x v="1"/>
    <n v="0"/>
    <n v="4946"/>
    <n v="3"/>
    <n v="0"/>
    <s v="June"/>
  </r>
  <r>
    <x v="2"/>
    <s v="RW4"/>
    <x v="3"/>
    <x v="124"/>
    <n v="0"/>
    <n v="13175"/>
    <n v="0"/>
    <n v="244"/>
    <n v="0"/>
    <n v="0"/>
    <x v="2"/>
    <x v="0"/>
    <x v="1"/>
    <n v="0"/>
    <n v="13175"/>
    <n v="3"/>
    <n v="0"/>
    <s v="June"/>
  </r>
  <r>
    <x v="2"/>
    <s v="RVJ"/>
    <x v="1"/>
    <x v="73"/>
    <n v="9261"/>
    <n v="0"/>
    <n v="3498"/>
    <n v="0"/>
    <n v="576"/>
    <n v="263"/>
    <x v="2"/>
    <x v="0"/>
    <x v="1"/>
    <n v="0.37771298995788793"/>
    <n v="9261"/>
    <n v="3"/>
    <n v="2.8398661051722278E-2"/>
    <s v="June"/>
  </r>
  <r>
    <x v="2"/>
    <s v="RTF"/>
    <x v="6"/>
    <x v="99"/>
    <n v="9915"/>
    <n v="13581"/>
    <n v="1993"/>
    <n v="7"/>
    <n v="3"/>
    <n v="0"/>
    <x v="2"/>
    <x v="0"/>
    <x v="1"/>
    <n v="0.20100857286938981"/>
    <n v="23496"/>
    <n v="3"/>
    <n v="0"/>
    <s v="June"/>
  </r>
  <r>
    <x v="2"/>
    <s v="RRK"/>
    <x v="5"/>
    <x v="67"/>
    <n v="35162"/>
    <n v="1864"/>
    <n v="14726"/>
    <n v="101"/>
    <n v="2472"/>
    <n v="1892"/>
    <x v="2"/>
    <x v="0"/>
    <x v="1"/>
    <n v="0.41880439110403278"/>
    <n v="37026"/>
    <n v="3"/>
    <n v="5.380808827711734E-2"/>
    <s v="June"/>
  </r>
  <r>
    <x v="2"/>
    <s v="RRF"/>
    <x v="3"/>
    <x v="21"/>
    <n v="7384"/>
    <n v="5202"/>
    <n v="3512"/>
    <n v="58"/>
    <n v="626"/>
    <n v="356"/>
    <x v="2"/>
    <x v="0"/>
    <x v="1"/>
    <n v="0.47562296858071507"/>
    <n v="12586"/>
    <n v="3"/>
    <n v="4.8212351029252434E-2"/>
    <s v="June"/>
  </r>
  <r>
    <x v="2"/>
    <s v="RR8"/>
    <x v="6"/>
    <x v="20"/>
    <n v="17563"/>
    <n v="11747"/>
    <n v="6835"/>
    <n v="196"/>
    <n v="1759"/>
    <n v="208"/>
    <x v="2"/>
    <x v="0"/>
    <x v="1"/>
    <n v="0.38917041507715083"/>
    <n v="29310"/>
    <n v="3"/>
    <n v="1.1843079200592153E-2"/>
    <s v="June"/>
  </r>
  <r>
    <x v="2"/>
    <s v="RQW"/>
    <x v="2"/>
    <x v="150"/>
    <n v="8513"/>
    <n v="1907"/>
    <n v="3484"/>
    <n v="0"/>
    <n v="344"/>
    <n v="99"/>
    <x v="2"/>
    <x v="0"/>
    <x v="1"/>
    <n v="0.40925643134030304"/>
    <n v="10420"/>
    <n v="3"/>
    <n v="1.1629272876776694E-2"/>
    <s v="June"/>
  </r>
  <r>
    <x v="2"/>
    <s v="RQM"/>
    <x v="4"/>
    <x v="19"/>
    <n v="19980"/>
    <n v="6091"/>
    <n v="5149"/>
    <n v="78"/>
    <n v="508"/>
    <n v="56"/>
    <x v="2"/>
    <x v="0"/>
    <x v="1"/>
    <n v="0.25770770770770773"/>
    <n v="26071"/>
    <n v="3"/>
    <n v="2.8028028028028026E-3"/>
    <s v="June"/>
  </r>
  <r>
    <x v="2"/>
    <s v="RP6"/>
    <x v="4"/>
    <x v="192"/>
    <n v="0"/>
    <n v="0"/>
    <n v="0"/>
    <n v="0"/>
    <n v="0"/>
    <n v="0"/>
    <x v="2"/>
    <x v="0"/>
    <x v="1"/>
    <n v="0"/>
    <n v="0"/>
    <n v="3"/>
    <n v="0"/>
    <s v="June"/>
  </r>
  <r>
    <x v="2"/>
    <s v="RNU"/>
    <x v="0"/>
    <x v="16"/>
    <n v="0"/>
    <n v="4643"/>
    <n v="0"/>
    <n v="219"/>
    <n v="0"/>
    <n v="0"/>
    <x v="2"/>
    <x v="0"/>
    <x v="1"/>
    <n v="0"/>
    <n v="4643"/>
    <n v="3"/>
    <n v="0"/>
    <s v="June"/>
  </r>
  <r>
    <x v="2"/>
    <s v="RN7"/>
    <x v="0"/>
    <x v="14"/>
    <n v="11007"/>
    <n v="4082"/>
    <n v="3835"/>
    <n v="5"/>
    <n v="536"/>
    <n v="297"/>
    <x v="2"/>
    <x v="0"/>
    <x v="1"/>
    <n v="0.34841464522576543"/>
    <n v="15089"/>
    <n v="3"/>
    <n v="2.6982829108748978E-2"/>
    <s v="June"/>
  </r>
  <r>
    <x v="2"/>
    <s v="RM1"/>
    <x v="2"/>
    <x v="75"/>
    <n v="13020"/>
    <n v="7591"/>
    <n v="4102"/>
    <n v="13"/>
    <n v="937"/>
    <n v="248"/>
    <x v="2"/>
    <x v="0"/>
    <x v="1"/>
    <n v="0.31505376344086022"/>
    <n v="20611"/>
    <n v="3"/>
    <n v="1.9047619047619049E-2"/>
    <s v="June"/>
  </r>
  <r>
    <x v="2"/>
    <s v="RWD"/>
    <x v="5"/>
    <x v="78"/>
    <n v="16654"/>
    <n v="3648"/>
    <n v="6851"/>
    <n v="343"/>
    <n v="910"/>
    <n v="1077"/>
    <x v="2"/>
    <x v="0"/>
    <x v="1"/>
    <n v="0.41137264320883871"/>
    <n v="20302"/>
    <n v="3"/>
    <n v="6.4669148552900207E-2"/>
    <s v="June"/>
  </r>
  <r>
    <x v="2"/>
    <s v="RLT"/>
    <x v="5"/>
    <x v="13"/>
    <n v="6939"/>
    <n v="1693"/>
    <n v="2566"/>
    <n v="64"/>
    <n v="261"/>
    <n v="484"/>
    <x v="2"/>
    <x v="0"/>
    <x v="1"/>
    <n v="0.36979391843205073"/>
    <n v="8632"/>
    <n v="3"/>
    <n v="6.9750684536676752E-2"/>
    <s v="June"/>
  </r>
  <r>
    <x v="2"/>
    <s v="RWG"/>
    <x v="2"/>
    <x v="80"/>
    <n v="8116"/>
    <n v="7881"/>
    <n v="2374"/>
    <n v="39"/>
    <n v="654"/>
    <n v="21"/>
    <x v="2"/>
    <x v="0"/>
    <x v="1"/>
    <n v="0.2925086249383933"/>
    <n v="15997"/>
    <n v="3"/>
    <n v="2.5874815179891572E-3"/>
    <s v="June"/>
  </r>
  <r>
    <x v="2"/>
    <s v="RWX"/>
    <x v="0"/>
    <x v="55"/>
    <n v="0"/>
    <n v="1624"/>
    <n v="0"/>
    <n v="20"/>
    <n v="0"/>
    <n v="0"/>
    <x v="2"/>
    <x v="0"/>
    <x v="1"/>
    <n v="0"/>
    <n v="1624"/>
    <n v="3"/>
    <n v="0"/>
    <s v="June"/>
  </r>
  <r>
    <x v="2"/>
    <s v="RTD"/>
    <x v="6"/>
    <x v="71"/>
    <n v="12288"/>
    <n v="6292"/>
    <n v="4473"/>
    <n v="1"/>
    <n v="595"/>
    <n v="48"/>
    <x v="2"/>
    <x v="0"/>
    <x v="1"/>
    <n v="0.364013671875"/>
    <n v="18580"/>
    <n v="3"/>
    <n v="3.90625E-3"/>
    <s v="June"/>
  </r>
  <r>
    <x v="2"/>
    <s v="RFS"/>
    <x v="5"/>
    <x v="68"/>
    <n v="6588"/>
    <n v="6045"/>
    <n v="3702"/>
    <n v="435"/>
    <n v="564"/>
    <n v="78"/>
    <x v="2"/>
    <x v="0"/>
    <x v="1"/>
    <n v="0.56193078324225865"/>
    <n v="12633"/>
    <n v="3"/>
    <n v="1.1839708561020037E-2"/>
    <s v="June"/>
  </r>
  <r>
    <x v="2"/>
    <s v="RA7"/>
    <x v="1"/>
    <x v="158"/>
    <n v="15491"/>
    <n v="0"/>
    <n v="5239"/>
    <n v="0"/>
    <n v="917"/>
    <n v="137"/>
    <x v="2"/>
    <x v="0"/>
    <x v="1"/>
    <n v="0.33819637208701825"/>
    <n v="15491"/>
    <n v="3"/>
    <n v="8.843844813117294E-3"/>
    <s v="June"/>
  </r>
  <r>
    <x v="2"/>
    <s v="NNJ14"/>
    <x v="5"/>
    <x v="60"/>
    <n v="0"/>
    <n v="518"/>
    <n v="0"/>
    <n v="0"/>
    <n v="0"/>
    <n v="0"/>
    <x v="2"/>
    <x v="0"/>
    <x v="1"/>
    <n v="0"/>
    <n v="518"/>
    <n v="3"/>
    <n v="0"/>
    <s v="June"/>
  </r>
  <r>
    <x v="2"/>
    <s v="RPA"/>
    <x v="0"/>
    <x v="191"/>
    <n v="10049"/>
    <n v="6470"/>
    <n v="3353"/>
    <n v="596"/>
    <n v="396"/>
    <n v="454"/>
    <x v="2"/>
    <x v="0"/>
    <x v="1"/>
    <n v="0.33366504129764157"/>
    <n v="16519"/>
    <n v="3"/>
    <n v="4.5178624738779975E-2"/>
    <s v="June"/>
  </r>
  <r>
    <x v="2"/>
    <s v="RWW"/>
    <x v="3"/>
    <x v="83"/>
    <n v="6822"/>
    <n v="3174"/>
    <n v="3501"/>
    <n v="41"/>
    <n v="654"/>
    <n v="854"/>
    <x v="2"/>
    <x v="0"/>
    <x v="1"/>
    <n v="0.51319261213720313"/>
    <n v="9996"/>
    <n v="3"/>
    <n v="0.12518323072412782"/>
    <s v="June"/>
  </r>
  <r>
    <x v="2"/>
    <s v="RHU"/>
    <x v="0"/>
    <x v="63"/>
    <n v="10271"/>
    <n v="3213"/>
    <n v="3677"/>
    <n v="77"/>
    <n v="847"/>
    <n v="838"/>
    <x v="2"/>
    <x v="0"/>
    <x v="1"/>
    <n v="0.35799824749294129"/>
    <n v="13484"/>
    <n v="3"/>
    <n v="8.1588939733229476E-2"/>
    <s v="June"/>
  </r>
  <r>
    <x v="2"/>
    <s v="R1H"/>
    <x v="4"/>
    <x v="93"/>
    <n v="25464"/>
    <n v="18454"/>
    <n v="11582"/>
    <n v="2205"/>
    <n v="1234"/>
    <n v="960"/>
    <x v="2"/>
    <x v="0"/>
    <x v="1"/>
    <n v="0.45483820295318883"/>
    <n v="43918"/>
    <n v="3"/>
    <n v="3.7700282752120638E-2"/>
    <s v="June"/>
  </r>
  <r>
    <x v="2"/>
    <s v="RNS"/>
    <x v="5"/>
    <x v="15"/>
    <n v="11008"/>
    <n v="1990"/>
    <n v="4131"/>
    <n v="205"/>
    <n v="709"/>
    <n v="697"/>
    <x v="2"/>
    <x v="0"/>
    <x v="1"/>
    <n v="0.37527252906976744"/>
    <n v="12998"/>
    <n v="3"/>
    <n v="6.331758720930232E-2"/>
    <s v="June"/>
  </r>
  <r>
    <x v="2"/>
    <s v="RET"/>
    <x v="3"/>
    <x v="6"/>
    <n v="0"/>
    <n v="0"/>
    <n v="0"/>
    <n v="0"/>
    <n v="0"/>
    <n v="0"/>
    <x v="2"/>
    <x v="0"/>
    <x v="1"/>
    <n v="0"/>
    <n v="0"/>
    <n v="3"/>
    <n v="0"/>
    <s v="June"/>
  </r>
  <r>
    <x v="2"/>
    <s v="RBV"/>
    <x v="3"/>
    <x v="22"/>
    <n v="0"/>
    <n v="0"/>
    <n v="0"/>
    <n v="0"/>
    <n v="0"/>
    <n v="0"/>
    <x v="2"/>
    <x v="0"/>
    <x v="1"/>
    <n v="0"/>
    <n v="0"/>
    <n v="3"/>
    <n v="0"/>
    <s v="June"/>
  </r>
  <r>
    <x v="2"/>
    <s v="RBL"/>
    <x v="3"/>
    <x v="94"/>
    <n v="7932"/>
    <n v="2929"/>
    <n v="4151"/>
    <n v="84"/>
    <n v="508"/>
    <n v="816"/>
    <x v="2"/>
    <x v="0"/>
    <x v="1"/>
    <n v="0.52332324760463944"/>
    <n v="10861"/>
    <n v="3"/>
    <n v="0.10287443267776097"/>
    <s v="June"/>
  </r>
  <r>
    <x v="2"/>
    <s v="RVR"/>
    <x v="4"/>
    <x v="74"/>
    <n v="10881"/>
    <n v="1978"/>
    <n v="4160"/>
    <n v="298"/>
    <n v="472"/>
    <n v="994"/>
    <x v="2"/>
    <x v="0"/>
    <x v="1"/>
    <n v="0.3823178016726404"/>
    <n v="12859"/>
    <n v="3"/>
    <n v="9.1351897803510704E-2"/>
    <s v="June"/>
  </r>
  <r>
    <x v="2"/>
    <s v="RM3"/>
    <x v="3"/>
    <x v="64"/>
    <n v="25985"/>
    <n v="8713"/>
    <n v="10696"/>
    <n v="380"/>
    <n v="1054"/>
    <n v="1179"/>
    <x v="2"/>
    <x v="0"/>
    <x v="1"/>
    <n v="0.41162208966711566"/>
    <n v="34698"/>
    <n v="3"/>
    <n v="4.5372330190494518E-2"/>
    <s v="June"/>
  </r>
  <r>
    <x v="2"/>
    <s v="RJ1"/>
    <x v="4"/>
    <x v="43"/>
    <n v="10089"/>
    <n v="7093"/>
    <n v="3363"/>
    <n v="203"/>
    <n v="108"/>
    <n v="68"/>
    <x v="2"/>
    <x v="0"/>
    <x v="1"/>
    <n v="0.33333333333333331"/>
    <n v="17182"/>
    <n v="3"/>
    <n v="6.7400138764991575E-3"/>
    <s v="June"/>
  </r>
  <r>
    <x v="2"/>
    <s v="RDU"/>
    <x v="0"/>
    <x v="37"/>
    <n v="22355"/>
    <n v="12806"/>
    <n v="9517"/>
    <n v="393"/>
    <n v="1435"/>
    <n v="414"/>
    <x v="2"/>
    <x v="0"/>
    <x v="1"/>
    <n v="0.42572131514202638"/>
    <n v="35161"/>
    <n v="3"/>
    <n v="1.8519346902259003E-2"/>
    <s v="June"/>
  </r>
  <r>
    <x v="2"/>
    <s v="R1K"/>
    <x v="4"/>
    <x v="30"/>
    <n v="13432"/>
    <n v="15614"/>
    <n v="6122"/>
    <n v="213"/>
    <n v="451"/>
    <n v="196"/>
    <x v="2"/>
    <x v="0"/>
    <x v="1"/>
    <n v="0.4557772483621203"/>
    <n v="29046"/>
    <n v="3"/>
    <n v="1.4592019058963668E-2"/>
    <s v="June"/>
  </r>
  <r>
    <x v="2"/>
    <s v="RHW"/>
    <x v="0"/>
    <x v="66"/>
    <n v="11860"/>
    <n v="1911"/>
    <n v="3985"/>
    <n v="0"/>
    <n v="439"/>
    <n v="5"/>
    <x v="2"/>
    <x v="0"/>
    <x v="1"/>
    <n v="0.33600337268128161"/>
    <n v="13771"/>
    <n v="3"/>
    <n v="4.2158516020236085E-4"/>
    <s v="June"/>
  </r>
  <r>
    <x v="2"/>
    <s v="RYJ"/>
    <x v="4"/>
    <x v="91"/>
    <n v="12099"/>
    <n v="7565"/>
    <n v="5345"/>
    <n v="353"/>
    <n v="676"/>
    <n v="0"/>
    <x v="2"/>
    <x v="0"/>
    <x v="1"/>
    <n v="0.44177204727663444"/>
    <n v="19664"/>
    <n v="3"/>
    <n v="0"/>
    <s v="June"/>
  </r>
  <r>
    <x v="2"/>
    <s v="RY2"/>
    <x v="3"/>
    <x v="173"/>
    <n v="0"/>
    <n v="2903"/>
    <n v="0"/>
    <n v="39"/>
    <n v="0"/>
    <n v="0"/>
    <x v="2"/>
    <x v="0"/>
    <x v="1"/>
    <n v="0"/>
    <n v="2903"/>
    <n v="3"/>
    <n v="0"/>
    <s v="June"/>
  </r>
  <r>
    <x v="2"/>
    <s v="RXN"/>
    <x v="3"/>
    <x v="65"/>
    <n v="11836"/>
    <n v="3418"/>
    <n v="4494"/>
    <n v="142"/>
    <n v="995"/>
    <n v="476"/>
    <x v="2"/>
    <x v="0"/>
    <x v="1"/>
    <n v="0.3796890841500507"/>
    <n v="15254"/>
    <n v="3"/>
    <n v="4.021628928692126E-2"/>
    <s v="June"/>
  </r>
  <r>
    <x v="2"/>
    <s v="RWJ"/>
    <x v="3"/>
    <x v="82"/>
    <n v="7886"/>
    <n v="1086"/>
    <n v="2551"/>
    <n v="68"/>
    <n v="558"/>
    <n v="95"/>
    <x v="2"/>
    <x v="0"/>
    <x v="1"/>
    <n v="0.3234846563530307"/>
    <n v="8972"/>
    <n v="3"/>
    <n v="1.204666497590667E-2"/>
    <s v="June"/>
  </r>
  <r>
    <x v="2"/>
    <s v="RKB"/>
    <x v="5"/>
    <x v="11"/>
    <n v="12391"/>
    <n v="5969"/>
    <n v="5555"/>
    <n v="190"/>
    <n v="70"/>
    <n v="14"/>
    <x v="2"/>
    <x v="0"/>
    <x v="1"/>
    <n v="0.44830925671858607"/>
    <n v="18360"/>
    <n v="3"/>
    <n v="1.1298523121620531E-3"/>
    <s v="June"/>
  </r>
  <r>
    <x v="2"/>
    <s v="RJE"/>
    <x v="5"/>
    <x v="9"/>
    <n v="14177"/>
    <n v="8630"/>
    <n v="7382"/>
    <n v="105"/>
    <n v="1032"/>
    <n v="942"/>
    <x v="2"/>
    <x v="0"/>
    <x v="1"/>
    <n v="0.52070254637793612"/>
    <n v="22807"/>
    <n v="3"/>
    <n v="6.6445651407208858E-2"/>
    <s v="June"/>
  </r>
  <r>
    <x v="2"/>
    <s v="RHQ"/>
    <x v="6"/>
    <x v="42"/>
    <n v="8756"/>
    <n v="7199"/>
    <n v="3872"/>
    <n v="196"/>
    <n v="524"/>
    <n v="4"/>
    <x v="2"/>
    <x v="0"/>
    <x v="1"/>
    <n v="0.44221105527638194"/>
    <n v="15955"/>
    <n v="3"/>
    <n v="4.5682960255824577E-4"/>
    <s v="June"/>
  </r>
  <r>
    <x v="2"/>
    <s v="RWH"/>
    <x v="2"/>
    <x v="81"/>
    <n v="8595"/>
    <n v="8439"/>
    <n v="3738"/>
    <n v="109"/>
    <n v="81"/>
    <n v="23"/>
    <x v="2"/>
    <x v="0"/>
    <x v="1"/>
    <n v="0.43490401396160561"/>
    <n v="17034"/>
    <n v="3"/>
    <n v="2.6759744037230947E-3"/>
    <s v="June"/>
  </r>
  <r>
    <x v="2"/>
    <s v="RWE"/>
    <x v="5"/>
    <x v="79"/>
    <n v="21814"/>
    <n v="0"/>
    <n v="9128"/>
    <n v="0"/>
    <n v="1207"/>
    <n v="569"/>
    <x v="2"/>
    <x v="0"/>
    <x v="1"/>
    <n v="0.41844686898322181"/>
    <n v="21814"/>
    <n v="3"/>
    <n v="2.6084166131841936E-2"/>
    <s v="June"/>
  </r>
  <r>
    <x v="2"/>
    <s v="RVV"/>
    <x v="0"/>
    <x v="50"/>
    <n v="12129"/>
    <n v="13137"/>
    <n v="5583"/>
    <n v="374"/>
    <n v="535"/>
    <n v="1150"/>
    <x v="2"/>
    <x v="0"/>
    <x v="1"/>
    <n v="0.46030175612169183"/>
    <n v="25266"/>
    <n v="3"/>
    <n v="9.4814081952345614E-2"/>
    <s v="June"/>
  </r>
  <r>
    <x v="2"/>
    <s v="RTX"/>
    <x v="3"/>
    <x v="98"/>
    <n v="9300"/>
    <n v="2951"/>
    <n v="3208"/>
    <n v="94"/>
    <n v="622"/>
    <n v="264"/>
    <x v="2"/>
    <x v="0"/>
    <x v="1"/>
    <n v="0.34494623655913981"/>
    <n v="12251"/>
    <n v="3"/>
    <n v="2.838709677419355E-2"/>
    <s v="June"/>
  </r>
  <r>
    <x v="2"/>
    <s v="RTE"/>
    <x v="1"/>
    <x v="23"/>
    <n v="13546"/>
    <n v="0"/>
    <n v="5020"/>
    <n v="0"/>
    <n v="430"/>
    <n v="223"/>
    <x v="2"/>
    <x v="0"/>
    <x v="1"/>
    <n v="0.37058910379447807"/>
    <n v="13546"/>
    <n v="3"/>
    <n v="1.6462424331906096E-2"/>
    <s v="June"/>
  </r>
  <r>
    <x v="2"/>
    <s v="RQ3"/>
    <x v="5"/>
    <x v="18"/>
    <n v="4831"/>
    <n v="0"/>
    <n v="791"/>
    <n v="0"/>
    <n v="9"/>
    <n v="2"/>
    <x v="2"/>
    <x v="0"/>
    <x v="1"/>
    <n v="0.16373421651831918"/>
    <n v="4831"/>
    <n v="3"/>
    <n v="4.1399296211964395E-4"/>
    <s v="June"/>
  </r>
  <r>
    <x v="2"/>
    <s v="RPC"/>
    <x v="0"/>
    <x v="190"/>
    <n v="0"/>
    <n v="1488"/>
    <n v="0"/>
    <n v="53"/>
    <n v="0"/>
    <n v="0"/>
    <x v="2"/>
    <x v="0"/>
    <x v="1"/>
    <n v="0"/>
    <n v="1488"/>
    <n v="3"/>
    <n v="0"/>
    <s v="June"/>
  </r>
  <r>
    <x v="2"/>
    <s v="RNZ"/>
    <x v="1"/>
    <x v="17"/>
    <n v="4881"/>
    <n v="1925"/>
    <n v="2178"/>
    <n v="0"/>
    <n v="351"/>
    <n v="31"/>
    <x v="2"/>
    <x v="0"/>
    <x v="1"/>
    <n v="0.44622003687768902"/>
    <n v="6806"/>
    <n v="3"/>
    <n v="6.3511575496824424E-3"/>
    <s v="June"/>
  </r>
  <r>
    <x v="2"/>
    <s v="RN5"/>
    <x v="0"/>
    <x v="97"/>
    <n v="10496"/>
    <n v="3490"/>
    <n v="4268"/>
    <n v="106"/>
    <n v="83"/>
    <n v="23"/>
    <x v="2"/>
    <x v="0"/>
    <x v="1"/>
    <n v="0.4066310975609756"/>
    <n v="13986"/>
    <n v="3"/>
    <n v="2.1913109756097563E-3"/>
    <s v="June"/>
  </r>
  <r>
    <x v="2"/>
    <s v="RN3"/>
    <x v="1"/>
    <x v="167"/>
    <n v="5709"/>
    <n v="5661"/>
    <n v="2897"/>
    <n v="617"/>
    <n v="702"/>
    <n v="164"/>
    <x v="2"/>
    <x v="0"/>
    <x v="1"/>
    <n v="0.50744438605710285"/>
    <n v="11370"/>
    <n v="3"/>
    <n v="2.8726572079173236E-2"/>
    <s v="June"/>
  </r>
  <r>
    <x v="2"/>
    <s v="RL4"/>
    <x v="5"/>
    <x v="165"/>
    <n v="13220"/>
    <n v="7273"/>
    <n v="3509"/>
    <n v="140"/>
    <n v="1040"/>
    <n v="212"/>
    <x v="2"/>
    <x v="0"/>
    <x v="1"/>
    <n v="0.26543116490166413"/>
    <n v="20493"/>
    <n v="3"/>
    <n v="1.6036308623298034E-2"/>
    <s v="June"/>
  </r>
  <r>
    <x v="2"/>
    <s v="RL1"/>
    <x v="5"/>
    <x v="12"/>
    <n v="0"/>
    <n v="0"/>
    <n v="0"/>
    <n v="0"/>
    <n v="0"/>
    <n v="0"/>
    <x v="2"/>
    <x v="0"/>
    <x v="1"/>
    <n v="0"/>
    <n v="0"/>
    <n v="3"/>
    <n v="0"/>
    <s v="June"/>
  </r>
  <r>
    <x v="2"/>
    <s v="RKE"/>
    <x v="4"/>
    <x v="194"/>
    <n v="9127"/>
    <n v="0"/>
    <n v="2445"/>
    <n v="0"/>
    <n v="234"/>
    <n v="140"/>
    <x v="2"/>
    <x v="0"/>
    <x v="1"/>
    <n v="0.26788649063219022"/>
    <n v="9127"/>
    <n v="3"/>
    <n v="1.5339103758080421E-2"/>
    <s v="June"/>
  </r>
  <r>
    <x v="2"/>
    <s v="RK5"/>
    <x v="5"/>
    <x v="10"/>
    <n v="11174"/>
    <n v="5696"/>
    <n v="3627"/>
    <n v="266"/>
    <n v="574"/>
    <n v="43"/>
    <x v="2"/>
    <x v="0"/>
    <x v="1"/>
    <n v="0.32459280472525504"/>
    <n v="16870"/>
    <n v="3"/>
    <n v="3.8482190800071593E-3"/>
    <s v="June"/>
  </r>
  <r>
    <x v="2"/>
    <s v="RJR"/>
    <x v="3"/>
    <x v="105"/>
    <n v="5245"/>
    <n v="2400"/>
    <n v="2572"/>
    <n v="206"/>
    <n v="381"/>
    <n v="577"/>
    <x v="2"/>
    <x v="0"/>
    <x v="1"/>
    <n v="0.49037178265014297"/>
    <n v="7645"/>
    <n v="3"/>
    <n v="0.11000953288846521"/>
    <s v="June"/>
  </r>
  <r>
    <x v="2"/>
    <s v="RJ2"/>
    <x v="4"/>
    <x v="8"/>
    <n v="15546"/>
    <n v="9786"/>
    <n v="7695"/>
    <n v="276"/>
    <n v="1251"/>
    <n v="712"/>
    <x v="2"/>
    <x v="0"/>
    <x v="1"/>
    <n v="0.49498263218834426"/>
    <n v="25332"/>
    <n v="3"/>
    <n v="4.5799562588447189E-2"/>
    <s v="June"/>
  </r>
  <r>
    <x v="2"/>
    <s v="RF4"/>
    <x v="4"/>
    <x v="7"/>
    <n v="13369"/>
    <n v="14694"/>
    <n v="5954"/>
    <n v="240"/>
    <n v="712"/>
    <n v="586"/>
    <x v="2"/>
    <x v="0"/>
    <x v="1"/>
    <n v="0.4453586655696013"/>
    <n v="28063"/>
    <n v="3"/>
    <n v="4.3832747400703122E-2"/>
    <s v="June"/>
  </r>
  <r>
    <x v="2"/>
    <s v="RCB"/>
    <x v="6"/>
    <x v="35"/>
    <n v="10773"/>
    <n v="7682"/>
    <n v="5365"/>
    <n v="383"/>
    <n v="750"/>
    <n v="377"/>
    <x v="2"/>
    <x v="0"/>
    <x v="1"/>
    <n v="0.49800426993409447"/>
    <n v="18455"/>
    <n v="3"/>
    <n v="3.4994894644017449E-2"/>
    <s v="June"/>
  </r>
  <r>
    <x v="2"/>
    <s v="RBS"/>
    <x v="3"/>
    <x v="160"/>
    <n v="5785"/>
    <n v="0"/>
    <n v="867"/>
    <n v="0"/>
    <n v="0"/>
    <n v="0"/>
    <x v="2"/>
    <x v="0"/>
    <x v="1"/>
    <n v="0.14987035436473639"/>
    <n v="5785"/>
    <n v="3"/>
    <n v="0"/>
    <s v="June"/>
  </r>
  <r>
    <x v="2"/>
    <s v="RBN"/>
    <x v="3"/>
    <x v="34"/>
    <n v="17147"/>
    <n v="7253"/>
    <n v="6357"/>
    <n v="98"/>
    <n v="597"/>
    <n v="264"/>
    <x v="2"/>
    <x v="0"/>
    <x v="1"/>
    <n v="0.37073540561031082"/>
    <n v="24400"/>
    <n v="3"/>
    <n v="1.5396279232518809E-2"/>
    <s v="June"/>
  </r>
  <r>
    <x v="2"/>
    <s v="R1D"/>
    <x v="5"/>
    <x v="46"/>
    <n v="0"/>
    <n v="3487"/>
    <n v="0"/>
    <n v="51"/>
    <n v="0"/>
    <n v="0"/>
    <x v="2"/>
    <x v="0"/>
    <x v="1"/>
    <n v="0"/>
    <n v="3487"/>
    <n v="3"/>
    <n v="0"/>
    <s v="June"/>
  </r>
  <r>
    <x v="2"/>
    <s v="RXC"/>
    <x v="0"/>
    <x v="84"/>
    <n v="8606"/>
    <n v="2753"/>
    <n v="3532"/>
    <n v="54"/>
    <n v="208"/>
    <n v="31"/>
    <x v="2"/>
    <x v="0"/>
    <x v="1"/>
    <n v="0.41041134092493609"/>
    <n v="11359"/>
    <n v="3"/>
    <n v="3.6021380432256565E-3"/>
    <s v="June"/>
  </r>
  <r>
    <x v="2"/>
    <s v="RXG"/>
    <x v="6"/>
    <x v="85"/>
    <n v="0"/>
    <n v="0"/>
    <n v="0"/>
    <n v="0"/>
    <n v="0"/>
    <n v="0"/>
    <x v="2"/>
    <x v="0"/>
    <x v="1"/>
    <n v="0"/>
    <n v="0"/>
    <n v="3"/>
    <n v="0"/>
    <s v="June"/>
  </r>
  <r>
    <x v="2"/>
    <s v="RXP"/>
    <x v="6"/>
    <x v="87"/>
    <n v="13150"/>
    <n v="4516"/>
    <n v="4718"/>
    <n v="0"/>
    <n v="1589"/>
    <n v="0"/>
    <x v="2"/>
    <x v="0"/>
    <x v="1"/>
    <n v="0.35878326996197718"/>
    <n v="17666"/>
    <n v="3"/>
    <n v="0"/>
    <s v="June"/>
  </r>
  <r>
    <x v="2"/>
    <s v="RXW"/>
    <x v="5"/>
    <x v="88"/>
    <n v="10883"/>
    <n v="2669"/>
    <n v="5918"/>
    <n v="448"/>
    <n v="450"/>
    <n v="1334"/>
    <x v="2"/>
    <x v="0"/>
    <x v="1"/>
    <n v="0.54378388312046311"/>
    <n v="13552"/>
    <n v="3"/>
    <n v="0.12257649545162179"/>
    <s v="June"/>
  </r>
  <r>
    <x v="2"/>
    <s v="RH8"/>
    <x v="1"/>
    <x v="163"/>
    <n v="12847"/>
    <n v="4358"/>
    <n v="4809"/>
    <n v="23"/>
    <n v="639"/>
    <n v="90"/>
    <x v="2"/>
    <x v="0"/>
    <x v="1"/>
    <n v="0.37432863703588387"/>
    <n v="17205"/>
    <n v="3"/>
    <n v="7.0055265820814202E-3"/>
    <s v="June"/>
  </r>
  <r>
    <x v="2"/>
    <s v="RH5"/>
    <x v="1"/>
    <x v="40"/>
    <n v="12738"/>
    <n v="9378"/>
    <n v="5173"/>
    <n v="210"/>
    <n v="283"/>
    <n v="66"/>
    <x v="2"/>
    <x v="0"/>
    <x v="1"/>
    <n v="0.40610770921651751"/>
    <n v="22116"/>
    <n v="3"/>
    <n v="5.1813471502590676E-3"/>
    <s v="June"/>
  </r>
  <r>
    <x v="2"/>
    <s v="RGR"/>
    <x v="2"/>
    <x v="186"/>
    <n v="8040"/>
    <n v="685"/>
    <n v="2548"/>
    <n v="0"/>
    <n v="505"/>
    <n v="240"/>
    <x v="2"/>
    <x v="0"/>
    <x v="1"/>
    <n v="0.31691542288557212"/>
    <n v="8725"/>
    <n v="3"/>
    <n v="2.9850746268656716E-2"/>
    <s v="June"/>
  </r>
  <r>
    <x v="2"/>
    <s v="RGN"/>
    <x v="2"/>
    <x v="185"/>
    <n v="14646"/>
    <n v="4740"/>
    <n v="5338"/>
    <n v="181"/>
    <n v="643"/>
    <n v="519"/>
    <x v="2"/>
    <x v="0"/>
    <x v="1"/>
    <n v="0.36446811416086305"/>
    <n v="19386"/>
    <n v="3"/>
    <n v="3.5436296599754197E-2"/>
    <s v="June"/>
  </r>
  <r>
    <x v="2"/>
    <s v="REP"/>
    <x v="3"/>
    <x v="38"/>
    <n v="0"/>
    <n v="0"/>
    <n v="0"/>
    <n v="0"/>
    <n v="0"/>
    <n v="0"/>
    <x v="2"/>
    <x v="0"/>
    <x v="1"/>
    <n v="0"/>
    <n v="0"/>
    <n v="3"/>
    <n v="0"/>
    <s v="June"/>
  </r>
  <r>
    <x v="2"/>
    <s v="RDR"/>
    <x v="0"/>
    <x v="3"/>
    <n v="0"/>
    <n v="12342"/>
    <n v="0"/>
    <n v="137"/>
    <n v="0"/>
    <n v="0"/>
    <x v="2"/>
    <x v="0"/>
    <x v="1"/>
    <n v="0"/>
    <n v="12342"/>
    <n v="3"/>
    <n v="0"/>
    <s v="June"/>
  </r>
  <r>
    <x v="2"/>
    <s v="RDE"/>
    <x v="2"/>
    <x v="2"/>
    <n v="11506"/>
    <n v="14392"/>
    <n v="5944"/>
    <n v="549"/>
    <n v="1012"/>
    <n v="452"/>
    <x v="2"/>
    <x v="0"/>
    <x v="1"/>
    <n v="0.51660003476447069"/>
    <n v="25898"/>
    <n v="3"/>
    <n v="3.9283851903354775E-2"/>
    <s v="June"/>
  </r>
  <r>
    <x v="2"/>
    <s v="RD1"/>
    <x v="1"/>
    <x v="1"/>
    <n v="8676"/>
    <n v="0"/>
    <n v="3681"/>
    <n v="0"/>
    <n v="697"/>
    <n v="25"/>
    <x v="2"/>
    <x v="0"/>
    <x v="1"/>
    <n v="0.42427385892116182"/>
    <n v="8676"/>
    <n v="3"/>
    <n v="2.8815122176118028E-3"/>
    <s v="June"/>
  </r>
  <r>
    <x v="2"/>
    <s v="RCU"/>
    <x v="6"/>
    <x v="184"/>
    <n v="4715"/>
    <n v="309"/>
    <n v="312"/>
    <n v="0"/>
    <n v="11"/>
    <n v="0"/>
    <x v="2"/>
    <x v="0"/>
    <x v="1"/>
    <n v="6.6171792152704134E-2"/>
    <n v="5024"/>
    <n v="3"/>
    <n v="0"/>
    <s v="June"/>
  </r>
  <r>
    <x v="2"/>
    <s v="RBK"/>
    <x v="5"/>
    <x v="159"/>
    <n v="9482"/>
    <n v="4317"/>
    <n v="2895"/>
    <n v="73"/>
    <n v="922"/>
    <n v="55"/>
    <x v="2"/>
    <x v="0"/>
    <x v="1"/>
    <n v="0.30531533431765451"/>
    <n v="13799"/>
    <n v="3"/>
    <n v="5.8004640371229696E-3"/>
    <s v="June"/>
  </r>
  <r>
    <x v="2"/>
    <s v="NNJ"/>
    <x v="5"/>
    <x v="62"/>
    <n v="0"/>
    <n v="1914"/>
    <n v="0"/>
    <n v="1"/>
    <n v="0"/>
    <n v="0"/>
    <x v="2"/>
    <x v="0"/>
    <x v="1"/>
    <n v="0"/>
    <n v="1914"/>
    <n v="3"/>
    <n v="0"/>
    <s v="June"/>
  </r>
  <r>
    <x v="2"/>
    <s v="RAN"/>
    <x v="4"/>
    <x v="24"/>
    <n v="0"/>
    <n v="0"/>
    <n v="0"/>
    <n v="0"/>
    <n v="0"/>
    <n v="0"/>
    <x v="2"/>
    <x v="0"/>
    <x v="1"/>
    <n v="0"/>
    <n v="0"/>
    <n v="3"/>
    <n v="0"/>
    <s v="June"/>
  </r>
  <r>
    <x v="2"/>
    <s v="R0D"/>
    <x v="1"/>
    <x v="157"/>
    <n v="14718"/>
    <n v="5172"/>
    <n v="5721"/>
    <n v="0"/>
    <n v="603"/>
    <n v="80"/>
    <x v="2"/>
    <x v="0"/>
    <x v="1"/>
    <n v="0.3887077048512026"/>
    <n v="19890"/>
    <n v="3"/>
    <n v="5.4355211305883956E-3"/>
    <s v="June"/>
  </r>
  <r>
    <x v="2"/>
    <s v="NNJ15"/>
    <x v="5"/>
    <x v="61"/>
    <n v="0"/>
    <n v="55"/>
    <n v="0"/>
    <n v="0"/>
    <n v="0"/>
    <n v="0"/>
    <x v="2"/>
    <x v="0"/>
    <x v="1"/>
    <n v="0"/>
    <n v="55"/>
    <n v="3"/>
    <n v="0"/>
    <s v="June"/>
  </r>
  <r>
    <x v="2"/>
    <s v="NNJ13"/>
    <x v="5"/>
    <x v="59"/>
    <n v="0"/>
    <n v="46"/>
    <n v="0"/>
    <n v="0"/>
    <n v="0"/>
    <n v="0"/>
    <x v="2"/>
    <x v="0"/>
    <x v="1"/>
    <n v="0"/>
    <n v="46"/>
    <n v="3"/>
    <n v="0"/>
    <s v="June"/>
  </r>
  <r>
    <x v="2"/>
    <s v="NNJ12"/>
    <x v="5"/>
    <x v="58"/>
    <n v="0"/>
    <n v="98"/>
    <n v="0"/>
    <n v="0"/>
    <n v="0"/>
    <n v="0"/>
    <x v="2"/>
    <x v="0"/>
    <x v="1"/>
    <n v="0"/>
    <n v="98"/>
    <n v="3"/>
    <n v="0"/>
    <s v="June"/>
  </r>
  <r>
    <x v="2"/>
    <s v="NNJ0H"/>
    <x v="5"/>
    <x v="57"/>
    <n v="0"/>
    <n v="184"/>
    <n v="0"/>
    <n v="0"/>
    <n v="0"/>
    <n v="0"/>
    <x v="2"/>
    <x v="0"/>
    <x v="1"/>
    <n v="0"/>
    <n v="184"/>
    <n v="3"/>
    <n v="0"/>
    <s v="June"/>
  </r>
  <r>
    <x v="2"/>
    <s v="NNJ07"/>
    <x v="5"/>
    <x v="56"/>
    <n v="0"/>
    <n v="5332"/>
    <n v="0"/>
    <n v="23"/>
    <n v="0"/>
    <n v="0"/>
    <x v="2"/>
    <x v="0"/>
    <x v="1"/>
    <n v="0"/>
    <n v="5332"/>
    <n v="3"/>
    <n v="0"/>
    <s v="June"/>
  </r>
  <r>
    <x v="2"/>
    <s v="AD913"/>
    <x v="4"/>
    <x v="70"/>
    <n v="0"/>
    <n v="3629"/>
    <n v="0"/>
    <n v="40"/>
    <n v="0"/>
    <n v="0"/>
    <x v="2"/>
    <x v="0"/>
    <x v="1"/>
    <n v="0"/>
    <n v="3629"/>
    <n v="3"/>
    <n v="0"/>
    <s v="June"/>
  </r>
  <r>
    <x v="2"/>
    <s v="RYX"/>
    <x v="4"/>
    <x v="51"/>
    <n v="0"/>
    <n v="12854"/>
    <n v="0"/>
    <n v="299"/>
    <n v="0"/>
    <n v="0"/>
    <x v="2"/>
    <x v="0"/>
    <x v="1"/>
    <n v="0"/>
    <n v="12854"/>
    <n v="3"/>
    <n v="0"/>
    <s v="June"/>
  </r>
  <r>
    <x v="2"/>
    <s v="RY5"/>
    <x v="5"/>
    <x v="151"/>
    <n v="0"/>
    <n v="8665"/>
    <n v="0"/>
    <n v="174"/>
    <n v="0"/>
    <n v="0"/>
    <x v="2"/>
    <x v="0"/>
    <x v="1"/>
    <n v="0"/>
    <n v="8665"/>
    <n v="3"/>
    <n v="0"/>
    <s v="June"/>
  </r>
  <r>
    <x v="2"/>
    <s v="RY4"/>
    <x v="2"/>
    <x v="172"/>
    <n v="0"/>
    <n v="1289"/>
    <n v="0"/>
    <n v="59"/>
    <n v="0"/>
    <n v="0"/>
    <x v="2"/>
    <x v="0"/>
    <x v="1"/>
    <n v="0"/>
    <n v="1289"/>
    <n v="3"/>
    <n v="0"/>
    <s v="June"/>
  </r>
  <r>
    <x v="2"/>
    <s v="RAL"/>
    <x v="4"/>
    <x v="33"/>
    <n v="25688"/>
    <n v="16341"/>
    <n v="8647"/>
    <n v="748"/>
    <n v="1181"/>
    <n v="1691"/>
    <x v="2"/>
    <x v="0"/>
    <x v="1"/>
    <n v="0.33661631890376831"/>
    <n v="42029"/>
    <n v="3"/>
    <n v="6.5828402366863908E-2"/>
    <s v="June"/>
  </r>
  <r>
    <x v="2"/>
    <s v="RW1"/>
    <x v="0"/>
    <x v="137"/>
    <n v="0"/>
    <n v="3100"/>
    <n v="0"/>
    <n v="52"/>
    <n v="0"/>
    <n v="0"/>
    <x v="2"/>
    <x v="0"/>
    <x v="1"/>
    <n v="0"/>
    <n v="3100"/>
    <n v="3"/>
    <n v="0"/>
    <s v="June"/>
  </r>
  <r>
    <x v="2"/>
    <s v="RJ8"/>
    <x v="1"/>
    <x v="135"/>
    <n v="0"/>
    <n v="0"/>
    <n v="0"/>
    <n v="0"/>
    <n v="0"/>
    <n v="0"/>
    <x v="2"/>
    <x v="0"/>
    <x v="1"/>
    <n v="0"/>
    <n v="0"/>
    <n v="3"/>
    <n v="0"/>
    <s v="June"/>
  </r>
  <r>
    <x v="3"/>
    <s v="REP"/>
    <x v="3"/>
    <x v="38"/>
    <n v="0"/>
    <n v="0"/>
    <n v="0"/>
    <n v="0"/>
    <n v="0"/>
    <n v="0"/>
    <x v="3"/>
    <x v="1"/>
    <x v="1"/>
    <n v="0"/>
    <n v="0"/>
    <n v="4"/>
    <n v="0"/>
    <s v="July"/>
  </r>
  <r>
    <x v="3"/>
    <s v="NNJ0H"/>
    <x v="5"/>
    <x v="57"/>
    <n v="0"/>
    <n v="338"/>
    <n v="0"/>
    <n v="1"/>
    <n v="0"/>
    <n v="0"/>
    <x v="3"/>
    <x v="1"/>
    <x v="1"/>
    <n v="0"/>
    <n v="338"/>
    <n v="4"/>
    <n v="0"/>
    <s v="July"/>
  </r>
  <r>
    <x v="3"/>
    <s v="NNJ12"/>
    <x v="5"/>
    <x v="58"/>
    <n v="0"/>
    <n v="84"/>
    <n v="0"/>
    <n v="0"/>
    <n v="0"/>
    <n v="0"/>
    <x v="3"/>
    <x v="1"/>
    <x v="1"/>
    <n v="0"/>
    <n v="84"/>
    <n v="4"/>
    <n v="0"/>
    <s v="July"/>
  </r>
  <r>
    <x v="3"/>
    <s v="NNJ13"/>
    <x v="5"/>
    <x v="59"/>
    <n v="0"/>
    <n v="45"/>
    <n v="0"/>
    <n v="0"/>
    <n v="0"/>
    <n v="0"/>
    <x v="3"/>
    <x v="1"/>
    <x v="1"/>
    <n v="0"/>
    <n v="45"/>
    <n v="4"/>
    <n v="0"/>
    <s v="July"/>
  </r>
  <r>
    <x v="3"/>
    <s v="NNJ14"/>
    <x v="5"/>
    <x v="60"/>
    <n v="0"/>
    <n v="493"/>
    <n v="0"/>
    <n v="0"/>
    <n v="0"/>
    <n v="0"/>
    <x v="3"/>
    <x v="1"/>
    <x v="1"/>
    <n v="0"/>
    <n v="493"/>
    <n v="4"/>
    <n v="0"/>
    <s v="July"/>
  </r>
  <r>
    <x v="3"/>
    <s v="NNJ15"/>
    <x v="5"/>
    <x v="61"/>
    <n v="0"/>
    <n v="46"/>
    <n v="0"/>
    <n v="0"/>
    <n v="0"/>
    <n v="0"/>
    <x v="3"/>
    <x v="1"/>
    <x v="1"/>
    <n v="0"/>
    <n v="46"/>
    <n v="4"/>
    <n v="0"/>
    <s v="July"/>
  </r>
  <r>
    <x v="3"/>
    <s v="R1F"/>
    <x v="0"/>
    <x v="25"/>
    <n v="4556"/>
    <n v="1798"/>
    <n v="1769"/>
    <n v="133"/>
    <n v="218"/>
    <n v="83"/>
    <x v="3"/>
    <x v="1"/>
    <x v="1"/>
    <n v="0.38827919227392449"/>
    <n v="6354"/>
    <n v="4"/>
    <n v="1.8217734855136083E-2"/>
    <s v="July"/>
  </r>
  <r>
    <x v="3"/>
    <s v="RAL"/>
    <x v="4"/>
    <x v="33"/>
    <n v="26648"/>
    <n v="15993"/>
    <n v="8269"/>
    <n v="697"/>
    <n v="1294"/>
    <n v="1638"/>
    <x v="3"/>
    <x v="1"/>
    <x v="1"/>
    <n v="0.31030471329930953"/>
    <n v="42641"/>
    <n v="4"/>
    <n v="6.146802761933353E-2"/>
    <s v="July"/>
  </r>
  <r>
    <x v="3"/>
    <s v="RAS"/>
    <x v="4"/>
    <x v="174"/>
    <n v="5966"/>
    <n v="7265"/>
    <n v="2361"/>
    <n v="105"/>
    <n v="335"/>
    <n v="24"/>
    <x v="3"/>
    <x v="1"/>
    <x v="1"/>
    <n v="0.3957425410660409"/>
    <n v="13231"/>
    <n v="4"/>
    <n v="4.0227958431109621E-3"/>
    <s v="July"/>
  </r>
  <r>
    <x v="3"/>
    <s v="RAX"/>
    <x v="4"/>
    <x v="114"/>
    <n v="7047"/>
    <n v="8360"/>
    <n v="3556"/>
    <n v="330"/>
    <n v="343"/>
    <n v="362"/>
    <x v="3"/>
    <x v="1"/>
    <x v="1"/>
    <n v="0.50461189158507169"/>
    <n v="15407"/>
    <n v="4"/>
    <n v="5.1369377039875125E-2"/>
    <s v="July"/>
  </r>
  <r>
    <x v="3"/>
    <s v="RBN"/>
    <x v="3"/>
    <x v="34"/>
    <n v="18132"/>
    <n v="7478"/>
    <n v="6769"/>
    <n v="41"/>
    <n v="671"/>
    <n v="187"/>
    <x v="3"/>
    <x v="1"/>
    <x v="1"/>
    <n v="0.37331789102139862"/>
    <n v="25610"/>
    <n v="4"/>
    <n v="1.0313258327818223E-2"/>
    <s v="July"/>
  </r>
  <r>
    <x v="3"/>
    <s v="RBV"/>
    <x v="3"/>
    <x v="22"/>
    <n v="0"/>
    <n v="0"/>
    <n v="0"/>
    <n v="0"/>
    <n v="0"/>
    <n v="0"/>
    <x v="3"/>
    <x v="1"/>
    <x v="1"/>
    <n v="0"/>
    <n v="0"/>
    <n v="4"/>
    <n v="0"/>
    <s v="July"/>
  </r>
  <r>
    <x v="3"/>
    <s v="RCB"/>
    <x v="6"/>
    <x v="35"/>
    <n v="11120"/>
    <n v="7934"/>
    <n v="5517"/>
    <n v="362"/>
    <n v="665"/>
    <n v="450"/>
    <x v="3"/>
    <x v="1"/>
    <x v="1"/>
    <n v="0.49613309352517987"/>
    <n v="19054"/>
    <n v="4"/>
    <n v="4.0467625899280574E-2"/>
    <s v="July"/>
  </r>
  <r>
    <x v="3"/>
    <s v="RDE"/>
    <x v="2"/>
    <x v="2"/>
    <n v="12692"/>
    <n v="13925"/>
    <n v="6173"/>
    <n v="484"/>
    <n v="951"/>
    <n v="354"/>
    <x v="3"/>
    <x v="1"/>
    <x v="1"/>
    <n v="0.48636936653009771"/>
    <n v="26617"/>
    <n v="4"/>
    <n v="2.7891585250551527E-2"/>
    <s v="July"/>
  </r>
  <r>
    <x v="3"/>
    <s v="RET"/>
    <x v="3"/>
    <x v="6"/>
    <n v="0"/>
    <n v="0"/>
    <n v="0"/>
    <n v="0"/>
    <n v="0"/>
    <n v="0"/>
    <x v="3"/>
    <x v="1"/>
    <x v="1"/>
    <n v="0"/>
    <n v="0"/>
    <n v="4"/>
    <n v="0"/>
    <s v="July"/>
  </r>
  <r>
    <x v="3"/>
    <s v="RF4"/>
    <x v="4"/>
    <x v="7"/>
    <n v="13723"/>
    <n v="14448"/>
    <n v="5570"/>
    <n v="213"/>
    <n v="604"/>
    <n v="612"/>
    <x v="3"/>
    <x v="1"/>
    <x v="1"/>
    <n v="0.40588792538074764"/>
    <n v="28171"/>
    <n v="4"/>
    <n v="4.4596662537346059E-2"/>
    <s v="July"/>
  </r>
  <r>
    <x v="3"/>
    <s v="RFR"/>
    <x v="6"/>
    <x v="39"/>
    <n v="9264"/>
    <n v="0"/>
    <n v="2660"/>
    <n v="0"/>
    <n v="357"/>
    <n v="17"/>
    <x v="3"/>
    <x v="1"/>
    <x v="1"/>
    <n v="0.28713298791018999"/>
    <n v="9264"/>
    <n v="4"/>
    <n v="1.8350604490500863E-3"/>
    <s v="July"/>
  </r>
  <r>
    <x v="3"/>
    <s v="RFS"/>
    <x v="5"/>
    <x v="68"/>
    <n v="6557"/>
    <n v="5854"/>
    <n v="3024"/>
    <n v="268"/>
    <n v="573"/>
    <n v="100"/>
    <x v="3"/>
    <x v="1"/>
    <x v="1"/>
    <n v="0.46118651822479795"/>
    <n v="12411"/>
    <n v="4"/>
    <n v="1.5250876925423212E-2"/>
    <s v="July"/>
  </r>
  <r>
    <x v="3"/>
    <s v="RGP"/>
    <x v="2"/>
    <x v="146"/>
    <n v="8023"/>
    <n v="1434"/>
    <n v="2911"/>
    <n v="0"/>
    <n v="493"/>
    <n v="209"/>
    <x v="3"/>
    <x v="1"/>
    <x v="1"/>
    <n v="0.36283185840707965"/>
    <n v="9457"/>
    <n v="4"/>
    <n v="2.6050105945406955E-2"/>
    <s v="July"/>
  </r>
  <r>
    <x v="3"/>
    <s v="RJ2"/>
    <x v="4"/>
    <x v="8"/>
    <n v="15998"/>
    <n v="9791"/>
    <n v="7494"/>
    <n v="289"/>
    <n v="1163"/>
    <n v="628"/>
    <x v="3"/>
    <x v="1"/>
    <x v="1"/>
    <n v="0.46843355419427429"/>
    <n v="25789"/>
    <n v="4"/>
    <n v="3.9254906863357919E-2"/>
    <s v="July"/>
  </r>
  <r>
    <x v="3"/>
    <s v="RJ6"/>
    <x v="4"/>
    <x v="189"/>
    <n v="13093"/>
    <n v="4826"/>
    <n v="4548"/>
    <n v="0"/>
    <n v="241"/>
    <n v="715"/>
    <x v="3"/>
    <x v="1"/>
    <x v="1"/>
    <n v="0.34736118536622623"/>
    <n v="17919"/>
    <n v="4"/>
    <n v="5.4609333231497748E-2"/>
    <s v="July"/>
  </r>
  <r>
    <x v="3"/>
    <s v="RJ7"/>
    <x v="4"/>
    <x v="96"/>
    <n v="8736"/>
    <n v="4107"/>
    <n v="2697"/>
    <n v="172"/>
    <n v="393"/>
    <n v="443"/>
    <x v="3"/>
    <x v="1"/>
    <x v="1"/>
    <n v="0.30872252747252749"/>
    <n v="12843"/>
    <n v="4"/>
    <n v="5.070970695970696E-2"/>
    <s v="July"/>
  </r>
  <r>
    <x v="3"/>
    <s v="NNJ07"/>
    <x v="5"/>
    <x v="56"/>
    <n v="0"/>
    <n v="4934"/>
    <n v="0"/>
    <n v="12"/>
    <n v="0"/>
    <n v="0"/>
    <x v="3"/>
    <x v="1"/>
    <x v="1"/>
    <n v="0"/>
    <n v="4934"/>
    <n v="4"/>
    <n v="0"/>
    <s v="July"/>
  </r>
  <r>
    <x v="3"/>
    <s v="RJR"/>
    <x v="3"/>
    <x v="105"/>
    <n v="5487"/>
    <n v="2476"/>
    <n v="2799"/>
    <n v="230"/>
    <n v="546"/>
    <n v="503"/>
    <x v="3"/>
    <x v="1"/>
    <x v="1"/>
    <n v="0.5101148168398032"/>
    <n v="7963"/>
    <n v="4"/>
    <n v="9.1671222890468376E-2"/>
    <s v="July"/>
  </r>
  <r>
    <x v="3"/>
    <s v="A5D4Q"/>
    <x v="5"/>
    <x v="201"/>
    <n v="0"/>
    <n v="4053"/>
    <n v="0"/>
    <n v="866"/>
    <n v="0"/>
    <n v="0"/>
    <x v="3"/>
    <x v="1"/>
    <x v="1"/>
    <n v="0"/>
    <n v="4053"/>
    <n v="4"/>
    <n v="0"/>
    <s v="July"/>
  </r>
  <r>
    <x v="3"/>
    <s v="RYJ"/>
    <x v="4"/>
    <x v="91"/>
    <n v="12478"/>
    <n v="7544"/>
    <n v="5204"/>
    <n v="270"/>
    <n v="642"/>
    <n v="0"/>
    <x v="3"/>
    <x v="1"/>
    <x v="1"/>
    <n v="0.41705401506651707"/>
    <n v="20022"/>
    <n v="4"/>
    <n v="0"/>
    <s v="July"/>
  </r>
  <r>
    <x v="3"/>
    <s v="RDU"/>
    <x v="0"/>
    <x v="37"/>
    <n v="23429"/>
    <n v="12981"/>
    <n v="9427"/>
    <n v="423"/>
    <n v="1553"/>
    <n v="263"/>
    <x v="3"/>
    <x v="1"/>
    <x v="1"/>
    <n v="0.40236459089163001"/>
    <n v="36410"/>
    <n v="4"/>
    <n v="1.1225404413333903E-2"/>
    <s v="July"/>
  </r>
  <r>
    <x v="3"/>
    <s v="REM"/>
    <x v="3"/>
    <x v="5"/>
    <n v="16589"/>
    <n v="8107"/>
    <n v="8406"/>
    <n v="169"/>
    <n v="2027"/>
    <n v="902"/>
    <x v="3"/>
    <x v="1"/>
    <x v="1"/>
    <n v="0.50672132135752612"/>
    <n v="24696"/>
    <n v="4"/>
    <n v="5.4373379950569657E-2"/>
    <s v="July"/>
  </r>
  <r>
    <x v="3"/>
    <s v="RGN"/>
    <x v="2"/>
    <x v="185"/>
    <n v="14985"/>
    <n v="4985"/>
    <n v="4869"/>
    <n v="100"/>
    <n v="567"/>
    <n v="672"/>
    <x v="3"/>
    <x v="1"/>
    <x v="1"/>
    <n v="0.32492492492492492"/>
    <n v="19970"/>
    <n v="4"/>
    <n v="4.4844844844844842E-2"/>
    <s v="July"/>
  </r>
  <r>
    <x v="3"/>
    <s v="RGT"/>
    <x v="2"/>
    <x v="95"/>
    <n v="11115"/>
    <n v="5992"/>
    <n v="4435"/>
    <n v="81"/>
    <n v="571"/>
    <n v="389"/>
    <x v="3"/>
    <x v="1"/>
    <x v="1"/>
    <n v="0.39901034637876742"/>
    <n v="17107"/>
    <n v="4"/>
    <n v="3.4997750787224474E-2"/>
    <s v="July"/>
  </r>
  <r>
    <x v="3"/>
    <s v="RH5"/>
    <x v="1"/>
    <x v="40"/>
    <n v="13096"/>
    <n v="10094"/>
    <n v="5040"/>
    <n v="174"/>
    <n v="258"/>
    <n v="75"/>
    <x v="3"/>
    <x v="1"/>
    <x v="1"/>
    <n v="0.38485033598045204"/>
    <n v="23190"/>
    <n v="4"/>
    <n v="5.7269395235186316E-3"/>
    <s v="July"/>
  </r>
  <r>
    <x v="3"/>
    <s v="RHQ"/>
    <x v="6"/>
    <x v="42"/>
    <n v="10046"/>
    <n v="5372"/>
    <n v="4619"/>
    <n v="269"/>
    <n v="736"/>
    <n v="11"/>
    <x v="3"/>
    <x v="1"/>
    <x v="1"/>
    <n v="0.4597849890503683"/>
    <n v="15418"/>
    <n v="4"/>
    <n v="1.094963169420665E-3"/>
    <s v="July"/>
  </r>
  <r>
    <x v="3"/>
    <s v="RHW"/>
    <x v="0"/>
    <x v="66"/>
    <n v="10909"/>
    <n v="2862"/>
    <n v="3523"/>
    <n v="0"/>
    <n v="309"/>
    <n v="1"/>
    <x v="3"/>
    <x v="1"/>
    <x v="1"/>
    <n v="0.32294435786964892"/>
    <n v="13771"/>
    <n v="4"/>
    <n v="9.166743056192135E-5"/>
    <s v="July"/>
  </r>
  <r>
    <x v="3"/>
    <s v="RJL"/>
    <x v="6"/>
    <x v="164"/>
    <n v="9489"/>
    <n v="7534"/>
    <n v="4396"/>
    <n v="72"/>
    <n v="760"/>
    <n v="635"/>
    <x v="3"/>
    <x v="1"/>
    <x v="1"/>
    <n v="0.46327326377911265"/>
    <n v="17023"/>
    <n v="4"/>
    <n v="6.6919591105490561E-2"/>
    <s v="July"/>
  </r>
  <r>
    <x v="3"/>
    <s v="RJZ"/>
    <x v="4"/>
    <x v="196"/>
    <n v="15793"/>
    <n v="9566"/>
    <n v="6564"/>
    <n v="659"/>
    <n v="1593"/>
    <n v="556"/>
    <x v="3"/>
    <x v="1"/>
    <x v="1"/>
    <n v="0.41562717659722664"/>
    <n v="25359"/>
    <n v="4"/>
    <n v="3.5205470778192867E-2"/>
    <s v="July"/>
  </r>
  <r>
    <x v="3"/>
    <s v="RKB"/>
    <x v="5"/>
    <x v="11"/>
    <n v="12559"/>
    <n v="5793"/>
    <n v="4969"/>
    <n v="80"/>
    <n v="75"/>
    <n v="17"/>
    <x v="3"/>
    <x v="1"/>
    <x v="1"/>
    <n v="0.39565252010510393"/>
    <n v="18352"/>
    <n v="4"/>
    <n v="1.3536109562863284E-3"/>
    <s v="July"/>
  </r>
  <r>
    <x v="3"/>
    <s v="RL4"/>
    <x v="5"/>
    <x v="165"/>
    <n v="13276"/>
    <n v="7255"/>
    <n v="3728"/>
    <n v="107"/>
    <n v="1050"/>
    <n v="290"/>
    <x v="3"/>
    <x v="1"/>
    <x v="1"/>
    <n v="0.28080747213015966"/>
    <n v="20531"/>
    <n v="4"/>
    <n v="2.1843928894245256E-2"/>
    <s v="July"/>
  </r>
  <r>
    <x v="3"/>
    <s v="RMP"/>
    <x v="3"/>
    <x v="166"/>
    <n v="9015"/>
    <n v="2599"/>
    <n v="4384"/>
    <n v="11"/>
    <n v="741"/>
    <n v="337"/>
    <x v="3"/>
    <x v="1"/>
    <x v="1"/>
    <n v="0.48630061009428732"/>
    <n v="11614"/>
    <n v="4"/>
    <n v="3.7382140876317249E-2"/>
    <s v="July"/>
  </r>
  <r>
    <x v="3"/>
    <s v="RN3"/>
    <x v="1"/>
    <x v="167"/>
    <n v="5851"/>
    <n v="5775"/>
    <n v="2880"/>
    <n v="714"/>
    <n v="780"/>
    <n v="148"/>
    <x v="3"/>
    <x v="1"/>
    <x v="1"/>
    <n v="0.49222355152965303"/>
    <n v="11626"/>
    <n v="4"/>
    <n v="2.5294821398051615E-2"/>
    <s v="July"/>
  </r>
  <r>
    <x v="3"/>
    <s v="RRK"/>
    <x v="5"/>
    <x v="67"/>
    <n v="36112"/>
    <n v="1868"/>
    <n v="13748"/>
    <n v="76"/>
    <n v="2995"/>
    <n v="1376"/>
    <x v="3"/>
    <x v="1"/>
    <x v="1"/>
    <n v="0.38070447496677007"/>
    <n v="37980"/>
    <n v="4"/>
    <n v="3.8103677447939743E-2"/>
    <s v="July"/>
  </r>
  <r>
    <x v="3"/>
    <s v="RTR"/>
    <x v="6"/>
    <x v="147"/>
    <n v="7414"/>
    <n v="9772"/>
    <n v="3533"/>
    <n v="549"/>
    <n v="297"/>
    <n v="10"/>
    <x v="3"/>
    <x v="1"/>
    <x v="1"/>
    <n v="0.47653088751011602"/>
    <n v="17186"/>
    <n v="4"/>
    <n v="1.3487995683841381E-3"/>
    <s v="July"/>
  </r>
  <r>
    <x v="3"/>
    <s v="RVJ"/>
    <x v="1"/>
    <x v="73"/>
    <n v="9515"/>
    <n v="0"/>
    <n v="3455"/>
    <n v="0"/>
    <n v="520"/>
    <n v="220"/>
    <x v="3"/>
    <x v="1"/>
    <x v="1"/>
    <n v="0.36311087756174459"/>
    <n v="9515"/>
    <n v="4"/>
    <n v="2.3121387283236993E-2"/>
    <s v="July"/>
  </r>
  <r>
    <x v="3"/>
    <s v="RWE"/>
    <x v="5"/>
    <x v="79"/>
    <n v="21007"/>
    <n v="0"/>
    <n v="8008"/>
    <n v="0"/>
    <n v="1242"/>
    <n v="629"/>
    <x v="3"/>
    <x v="1"/>
    <x v="1"/>
    <n v="0.38120626457847384"/>
    <n v="21007"/>
    <n v="4"/>
    <n v="2.9942400152330177E-2"/>
    <s v="July"/>
  </r>
  <r>
    <x v="3"/>
    <s v="RWJ"/>
    <x v="3"/>
    <x v="82"/>
    <n v="8416"/>
    <n v="1165"/>
    <n v="3423"/>
    <n v="60"/>
    <n v="829"/>
    <n v="172"/>
    <x v="3"/>
    <x v="1"/>
    <x v="1"/>
    <n v="0.40672528517110268"/>
    <n v="9581"/>
    <n v="4"/>
    <n v="2.043726235741445E-2"/>
    <s v="July"/>
  </r>
  <r>
    <x v="3"/>
    <s v="RXC"/>
    <x v="0"/>
    <x v="84"/>
    <n v="8988"/>
    <n v="2883"/>
    <n v="3736"/>
    <n v="51"/>
    <n v="177"/>
    <n v="5"/>
    <x v="3"/>
    <x v="1"/>
    <x v="1"/>
    <n v="0.41566533155318203"/>
    <n v="11871"/>
    <n v="4"/>
    <n v="5.5629728526924787E-4"/>
    <s v="July"/>
  </r>
  <r>
    <x v="3"/>
    <s v="RXW"/>
    <x v="5"/>
    <x v="88"/>
    <n v="11091"/>
    <n v="2485"/>
    <n v="6049"/>
    <n v="353"/>
    <n v="479"/>
    <n v="1407"/>
    <x v="3"/>
    <x v="1"/>
    <x v="1"/>
    <n v="0.54539716887566492"/>
    <n v="13576"/>
    <n v="4"/>
    <n v="0.12685961590478767"/>
    <s v="July"/>
  </r>
  <r>
    <x v="3"/>
    <s v="RY4"/>
    <x v="2"/>
    <x v="172"/>
    <n v="0"/>
    <n v="1310"/>
    <n v="0"/>
    <n v="79"/>
    <n v="0"/>
    <n v="0"/>
    <x v="3"/>
    <x v="1"/>
    <x v="1"/>
    <n v="0"/>
    <n v="1310"/>
    <n v="4"/>
    <n v="0"/>
    <s v="July"/>
  </r>
  <r>
    <x v="3"/>
    <s v="RYR"/>
    <x v="0"/>
    <x v="92"/>
    <n v="27863"/>
    <n v="1885"/>
    <n v="9870"/>
    <n v="161"/>
    <n v="664"/>
    <n v="271"/>
    <x v="3"/>
    <x v="1"/>
    <x v="1"/>
    <n v="0.35423321250403761"/>
    <n v="29748"/>
    <n v="4"/>
    <n v="9.7261601406883683E-3"/>
    <s v="July"/>
  </r>
  <r>
    <x v="3"/>
    <s v="RD8"/>
    <x v="2"/>
    <x v="36"/>
    <n v="8557"/>
    <n v="5216"/>
    <n v="3003"/>
    <n v="41"/>
    <n v="439"/>
    <n v="0"/>
    <x v="3"/>
    <x v="1"/>
    <x v="1"/>
    <n v="0.35094075026294264"/>
    <n v="13773"/>
    <n v="4"/>
    <n v="0"/>
    <s v="July"/>
  </r>
  <r>
    <x v="3"/>
    <s v="RK5"/>
    <x v="5"/>
    <x v="10"/>
    <n v="11574"/>
    <n v="5944"/>
    <n v="4398"/>
    <n v="345"/>
    <n v="650"/>
    <n v="95"/>
    <x v="3"/>
    <x v="1"/>
    <x v="1"/>
    <n v="0.37998963193364438"/>
    <n v="17518"/>
    <n v="4"/>
    <n v="8.2080525315362026E-3"/>
    <s v="July"/>
  </r>
  <r>
    <x v="3"/>
    <s v="RL1"/>
    <x v="5"/>
    <x v="12"/>
    <n v="0"/>
    <n v="0"/>
    <n v="0"/>
    <n v="0"/>
    <n v="0"/>
    <n v="0"/>
    <x v="3"/>
    <x v="1"/>
    <x v="1"/>
    <n v="0"/>
    <n v="0"/>
    <n v="4"/>
    <n v="0"/>
    <s v="July"/>
  </r>
  <r>
    <x v="3"/>
    <s v="RM1"/>
    <x v="2"/>
    <x v="75"/>
    <n v="13321"/>
    <n v="7752"/>
    <n v="3530"/>
    <n v="0"/>
    <n v="794"/>
    <n v="149"/>
    <x v="3"/>
    <x v="1"/>
    <x v="1"/>
    <n v="0.26499512048644996"/>
    <n v="21073"/>
    <n v="4"/>
    <n v="1.1185346445462053E-2"/>
    <s v="July"/>
  </r>
  <r>
    <x v="3"/>
    <s v="RVR"/>
    <x v="4"/>
    <x v="74"/>
    <n v="10765"/>
    <n v="2417"/>
    <n v="3133"/>
    <n v="303"/>
    <n v="500"/>
    <n v="1023"/>
    <x v="3"/>
    <x v="1"/>
    <x v="1"/>
    <n v="0.29103576405016257"/>
    <n v="13182"/>
    <n v="4"/>
    <n v="9.5030190431955416E-2"/>
    <s v="July"/>
  </r>
  <r>
    <x v="3"/>
    <s v="RWX"/>
    <x v="0"/>
    <x v="55"/>
    <n v="0"/>
    <n v="1639"/>
    <n v="0"/>
    <n v="14"/>
    <n v="0"/>
    <n v="0"/>
    <x v="3"/>
    <x v="1"/>
    <x v="1"/>
    <n v="0"/>
    <n v="1639"/>
    <n v="4"/>
    <n v="0"/>
    <s v="July"/>
  </r>
  <r>
    <x v="3"/>
    <s v="RXN"/>
    <x v="3"/>
    <x v="65"/>
    <n v="12245"/>
    <n v="3596"/>
    <n v="4465"/>
    <n v="63"/>
    <n v="860"/>
    <n v="423"/>
    <x v="3"/>
    <x v="1"/>
    <x v="1"/>
    <n v="0.36463862801143326"/>
    <n v="15841"/>
    <n v="4"/>
    <n v="3.4544712127398937E-2"/>
    <s v="July"/>
  </r>
  <r>
    <x v="3"/>
    <s v="Y02532"/>
    <x v="3"/>
    <x v="141"/>
    <n v="0"/>
    <n v="1615"/>
    <n v="0"/>
    <n v="0"/>
    <n v="0"/>
    <n v="0"/>
    <x v="3"/>
    <x v="1"/>
    <x v="1"/>
    <n v="0"/>
    <n v="1615"/>
    <n v="4"/>
    <n v="0"/>
    <s v="July"/>
  </r>
  <r>
    <x v="3"/>
    <s v="RP5"/>
    <x v="6"/>
    <x v="53"/>
    <n v="14653"/>
    <n v="4154"/>
    <n v="4873"/>
    <n v="44"/>
    <n v="1171"/>
    <n v="55"/>
    <x v="3"/>
    <x v="1"/>
    <x v="1"/>
    <n v="0.33255988534771036"/>
    <n v="18807"/>
    <n v="4"/>
    <n v="3.7534975772879273E-3"/>
    <s v="July"/>
  </r>
  <r>
    <x v="3"/>
    <s v="NR3"/>
    <x v="5"/>
    <x v="45"/>
    <n v="0"/>
    <n v="4988"/>
    <n v="0"/>
    <n v="440"/>
    <n v="0"/>
    <n v="0"/>
    <x v="3"/>
    <x v="1"/>
    <x v="1"/>
    <n v="0"/>
    <n v="4988"/>
    <n v="4"/>
    <n v="0"/>
    <s v="July"/>
  </r>
  <r>
    <x v="3"/>
    <s v="RD1"/>
    <x v="1"/>
    <x v="1"/>
    <n v="8845"/>
    <n v="0"/>
    <n v="3291"/>
    <n v="0"/>
    <n v="655"/>
    <n v="51"/>
    <x v="3"/>
    <x v="1"/>
    <x v="1"/>
    <n v="0.37207461842849066"/>
    <n v="8845"/>
    <n v="4"/>
    <n v="5.765969474279254E-3"/>
    <s v="July"/>
  </r>
  <r>
    <x v="3"/>
    <s v="RGR"/>
    <x v="2"/>
    <x v="186"/>
    <n v="8380"/>
    <n v="684"/>
    <n v="2348"/>
    <n v="0"/>
    <n v="424"/>
    <n v="145"/>
    <x v="3"/>
    <x v="1"/>
    <x v="1"/>
    <n v="0.2801909307875895"/>
    <n v="9064"/>
    <n v="4"/>
    <n v="1.7303102625298328E-2"/>
    <s v="July"/>
  </r>
  <r>
    <x v="3"/>
    <s v="RNS"/>
    <x v="5"/>
    <x v="15"/>
    <n v="10692"/>
    <n v="1855"/>
    <n v="5098"/>
    <n v="283"/>
    <n v="647"/>
    <n v="638"/>
    <x v="3"/>
    <x v="1"/>
    <x v="1"/>
    <n v="0.47680508791619902"/>
    <n v="12547"/>
    <n v="4"/>
    <n v="5.9670781893004114E-2"/>
    <s v="July"/>
  </r>
  <r>
    <x v="3"/>
    <s v="RYX"/>
    <x v="4"/>
    <x v="51"/>
    <n v="0"/>
    <n v="12770"/>
    <n v="0"/>
    <n v="241"/>
    <n v="0"/>
    <n v="0"/>
    <x v="3"/>
    <x v="1"/>
    <x v="1"/>
    <n v="0"/>
    <n v="12770"/>
    <n v="4"/>
    <n v="0"/>
    <s v="July"/>
  </r>
  <r>
    <x v="3"/>
    <s v="R1D"/>
    <x v="5"/>
    <x v="46"/>
    <n v="0"/>
    <n v="3762"/>
    <n v="0"/>
    <n v="27"/>
    <n v="0"/>
    <n v="0"/>
    <x v="3"/>
    <x v="1"/>
    <x v="1"/>
    <n v="0"/>
    <n v="3762"/>
    <n v="4"/>
    <n v="0"/>
    <s v="July"/>
  </r>
  <r>
    <x v="3"/>
    <s v="R1K"/>
    <x v="4"/>
    <x v="30"/>
    <n v="13960"/>
    <n v="16253"/>
    <n v="6255"/>
    <n v="347"/>
    <n v="415"/>
    <n v="184"/>
    <x v="3"/>
    <x v="1"/>
    <x v="1"/>
    <n v="0.44806590257879658"/>
    <n v="30213"/>
    <n v="4"/>
    <n v="1.3180515759312322E-2"/>
    <s v="July"/>
  </r>
  <r>
    <x v="3"/>
    <s v="RDR"/>
    <x v="0"/>
    <x v="3"/>
    <n v="0"/>
    <n v="12805"/>
    <n v="0"/>
    <n v="128"/>
    <n v="0"/>
    <n v="0"/>
    <x v="3"/>
    <x v="1"/>
    <x v="1"/>
    <n v="0"/>
    <n v="12805"/>
    <n v="4"/>
    <n v="0"/>
    <s v="July"/>
  </r>
  <r>
    <x v="3"/>
    <s v="RXF"/>
    <x v="6"/>
    <x v="177"/>
    <n v="17158"/>
    <n v="6677"/>
    <n v="5861"/>
    <n v="179"/>
    <n v="1470"/>
    <n v="11"/>
    <x v="3"/>
    <x v="1"/>
    <x v="1"/>
    <n v="0.34158992889614176"/>
    <n v="23835"/>
    <n v="4"/>
    <n v="6.4110036134747638E-4"/>
    <s v="July"/>
  </r>
  <r>
    <x v="3"/>
    <s v="DJV01"/>
    <x v="0"/>
    <x v="202"/>
    <n v="0"/>
    <n v="2265"/>
    <n v="0"/>
    <n v="0"/>
    <n v="0"/>
    <n v="0"/>
    <x v="3"/>
    <x v="1"/>
    <x v="1"/>
    <n v="0"/>
    <n v="2265"/>
    <n v="4"/>
    <n v="0"/>
    <s v="July"/>
  </r>
  <r>
    <x v="3"/>
    <s v="RBL"/>
    <x v="3"/>
    <x v="94"/>
    <n v="7987"/>
    <n v="3256"/>
    <n v="4283"/>
    <n v="112"/>
    <n v="644"/>
    <n v="710"/>
    <x v="3"/>
    <x v="1"/>
    <x v="1"/>
    <n v="0.53624640040065108"/>
    <n v="11243"/>
    <n v="4"/>
    <n v="8.8894453486916242E-2"/>
    <s v="July"/>
  </r>
  <r>
    <x v="3"/>
    <s v="RRV"/>
    <x v="4"/>
    <x v="171"/>
    <n v="12771"/>
    <n v="0"/>
    <n v="3636"/>
    <n v="0"/>
    <n v="216"/>
    <n v="49"/>
    <x v="3"/>
    <x v="1"/>
    <x v="1"/>
    <n v="0.284707540521494"/>
    <n v="12771"/>
    <n v="4"/>
    <n v="3.8368177903061623E-3"/>
    <s v="July"/>
  </r>
  <r>
    <x v="3"/>
    <s v="RHU"/>
    <x v="0"/>
    <x v="63"/>
    <n v="10606"/>
    <n v="3315"/>
    <n v="3774"/>
    <n v="16"/>
    <n v="796"/>
    <n v="979"/>
    <x v="3"/>
    <x v="1"/>
    <x v="1"/>
    <n v="0.35583631906468038"/>
    <n v="13921"/>
    <n v="4"/>
    <n v="9.2306241749952861E-2"/>
    <s v="July"/>
  </r>
  <r>
    <x v="3"/>
    <s v="RTH"/>
    <x v="0"/>
    <x v="100"/>
    <n v="12744"/>
    <n v="3762"/>
    <n v="3275"/>
    <n v="67"/>
    <n v="510"/>
    <n v="0"/>
    <x v="3"/>
    <x v="1"/>
    <x v="1"/>
    <n v="0.25698367859384807"/>
    <n v="16506"/>
    <n v="4"/>
    <n v="0"/>
    <s v="July"/>
  </r>
  <r>
    <x v="3"/>
    <s v="AD913"/>
    <x v="4"/>
    <x v="70"/>
    <n v="0"/>
    <n v="3584"/>
    <n v="0"/>
    <n v="86"/>
    <n v="0"/>
    <n v="0"/>
    <x v="3"/>
    <x v="1"/>
    <x v="1"/>
    <n v="0"/>
    <n v="3584"/>
    <n v="4"/>
    <n v="0"/>
    <s v="July"/>
  </r>
  <r>
    <x v="3"/>
    <s v="RHM"/>
    <x v="0"/>
    <x v="41"/>
    <n v="12292"/>
    <n v="0"/>
    <n v="5204"/>
    <n v="0"/>
    <n v="336"/>
    <n v="20"/>
    <x v="3"/>
    <x v="1"/>
    <x v="1"/>
    <n v="0.42336479010738692"/>
    <n v="12292"/>
    <n v="4"/>
    <n v="1.6270745200130166E-3"/>
    <s v="July"/>
  </r>
  <r>
    <x v="3"/>
    <s v="RKE"/>
    <x v="4"/>
    <x v="194"/>
    <n v="9104"/>
    <n v="0"/>
    <n v="2295"/>
    <n v="0"/>
    <n v="290"/>
    <n v="200"/>
    <x v="3"/>
    <x v="1"/>
    <x v="1"/>
    <n v="0.25208699472759227"/>
    <n v="9104"/>
    <n v="4"/>
    <n v="2.1968365553602813E-2"/>
    <s v="July"/>
  </r>
  <r>
    <x v="3"/>
    <s v="R1H"/>
    <x v="4"/>
    <x v="93"/>
    <n v="25710"/>
    <n v="18741"/>
    <n v="10667"/>
    <n v="1385"/>
    <n v="1147"/>
    <n v="832"/>
    <x v="3"/>
    <x v="1"/>
    <x v="1"/>
    <n v="0.41489692726565541"/>
    <n v="44451"/>
    <n v="4"/>
    <n v="3.2360949047063402E-2"/>
    <s v="July"/>
  </r>
  <r>
    <x v="3"/>
    <s v="ARN03"/>
    <x v="6"/>
    <x v="178"/>
    <n v="0"/>
    <n v="2191"/>
    <n v="0"/>
    <n v="9"/>
    <n v="0"/>
    <n v="0"/>
    <x v="3"/>
    <x v="1"/>
    <x v="1"/>
    <n v="0"/>
    <n v="2191"/>
    <n v="4"/>
    <n v="0"/>
    <s v="July"/>
  </r>
  <r>
    <x v="3"/>
    <s v="RLT"/>
    <x v="5"/>
    <x v="13"/>
    <n v="6803"/>
    <n v="1669"/>
    <n v="2007"/>
    <n v="20"/>
    <n v="412"/>
    <n v="255"/>
    <x v="3"/>
    <x v="1"/>
    <x v="1"/>
    <n v="0.2950169043069234"/>
    <n v="8472"/>
    <n v="4"/>
    <n v="3.7483463178009699E-2"/>
    <s v="July"/>
  </r>
  <r>
    <x v="3"/>
    <s v="RM3"/>
    <x v="3"/>
    <x v="64"/>
    <n v="27074"/>
    <n v="10299"/>
    <n v="10011"/>
    <n v="436"/>
    <n v="1081"/>
    <n v="933"/>
    <x v="3"/>
    <x v="1"/>
    <x v="1"/>
    <n v="0.36976434956046389"/>
    <n v="37373"/>
    <n v="4"/>
    <n v="3.4461106596734875E-2"/>
    <s v="July"/>
  </r>
  <r>
    <x v="3"/>
    <s v="RN5"/>
    <x v="0"/>
    <x v="97"/>
    <n v="11043"/>
    <n v="3618"/>
    <n v="4651"/>
    <n v="113"/>
    <n v="122"/>
    <n v="33"/>
    <x v="3"/>
    <x v="1"/>
    <x v="1"/>
    <n v="0.42117178302997371"/>
    <n v="14661"/>
    <n v="4"/>
    <n v="2.9883183917413748E-3"/>
    <s v="July"/>
  </r>
  <r>
    <x v="3"/>
    <s v="RNA"/>
    <x v="5"/>
    <x v="168"/>
    <n v="10391"/>
    <n v="3946"/>
    <n v="3165"/>
    <n v="70"/>
    <n v="1955"/>
    <n v="96"/>
    <x v="3"/>
    <x v="1"/>
    <x v="1"/>
    <n v="0.30459051101915119"/>
    <n v="14337"/>
    <n v="4"/>
    <n v="9.2387643152728322E-3"/>
    <s v="July"/>
  </r>
  <r>
    <x v="3"/>
    <s v="RNN"/>
    <x v="6"/>
    <x v="197"/>
    <n v="9153"/>
    <n v="2395"/>
    <n v="3915"/>
    <n v="49"/>
    <n v="623"/>
    <n v="275"/>
    <x v="3"/>
    <x v="1"/>
    <x v="1"/>
    <n v="0.42772861356932151"/>
    <n v="11548"/>
    <n v="4"/>
    <n v="3.0044794056593466E-2"/>
    <s v="July"/>
  </r>
  <r>
    <x v="3"/>
    <s v="RPA"/>
    <x v="0"/>
    <x v="191"/>
    <n v="9910"/>
    <n v="6767"/>
    <n v="3447"/>
    <n v="778"/>
    <n v="396"/>
    <n v="614"/>
    <x v="3"/>
    <x v="1"/>
    <x v="1"/>
    <n v="0.34783047426841573"/>
    <n v="16677"/>
    <n v="4"/>
    <n v="6.1957618567103932E-2"/>
    <s v="July"/>
  </r>
  <r>
    <x v="3"/>
    <s v="RQ3"/>
    <x v="5"/>
    <x v="18"/>
    <n v="4358"/>
    <n v="0"/>
    <n v="565"/>
    <n v="0"/>
    <n v="6"/>
    <n v="0"/>
    <x v="3"/>
    <x v="1"/>
    <x v="1"/>
    <n v="0.12964662689307022"/>
    <n v="4358"/>
    <n v="4"/>
    <n v="0"/>
    <s v="July"/>
  </r>
  <r>
    <x v="3"/>
    <s v="RQM"/>
    <x v="4"/>
    <x v="19"/>
    <n v="19829"/>
    <n v="6197"/>
    <n v="5501"/>
    <n v="72"/>
    <n v="740"/>
    <n v="65"/>
    <x v="3"/>
    <x v="1"/>
    <x v="1"/>
    <n v="0.27742195773866557"/>
    <n v="26026"/>
    <n v="4"/>
    <n v="3.2780271319784154E-3"/>
    <s v="July"/>
  </r>
  <r>
    <x v="3"/>
    <s v="RRF"/>
    <x v="3"/>
    <x v="21"/>
    <n v="7367"/>
    <n v="5504"/>
    <n v="3102"/>
    <n v="38"/>
    <n v="648"/>
    <n v="394"/>
    <x v="3"/>
    <x v="1"/>
    <x v="1"/>
    <n v="0.42106692004886659"/>
    <n v="12871"/>
    <n v="4"/>
    <n v="5.3481742907560741E-2"/>
    <s v="July"/>
  </r>
  <r>
    <x v="3"/>
    <s v="RTE"/>
    <x v="1"/>
    <x v="23"/>
    <n v="13382"/>
    <n v="472"/>
    <n v="5280"/>
    <n v="7"/>
    <n v="470"/>
    <n v="202"/>
    <x v="3"/>
    <x v="1"/>
    <x v="1"/>
    <n v="0.39455985652368852"/>
    <n v="13854"/>
    <n v="4"/>
    <n v="1.5094903601853235E-2"/>
    <s v="July"/>
  </r>
  <r>
    <x v="3"/>
    <s v="RTF"/>
    <x v="6"/>
    <x v="99"/>
    <n v="10411"/>
    <n v="14020"/>
    <n v="1977"/>
    <n v="4"/>
    <n v="9"/>
    <n v="0"/>
    <x v="3"/>
    <x v="1"/>
    <x v="1"/>
    <n v="0.18989530304485641"/>
    <n v="24431"/>
    <n v="4"/>
    <n v="0"/>
    <s v="July"/>
  </r>
  <r>
    <x v="3"/>
    <s v="RTX"/>
    <x v="3"/>
    <x v="98"/>
    <n v="9813"/>
    <n v="3079"/>
    <n v="3502"/>
    <n v="68"/>
    <n v="653"/>
    <n v="276"/>
    <x v="3"/>
    <x v="1"/>
    <x v="1"/>
    <n v="0.35687353510649139"/>
    <n v="12892"/>
    <n v="4"/>
    <n v="2.8125955365331703E-2"/>
    <s v="July"/>
  </r>
  <r>
    <x v="3"/>
    <s v="RWA"/>
    <x v="6"/>
    <x v="77"/>
    <n v="10050"/>
    <n v="4501"/>
    <n v="5620"/>
    <n v="365"/>
    <n v="1063"/>
    <n v="385"/>
    <x v="3"/>
    <x v="1"/>
    <x v="1"/>
    <n v="0.55920398009950245"/>
    <n v="14551"/>
    <n v="4"/>
    <n v="3.8308457711442784E-2"/>
    <s v="July"/>
  </r>
  <r>
    <x v="3"/>
    <s v="RWD"/>
    <x v="5"/>
    <x v="78"/>
    <n v="17265"/>
    <n v="4042"/>
    <n v="7421"/>
    <n v="384"/>
    <n v="1059"/>
    <n v="1027"/>
    <x v="3"/>
    <x v="1"/>
    <x v="1"/>
    <n v="0.42982913408630175"/>
    <n v="21307"/>
    <n v="4"/>
    <n v="5.9484506226469738E-2"/>
    <s v="July"/>
  </r>
  <r>
    <x v="3"/>
    <s v="RWG"/>
    <x v="2"/>
    <x v="80"/>
    <n v="8535"/>
    <n v="7599"/>
    <n v="2583"/>
    <n v="55"/>
    <n v="750"/>
    <n v="19"/>
    <x v="3"/>
    <x v="1"/>
    <x v="1"/>
    <n v="0.30263620386643236"/>
    <n v="16134"/>
    <n v="4"/>
    <n v="2.2261277094317517E-3"/>
    <s v="July"/>
  </r>
  <r>
    <x v="3"/>
    <s v="RWH"/>
    <x v="2"/>
    <x v="81"/>
    <n v="8871"/>
    <n v="8333"/>
    <n v="3878"/>
    <n v="49"/>
    <n v="124"/>
    <n v="21"/>
    <x v="3"/>
    <x v="1"/>
    <x v="1"/>
    <n v="0.43715477398264008"/>
    <n v="17204"/>
    <n v="4"/>
    <n v="2.3672641190395673E-3"/>
    <s v="July"/>
  </r>
  <r>
    <x v="3"/>
    <s v="RXP"/>
    <x v="6"/>
    <x v="87"/>
    <n v="13216"/>
    <n v="4271"/>
    <n v="4756"/>
    <n v="0"/>
    <n v="1780"/>
    <n v="13"/>
    <x v="3"/>
    <x v="1"/>
    <x v="1"/>
    <n v="0.35986682808716708"/>
    <n v="17487"/>
    <n v="4"/>
    <n v="9.8365617433414051E-4"/>
    <s v="July"/>
  </r>
  <r>
    <x v="3"/>
    <s v="RY2"/>
    <x v="3"/>
    <x v="173"/>
    <n v="0"/>
    <n v="3110"/>
    <n v="0"/>
    <n v="61"/>
    <n v="0"/>
    <n v="0"/>
    <x v="3"/>
    <x v="1"/>
    <x v="1"/>
    <n v="0"/>
    <n v="3110"/>
    <n v="4"/>
    <n v="0"/>
    <s v="July"/>
  </r>
  <r>
    <x v="3"/>
    <s v="RYG"/>
    <x v="5"/>
    <x v="90"/>
    <n v="0"/>
    <n v="0"/>
    <n v="0"/>
    <n v="0"/>
    <n v="0"/>
    <n v="0"/>
    <x v="3"/>
    <x v="1"/>
    <x v="1"/>
    <n v="0"/>
    <n v="0"/>
    <n v="4"/>
    <n v="0"/>
    <s v="July"/>
  </r>
  <r>
    <x v="3"/>
    <s v="RYY"/>
    <x v="0"/>
    <x v="122"/>
    <n v="0"/>
    <n v="6715"/>
    <n v="0"/>
    <n v="17"/>
    <n v="0"/>
    <n v="0"/>
    <x v="3"/>
    <x v="1"/>
    <x v="1"/>
    <n v="0"/>
    <n v="6715"/>
    <n v="4"/>
    <n v="0"/>
    <s v="July"/>
  </r>
  <r>
    <x v="3"/>
    <s v="Y02147"/>
    <x v="4"/>
    <x v="117"/>
    <n v="0"/>
    <n v="8084"/>
    <n v="0"/>
    <n v="105"/>
    <n v="0"/>
    <n v="0"/>
    <x v="3"/>
    <x v="1"/>
    <x v="1"/>
    <n v="0"/>
    <n v="8084"/>
    <n v="4"/>
    <n v="0"/>
    <s v="July"/>
  </r>
  <r>
    <x v="3"/>
    <s v="C83023"/>
    <x v="5"/>
    <x v="44"/>
    <n v="0"/>
    <n v="439"/>
    <n v="0"/>
    <n v="0"/>
    <n v="0"/>
    <n v="0"/>
    <x v="3"/>
    <x v="1"/>
    <x v="1"/>
    <n v="0"/>
    <n v="439"/>
    <n v="4"/>
    <n v="0"/>
    <s v="July"/>
  </r>
  <r>
    <x v="3"/>
    <s v="RWW"/>
    <x v="3"/>
    <x v="83"/>
    <n v="7341"/>
    <n v="3278"/>
    <n v="3915"/>
    <n v="96"/>
    <n v="942"/>
    <n v="600"/>
    <x v="3"/>
    <x v="1"/>
    <x v="1"/>
    <n v="0.53330608908868005"/>
    <n v="10619"/>
    <n v="4"/>
    <n v="8.1732733959950954E-2"/>
    <s v="July"/>
  </r>
  <r>
    <x v="3"/>
    <s v="RCF"/>
    <x v="6"/>
    <x v="162"/>
    <n v="6345"/>
    <n v="0"/>
    <n v="1943"/>
    <n v="0"/>
    <n v="270"/>
    <n v="70"/>
    <x v="3"/>
    <x v="1"/>
    <x v="1"/>
    <n v="0.30622537431048069"/>
    <n v="6345"/>
    <n v="4"/>
    <n v="1.103230890464933E-2"/>
    <s v="July"/>
  </r>
  <r>
    <x v="3"/>
    <s v="RAJ"/>
    <x v="2"/>
    <x v="32"/>
    <n v="31246"/>
    <n v="4437"/>
    <n v="8222"/>
    <n v="117"/>
    <n v="2144"/>
    <n v="265"/>
    <x v="3"/>
    <x v="1"/>
    <x v="1"/>
    <n v="0.2631376816232478"/>
    <n v="35683"/>
    <n v="4"/>
    <n v="8.4810855789541062E-3"/>
    <s v="July"/>
  </r>
  <r>
    <x v="3"/>
    <s v="RFF"/>
    <x v="6"/>
    <x v="104"/>
    <n v="9328"/>
    <n v="0"/>
    <n v="2593"/>
    <n v="0"/>
    <n v="401"/>
    <n v="0"/>
    <x v="3"/>
    <x v="1"/>
    <x v="1"/>
    <n v="0.27798027444253859"/>
    <n v="9328"/>
    <n v="4"/>
    <n v="0"/>
    <s v="July"/>
  </r>
  <r>
    <x v="3"/>
    <s v="RVV"/>
    <x v="0"/>
    <x v="50"/>
    <n v="12834"/>
    <n v="13455"/>
    <n v="5749"/>
    <n v="421"/>
    <n v="466"/>
    <n v="1195"/>
    <x v="3"/>
    <x v="1"/>
    <x v="1"/>
    <n v="0.44795075580489324"/>
    <n v="26289"/>
    <n v="4"/>
    <n v="9.3112046127473896E-2"/>
    <s v="July"/>
  </r>
  <r>
    <x v="3"/>
    <s v="RXK"/>
    <x v="5"/>
    <x v="176"/>
    <n v="11564"/>
    <n v="8321"/>
    <n v="4112"/>
    <n v="136"/>
    <n v="538"/>
    <n v="55"/>
    <x v="3"/>
    <x v="1"/>
    <x v="1"/>
    <n v="0.35558630231753718"/>
    <n v="19885"/>
    <n v="4"/>
    <n v="4.7561397440332061E-3"/>
    <s v="July"/>
  </r>
  <r>
    <x v="3"/>
    <s v="Y03007"/>
    <x v="5"/>
    <x v="118"/>
    <n v="0"/>
    <n v="0"/>
    <n v="0"/>
    <n v="0"/>
    <n v="0"/>
    <n v="0"/>
    <x v="3"/>
    <x v="1"/>
    <x v="1"/>
    <n v="0"/>
    <n v="0"/>
    <n v="4"/>
    <n v="0"/>
    <s v="July"/>
  </r>
  <r>
    <x v="3"/>
    <s v="L83087"/>
    <x v="1"/>
    <x v="180"/>
    <n v="0"/>
    <n v="119"/>
    <n v="0"/>
    <n v="0"/>
    <n v="0"/>
    <n v="0"/>
    <x v="3"/>
    <x v="1"/>
    <x v="1"/>
    <n v="0"/>
    <n v="119"/>
    <n v="4"/>
    <n v="0"/>
    <s v="July"/>
  </r>
  <r>
    <x v="3"/>
    <s v="RR7"/>
    <x v="6"/>
    <x v="115"/>
    <n v="6240"/>
    <n v="4128"/>
    <n v="1801"/>
    <n v="37"/>
    <n v="250"/>
    <n v="1"/>
    <x v="3"/>
    <x v="1"/>
    <x v="1"/>
    <n v="0.28862179487179485"/>
    <n v="10368"/>
    <n v="4"/>
    <n v="1.6025641025641026E-4"/>
    <s v="July"/>
  </r>
  <r>
    <x v="3"/>
    <s v="RCX"/>
    <x v="2"/>
    <x v="103"/>
    <n v="7060"/>
    <n v="1109"/>
    <n v="3382"/>
    <n v="0"/>
    <n v="444"/>
    <n v="125"/>
    <x v="3"/>
    <x v="1"/>
    <x v="1"/>
    <n v="0.47903682719546742"/>
    <n v="8169"/>
    <n v="4"/>
    <n v="1.7705382436260624E-2"/>
    <s v="July"/>
  </r>
  <r>
    <x v="3"/>
    <s v="RJ8"/>
    <x v="1"/>
    <x v="135"/>
    <n v="0"/>
    <n v="0"/>
    <n v="0"/>
    <n v="0"/>
    <n v="0"/>
    <n v="0"/>
    <x v="3"/>
    <x v="1"/>
    <x v="1"/>
    <n v="0"/>
    <n v="0"/>
    <n v="4"/>
    <n v="0"/>
    <s v="July"/>
  </r>
  <r>
    <x v="3"/>
    <s v="RLQ"/>
    <x v="5"/>
    <x v="123"/>
    <n v="6218"/>
    <n v="197"/>
    <n v="2227"/>
    <n v="0"/>
    <n v="405"/>
    <n v="182"/>
    <x v="3"/>
    <x v="1"/>
    <x v="1"/>
    <n v="0.35815374718559023"/>
    <n v="6415"/>
    <n v="4"/>
    <n v="2.9269861691862336E-2"/>
    <s v="July"/>
  </r>
  <r>
    <x v="3"/>
    <s v="RTP"/>
    <x v="0"/>
    <x v="136"/>
    <n v="10680"/>
    <n v="0"/>
    <n v="4184"/>
    <n v="0"/>
    <n v="621"/>
    <n v="626"/>
    <x v="3"/>
    <x v="1"/>
    <x v="1"/>
    <n v="0.39176029962546816"/>
    <n v="10680"/>
    <n v="4"/>
    <n v="5.8614232209737827E-2"/>
    <s v="July"/>
  </r>
  <r>
    <x v="3"/>
    <s v="RWF"/>
    <x v="0"/>
    <x v="193"/>
    <n v="17753"/>
    <n v="2371"/>
    <n v="3414"/>
    <n v="21"/>
    <n v="839"/>
    <n v="62"/>
    <x v="3"/>
    <x v="1"/>
    <x v="1"/>
    <n v="0.19230552582662086"/>
    <n v="20124"/>
    <n v="4"/>
    <n v="3.4923674871852645E-3"/>
    <s v="July"/>
  </r>
  <r>
    <x v="3"/>
    <s v="RWY"/>
    <x v="6"/>
    <x v="138"/>
    <n v="16778"/>
    <n v="0"/>
    <n v="2485"/>
    <n v="0"/>
    <n v="591"/>
    <n v="7"/>
    <x v="3"/>
    <x v="1"/>
    <x v="1"/>
    <n v="0.14811062105137679"/>
    <n v="16778"/>
    <n v="4"/>
    <n v="4.1721301704613186E-4"/>
    <s v="July"/>
  </r>
  <r>
    <x v="3"/>
    <s v="RY7"/>
    <x v="3"/>
    <x v="139"/>
    <n v="0"/>
    <n v="4311"/>
    <n v="0"/>
    <n v="348"/>
    <n v="0"/>
    <n v="0"/>
    <x v="3"/>
    <x v="1"/>
    <x v="1"/>
    <n v="0"/>
    <n v="4311"/>
    <n v="4"/>
    <n v="0"/>
    <s v="July"/>
  </r>
  <r>
    <x v="3"/>
    <s v="AQM01"/>
    <x v="0"/>
    <x v="198"/>
    <n v="0"/>
    <n v="2894"/>
    <n v="0"/>
    <n v="0"/>
    <n v="0"/>
    <n v="0"/>
    <x v="3"/>
    <x v="1"/>
    <x v="1"/>
    <n v="0"/>
    <n v="2894"/>
    <n v="4"/>
    <n v="0"/>
    <s v="July"/>
  </r>
  <r>
    <x v="3"/>
    <s v="DT301"/>
    <x v="2"/>
    <x v="110"/>
    <n v="0"/>
    <n v="2484"/>
    <n v="0"/>
    <n v="131"/>
    <n v="0"/>
    <n v="0"/>
    <x v="3"/>
    <x v="1"/>
    <x v="1"/>
    <n v="0"/>
    <n v="2484"/>
    <n v="4"/>
    <n v="0"/>
    <s v="July"/>
  </r>
  <r>
    <x v="3"/>
    <s v="G3P9C"/>
    <x v="1"/>
    <x v="199"/>
    <n v="0"/>
    <n v="1079"/>
    <n v="0"/>
    <n v="2"/>
    <n v="0"/>
    <n v="0"/>
    <x v="3"/>
    <x v="1"/>
    <x v="1"/>
    <n v="0"/>
    <n v="1079"/>
    <n v="4"/>
    <n v="0"/>
    <s v="July"/>
  </r>
  <r>
    <x v="3"/>
    <s v="NL7"/>
    <x v="5"/>
    <x v="142"/>
    <n v="0"/>
    <n v="2863"/>
    <n v="0"/>
    <n v="0"/>
    <n v="0"/>
    <n v="0"/>
    <x v="3"/>
    <x v="1"/>
    <x v="1"/>
    <n v="0"/>
    <n v="2863"/>
    <n v="4"/>
    <n v="0"/>
    <s v="July"/>
  </r>
  <r>
    <x v="3"/>
    <s v="NNF09"/>
    <x v="6"/>
    <x v="26"/>
    <n v="0"/>
    <n v="3787"/>
    <n v="0"/>
    <n v="388"/>
    <n v="0"/>
    <n v="0"/>
    <x v="3"/>
    <x v="1"/>
    <x v="1"/>
    <n v="0"/>
    <n v="3787"/>
    <n v="4"/>
    <n v="0"/>
    <s v="July"/>
  </r>
  <r>
    <x v="3"/>
    <s v="NNF16"/>
    <x v="6"/>
    <x v="27"/>
    <n v="0"/>
    <n v="1764"/>
    <n v="0"/>
    <n v="87"/>
    <n v="0"/>
    <n v="0"/>
    <x v="3"/>
    <x v="1"/>
    <x v="1"/>
    <n v="0"/>
    <n v="1764"/>
    <n v="4"/>
    <n v="0"/>
    <s v="July"/>
  </r>
  <r>
    <x v="3"/>
    <s v="NNF94"/>
    <x v="6"/>
    <x v="28"/>
    <n v="0"/>
    <n v="2950"/>
    <n v="0"/>
    <n v="266"/>
    <n v="0"/>
    <n v="0"/>
    <x v="3"/>
    <x v="1"/>
    <x v="1"/>
    <n v="0"/>
    <n v="2950"/>
    <n v="4"/>
    <n v="0"/>
    <s v="July"/>
  </r>
  <r>
    <x v="3"/>
    <s v="NNFA7"/>
    <x v="6"/>
    <x v="29"/>
    <n v="0"/>
    <n v="1690"/>
    <n v="0"/>
    <n v="14"/>
    <n v="0"/>
    <n v="0"/>
    <x v="3"/>
    <x v="1"/>
    <x v="1"/>
    <n v="0"/>
    <n v="1690"/>
    <n v="4"/>
    <n v="0"/>
    <s v="July"/>
  </r>
  <r>
    <x v="3"/>
    <s v="RCU"/>
    <x v="6"/>
    <x v="184"/>
    <n v="4528"/>
    <n v="239"/>
    <n v="271"/>
    <n v="0"/>
    <n v="10"/>
    <n v="0"/>
    <x v="3"/>
    <x v="1"/>
    <x v="1"/>
    <n v="5.9849823321554772E-2"/>
    <n v="4767"/>
    <n v="4"/>
    <n v="0"/>
    <s v="July"/>
  </r>
  <r>
    <x v="3"/>
    <s v="NNJ"/>
    <x v="5"/>
    <x v="62"/>
    <n v="0"/>
    <n v="1872"/>
    <n v="0"/>
    <n v="0"/>
    <n v="0"/>
    <n v="0"/>
    <x v="3"/>
    <x v="1"/>
    <x v="1"/>
    <n v="0"/>
    <n v="1872"/>
    <n v="4"/>
    <n v="0"/>
    <s v="July"/>
  </r>
  <r>
    <x v="3"/>
    <s v="RBT"/>
    <x v="3"/>
    <x v="69"/>
    <n v="7408"/>
    <n v="2991"/>
    <n v="4574"/>
    <n v="66"/>
    <n v="492"/>
    <n v="489"/>
    <x v="3"/>
    <x v="1"/>
    <x v="1"/>
    <n v="0.61744060475161988"/>
    <n v="10399"/>
    <n v="4"/>
    <n v="6.600971922246221E-2"/>
    <s v="July"/>
  </r>
  <r>
    <x v="3"/>
    <s v="NQT51"/>
    <x v="0"/>
    <x v="111"/>
    <n v="0"/>
    <n v="1156"/>
    <n v="0"/>
    <n v="0"/>
    <n v="0"/>
    <n v="0"/>
    <x v="3"/>
    <x v="1"/>
    <x v="1"/>
    <n v="0"/>
    <n v="1156"/>
    <n v="4"/>
    <n v="0"/>
    <s v="July"/>
  </r>
  <r>
    <x v="3"/>
    <s v="G0Q0L"/>
    <x v="4"/>
    <x v="120"/>
    <n v="0"/>
    <n v="2824"/>
    <n v="0"/>
    <n v="11"/>
    <n v="0"/>
    <n v="0"/>
    <x v="3"/>
    <x v="1"/>
    <x v="1"/>
    <n v="0"/>
    <n v="2824"/>
    <n v="4"/>
    <n v="0"/>
    <s v="July"/>
  </r>
  <r>
    <x v="3"/>
    <s v="C82038"/>
    <x v="5"/>
    <x v="131"/>
    <n v="0"/>
    <n v="436"/>
    <n v="0"/>
    <n v="0"/>
    <n v="0"/>
    <n v="0"/>
    <x v="3"/>
    <x v="1"/>
    <x v="1"/>
    <n v="0"/>
    <n v="436"/>
    <n v="4"/>
    <n v="0"/>
    <s v="July"/>
  </r>
  <r>
    <x v="3"/>
    <s v="AQN04"/>
    <x v="0"/>
    <x v="130"/>
    <n v="0"/>
    <n v="3611"/>
    <n v="0"/>
    <n v="72"/>
    <n v="0"/>
    <n v="0"/>
    <x v="3"/>
    <x v="1"/>
    <x v="1"/>
    <n v="0"/>
    <n v="3611"/>
    <n v="4"/>
    <n v="0"/>
    <s v="July"/>
  </r>
  <r>
    <x v="3"/>
    <s v="Y00751"/>
    <x v="0"/>
    <x v="116"/>
    <n v="0"/>
    <n v="0"/>
    <n v="0"/>
    <n v="0"/>
    <n v="0"/>
    <n v="0"/>
    <x v="3"/>
    <x v="1"/>
    <x v="1"/>
    <n v="0"/>
    <n v="0"/>
    <n v="4"/>
    <n v="0"/>
    <s v="July"/>
  </r>
  <r>
    <x v="3"/>
    <s v="RAN"/>
    <x v="4"/>
    <x v="24"/>
    <n v="0"/>
    <n v="0"/>
    <n v="0"/>
    <n v="0"/>
    <n v="0"/>
    <n v="0"/>
    <x v="3"/>
    <x v="1"/>
    <x v="1"/>
    <n v="0"/>
    <n v="0"/>
    <n v="4"/>
    <n v="0"/>
    <s v="July"/>
  </r>
  <r>
    <x v="3"/>
    <s v="NTV0W"/>
    <x v="0"/>
    <x v="128"/>
    <n v="0"/>
    <n v="2609"/>
    <n v="0"/>
    <n v="160"/>
    <n v="0"/>
    <n v="0"/>
    <x v="3"/>
    <x v="1"/>
    <x v="1"/>
    <n v="0"/>
    <n v="2609"/>
    <n v="4"/>
    <n v="0"/>
    <s v="July"/>
  </r>
  <r>
    <x v="3"/>
    <s v="RDY"/>
    <x v="1"/>
    <x v="145"/>
    <n v="0"/>
    <n v="0"/>
    <n v="0"/>
    <n v="0"/>
    <n v="0"/>
    <n v="0"/>
    <x v="3"/>
    <x v="1"/>
    <x v="1"/>
    <n v="0"/>
    <n v="0"/>
    <n v="4"/>
    <n v="0"/>
    <s v="July"/>
  </r>
  <r>
    <x v="3"/>
    <s v="RNU"/>
    <x v="0"/>
    <x v="16"/>
    <n v="0"/>
    <n v="4488"/>
    <n v="0"/>
    <n v="143"/>
    <n v="0"/>
    <n v="0"/>
    <x v="3"/>
    <x v="1"/>
    <x v="1"/>
    <n v="0"/>
    <n v="4488"/>
    <n v="4"/>
    <n v="0"/>
    <s v="July"/>
  </r>
  <r>
    <x v="3"/>
    <s v="RW1"/>
    <x v="0"/>
    <x v="137"/>
    <n v="0"/>
    <n v="3080"/>
    <n v="0"/>
    <n v="81"/>
    <n v="0"/>
    <n v="0"/>
    <x v="3"/>
    <x v="1"/>
    <x v="1"/>
    <n v="0"/>
    <n v="3080"/>
    <n v="4"/>
    <n v="0"/>
    <s v="July"/>
  </r>
  <r>
    <x v="3"/>
    <s v="Y02428"/>
    <x v="2"/>
    <x v="140"/>
    <n v="0"/>
    <n v="2236"/>
    <n v="0"/>
    <n v="0"/>
    <n v="0"/>
    <n v="0"/>
    <x v="3"/>
    <x v="1"/>
    <x v="1"/>
    <n v="0"/>
    <n v="2236"/>
    <n v="4"/>
    <n v="0"/>
    <s v="July"/>
  </r>
  <r>
    <x v="3"/>
    <s v="Y02676"/>
    <x v="0"/>
    <x v="52"/>
    <n v="0"/>
    <n v="2044"/>
    <n v="0"/>
    <n v="0"/>
    <n v="0"/>
    <n v="0"/>
    <x v="3"/>
    <x v="1"/>
    <x v="1"/>
    <n v="0"/>
    <n v="2044"/>
    <n v="4"/>
    <n v="0"/>
    <s v="July"/>
  </r>
  <r>
    <x v="3"/>
    <s v="AAH"/>
    <x v="1"/>
    <x v="149"/>
    <n v="0"/>
    <n v="688"/>
    <n v="0"/>
    <n v="0"/>
    <n v="0"/>
    <n v="0"/>
    <x v="3"/>
    <x v="1"/>
    <x v="1"/>
    <n v="0"/>
    <n v="688"/>
    <n v="4"/>
    <n v="0"/>
    <s v="July"/>
  </r>
  <r>
    <x v="3"/>
    <s v="ACH01"/>
    <x v="0"/>
    <x v="119"/>
    <n v="0"/>
    <n v="5094"/>
    <n v="0"/>
    <n v="0"/>
    <n v="0"/>
    <n v="0"/>
    <x v="3"/>
    <x v="1"/>
    <x v="1"/>
    <n v="0"/>
    <n v="5094"/>
    <n v="4"/>
    <n v="0"/>
    <s v="July"/>
  </r>
  <r>
    <x v="3"/>
    <s v="RC9"/>
    <x v="2"/>
    <x v="161"/>
    <n v="17502"/>
    <n v="8081"/>
    <n v="7110"/>
    <n v="0"/>
    <n v="80"/>
    <n v="0"/>
    <x v="3"/>
    <x v="1"/>
    <x v="1"/>
    <n v="0.40623928693863559"/>
    <n v="25583"/>
    <n v="4"/>
    <n v="0"/>
    <s v="July"/>
  </r>
  <r>
    <x v="3"/>
    <s v="RQX"/>
    <x v="4"/>
    <x v="106"/>
    <n v="11437"/>
    <n v="0"/>
    <n v="2156"/>
    <n v="0"/>
    <n v="155"/>
    <n v="12"/>
    <x v="3"/>
    <x v="1"/>
    <x v="1"/>
    <n v="0.18851097315729651"/>
    <n v="11437"/>
    <n v="4"/>
    <n v="1.0492261956806855E-3"/>
    <s v="July"/>
  </r>
  <r>
    <x v="3"/>
    <s v="RY8"/>
    <x v="5"/>
    <x v="152"/>
    <n v="0"/>
    <n v="8229"/>
    <n v="0"/>
    <n v="274"/>
    <n v="0"/>
    <n v="0"/>
    <x v="3"/>
    <x v="1"/>
    <x v="1"/>
    <n v="0"/>
    <n v="8229"/>
    <n v="4"/>
    <n v="0"/>
    <s v="July"/>
  </r>
  <r>
    <x v="3"/>
    <s v="Y02615"/>
    <x v="5"/>
    <x v="129"/>
    <n v="0"/>
    <n v="5808"/>
    <n v="0"/>
    <n v="0"/>
    <n v="0"/>
    <n v="0"/>
    <x v="3"/>
    <x v="1"/>
    <x v="1"/>
    <n v="0"/>
    <n v="5808"/>
    <n v="4"/>
    <n v="0"/>
    <s v="July"/>
  </r>
  <r>
    <x v="3"/>
    <s v="Y03218"/>
    <x v="4"/>
    <x v="108"/>
    <n v="0"/>
    <n v="872"/>
    <n v="0"/>
    <n v="0"/>
    <n v="0"/>
    <n v="0"/>
    <x v="3"/>
    <x v="1"/>
    <x v="1"/>
    <n v="0"/>
    <n v="872"/>
    <n v="4"/>
    <n v="0"/>
    <s v="July"/>
  </r>
  <r>
    <x v="3"/>
    <s v="8J094"/>
    <x v="5"/>
    <x v="109"/>
    <n v="0"/>
    <n v="0"/>
    <n v="0"/>
    <n v="0"/>
    <n v="0"/>
    <n v="0"/>
    <x v="3"/>
    <x v="1"/>
    <x v="1"/>
    <n v="0"/>
    <n v="0"/>
    <n v="4"/>
    <n v="0"/>
    <s v="July"/>
  </r>
  <r>
    <x v="3"/>
    <s v="C82009"/>
    <x v="5"/>
    <x v="179"/>
    <n v="0"/>
    <n v="332"/>
    <n v="0"/>
    <n v="0"/>
    <n v="0"/>
    <n v="0"/>
    <x v="3"/>
    <x v="1"/>
    <x v="1"/>
    <n v="0"/>
    <n v="332"/>
    <n v="4"/>
    <n v="0"/>
    <s v="July"/>
  </r>
  <r>
    <x v="3"/>
    <s v="NDJ"/>
    <x v="0"/>
    <x v="0"/>
    <n v="0"/>
    <n v="2634"/>
    <n v="0"/>
    <n v="0"/>
    <n v="0"/>
    <n v="0"/>
    <x v="3"/>
    <x v="1"/>
    <x v="1"/>
    <n v="0"/>
    <n v="2634"/>
    <n v="4"/>
    <n v="0"/>
    <s v="July"/>
  </r>
  <r>
    <x v="3"/>
    <s v="RA2"/>
    <x v="0"/>
    <x v="47"/>
    <n v="6644"/>
    <n v="1851"/>
    <n v="2116"/>
    <n v="0"/>
    <n v="393"/>
    <n v="1"/>
    <x v="3"/>
    <x v="1"/>
    <x v="1"/>
    <n v="0.31848284166164958"/>
    <n v="8495"/>
    <n v="4"/>
    <n v="1.5051173991571343E-4"/>
    <s v="July"/>
  </r>
  <r>
    <x v="3"/>
    <s v="RBK"/>
    <x v="5"/>
    <x v="159"/>
    <n v="9841"/>
    <n v="4238"/>
    <n v="3200"/>
    <n v="71"/>
    <n v="1082"/>
    <n v="101"/>
    <x v="3"/>
    <x v="1"/>
    <x v="1"/>
    <n v="0.32517020627984961"/>
    <n v="14079"/>
    <n v="4"/>
    <n v="1.0263184635707754E-2"/>
    <s v="July"/>
  </r>
  <r>
    <x v="3"/>
    <s v="NQT1I"/>
    <x v="1"/>
    <x v="200"/>
    <n v="0"/>
    <n v="1948"/>
    <n v="0"/>
    <n v="27"/>
    <n v="0"/>
    <n v="0"/>
    <x v="3"/>
    <x v="1"/>
    <x v="1"/>
    <n v="0"/>
    <n v="1948"/>
    <n v="4"/>
    <n v="0"/>
    <s v="July"/>
  </r>
  <r>
    <x v="3"/>
    <s v="RA9"/>
    <x v="1"/>
    <x v="113"/>
    <n v="6948"/>
    <n v="3734"/>
    <n v="2759"/>
    <n v="46"/>
    <n v="215"/>
    <n v="37"/>
    <x v="3"/>
    <x v="1"/>
    <x v="1"/>
    <n v="0.39709268854346574"/>
    <n v="10682"/>
    <n v="4"/>
    <n v="5.3252734599884858E-3"/>
    <s v="July"/>
  </r>
  <r>
    <x v="3"/>
    <s v="RMC"/>
    <x v="3"/>
    <x v="72"/>
    <n v="8149"/>
    <n v="4115"/>
    <n v="4000"/>
    <n v="313"/>
    <n v="546"/>
    <n v="261"/>
    <x v="3"/>
    <x v="1"/>
    <x v="1"/>
    <n v="0.49085777395999508"/>
    <n v="12264"/>
    <n v="4"/>
    <n v="3.2028469750889681E-2"/>
    <s v="July"/>
  </r>
  <r>
    <x v="3"/>
    <s v="RN7"/>
    <x v="0"/>
    <x v="14"/>
    <n v="11347"/>
    <n v="4129"/>
    <n v="2752"/>
    <n v="14"/>
    <n v="711"/>
    <n v="72"/>
    <x v="3"/>
    <x v="1"/>
    <x v="1"/>
    <n v="0.24253106547986253"/>
    <n v="15476"/>
    <n v="4"/>
    <n v="6.3452895038336125E-3"/>
    <s v="July"/>
  </r>
  <r>
    <x v="3"/>
    <s v="RNQ"/>
    <x v="5"/>
    <x v="169"/>
    <n v="10198"/>
    <n v="8247"/>
    <n v="3751"/>
    <n v="87"/>
    <n v="562"/>
    <n v="785"/>
    <x v="3"/>
    <x v="1"/>
    <x v="1"/>
    <n v="0.36781721906256126"/>
    <n v="18445"/>
    <n v="4"/>
    <n v="7.6975877623063349E-2"/>
    <s v="July"/>
  </r>
  <r>
    <x v="3"/>
    <s v="RNZ"/>
    <x v="1"/>
    <x v="17"/>
    <n v="4923"/>
    <n v="1813"/>
    <n v="1816"/>
    <n v="0"/>
    <n v="341"/>
    <n v="23"/>
    <x v="3"/>
    <x v="1"/>
    <x v="1"/>
    <n v="0.36888076376193379"/>
    <n v="6736"/>
    <n v="4"/>
    <n v="4.6719479991874872E-3"/>
    <s v="July"/>
  </r>
  <r>
    <x v="3"/>
    <s v="RP6"/>
    <x v="4"/>
    <x v="192"/>
    <n v="0"/>
    <n v="0"/>
    <n v="0"/>
    <n v="0"/>
    <n v="0"/>
    <n v="0"/>
    <x v="3"/>
    <x v="1"/>
    <x v="1"/>
    <n v="0"/>
    <n v="0"/>
    <n v="4"/>
    <n v="0"/>
    <s v="July"/>
  </r>
  <r>
    <x v="3"/>
    <s v="RQW"/>
    <x v="2"/>
    <x v="150"/>
    <n v="8719"/>
    <n v="1921"/>
    <n v="3463"/>
    <n v="0"/>
    <n v="391"/>
    <n v="142"/>
    <x v="3"/>
    <x v="1"/>
    <x v="1"/>
    <n v="0.39717857552471614"/>
    <n v="10640"/>
    <n v="4"/>
    <n v="1.6286271361394655E-2"/>
    <s v="July"/>
  </r>
  <r>
    <x v="3"/>
    <s v="RR8"/>
    <x v="6"/>
    <x v="20"/>
    <n v="17642"/>
    <n v="11691"/>
    <n v="6257"/>
    <n v="107"/>
    <n v="1485"/>
    <n v="135"/>
    <x v="3"/>
    <x v="1"/>
    <x v="1"/>
    <n v="0.35466500396780409"/>
    <n v="29333"/>
    <n v="4"/>
    <n v="7.6521936288402679E-3"/>
    <s v="July"/>
  </r>
  <r>
    <x v="3"/>
    <s v="RTG"/>
    <x v="5"/>
    <x v="54"/>
    <n v="19187"/>
    <n v="9942"/>
    <n v="8794"/>
    <n v="0"/>
    <n v="989"/>
    <n v="716"/>
    <x v="3"/>
    <x v="1"/>
    <x v="1"/>
    <n v="0.458331161724084"/>
    <n v="29129"/>
    <n v="4"/>
    <n v="3.7316933340282486E-2"/>
    <s v="July"/>
  </r>
  <r>
    <x v="3"/>
    <s v="RV9"/>
    <x v="6"/>
    <x v="148"/>
    <n v="0"/>
    <n v="1281"/>
    <n v="0"/>
    <n v="7"/>
    <n v="0"/>
    <n v="0"/>
    <x v="3"/>
    <x v="1"/>
    <x v="1"/>
    <n v="0"/>
    <n v="1281"/>
    <n v="4"/>
    <n v="0"/>
    <s v="July"/>
  </r>
  <r>
    <x v="3"/>
    <s v="RVW"/>
    <x v="6"/>
    <x v="76"/>
    <n v="4933"/>
    <n v="11358"/>
    <n v="2576"/>
    <n v="10"/>
    <n v="122"/>
    <n v="4"/>
    <x v="3"/>
    <x v="1"/>
    <x v="1"/>
    <n v="0.52219744577336302"/>
    <n v="16291"/>
    <n v="4"/>
    <n v="8.108655990269613E-4"/>
    <s v="July"/>
  </r>
  <r>
    <x v="3"/>
    <s v="RW4"/>
    <x v="3"/>
    <x v="124"/>
    <n v="0"/>
    <n v="13566"/>
    <n v="0"/>
    <n v="192"/>
    <n v="0"/>
    <n v="0"/>
    <x v="3"/>
    <x v="1"/>
    <x v="1"/>
    <n v="0"/>
    <n v="13566"/>
    <n v="4"/>
    <n v="0"/>
    <s v="July"/>
  </r>
  <r>
    <x v="3"/>
    <s v="RX1"/>
    <x v="5"/>
    <x v="175"/>
    <n v="13245"/>
    <n v="0"/>
    <n v="6980"/>
    <n v="0"/>
    <n v="267"/>
    <n v="467"/>
    <x v="3"/>
    <x v="1"/>
    <x v="1"/>
    <n v="0.52699131747829364"/>
    <n v="13245"/>
    <n v="4"/>
    <n v="3.5258588146470364E-2"/>
    <s v="July"/>
  </r>
  <r>
    <x v="3"/>
    <s v="RXL"/>
    <x v="3"/>
    <x v="86"/>
    <n v="9042"/>
    <n v="10364"/>
    <n v="4286"/>
    <n v="96"/>
    <n v="781"/>
    <n v="340"/>
    <x v="3"/>
    <x v="1"/>
    <x v="1"/>
    <n v="0.47401017474010176"/>
    <n v="19406"/>
    <n v="4"/>
    <n v="3.7602300376023003E-2"/>
    <s v="July"/>
  </r>
  <r>
    <x v="3"/>
    <s v="RXQ"/>
    <x v="0"/>
    <x v="48"/>
    <n v="11214"/>
    <n v="3235"/>
    <n v="3369"/>
    <n v="66"/>
    <n v="221"/>
    <n v="309"/>
    <x v="3"/>
    <x v="1"/>
    <x v="1"/>
    <n v="0.30042803638309257"/>
    <n v="14449"/>
    <n v="4"/>
    <n v="2.7554842161583736E-2"/>
    <s v="July"/>
  </r>
  <r>
    <x v="3"/>
    <s v="RXR"/>
    <x v="3"/>
    <x v="107"/>
    <n v="14245"/>
    <n v="11919"/>
    <n v="4842"/>
    <n v="575"/>
    <n v="712"/>
    <n v="708"/>
    <x v="3"/>
    <x v="1"/>
    <x v="1"/>
    <n v="0.33990873990873993"/>
    <n v="26164"/>
    <n v="4"/>
    <n v="4.9701649701649704E-2"/>
    <s v="July"/>
  </r>
  <r>
    <x v="3"/>
    <s v="NQT5F"/>
    <x v="3"/>
    <x v="143"/>
    <n v="0"/>
    <n v="1718"/>
    <n v="0"/>
    <n v="11"/>
    <n v="0"/>
    <n v="0"/>
    <x v="3"/>
    <x v="1"/>
    <x v="1"/>
    <n v="0"/>
    <n v="1718"/>
    <n v="4"/>
    <n v="0"/>
    <s v="July"/>
  </r>
  <r>
    <x v="3"/>
    <s v="NTPAD"/>
    <x v="0"/>
    <x v="112"/>
    <n v="0"/>
    <n v="5337"/>
    <n v="0"/>
    <n v="279"/>
    <n v="0"/>
    <n v="0"/>
    <x v="3"/>
    <x v="1"/>
    <x v="1"/>
    <n v="0"/>
    <n v="5337"/>
    <n v="4"/>
    <n v="0"/>
    <s v="July"/>
  </r>
  <r>
    <x v="3"/>
    <s v="R0A"/>
    <x v="3"/>
    <x v="155"/>
    <n v="26185"/>
    <n v="11482"/>
    <n v="10020"/>
    <n v="364"/>
    <n v="2491"/>
    <n v="101"/>
    <x v="3"/>
    <x v="1"/>
    <x v="1"/>
    <n v="0.38266182929157916"/>
    <n v="37667"/>
    <n v="4"/>
    <n v="3.8571701355738018E-3"/>
    <s v="July"/>
  </r>
  <r>
    <x v="3"/>
    <s v="R0B"/>
    <x v="6"/>
    <x v="156"/>
    <n v="11361"/>
    <n v="6027"/>
    <n v="4854"/>
    <n v="168"/>
    <n v="307"/>
    <n v="1"/>
    <x v="3"/>
    <x v="1"/>
    <x v="1"/>
    <n v="0.42725112226036438"/>
    <n v="17388"/>
    <n v="4"/>
    <n v="8.802042073761112E-5"/>
    <s v="July"/>
  </r>
  <r>
    <x v="3"/>
    <s v="R0D"/>
    <x v="1"/>
    <x v="157"/>
    <n v="15124"/>
    <n v="5243"/>
    <n v="5821"/>
    <n v="0"/>
    <n v="624"/>
    <n v="67"/>
    <x v="3"/>
    <x v="1"/>
    <x v="1"/>
    <n v="0.38488495107114518"/>
    <n v="20367"/>
    <n v="4"/>
    <n v="4.4300449616503567E-3"/>
    <s v="July"/>
  </r>
  <r>
    <x v="3"/>
    <s v="RAE"/>
    <x v="6"/>
    <x v="31"/>
    <n v="9650"/>
    <n v="3496"/>
    <n v="2298"/>
    <n v="0"/>
    <n v="679"/>
    <n v="51"/>
    <x v="3"/>
    <x v="1"/>
    <x v="1"/>
    <n v="0.23813471502590675"/>
    <n v="13146"/>
    <n v="4"/>
    <n v="5.2849740932642483E-3"/>
    <s v="July"/>
  </r>
  <r>
    <x v="3"/>
    <s v="RJE"/>
    <x v="5"/>
    <x v="9"/>
    <n v="14974"/>
    <n v="8407"/>
    <n v="6948"/>
    <n v="77"/>
    <n v="1182"/>
    <n v="371"/>
    <x v="3"/>
    <x v="1"/>
    <x v="1"/>
    <n v="0.46400427407506345"/>
    <n v="23381"/>
    <n v="4"/>
    <n v="2.4776278883397888E-2"/>
    <s v="July"/>
  </r>
  <r>
    <x v="3"/>
    <s v="NQT5H"/>
    <x v="1"/>
    <x v="144"/>
    <n v="0"/>
    <n v="1249"/>
    <n v="0"/>
    <n v="2"/>
    <n v="0"/>
    <n v="0"/>
    <x v="3"/>
    <x v="1"/>
    <x v="1"/>
    <n v="0"/>
    <n v="1249"/>
    <n v="4"/>
    <n v="0"/>
    <s v="July"/>
  </r>
  <r>
    <x v="3"/>
    <s v="RJ1"/>
    <x v="4"/>
    <x v="43"/>
    <n v="10683"/>
    <n v="7268"/>
    <n v="3648"/>
    <n v="280"/>
    <n v="90"/>
    <n v="84"/>
    <x v="3"/>
    <x v="1"/>
    <x v="1"/>
    <n v="0.34147711317045776"/>
    <n v="17951"/>
    <n v="4"/>
    <n v="7.8629598427408035E-3"/>
    <s v="July"/>
  </r>
  <r>
    <x v="3"/>
    <s v="RBS"/>
    <x v="3"/>
    <x v="160"/>
    <n v="5409"/>
    <n v="0"/>
    <n v="829"/>
    <n v="0"/>
    <n v="1"/>
    <n v="0"/>
    <x v="3"/>
    <x v="1"/>
    <x v="1"/>
    <n v="0.15326308005176559"/>
    <n v="5409"/>
    <n v="4"/>
    <n v="0"/>
    <s v="July"/>
  </r>
  <r>
    <x v="3"/>
    <s v="RAT"/>
    <x v="4"/>
    <x v="182"/>
    <n v="0"/>
    <n v="1907"/>
    <n v="0"/>
    <n v="83"/>
    <n v="0"/>
    <n v="0"/>
    <x v="3"/>
    <x v="1"/>
    <x v="1"/>
    <n v="0"/>
    <n v="1907"/>
    <n v="4"/>
    <n v="0"/>
    <s v="July"/>
  </r>
  <r>
    <x v="3"/>
    <s v="RBD"/>
    <x v="1"/>
    <x v="183"/>
    <n v="4999"/>
    <n v="0"/>
    <n v="1353"/>
    <n v="0"/>
    <n v="196"/>
    <n v="38"/>
    <x v="3"/>
    <x v="1"/>
    <x v="1"/>
    <n v="0.27065413082616524"/>
    <n v="4999"/>
    <n v="4"/>
    <n v="7.6015203040608118E-3"/>
    <s v="July"/>
  </r>
  <r>
    <x v="3"/>
    <s v="RBQ"/>
    <x v="3"/>
    <x v="133"/>
    <n v="0"/>
    <n v="0"/>
    <n v="0"/>
    <n v="0"/>
    <n v="0"/>
    <n v="0"/>
    <x v="3"/>
    <x v="1"/>
    <x v="1"/>
    <n v="0"/>
    <n v="0"/>
    <n v="4"/>
    <n v="0"/>
    <s v="July"/>
  </r>
  <r>
    <x v="3"/>
    <s v="RCD"/>
    <x v="6"/>
    <x v="134"/>
    <n v="5442"/>
    <n v="1184"/>
    <n v="1319"/>
    <n v="0"/>
    <n v="103"/>
    <n v="0"/>
    <x v="3"/>
    <x v="1"/>
    <x v="1"/>
    <n v="0.24237412715913267"/>
    <n v="6626"/>
    <n v="4"/>
    <n v="0"/>
    <s v="July"/>
  </r>
  <r>
    <x v="3"/>
    <s v="REF"/>
    <x v="1"/>
    <x v="4"/>
    <n v="7303"/>
    <n v="13900"/>
    <n v="2993"/>
    <n v="789"/>
    <n v="527"/>
    <n v="178"/>
    <x v="3"/>
    <x v="1"/>
    <x v="1"/>
    <n v="0.409831576064631"/>
    <n v="21203"/>
    <n v="4"/>
    <n v="2.4373545118444476E-2"/>
    <s v="July"/>
  </r>
  <r>
    <x v="3"/>
    <s v="RJC"/>
    <x v="5"/>
    <x v="188"/>
    <n v="8491"/>
    <n v="498"/>
    <n v="1950"/>
    <n v="0"/>
    <n v="305"/>
    <n v="28"/>
    <x v="3"/>
    <x v="1"/>
    <x v="1"/>
    <n v="0.22965492874808621"/>
    <n v="8989"/>
    <n v="4"/>
    <n v="3.2976092333058533E-3"/>
    <s v="July"/>
  </r>
  <r>
    <x v="3"/>
    <s v="RJN"/>
    <x v="3"/>
    <x v="125"/>
    <n v="4616"/>
    <n v="0"/>
    <n v="2765"/>
    <n v="0"/>
    <n v="238"/>
    <n v="271"/>
    <x v="3"/>
    <x v="1"/>
    <x v="1"/>
    <n v="0.59900346620450606"/>
    <n v="4616"/>
    <n v="4"/>
    <n v="5.8708838821490465E-2"/>
    <s v="July"/>
  </r>
  <r>
    <x v="3"/>
    <s v="RK9"/>
    <x v="1"/>
    <x v="195"/>
    <n v="9802"/>
    <n v="6098"/>
    <n v="4393"/>
    <n v="50"/>
    <n v="623"/>
    <n v="255"/>
    <x v="3"/>
    <x v="1"/>
    <x v="1"/>
    <n v="0.44817384207304634"/>
    <n v="15900"/>
    <n v="4"/>
    <n v="2.6015098959396042E-2"/>
    <s v="July"/>
  </r>
  <r>
    <x v="3"/>
    <s v="RPC"/>
    <x v="0"/>
    <x v="190"/>
    <n v="0"/>
    <n v="1603"/>
    <n v="0"/>
    <n v="30"/>
    <n v="0"/>
    <n v="0"/>
    <x v="3"/>
    <x v="1"/>
    <x v="1"/>
    <n v="0"/>
    <n v="1603"/>
    <n v="4"/>
    <n v="0"/>
    <s v="July"/>
  </r>
  <r>
    <x v="3"/>
    <s v="RTK"/>
    <x v="0"/>
    <x v="49"/>
    <n v="7470"/>
    <n v="3010"/>
    <n v="3498"/>
    <n v="25"/>
    <n v="478"/>
    <n v="133"/>
    <x v="3"/>
    <x v="1"/>
    <x v="1"/>
    <n v="0.46827309236947789"/>
    <n v="10480"/>
    <n v="4"/>
    <n v="1.7804551539491297E-2"/>
    <s v="July"/>
  </r>
  <r>
    <x v="3"/>
    <s v="RTQ"/>
    <x v="1"/>
    <x v="126"/>
    <n v="0"/>
    <n v="8928"/>
    <n v="0"/>
    <n v="140"/>
    <n v="0"/>
    <n v="0"/>
    <x v="3"/>
    <x v="1"/>
    <x v="1"/>
    <n v="0"/>
    <n v="8928"/>
    <n v="4"/>
    <n v="0"/>
    <s v="July"/>
  </r>
  <r>
    <x v="3"/>
    <s v="RWP"/>
    <x v="5"/>
    <x v="170"/>
    <n v="14228"/>
    <n v="6778"/>
    <n v="7003"/>
    <n v="45"/>
    <n v="1069"/>
    <n v="896"/>
    <x v="3"/>
    <x v="1"/>
    <x v="1"/>
    <n v="0.49219848186674164"/>
    <n v="21006"/>
    <n v="4"/>
    <n v="6.297441664323869E-2"/>
    <s v="July"/>
  </r>
  <r>
    <x v="3"/>
    <s v="RXG"/>
    <x v="6"/>
    <x v="85"/>
    <n v="0"/>
    <n v="0"/>
    <n v="0"/>
    <n v="0"/>
    <n v="0"/>
    <n v="0"/>
    <x v="3"/>
    <x v="1"/>
    <x v="1"/>
    <n v="0"/>
    <n v="0"/>
    <n v="4"/>
    <n v="0"/>
    <s v="July"/>
  </r>
  <r>
    <x v="3"/>
    <s v="RY5"/>
    <x v="5"/>
    <x v="151"/>
    <n v="0"/>
    <n v="9119"/>
    <n v="0"/>
    <n v="297"/>
    <n v="0"/>
    <n v="0"/>
    <x v="3"/>
    <x v="1"/>
    <x v="1"/>
    <n v="0"/>
    <n v="9119"/>
    <n v="4"/>
    <n v="0"/>
    <s v="July"/>
  </r>
  <r>
    <x v="3"/>
    <s v="RYF"/>
    <x v="1"/>
    <x v="89"/>
    <n v="0"/>
    <n v="2043"/>
    <n v="0"/>
    <n v="17"/>
    <n v="0"/>
    <n v="0"/>
    <x v="3"/>
    <x v="1"/>
    <x v="1"/>
    <n v="0"/>
    <n v="2043"/>
    <n v="4"/>
    <n v="0"/>
    <s v="July"/>
  </r>
  <r>
    <x v="3"/>
    <s v="AJN"/>
    <x v="6"/>
    <x v="187"/>
    <n v="0"/>
    <n v="442"/>
    <n v="0"/>
    <n v="0"/>
    <n v="0"/>
    <n v="0"/>
    <x v="3"/>
    <x v="1"/>
    <x v="1"/>
    <n v="0"/>
    <n v="442"/>
    <n v="4"/>
    <n v="0"/>
    <s v="July"/>
  </r>
  <r>
    <x v="3"/>
    <s v="NLX"/>
    <x v="1"/>
    <x v="181"/>
    <n v="0"/>
    <n v="9521"/>
    <n v="0"/>
    <n v="261"/>
    <n v="0"/>
    <n v="0"/>
    <x v="3"/>
    <x v="1"/>
    <x v="1"/>
    <n v="0"/>
    <n v="9521"/>
    <n v="4"/>
    <n v="0"/>
    <s v="July"/>
  </r>
  <r>
    <x v="3"/>
    <s v="NQTE4"/>
    <x v="5"/>
    <x v="132"/>
    <n v="0"/>
    <n v="3233"/>
    <n v="0"/>
    <n v="0"/>
    <n v="0"/>
    <n v="0"/>
    <x v="3"/>
    <x v="1"/>
    <x v="1"/>
    <n v="0"/>
    <n v="3233"/>
    <n v="4"/>
    <n v="0"/>
    <s v="July"/>
  </r>
  <r>
    <x v="3"/>
    <s v="NTP11"/>
    <x v="0"/>
    <x v="154"/>
    <n v="0"/>
    <n v="5273"/>
    <n v="0"/>
    <n v="91"/>
    <n v="0"/>
    <n v="0"/>
    <x v="3"/>
    <x v="1"/>
    <x v="1"/>
    <n v="0"/>
    <n v="5273"/>
    <n v="4"/>
    <n v="0"/>
    <s v="July"/>
  </r>
  <r>
    <x v="3"/>
    <s v="NV693"/>
    <x v="3"/>
    <x v="102"/>
    <n v="0"/>
    <n v="1261"/>
    <n v="0"/>
    <n v="2"/>
    <n v="0"/>
    <n v="0"/>
    <x v="3"/>
    <x v="1"/>
    <x v="1"/>
    <n v="0"/>
    <n v="1261"/>
    <n v="4"/>
    <n v="0"/>
    <s v="July"/>
  </r>
  <r>
    <x v="3"/>
    <s v="RA7"/>
    <x v="1"/>
    <x v="158"/>
    <n v="15810"/>
    <n v="0"/>
    <n v="5015"/>
    <n v="0"/>
    <n v="903"/>
    <n v="161"/>
    <x v="3"/>
    <x v="1"/>
    <x v="1"/>
    <n v="0.31720430107526881"/>
    <n v="15810"/>
    <n v="4"/>
    <n v="1.0183428209993675E-2"/>
    <s v="July"/>
  </r>
  <r>
    <x v="3"/>
    <s v="RH8"/>
    <x v="1"/>
    <x v="163"/>
    <n v="13593"/>
    <n v="4723"/>
    <n v="5405"/>
    <n v="19"/>
    <n v="819"/>
    <n v="131"/>
    <x v="3"/>
    <x v="1"/>
    <x v="1"/>
    <n v="0.3976311336717428"/>
    <n v="18316"/>
    <n v="4"/>
    <n v="9.6373133230339154E-3"/>
    <s v="July"/>
  </r>
  <r>
    <x v="3"/>
    <s v="K6K0R"/>
    <x v="4"/>
    <x v="121"/>
    <n v="0"/>
    <n v="2607"/>
    <n v="0"/>
    <n v="10"/>
    <n v="0"/>
    <n v="0"/>
    <x v="3"/>
    <x v="1"/>
    <x v="1"/>
    <n v="0"/>
    <n v="2607"/>
    <n v="4"/>
    <n v="0"/>
    <s v="July"/>
  </r>
  <r>
    <x v="3"/>
    <s v="RTD"/>
    <x v="6"/>
    <x v="71"/>
    <n v="12588"/>
    <n v="6401"/>
    <n v="4243"/>
    <n v="0"/>
    <n v="407"/>
    <n v="28"/>
    <x v="3"/>
    <x v="1"/>
    <x v="1"/>
    <n v="0.33706704798220527"/>
    <n v="18989"/>
    <n v="4"/>
    <n v="2.2243406418811567E-3"/>
    <s v="July"/>
  </r>
  <r>
    <x v="3"/>
    <s v="NTV0B"/>
    <x v="0"/>
    <x v="127"/>
    <n v="0"/>
    <n v="2286"/>
    <n v="0"/>
    <n v="267"/>
    <n v="0"/>
    <n v="0"/>
    <x v="3"/>
    <x v="1"/>
    <x v="1"/>
    <n v="0"/>
    <n v="2286"/>
    <n v="4"/>
    <n v="0"/>
    <s v="July"/>
  </r>
  <r>
    <x v="4"/>
    <s v="ARN03"/>
    <x v="6"/>
    <x v="178"/>
    <n v="0"/>
    <n v="2063"/>
    <n v="0"/>
    <n v="9"/>
    <n v="0"/>
    <n v="0"/>
    <x v="4"/>
    <x v="1"/>
    <x v="1"/>
    <n v="0"/>
    <n v="2063"/>
    <n v="5"/>
    <n v="0"/>
    <s v="August"/>
  </r>
  <r>
    <x v="4"/>
    <s v="C82038"/>
    <x v="5"/>
    <x v="131"/>
    <n v="0"/>
    <n v="400"/>
    <n v="0"/>
    <n v="0"/>
    <n v="0"/>
    <n v="0"/>
    <x v="4"/>
    <x v="1"/>
    <x v="1"/>
    <n v="0"/>
    <n v="400"/>
    <n v="5"/>
    <n v="0"/>
    <s v="August"/>
  </r>
  <r>
    <x v="4"/>
    <s v="G0Q0L"/>
    <x v="4"/>
    <x v="120"/>
    <n v="0"/>
    <n v="2709"/>
    <n v="0"/>
    <n v="10"/>
    <n v="0"/>
    <n v="0"/>
    <x v="4"/>
    <x v="1"/>
    <x v="1"/>
    <n v="0"/>
    <n v="2709"/>
    <n v="5"/>
    <n v="0"/>
    <s v="August"/>
  </r>
  <r>
    <x v="4"/>
    <s v="K6K0R"/>
    <x v="4"/>
    <x v="121"/>
    <n v="0"/>
    <n v="2504"/>
    <n v="0"/>
    <n v="5"/>
    <n v="0"/>
    <n v="0"/>
    <x v="4"/>
    <x v="1"/>
    <x v="1"/>
    <n v="0"/>
    <n v="2504"/>
    <n v="5"/>
    <n v="0"/>
    <s v="August"/>
  </r>
  <r>
    <x v="4"/>
    <s v="NNJ07"/>
    <x v="5"/>
    <x v="56"/>
    <n v="0"/>
    <n v="4902"/>
    <n v="0"/>
    <n v="36"/>
    <n v="0"/>
    <n v="0"/>
    <x v="4"/>
    <x v="1"/>
    <x v="1"/>
    <n v="0"/>
    <n v="4902"/>
    <n v="5"/>
    <n v="0"/>
    <s v="August"/>
  </r>
  <r>
    <x v="4"/>
    <s v="NNJ0H"/>
    <x v="5"/>
    <x v="57"/>
    <n v="0"/>
    <n v="439"/>
    <n v="0"/>
    <n v="0"/>
    <n v="0"/>
    <n v="0"/>
    <x v="4"/>
    <x v="1"/>
    <x v="1"/>
    <n v="0"/>
    <n v="439"/>
    <n v="5"/>
    <n v="0"/>
    <s v="August"/>
  </r>
  <r>
    <x v="4"/>
    <s v="NNJ12"/>
    <x v="5"/>
    <x v="58"/>
    <n v="0"/>
    <n v="109"/>
    <n v="0"/>
    <n v="0"/>
    <n v="0"/>
    <n v="0"/>
    <x v="4"/>
    <x v="1"/>
    <x v="1"/>
    <n v="0"/>
    <n v="109"/>
    <n v="5"/>
    <n v="0"/>
    <s v="August"/>
  </r>
  <r>
    <x v="4"/>
    <s v="NNJ13"/>
    <x v="5"/>
    <x v="59"/>
    <n v="0"/>
    <n v="54"/>
    <n v="0"/>
    <n v="0"/>
    <n v="0"/>
    <n v="0"/>
    <x v="4"/>
    <x v="1"/>
    <x v="1"/>
    <n v="0"/>
    <n v="54"/>
    <n v="5"/>
    <n v="0"/>
    <s v="August"/>
  </r>
  <r>
    <x v="4"/>
    <s v="NNJ14"/>
    <x v="5"/>
    <x v="60"/>
    <n v="0"/>
    <n v="569"/>
    <n v="0"/>
    <n v="0"/>
    <n v="0"/>
    <n v="0"/>
    <x v="4"/>
    <x v="1"/>
    <x v="1"/>
    <n v="0"/>
    <n v="569"/>
    <n v="5"/>
    <n v="0"/>
    <s v="August"/>
  </r>
  <r>
    <x v="4"/>
    <s v="NNJ15"/>
    <x v="5"/>
    <x v="61"/>
    <n v="0"/>
    <n v="72"/>
    <n v="0"/>
    <n v="0"/>
    <n v="0"/>
    <n v="0"/>
    <x v="4"/>
    <x v="1"/>
    <x v="1"/>
    <n v="0"/>
    <n v="72"/>
    <n v="5"/>
    <n v="0"/>
    <s v="August"/>
  </r>
  <r>
    <x v="4"/>
    <s v="RAE"/>
    <x v="6"/>
    <x v="31"/>
    <n v="8779"/>
    <n v="3172"/>
    <n v="2220"/>
    <n v="0"/>
    <n v="655"/>
    <n v="49"/>
    <x v="4"/>
    <x v="1"/>
    <x v="1"/>
    <n v="0.25287618179747123"/>
    <n v="11951"/>
    <n v="5"/>
    <n v="5.5815013099441849E-3"/>
    <s v="August"/>
  </r>
  <r>
    <x v="4"/>
    <s v="RAL"/>
    <x v="4"/>
    <x v="33"/>
    <n v="24281"/>
    <n v="13934"/>
    <n v="7742"/>
    <n v="429"/>
    <n v="1241"/>
    <n v="1704"/>
    <x v="4"/>
    <x v="1"/>
    <x v="1"/>
    <n v="0.31885012973106547"/>
    <n v="38215"/>
    <n v="5"/>
    <n v="7.0178328734401385E-2"/>
    <s v="August"/>
  </r>
  <r>
    <x v="4"/>
    <s v="RCB"/>
    <x v="6"/>
    <x v="35"/>
    <n v="10651"/>
    <n v="7981"/>
    <n v="5578"/>
    <n v="309"/>
    <n v="731"/>
    <n v="315"/>
    <x v="4"/>
    <x v="1"/>
    <x v="1"/>
    <n v="0.52370669420711669"/>
    <n v="18632"/>
    <n v="5"/>
    <n v="2.957468782273965E-2"/>
    <s v="August"/>
  </r>
  <r>
    <x v="4"/>
    <s v="RD1"/>
    <x v="1"/>
    <x v="1"/>
    <n v="8612"/>
    <n v="0"/>
    <n v="3527"/>
    <n v="0"/>
    <n v="794"/>
    <n v="81"/>
    <x v="4"/>
    <x v="1"/>
    <x v="1"/>
    <n v="0.40954482117974916"/>
    <n v="8612"/>
    <n v="5"/>
    <n v="9.4054807245703663E-3"/>
    <s v="August"/>
  </r>
  <r>
    <x v="4"/>
    <s v="RD8"/>
    <x v="2"/>
    <x v="36"/>
    <n v="7897"/>
    <n v="4811"/>
    <n v="3409"/>
    <n v="8"/>
    <n v="639"/>
    <n v="0"/>
    <x v="4"/>
    <x v="1"/>
    <x v="1"/>
    <n v="0.43168291756363175"/>
    <n v="12708"/>
    <n v="5"/>
    <n v="0"/>
    <s v="August"/>
  </r>
  <r>
    <x v="4"/>
    <s v="RDU"/>
    <x v="0"/>
    <x v="37"/>
    <n v="21592"/>
    <n v="11268"/>
    <n v="8450"/>
    <n v="295"/>
    <n v="1438"/>
    <n v="260"/>
    <x v="4"/>
    <x v="1"/>
    <x v="1"/>
    <n v="0.39134864764727678"/>
    <n v="32860"/>
    <n v="5"/>
    <n v="1.2041496850685439E-2"/>
    <s v="August"/>
  </r>
  <r>
    <x v="4"/>
    <s v="RET"/>
    <x v="3"/>
    <x v="6"/>
    <n v="0"/>
    <n v="0"/>
    <n v="0"/>
    <n v="0"/>
    <n v="0"/>
    <n v="0"/>
    <x v="4"/>
    <x v="1"/>
    <x v="1"/>
    <n v="0"/>
    <n v="0"/>
    <n v="5"/>
    <n v="0"/>
    <s v="August"/>
  </r>
  <r>
    <x v="4"/>
    <s v="RFS"/>
    <x v="5"/>
    <x v="68"/>
    <n v="6336"/>
    <n v="6177"/>
    <n v="3353"/>
    <n v="274"/>
    <n v="738"/>
    <n v="141"/>
    <x v="4"/>
    <x v="1"/>
    <x v="1"/>
    <n v="0.52919823232323238"/>
    <n v="12513"/>
    <n v="5"/>
    <n v="2.225378787878788E-2"/>
    <s v="August"/>
  </r>
  <r>
    <x v="4"/>
    <s v="RGN"/>
    <x v="2"/>
    <x v="185"/>
    <n v="14143"/>
    <n v="4627"/>
    <n v="5568"/>
    <n v="179"/>
    <n v="599"/>
    <n v="601"/>
    <x v="4"/>
    <x v="1"/>
    <x v="1"/>
    <n v="0.39369299300007071"/>
    <n v="18770"/>
    <n v="5"/>
    <n v="4.2494520257371139E-2"/>
    <s v="August"/>
  </r>
  <r>
    <x v="4"/>
    <s v="RH5"/>
    <x v="1"/>
    <x v="40"/>
    <n v="12732"/>
    <n v="9212"/>
    <n v="5663"/>
    <n v="161"/>
    <n v="371"/>
    <n v="75"/>
    <x v="4"/>
    <x v="1"/>
    <x v="1"/>
    <n v="0.44478479421928996"/>
    <n v="21944"/>
    <n v="5"/>
    <n v="5.8906691800188499E-3"/>
    <s v="August"/>
  </r>
  <r>
    <x v="4"/>
    <s v="RHQ"/>
    <x v="6"/>
    <x v="42"/>
    <n v="8548"/>
    <n v="6683"/>
    <n v="4509"/>
    <n v="479"/>
    <n v="869"/>
    <n v="11"/>
    <x v="4"/>
    <x v="1"/>
    <x v="1"/>
    <n v="0.52749181094992981"/>
    <n v="15231"/>
    <n v="5"/>
    <n v="1.2868507253158633E-3"/>
    <s v="August"/>
  </r>
  <r>
    <x v="4"/>
    <s v="RYG"/>
    <x v="5"/>
    <x v="90"/>
    <n v="0"/>
    <n v="0"/>
    <n v="0"/>
    <n v="0"/>
    <n v="0"/>
    <n v="0"/>
    <x v="4"/>
    <x v="1"/>
    <x v="1"/>
    <n v="0"/>
    <n v="0"/>
    <n v="5"/>
    <n v="0"/>
    <s v="August"/>
  </r>
  <r>
    <x v="4"/>
    <s v="RJ7"/>
    <x v="4"/>
    <x v="96"/>
    <n v="8178"/>
    <n v="3711"/>
    <n v="2502"/>
    <n v="127"/>
    <n v="407"/>
    <n v="498"/>
    <x v="4"/>
    <x v="1"/>
    <x v="1"/>
    <n v="0.30594277329420394"/>
    <n v="11889"/>
    <n v="5"/>
    <n v="6.0895084372707263E-2"/>
    <s v="August"/>
  </r>
  <r>
    <x v="4"/>
    <s v="RY7"/>
    <x v="3"/>
    <x v="139"/>
    <n v="0"/>
    <n v="4252"/>
    <n v="0"/>
    <n v="175"/>
    <n v="0"/>
    <n v="0"/>
    <x v="4"/>
    <x v="1"/>
    <x v="1"/>
    <n v="0"/>
    <n v="4252"/>
    <n v="5"/>
    <n v="0"/>
    <s v="August"/>
  </r>
  <r>
    <x v="4"/>
    <s v="RY4"/>
    <x v="2"/>
    <x v="172"/>
    <n v="0"/>
    <n v="1061"/>
    <n v="0"/>
    <n v="19"/>
    <n v="0"/>
    <n v="0"/>
    <x v="4"/>
    <x v="1"/>
    <x v="1"/>
    <n v="0"/>
    <n v="1061"/>
    <n v="5"/>
    <n v="0"/>
    <s v="August"/>
  </r>
  <r>
    <x v="4"/>
    <s v="RH8"/>
    <x v="1"/>
    <x v="163"/>
    <n v="13530"/>
    <n v="4517"/>
    <n v="5694"/>
    <n v="24"/>
    <n v="724"/>
    <n v="136"/>
    <x v="4"/>
    <x v="1"/>
    <x v="1"/>
    <n v="0.42084257206208425"/>
    <n v="18047"/>
    <n v="5"/>
    <n v="1.0051736881005174E-2"/>
    <s v="August"/>
  </r>
  <r>
    <x v="4"/>
    <s v="RJ2"/>
    <x v="4"/>
    <x v="8"/>
    <n v="14926"/>
    <n v="8876"/>
    <n v="7482"/>
    <n v="185"/>
    <n v="1087"/>
    <n v="571"/>
    <x v="4"/>
    <x v="1"/>
    <x v="1"/>
    <n v="0.50127294653624543"/>
    <n v="23802"/>
    <n v="5"/>
    <n v="3.8255393273482513E-2"/>
    <s v="August"/>
  </r>
  <r>
    <x v="4"/>
    <s v="RJ6"/>
    <x v="4"/>
    <x v="189"/>
    <n v="12011"/>
    <n v="4757"/>
    <n v="4177"/>
    <n v="0"/>
    <n v="245"/>
    <n v="565"/>
    <x v="4"/>
    <x v="1"/>
    <x v="1"/>
    <n v="0.34776454916326699"/>
    <n v="16768"/>
    <n v="5"/>
    <n v="4.7040213137956872E-2"/>
    <s v="August"/>
  </r>
  <r>
    <x v="4"/>
    <s v="RJC"/>
    <x v="5"/>
    <x v="188"/>
    <n v="8133"/>
    <n v="396"/>
    <n v="1769"/>
    <n v="0"/>
    <n v="314"/>
    <n v="14"/>
    <x v="4"/>
    <x v="1"/>
    <x v="1"/>
    <n v="0.21750891429976638"/>
    <n v="8529"/>
    <n v="5"/>
    <n v="1.7213820238534366E-3"/>
    <s v="August"/>
  </r>
  <r>
    <x v="4"/>
    <s v="RJE"/>
    <x v="5"/>
    <x v="9"/>
    <n v="14640"/>
    <n v="7982"/>
    <n v="7035"/>
    <n v="63"/>
    <n v="1120"/>
    <n v="443"/>
    <x v="4"/>
    <x v="1"/>
    <x v="1"/>
    <n v="0.48053278688524592"/>
    <n v="22622"/>
    <n v="5"/>
    <n v="3.0259562841530054E-2"/>
    <s v="August"/>
  </r>
  <r>
    <x v="4"/>
    <s v="RJZ"/>
    <x v="4"/>
    <x v="196"/>
    <n v="14770"/>
    <n v="8831"/>
    <n v="5957"/>
    <n v="507"/>
    <n v="1386"/>
    <n v="572"/>
    <x v="4"/>
    <x v="1"/>
    <x v="1"/>
    <n v="0.4033175355450237"/>
    <n v="23601"/>
    <n v="5"/>
    <n v="3.872714962762356E-2"/>
    <s v="August"/>
  </r>
  <r>
    <x v="4"/>
    <s v="RMP"/>
    <x v="3"/>
    <x v="166"/>
    <n v="7961"/>
    <n v="2319"/>
    <n v="3629"/>
    <n v="9"/>
    <n v="561"/>
    <n v="381"/>
    <x v="4"/>
    <x v="1"/>
    <x v="1"/>
    <n v="0.45584725536992843"/>
    <n v="10280"/>
    <n v="5"/>
    <n v="4.7858309257630953E-2"/>
    <s v="August"/>
  </r>
  <r>
    <x v="4"/>
    <s v="RN3"/>
    <x v="1"/>
    <x v="167"/>
    <n v="5788"/>
    <n v="5189"/>
    <n v="2994"/>
    <n v="540"/>
    <n v="700"/>
    <n v="157"/>
    <x v="4"/>
    <x v="1"/>
    <x v="1"/>
    <n v="0.51727712508638568"/>
    <n v="10977"/>
    <n v="5"/>
    <n v="2.7125086385625431E-2"/>
    <s v="August"/>
  </r>
  <r>
    <x v="4"/>
    <s v="RN5"/>
    <x v="0"/>
    <x v="97"/>
    <n v="10479"/>
    <n v="3333"/>
    <n v="4015"/>
    <n v="24"/>
    <n v="110"/>
    <n v="11"/>
    <x v="4"/>
    <x v="1"/>
    <x v="1"/>
    <n v="0.38314724687470181"/>
    <n v="13812"/>
    <n v="5"/>
    <n v="1.049718484588224E-3"/>
    <s v="August"/>
  </r>
  <r>
    <x v="4"/>
    <s v="RN7"/>
    <x v="0"/>
    <x v="14"/>
    <n v="10751"/>
    <n v="3638"/>
    <n v="2782"/>
    <n v="10"/>
    <n v="576"/>
    <n v="17"/>
    <x v="4"/>
    <x v="1"/>
    <x v="1"/>
    <n v="0.25876662636033859"/>
    <n v="14389"/>
    <n v="5"/>
    <n v="1.5812482559761883E-3"/>
    <s v="August"/>
  </r>
  <r>
    <x v="4"/>
    <s v="RNZ"/>
    <x v="1"/>
    <x v="17"/>
    <n v="4767"/>
    <n v="1883"/>
    <n v="1763"/>
    <n v="0"/>
    <n v="329"/>
    <n v="25"/>
    <x v="4"/>
    <x v="1"/>
    <x v="1"/>
    <n v="0.36983427732326413"/>
    <n v="6650"/>
    <n v="5"/>
    <n v="5.2443885043003983E-3"/>
    <s v="August"/>
  </r>
  <r>
    <x v="4"/>
    <s v="RR7"/>
    <x v="6"/>
    <x v="115"/>
    <n v="5545"/>
    <n v="4202"/>
    <n v="1701"/>
    <n v="28"/>
    <n v="397"/>
    <n v="0"/>
    <x v="4"/>
    <x v="1"/>
    <x v="1"/>
    <n v="0.30676284941388637"/>
    <n v="9747"/>
    <n v="5"/>
    <n v="0"/>
    <s v="August"/>
  </r>
  <r>
    <x v="4"/>
    <s v="RR8"/>
    <x v="6"/>
    <x v="20"/>
    <n v="16690"/>
    <n v="10848"/>
    <n v="6048"/>
    <n v="111"/>
    <n v="1686"/>
    <n v="119"/>
    <x v="4"/>
    <x v="1"/>
    <x v="1"/>
    <n v="0.36237267825044939"/>
    <n v="27538"/>
    <n v="5"/>
    <n v="7.1300179748352305E-3"/>
    <s v="August"/>
  </r>
  <r>
    <x v="4"/>
    <s v="RRK"/>
    <x v="5"/>
    <x v="67"/>
    <n v="33886"/>
    <n v="1779"/>
    <n v="13154"/>
    <n v="33"/>
    <n v="2674"/>
    <n v="1593"/>
    <x v="4"/>
    <x v="1"/>
    <x v="1"/>
    <n v="0.38818391075960573"/>
    <n v="35665"/>
    <n v="5"/>
    <n v="4.7010564835035115E-2"/>
    <s v="August"/>
  </r>
  <r>
    <x v="4"/>
    <s v="RTF"/>
    <x v="6"/>
    <x v="99"/>
    <n v="9949"/>
    <n v="13869"/>
    <n v="2291"/>
    <n v="4"/>
    <n v="3"/>
    <n v="0"/>
    <x v="4"/>
    <x v="1"/>
    <x v="1"/>
    <n v="0.23027439943712935"/>
    <n v="23818"/>
    <n v="5"/>
    <n v="0"/>
    <s v="August"/>
  </r>
  <r>
    <x v="4"/>
    <s v="RVV"/>
    <x v="0"/>
    <x v="50"/>
    <n v="12118"/>
    <n v="12969"/>
    <n v="6199"/>
    <n v="276"/>
    <n v="384"/>
    <n v="1311"/>
    <x v="4"/>
    <x v="1"/>
    <x v="1"/>
    <n v="0.51155306156131375"/>
    <n v="25087"/>
    <n v="5"/>
    <n v="0.10818616933487374"/>
    <s v="August"/>
  </r>
  <r>
    <x v="4"/>
    <s v="RVW"/>
    <x v="6"/>
    <x v="76"/>
    <n v="4856"/>
    <n v="10490"/>
    <n v="2340"/>
    <n v="20"/>
    <n v="160"/>
    <n v="6"/>
    <x v="4"/>
    <x v="1"/>
    <x v="1"/>
    <n v="0.48187808896210871"/>
    <n v="15346"/>
    <n v="5"/>
    <n v="1.2355848434925864E-3"/>
    <s v="August"/>
  </r>
  <r>
    <x v="4"/>
    <s v="RWJ"/>
    <x v="3"/>
    <x v="82"/>
    <n v="7677"/>
    <n v="1012"/>
    <n v="2936"/>
    <n v="47"/>
    <n v="495"/>
    <n v="198"/>
    <x v="4"/>
    <x v="1"/>
    <x v="1"/>
    <n v="0.38244105770483261"/>
    <n v="8689"/>
    <n v="5"/>
    <n v="2.5791324736225089E-2"/>
    <s v="August"/>
  </r>
  <r>
    <x v="4"/>
    <s v="RWX"/>
    <x v="0"/>
    <x v="55"/>
    <n v="0"/>
    <n v="1435"/>
    <n v="0"/>
    <n v="7"/>
    <n v="0"/>
    <n v="0"/>
    <x v="4"/>
    <x v="1"/>
    <x v="1"/>
    <n v="0"/>
    <n v="1435"/>
    <n v="5"/>
    <n v="0"/>
    <s v="August"/>
  </r>
  <r>
    <x v="4"/>
    <s v="RXG"/>
    <x v="6"/>
    <x v="85"/>
    <n v="0"/>
    <n v="0"/>
    <n v="0"/>
    <n v="0"/>
    <n v="0"/>
    <n v="0"/>
    <x v="4"/>
    <x v="1"/>
    <x v="1"/>
    <n v="0"/>
    <n v="0"/>
    <n v="5"/>
    <n v="0"/>
    <s v="August"/>
  </r>
  <r>
    <x v="4"/>
    <s v="RXW"/>
    <x v="5"/>
    <x v="88"/>
    <n v="10809"/>
    <n v="2433"/>
    <n v="5879"/>
    <n v="468"/>
    <n v="612"/>
    <n v="1300"/>
    <x v="4"/>
    <x v="1"/>
    <x v="1"/>
    <n v="0.54389860301600523"/>
    <n v="13242"/>
    <n v="5"/>
    <n v="0.12027014524932926"/>
    <s v="August"/>
  </r>
  <r>
    <x v="4"/>
    <s v="RY5"/>
    <x v="5"/>
    <x v="151"/>
    <n v="0"/>
    <n v="9050"/>
    <n v="0"/>
    <n v="265"/>
    <n v="0"/>
    <n v="0"/>
    <x v="4"/>
    <x v="1"/>
    <x v="1"/>
    <n v="0"/>
    <n v="9050"/>
    <n v="5"/>
    <n v="0"/>
    <s v="August"/>
  </r>
  <r>
    <x v="4"/>
    <s v="RF4"/>
    <x v="4"/>
    <x v="7"/>
    <n v="12899"/>
    <n v="12956"/>
    <n v="5551"/>
    <n v="91"/>
    <n v="613"/>
    <n v="677"/>
    <x v="4"/>
    <x v="1"/>
    <x v="1"/>
    <n v="0.4303434374757733"/>
    <n v="25855"/>
    <n v="5"/>
    <n v="5.2484688735560898E-2"/>
    <s v="August"/>
  </r>
  <r>
    <x v="4"/>
    <s v="RL4"/>
    <x v="5"/>
    <x v="165"/>
    <n v="12593"/>
    <n v="6773"/>
    <n v="3693"/>
    <n v="201"/>
    <n v="1084"/>
    <n v="172"/>
    <x v="4"/>
    <x v="1"/>
    <x v="1"/>
    <n v="0.29325815929484633"/>
    <n v="19366"/>
    <n v="5"/>
    <n v="1.3658381640593981E-2"/>
    <s v="August"/>
  </r>
  <r>
    <x v="4"/>
    <s v="RM1"/>
    <x v="2"/>
    <x v="75"/>
    <n v="12652"/>
    <n v="8082"/>
    <n v="3830"/>
    <n v="2"/>
    <n v="733"/>
    <n v="162"/>
    <x v="4"/>
    <x v="1"/>
    <x v="1"/>
    <n v="0.30271893771735692"/>
    <n v="20734"/>
    <n v="5"/>
    <n v="1.2804299715460007E-2"/>
    <s v="August"/>
  </r>
  <r>
    <x v="4"/>
    <s v="RDR"/>
    <x v="0"/>
    <x v="3"/>
    <n v="0"/>
    <n v="11693"/>
    <n v="0"/>
    <n v="164"/>
    <n v="0"/>
    <n v="0"/>
    <x v="4"/>
    <x v="1"/>
    <x v="1"/>
    <n v="0"/>
    <n v="11693"/>
    <n v="5"/>
    <n v="0"/>
    <s v="August"/>
  </r>
  <r>
    <x v="4"/>
    <s v="RGT"/>
    <x v="2"/>
    <x v="95"/>
    <n v="10179"/>
    <n v="5448"/>
    <n v="4045"/>
    <n v="51"/>
    <n v="537"/>
    <n v="309"/>
    <x v="4"/>
    <x v="1"/>
    <x v="1"/>
    <n v="0.39738677669712152"/>
    <n v="15627"/>
    <n v="5"/>
    <n v="3.0356616563513114E-2"/>
    <s v="August"/>
  </r>
  <r>
    <x v="4"/>
    <s v="RHM"/>
    <x v="0"/>
    <x v="41"/>
    <n v="11290"/>
    <n v="0"/>
    <n v="3822"/>
    <n v="0"/>
    <n v="271"/>
    <n v="14"/>
    <x v="4"/>
    <x v="1"/>
    <x v="1"/>
    <n v="0.33852967227635078"/>
    <n v="11290"/>
    <n v="5"/>
    <n v="1.2400354295837024E-3"/>
    <s v="August"/>
  </r>
  <r>
    <x v="4"/>
    <s v="RHW"/>
    <x v="0"/>
    <x v="66"/>
    <n v="10133"/>
    <n v="2836"/>
    <n v="3508"/>
    <n v="0"/>
    <n v="377"/>
    <n v="1"/>
    <x v="4"/>
    <x v="1"/>
    <x v="1"/>
    <n v="0.34619559853942566"/>
    <n v="12969"/>
    <n v="5"/>
    <n v="9.8687456824237644E-5"/>
    <s v="August"/>
  </r>
  <r>
    <x v="4"/>
    <s v="RK5"/>
    <x v="5"/>
    <x v="10"/>
    <n v="10497"/>
    <n v="5389"/>
    <n v="4638"/>
    <n v="306"/>
    <n v="704"/>
    <n v="346"/>
    <x v="4"/>
    <x v="1"/>
    <x v="1"/>
    <n v="0.44184052586453271"/>
    <n v="15886"/>
    <n v="5"/>
    <n v="3.2961798609126416E-2"/>
    <s v="August"/>
  </r>
  <r>
    <x v="4"/>
    <s v="RNQ"/>
    <x v="5"/>
    <x v="169"/>
    <n v="9509"/>
    <n v="7752"/>
    <n v="3416"/>
    <n v="79"/>
    <n v="532"/>
    <n v="626"/>
    <x v="4"/>
    <x v="1"/>
    <x v="1"/>
    <n v="0.3592386160479546"/>
    <n v="17261"/>
    <n v="5"/>
    <n v="6.5832369334314855E-2"/>
    <s v="August"/>
  </r>
  <r>
    <x v="4"/>
    <s v="RVR"/>
    <x v="4"/>
    <x v="74"/>
    <n v="10186"/>
    <n v="2468"/>
    <n v="2878"/>
    <n v="197"/>
    <n v="930"/>
    <n v="642"/>
    <x v="4"/>
    <x v="1"/>
    <x v="1"/>
    <n v="0.28254466915374044"/>
    <n v="12654"/>
    <n v="5"/>
    <n v="6.3027685057922639E-2"/>
    <s v="August"/>
  </r>
  <r>
    <x v="4"/>
    <s v="RXN"/>
    <x v="3"/>
    <x v="65"/>
    <n v="11574"/>
    <n v="3051"/>
    <n v="4473"/>
    <n v="81"/>
    <n v="1048"/>
    <n v="410"/>
    <x v="4"/>
    <x v="1"/>
    <x v="1"/>
    <n v="0.38646967340590982"/>
    <n v="14625"/>
    <n v="5"/>
    <n v="3.5424226715050973E-2"/>
    <s v="August"/>
  </r>
  <r>
    <x v="4"/>
    <s v="RXQ"/>
    <x v="0"/>
    <x v="48"/>
    <n v="10063"/>
    <n v="3030"/>
    <n v="2802"/>
    <n v="58"/>
    <n v="189"/>
    <n v="261"/>
    <x v="4"/>
    <x v="1"/>
    <x v="1"/>
    <n v="0.27844579151346516"/>
    <n v="13093"/>
    <n v="5"/>
    <n v="2.5936599423631124E-2"/>
    <s v="August"/>
  </r>
  <r>
    <x v="4"/>
    <s v="RNA"/>
    <x v="5"/>
    <x v="168"/>
    <n v="9641"/>
    <n v="3598"/>
    <n v="3211"/>
    <n v="51"/>
    <n v="1812"/>
    <n v="78"/>
    <x v="4"/>
    <x v="1"/>
    <x v="1"/>
    <n v="0.33305673685302356"/>
    <n v="13239"/>
    <n v="5"/>
    <n v="8.0904470490613008E-3"/>
    <s v="August"/>
  </r>
  <r>
    <x v="4"/>
    <s v="RNS"/>
    <x v="5"/>
    <x v="15"/>
    <n v="9943"/>
    <n v="1700"/>
    <n v="4224"/>
    <n v="84"/>
    <n v="558"/>
    <n v="667"/>
    <x v="4"/>
    <x v="1"/>
    <x v="1"/>
    <n v="0.42482148244996482"/>
    <n v="11643"/>
    <n v="5"/>
    <n v="6.7082369506185249E-2"/>
    <s v="August"/>
  </r>
  <r>
    <x v="4"/>
    <s v="RAT"/>
    <x v="4"/>
    <x v="182"/>
    <n v="0"/>
    <n v="1827"/>
    <n v="0"/>
    <n v="87"/>
    <n v="0"/>
    <n v="0"/>
    <x v="4"/>
    <x v="1"/>
    <x v="1"/>
    <n v="0"/>
    <n v="1827"/>
    <n v="5"/>
    <n v="0"/>
    <s v="August"/>
  </r>
  <r>
    <x v="4"/>
    <s v="RNN"/>
    <x v="6"/>
    <x v="197"/>
    <n v="8627"/>
    <n v="2024"/>
    <n v="3510"/>
    <n v="55"/>
    <n v="441"/>
    <n v="309"/>
    <x v="4"/>
    <x v="1"/>
    <x v="1"/>
    <n v="0.40686217688651904"/>
    <n v="10651"/>
    <n v="5"/>
    <n v="3.5817781384026894E-2"/>
    <s v="August"/>
  </r>
  <r>
    <x v="4"/>
    <s v="R1K"/>
    <x v="4"/>
    <x v="30"/>
    <n v="13561"/>
    <n v="14231"/>
    <n v="6568"/>
    <n v="189"/>
    <n v="621"/>
    <n v="517"/>
    <x v="4"/>
    <x v="1"/>
    <x v="1"/>
    <n v="0.48433006415456087"/>
    <n v="27792"/>
    <n v="5"/>
    <n v="3.8124032151021309E-2"/>
    <s v="August"/>
  </r>
  <r>
    <x v="4"/>
    <s v="RBL"/>
    <x v="3"/>
    <x v="94"/>
    <n v="7825"/>
    <n v="2889"/>
    <n v="4186"/>
    <n v="96"/>
    <n v="711"/>
    <n v="450"/>
    <x v="4"/>
    <x v="1"/>
    <x v="1"/>
    <n v="0.53495207667731626"/>
    <n v="10714"/>
    <n v="5"/>
    <n v="5.7507987220447282E-2"/>
    <s v="August"/>
  </r>
  <r>
    <x v="4"/>
    <s v="RYX"/>
    <x v="4"/>
    <x v="51"/>
    <n v="0"/>
    <n v="11651"/>
    <n v="0"/>
    <n v="123"/>
    <n v="0"/>
    <n v="0"/>
    <x v="4"/>
    <x v="1"/>
    <x v="1"/>
    <n v="0"/>
    <n v="11651"/>
    <n v="5"/>
    <n v="0"/>
    <s v="August"/>
  </r>
  <r>
    <x v="4"/>
    <s v="RTG"/>
    <x v="5"/>
    <x v="54"/>
    <n v="17915"/>
    <n v="9428"/>
    <n v="8093"/>
    <n v="1"/>
    <n v="979"/>
    <n v="521"/>
    <x v="4"/>
    <x v="1"/>
    <x v="1"/>
    <n v="0.45174434831147081"/>
    <n v="27343"/>
    <n v="5"/>
    <n v="2.9081775048841754E-2"/>
    <s v="August"/>
  </r>
  <r>
    <x v="4"/>
    <s v="RHU"/>
    <x v="0"/>
    <x v="63"/>
    <n v="10329"/>
    <n v="2870"/>
    <n v="4125"/>
    <n v="19"/>
    <n v="900"/>
    <n v="933"/>
    <x v="4"/>
    <x v="1"/>
    <x v="1"/>
    <n v="0.39936102236421728"/>
    <n v="13199"/>
    <n v="5"/>
    <n v="9.0328202149288411E-2"/>
    <s v="August"/>
  </r>
  <r>
    <x v="4"/>
    <s v="RM3"/>
    <x v="3"/>
    <x v="64"/>
    <n v="25001"/>
    <n v="9576"/>
    <n v="9353"/>
    <n v="245"/>
    <n v="1063"/>
    <n v="958"/>
    <x v="4"/>
    <x v="1"/>
    <x v="1"/>
    <n v="0.37410503579856808"/>
    <n v="34577"/>
    <n v="5"/>
    <n v="3.8318467261309545E-2"/>
    <s v="August"/>
  </r>
  <r>
    <x v="4"/>
    <s v="RTH"/>
    <x v="0"/>
    <x v="100"/>
    <n v="11803"/>
    <n v="3273"/>
    <n v="3313"/>
    <n v="99"/>
    <n v="411"/>
    <n v="0"/>
    <x v="4"/>
    <x v="1"/>
    <x v="1"/>
    <n v="0.28069134965686687"/>
    <n v="15076"/>
    <n v="5"/>
    <n v="0"/>
    <s v="August"/>
  </r>
  <r>
    <x v="4"/>
    <s v="RTD"/>
    <x v="6"/>
    <x v="71"/>
    <n v="11603"/>
    <n v="5845"/>
    <n v="4166"/>
    <n v="0"/>
    <n v="356"/>
    <n v="41"/>
    <x v="4"/>
    <x v="1"/>
    <x v="1"/>
    <n v="0.35904507454968543"/>
    <n v="17448"/>
    <n v="5"/>
    <n v="3.5335689045936395E-3"/>
    <s v="August"/>
  </r>
  <r>
    <x v="4"/>
    <s v="RDE"/>
    <x v="2"/>
    <x v="2"/>
    <n v="12119"/>
    <n v="13420"/>
    <n v="5908"/>
    <n v="502"/>
    <n v="886"/>
    <n v="356"/>
    <x v="4"/>
    <x v="1"/>
    <x v="1"/>
    <n v="0.4874989685617625"/>
    <n v="25539"/>
    <n v="5"/>
    <n v="2.9375361003383116E-2"/>
    <s v="August"/>
  </r>
  <r>
    <x v="4"/>
    <s v="RLT"/>
    <x v="5"/>
    <x v="13"/>
    <n v="6371"/>
    <n v="1621"/>
    <n v="2175"/>
    <n v="49"/>
    <n v="269"/>
    <n v="441"/>
    <x v="4"/>
    <x v="1"/>
    <x v="1"/>
    <n v="0.34139067650290378"/>
    <n v="7992"/>
    <n v="5"/>
    <n v="6.9219902684037049E-2"/>
    <s v="August"/>
  </r>
  <r>
    <x v="4"/>
    <s v="RAX"/>
    <x v="4"/>
    <x v="114"/>
    <n v="6570"/>
    <n v="8123"/>
    <n v="3420"/>
    <n v="267"/>
    <n v="288"/>
    <n v="222"/>
    <x v="4"/>
    <x v="1"/>
    <x v="1"/>
    <n v="0.52054794520547942"/>
    <n v="14693"/>
    <n v="5"/>
    <n v="3.3789954337899546E-2"/>
    <s v="August"/>
  </r>
  <r>
    <x v="4"/>
    <s v="NTPAD"/>
    <x v="0"/>
    <x v="112"/>
    <n v="0"/>
    <n v="5095"/>
    <n v="0"/>
    <n v="167"/>
    <n v="0"/>
    <n v="0"/>
    <x v="4"/>
    <x v="1"/>
    <x v="1"/>
    <n v="0"/>
    <n v="5095"/>
    <n v="5"/>
    <n v="0"/>
    <s v="August"/>
  </r>
  <r>
    <x v="4"/>
    <s v="RP5"/>
    <x v="6"/>
    <x v="53"/>
    <n v="13912"/>
    <n v="3919"/>
    <n v="4851"/>
    <n v="5"/>
    <n v="1164"/>
    <n v="108"/>
    <x v="4"/>
    <x v="1"/>
    <x v="1"/>
    <n v="0.34869177688326625"/>
    <n v="17831"/>
    <n v="5"/>
    <n v="7.7630822311673372E-3"/>
    <s v="August"/>
  </r>
  <r>
    <x v="4"/>
    <s v="RP6"/>
    <x v="4"/>
    <x v="192"/>
    <n v="0"/>
    <n v="0"/>
    <n v="0"/>
    <n v="0"/>
    <n v="0"/>
    <n v="0"/>
    <x v="4"/>
    <x v="1"/>
    <x v="1"/>
    <n v="0"/>
    <n v="0"/>
    <n v="5"/>
    <n v="0"/>
    <s v="August"/>
  </r>
  <r>
    <x v="4"/>
    <s v="RQM"/>
    <x v="4"/>
    <x v="19"/>
    <n v="18603"/>
    <n v="5508"/>
    <n v="5678"/>
    <n v="42"/>
    <n v="679"/>
    <n v="39"/>
    <x v="4"/>
    <x v="1"/>
    <x v="1"/>
    <n v="0.30521958823845619"/>
    <n v="24111"/>
    <n v="5"/>
    <n v="2.0964360587002098E-3"/>
    <s v="August"/>
  </r>
  <r>
    <x v="4"/>
    <s v="RTR"/>
    <x v="6"/>
    <x v="147"/>
    <n v="7133"/>
    <n v="9234"/>
    <n v="3730"/>
    <n v="302"/>
    <n v="381"/>
    <n v="11"/>
    <x v="4"/>
    <x v="1"/>
    <x v="1"/>
    <n v="0.52292163185195573"/>
    <n v="16367"/>
    <n v="5"/>
    <n v="1.5421281368288237E-3"/>
    <s v="August"/>
  </r>
  <r>
    <x v="4"/>
    <s v="RVJ"/>
    <x v="1"/>
    <x v="73"/>
    <n v="9415"/>
    <n v="0"/>
    <n v="3069"/>
    <n v="0"/>
    <n v="553"/>
    <n v="126"/>
    <x v="4"/>
    <x v="1"/>
    <x v="1"/>
    <n v="0.32596919808815722"/>
    <n v="9415"/>
    <n v="5"/>
    <n v="1.3382899628252789E-2"/>
    <s v="August"/>
  </r>
  <r>
    <x v="4"/>
    <s v="RW4"/>
    <x v="3"/>
    <x v="124"/>
    <n v="0"/>
    <n v="12199"/>
    <n v="0"/>
    <n v="174"/>
    <n v="0"/>
    <n v="0"/>
    <x v="4"/>
    <x v="1"/>
    <x v="1"/>
    <n v="0"/>
    <n v="12199"/>
    <n v="5"/>
    <n v="0"/>
    <s v="August"/>
  </r>
  <r>
    <x v="4"/>
    <s v="RWA"/>
    <x v="6"/>
    <x v="77"/>
    <n v="9446"/>
    <n v="4336"/>
    <n v="5071"/>
    <n v="183"/>
    <n v="932"/>
    <n v="337"/>
    <x v="4"/>
    <x v="1"/>
    <x v="1"/>
    <n v="0.53684099089561721"/>
    <n v="13782"/>
    <n v="5"/>
    <n v="3.5676476815583315E-2"/>
    <s v="August"/>
  </r>
  <r>
    <x v="4"/>
    <s v="RWD"/>
    <x v="5"/>
    <x v="78"/>
    <n v="16973"/>
    <n v="3804"/>
    <n v="6965"/>
    <n v="328"/>
    <n v="1042"/>
    <n v="1061"/>
    <x v="4"/>
    <x v="1"/>
    <x v="1"/>
    <n v="0.41035762681906557"/>
    <n v="20777"/>
    <n v="5"/>
    <n v="6.2511046956931604E-2"/>
    <s v="August"/>
  </r>
  <r>
    <x v="4"/>
    <s v="RWF"/>
    <x v="0"/>
    <x v="193"/>
    <n v="18957"/>
    <n v="2245"/>
    <n v="4236"/>
    <n v="20"/>
    <n v="932"/>
    <n v="130"/>
    <x v="4"/>
    <x v="1"/>
    <x v="1"/>
    <n v="0.22345307801867384"/>
    <n v="21202"/>
    <n v="5"/>
    <n v="6.8576251516590178E-3"/>
    <s v="August"/>
  </r>
  <r>
    <x v="4"/>
    <s v="RWG"/>
    <x v="2"/>
    <x v="80"/>
    <n v="7834"/>
    <n v="7109"/>
    <n v="2415"/>
    <n v="47"/>
    <n v="591"/>
    <n v="27"/>
    <x v="4"/>
    <x v="1"/>
    <x v="1"/>
    <n v="0.30827163645647176"/>
    <n v="14943"/>
    <n v="5"/>
    <n v="3.4465151901965792E-3"/>
    <s v="August"/>
  </r>
  <r>
    <x v="4"/>
    <s v="RWP"/>
    <x v="5"/>
    <x v="170"/>
    <n v="13741"/>
    <n v="6029"/>
    <n v="6939"/>
    <n v="79"/>
    <n v="1186"/>
    <n v="846"/>
    <x v="4"/>
    <x v="1"/>
    <x v="1"/>
    <n v="0.50498508114402152"/>
    <n v="19770"/>
    <n v="5"/>
    <n v="6.1567571501346334E-2"/>
    <s v="August"/>
  </r>
  <r>
    <x v="4"/>
    <s v="RWW"/>
    <x v="3"/>
    <x v="83"/>
    <n v="6781"/>
    <n v="2860"/>
    <n v="3543"/>
    <n v="37"/>
    <n v="729"/>
    <n v="825"/>
    <x v="4"/>
    <x v="1"/>
    <x v="1"/>
    <n v="0.52248930836159857"/>
    <n v="9641"/>
    <n v="5"/>
    <n v="0.12166347146438579"/>
    <s v="August"/>
  </r>
  <r>
    <x v="4"/>
    <s v="RX1"/>
    <x v="5"/>
    <x v="175"/>
    <n v="12151"/>
    <n v="0"/>
    <n v="6909"/>
    <n v="0"/>
    <n v="251"/>
    <n v="566"/>
    <x v="4"/>
    <x v="1"/>
    <x v="1"/>
    <n v="0.56859517735165832"/>
    <n v="12151"/>
    <n v="5"/>
    <n v="4.6580528351576E-2"/>
    <s v="August"/>
  </r>
  <r>
    <x v="4"/>
    <s v="RXC"/>
    <x v="0"/>
    <x v="84"/>
    <n v="8785"/>
    <n v="2555"/>
    <n v="3560"/>
    <n v="44"/>
    <n v="204"/>
    <n v="6"/>
    <x v="4"/>
    <x v="1"/>
    <x v="1"/>
    <n v="0.40523619806488331"/>
    <n v="11340"/>
    <n v="5"/>
    <n v="6.8298235628912922E-4"/>
    <s v="August"/>
  </r>
  <r>
    <x v="4"/>
    <s v="RXF"/>
    <x v="6"/>
    <x v="177"/>
    <n v="15988"/>
    <n v="6316"/>
    <n v="5760"/>
    <n v="146"/>
    <n v="1544"/>
    <n v="9"/>
    <x v="4"/>
    <x v="1"/>
    <x v="1"/>
    <n v="0.360270202651989"/>
    <n v="22304"/>
    <n v="5"/>
    <n v="5.6292219164373277E-4"/>
    <s v="August"/>
  </r>
  <r>
    <x v="4"/>
    <s v="RXP"/>
    <x v="6"/>
    <x v="87"/>
    <n v="12390"/>
    <n v="4169"/>
    <n v="4837"/>
    <n v="0"/>
    <n v="1701"/>
    <n v="9"/>
    <x v="4"/>
    <x v="1"/>
    <x v="1"/>
    <n v="0.39039548022598869"/>
    <n v="16559"/>
    <n v="5"/>
    <n v="7.2639225181598058E-4"/>
    <s v="August"/>
  </r>
  <r>
    <x v="4"/>
    <s v="RY2"/>
    <x v="3"/>
    <x v="173"/>
    <n v="0"/>
    <n v="2740"/>
    <n v="0"/>
    <n v="41"/>
    <n v="0"/>
    <n v="0"/>
    <x v="4"/>
    <x v="1"/>
    <x v="1"/>
    <n v="0"/>
    <n v="2740"/>
    <n v="5"/>
    <n v="0"/>
    <s v="August"/>
  </r>
  <r>
    <x v="4"/>
    <s v="RYJ"/>
    <x v="4"/>
    <x v="91"/>
    <n v="11631"/>
    <n v="6812"/>
    <n v="5103"/>
    <n v="226"/>
    <n v="645"/>
    <n v="0"/>
    <x v="4"/>
    <x v="1"/>
    <x v="1"/>
    <n v="0.43874129481557905"/>
    <n v="18443"/>
    <n v="5"/>
    <n v="0"/>
    <s v="August"/>
  </r>
  <r>
    <x v="4"/>
    <s v="AJN"/>
    <x v="6"/>
    <x v="187"/>
    <n v="0"/>
    <n v="343"/>
    <n v="0"/>
    <n v="0"/>
    <n v="0"/>
    <n v="0"/>
    <x v="4"/>
    <x v="1"/>
    <x v="1"/>
    <n v="0"/>
    <n v="343"/>
    <n v="5"/>
    <n v="0"/>
    <s v="August"/>
  </r>
  <r>
    <x v="4"/>
    <s v="C83023"/>
    <x v="5"/>
    <x v="44"/>
    <n v="0"/>
    <n v="531"/>
    <n v="0"/>
    <n v="0"/>
    <n v="0"/>
    <n v="0"/>
    <x v="4"/>
    <x v="1"/>
    <x v="1"/>
    <n v="0"/>
    <n v="531"/>
    <n v="5"/>
    <n v="0"/>
    <s v="August"/>
  </r>
  <r>
    <x v="4"/>
    <s v="NNJ"/>
    <x v="5"/>
    <x v="62"/>
    <n v="0"/>
    <n v="1904"/>
    <n v="0"/>
    <n v="1"/>
    <n v="0"/>
    <n v="0"/>
    <x v="4"/>
    <x v="1"/>
    <x v="1"/>
    <n v="0"/>
    <n v="1904"/>
    <n v="5"/>
    <n v="0"/>
    <s v="August"/>
  </r>
  <r>
    <x v="4"/>
    <s v="R1H"/>
    <x v="4"/>
    <x v="93"/>
    <n v="24190"/>
    <n v="17263"/>
    <n v="10598"/>
    <n v="1175"/>
    <n v="1234"/>
    <n v="799"/>
    <x v="4"/>
    <x v="1"/>
    <x v="1"/>
    <n v="0.43811492352211656"/>
    <n v="41453"/>
    <n v="5"/>
    <n v="3.3030177759404714E-2"/>
    <s v="August"/>
  </r>
  <r>
    <x v="4"/>
    <s v="RBQ"/>
    <x v="3"/>
    <x v="133"/>
    <n v="0"/>
    <n v="0"/>
    <n v="0"/>
    <n v="0"/>
    <n v="0"/>
    <n v="0"/>
    <x v="4"/>
    <x v="1"/>
    <x v="1"/>
    <n v="0"/>
    <n v="0"/>
    <n v="5"/>
    <n v="0"/>
    <s v="August"/>
  </r>
  <r>
    <x v="4"/>
    <s v="REF"/>
    <x v="1"/>
    <x v="4"/>
    <n v="7624"/>
    <n v="13575"/>
    <n v="3456"/>
    <n v="810"/>
    <n v="613"/>
    <n v="303"/>
    <x v="4"/>
    <x v="1"/>
    <x v="1"/>
    <n v="0.45330535152151102"/>
    <n v="21199"/>
    <n v="5"/>
    <n v="3.9742917103882475E-2"/>
    <s v="August"/>
  </r>
  <r>
    <x v="4"/>
    <s v="RC9"/>
    <x v="2"/>
    <x v="161"/>
    <n v="16039"/>
    <n v="7600"/>
    <n v="5896"/>
    <n v="0"/>
    <n v="82"/>
    <n v="3"/>
    <x v="4"/>
    <x v="1"/>
    <x v="1"/>
    <n v="0.36760396533449718"/>
    <n v="23639"/>
    <n v="5"/>
    <n v="1.8704408005486625E-4"/>
    <s v="August"/>
  </r>
  <r>
    <x v="4"/>
    <s v="C82009"/>
    <x v="5"/>
    <x v="179"/>
    <n v="0"/>
    <n v="306"/>
    <n v="0"/>
    <n v="0"/>
    <n v="0"/>
    <n v="0"/>
    <x v="4"/>
    <x v="1"/>
    <x v="1"/>
    <n v="0"/>
    <n v="306"/>
    <n v="5"/>
    <n v="0"/>
    <s v="August"/>
  </r>
  <r>
    <x v="4"/>
    <s v="NTP11"/>
    <x v="0"/>
    <x v="154"/>
    <n v="0"/>
    <n v="5076"/>
    <n v="0"/>
    <n v="48"/>
    <n v="0"/>
    <n v="0"/>
    <x v="4"/>
    <x v="1"/>
    <x v="1"/>
    <n v="0"/>
    <n v="5076"/>
    <n v="5"/>
    <n v="0"/>
    <s v="August"/>
  </r>
  <r>
    <x v="4"/>
    <s v="RBT"/>
    <x v="3"/>
    <x v="69"/>
    <n v="6896"/>
    <n v="2901"/>
    <n v="4340"/>
    <n v="16"/>
    <n v="611"/>
    <n v="378"/>
    <x v="4"/>
    <x v="1"/>
    <x v="1"/>
    <n v="0.62935034802784218"/>
    <n v="9797"/>
    <n v="5"/>
    <n v="5.4814385150812064E-2"/>
    <s v="August"/>
  </r>
  <r>
    <x v="4"/>
    <s v="RL1"/>
    <x v="5"/>
    <x v="12"/>
    <n v="0"/>
    <n v="0"/>
    <n v="0"/>
    <n v="0"/>
    <n v="0"/>
    <n v="0"/>
    <x v="4"/>
    <x v="1"/>
    <x v="1"/>
    <n v="0"/>
    <n v="0"/>
    <n v="5"/>
    <n v="0"/>
    <s v="August"/>
  </r>
  <r>
    <x v="4"/>
    <s v="RQ3"/>
    <x v="5"/>
    <x v="18"/>
    <n v="3491"/>
    <n v="0"/>
    <n v="155"/>
    <n v="0"/>
    <n v="7"/>
    <n v="1"/>
    <x v="4"/>
    <x v="1"/>
    <x v="1"/>
    <n v="4.439988541965053E-2"/>
    <n v="3491"/>
    <n v="5"/>
    <n v="2.8645087367516471E-4"/>
    <s v="August"/>
  </r>
  <r>
    <x v="4"/>
    <s v="RY8"/>
    <x v="5"/>
    <x v="152"/>
    <n v="0"/>
    <n v="7623"/>
    <n v="0"/>
    <n v="226"/>
    <n v="0"/>
    <n v="0"/>
    <x v="4"/>
    <x v="1"/>
    <x v="1"/>
    <n v="0"/>
    <n v="7623"/>
    <n v="5"/>
    <n v="0"/>
    <s v="August"/>
  </r>
  <r>
    <x v="4"/>
    <s v="ACH01"/>
    <x v="0"/>
    <x v="119"/>
    <n v="0"/>
    <n v="4916"/>
    <n v="0"/>
    <n v="0"/>
    <n v="0"/>
    <n v="0"/>
    <x v="4"/>
    <x v="1"/>
    <x v="1"/>
    <n v="0"/>
    <n v="4916"/>
    <n v="5"/>
    <n v="0"/>
    <s v="August"/>
  </r>
  <r>
    <x v="4"/>
    <s v="RAS"/>
    <x v="4"/>
    <x v="174"/>
    <n v="5574"/>
    <n v="6493"/>
    <n v="2127"/>
    <n v="64"/>
    <n v="181"/>
    <n v="8"/>
    <x v="4"/>
    <x v="1"/>
    <x v="1"/>
    <n v="0.38159311087190528"/>
    <n v="12067"/>
    <n v="5"/>
    <n v="1.4352350197344816E-3"/>
    <s v="August"/>
  </r>
  <r>
    <x v="4"/>
    <s v="RLQ"/>
    <x v="5"/>
    <x v="123"/>
    <n v="5759"/>
    <n v="201"/>
    <n v="2318"/>
    <n v="0"/>
    <n v="454"/>
    <n v="207"/>
    <x v="4"/>
    <x v="1"/>
    <x v="1"/>
    <n v="0.4025004341031429"/>
    <n v="5960"/>
    <n v="5"/>
    <n v="3.5943740232679287E-2"/>
    <s v="August"/>
  </r>
  <r>
    <x v="4"/>
    <s v="RNU"/>
    <x v="0"/>
    <x v="16"/>
    <n v="0"/>
    <n v="4244"/>
    <n v="0"/>
    <n v="116"/>
    <n v="0"/>
    <n v="0"/>
    <x v="4"/>
    <x v="1"/>
    <x v="1"/>
    <n v="0"/>
    <n v="4244"/>
    <n v="5"/>
    <n v="0"/>
    <s v="August"/>
  </r>
  <r>
    <x v="4"/>
    <s v="RQX"/>
    <x v="4"/>
    <x v="106"/>
    <n v="10343"/>
    <n v="0"/>
    <n v="1958"/>
    <n v="0"/>
    <n v="224"/>
    <n v="35"/>
    <x v="4"/>
    <x v="1"/>
    <x v="1"/>
    <n v="0.18930677753069708"/>
    <n v="10343"/>
    <n v="5"/>
    <n v="3.383931161171807E-3"/>
    <s v="August"/>
  </r>
  <r>
    <x v="4"/>
    <s v="RTQ"/>
    <x v="1"/>
    <x v="126"/>
    <n v="0"/>
    <n v="8680"/>
    <n v="0"/>
    <n v="125"/>
    <n v="0"/>
    <n v="0"/>
    <x v="4"/>
    <x v="1"/>
    <x v="1"/>
    <n v="0"/>
    <n v="8680"/>
    <n v="5"/>
    <n v="0"/>
    <s v="August"/>
  </r>
  <r>
    <x v="4"/>
    <s v="Y00751"/>
    <x v="0"/>
    <x v="116"/>
    <n v="0"/>
    <n v="0"/>
    <n v="0"/>
    <n v="0"/>
    <n v="0"/>
    <n v="0"/>
    <x v="4"/>
    <x v="1"/>
    <x v="1"/>
    <n v="0"/>
    <n v="0"/>
    <n v="5"/>
    <n v="0"/>
    <s v="August"/>
  </r>
  <r>
    <x v="4"/>
    <s v="Y02147"/>
    <x v="4"/>
    <x v="117"/>
    <n v="0"/>
    <n v="7556"/>
    <n v="0"/>
    <n v="113"/>
    <n v="0"/>
    <n v="0"/>
    <x v="4"/>
    <x v="1"/>
    <x v="1"/>
    <n v="0"/>
    <n v="7556"/>
    <n v="5"/>
    <n v="0"/>
    <s v="August"/>
  </r>
  <r>
    <x v="4"/>
    <s v="NDJ"/>
    <x v="0"/>
    <x v="0"/>
    <n v="0"/>
    <n v="2599"/>
    <n v="0"/>
    <n v="0"/>
    <n v="0"/>
    <n v="0"/>
    <x v="4"/>
    <x v="1"/>
    <x v="1"/>
    <n v="0"/>
    <n v="2599"/>
    <n v="5"/>
    <n v="0"/>
    <s v="August"/>
  </r>
  <r>
    <x v="4"/>
    <s v="NLX"/>
    <x v="1"/>
    <x v="181"/>
    <n v="0"/>
    <n v="8674"/>
    <n v="0"/>
    <n v="264"/>
    <n v="0"/>
    <n v="0"/>
    <x v="4"/>
    <x v="1"/>
    <x v="1"/>
    <n v="0"/>
    <n v="8674"/>
    <n v="5"/>
    <n v="0"/>
    <s v="August"/>
  </r>
  <r>
    <x v="4"/>
    <s v="NNF09"/>
    <x v="6"/>
    <x v="26"/>
    <n v="0"/>
    <n v="3507"/>
    <n v="0"/>
    <n v="262"/>
    <n v="0"/>
    <n v="0"/>
    <x v="4"/>
    <x v="1"/>
    <x v="1"/>
    <n v="0"/>
    <n v="3507"/>
    <n v="5"/>
    <n v="0"/>
    <s v="August"/>
  </r>
  <r>
    <x v="4"/>
    <s v="NNF16"/>
    <x v="6"/>
    <x v="27"/>
    <n v="0"/>
    <n v="1732"/>
    <n v="0"/>
    <n v="73"/>
    <n v="0"/>
    <n v="0"/>
    <x v="4"/>
    <x v="1"/>
    <x v="1"/>
    <n v="0"/>
    <n v="1732"/>
    <n v="5"/>
    <n v="0"/>
    <s v="August"/>
  </r>
  <r>
    <x v="4"/>
    <s v="NNF94"/>
    <x v="6"/>
    <x v="28"/>
    <n v="0"/>
    <n v="2699"/>
    <n v="0"/>
    <n v="156"/>
    <n v="0"/>
    <n v="0"/>
    <x v="4"/>
    <x v="1"/>
    <x v="1"/>
    <n v="0"/>
    <n v="2699"/>
    <n v="5"/>
    <n v="0"/>
    <s v="August"/>
  </r>
  <r>
    <x v="4"/>
    <s v="NNFA7"/>
    <x v="6"/>
    <x v="29"/>
    <n v="0"/>
    <n v="1554"/>
    <n v="0"/>
    <n v="7"/>
    <n v="0"/>
    <n v="0"/>
    <x v="4"/>
    <x v="1"/>
    <x v="1"/>
    <n v="0"/>
    <n v="1554"/>
    <n v="5"/>
    <n v="0"/>
    <s v="August"/>
  </r>
  <r>
    <x v="4"/>
    <s v="RA7"/>
    <x v="1"/>
    <x v="158"/>
    <n v="14677"/>
    <n v="0"/>
    <n v="5119"/>
    <n v="0"/>
    <n v="885"/>
    <n v="188"/>
    <x v="4"/>
    <x v="1"/>
    <x v="1"/>
    <n v="0.34877699802411938"/>
    <n v="14677"/>
    <n v="5"/>
    <n v="1.2809157184710773E-2"/>
    <s v="August"/>
  </r>
  <r>
    <x v="4"/>
    <s v="A5D4Q"/>
    <x v="5"/>
    <x v="201"/>
    <n v="0"/>
    <n v="3664"/>
    <n v="0"/>
    <n v="871"/>
    <n v="0"/>
    <n v="0"/>
    <x v="4"/>
    <x v="1"/>
    <x v="1"/>
    <n v="0"/>
    <n v="3664"/>
    <n v="5"/>
    <n v="0"/>
    <s v="August"/>
  </r>
  <r>
    <x v="4"/>
    <s v="RBD"/>
    <x v="1"/>
    <x v="183"/>
    <n v="5127"/>
    <n v="0"/>
    <n v="1675"/>
    <n v="0"/>
    <n v="196"/>
    <n v="44"/>
    <x v="4"/>
    <x v="1"/>
    <x v="1"/>
    <n v="0.3267017749171055"/>
    <n v="5127"/>
    <n v="5"/>
    <n v="8.5820167739418772E-3"/>
    <s v="August"/>
  </r>
  <r>
    <x v="4"/>
    <s v="RGP"/>
    <x v="2"/>
    <x v="146"/>
    <n v="7618"/>
    <n v="1350"/>
    <n v="3025"/>
    <n v="0"/>
    <n v="521"/>
    <n v="230"/>
    <x v="4"/>
    <x v="1"/>
    <x v="1"/>
    <n v="0.39708584930427931"/>
    <n v="8968"/>
    <n v="5"/>
    <n v="3.0191651352060908E-2"/>
    <s v="August"/>
  </r>
  <r>
    <x v="4"/>
    <s v="RDY"/>
    <x v="1"/>
    <x v="145"/>
    <n v="0"/>
    <n v="0"/>
    <n v="0"/>
    <n v="0"/>
    <n v="0"/>
    <n v="0"/>
    <x v="4"/>
    <x v="1"/>
    <x v="1"/>
    <n v="0"/>
    <n v="0"/>
    <n v="5"/>
    <n v="0"/>
    <s v="August"/>
  </r>
  <r>
    <x v="4"/>
    <s v="Y02676"/>
    <x v="0"/>
    <x v="52"/>
    <n v="0"/>
    <n v="1869"/>
    <n v="0"/>
    <n v="0"/>
    <n v="0"/>
    <n v="0"/>
    <x v="4"/>
    <x v="1"/>
    <x v="1"/>
    <n v="0"/>
    <n v="1869"/>
    <n v="5"/>
    <n v="0"/>
    <s v="August"/>
  </r>
  <r>
    <x v="4"/>
    <s v="DJV01"/>
    <x v="0"/>
    <x v="202"/>
    <n v="0"/>
    <n v="2531"/>
    <n v="0"/>
    <n v="0"/>
    <n v="0"/>
    <n v="0"/>
    <x v="4"/>
    <x v="1"/>
    <x v="1"/>
    <n v="0"/>
    <n v="2531"/>
    <n v="5"/>
    <n v="0"/>
    <s v="August"/>
  </r>
  <r>
    <x v="4"/>
    <s v="NL7"/>
    <x v="5"/>
    <x v="142"/>
    <n v="0"/>
    <n v="3085"/>
    <n v="0"/>
    <n v="0"/>
    <n v="0"/>
    <n v="0"/>
    <x v="4"/>
    <x v="1"/>
    <x v="1"/>
    <n v="0"/>
    <n v="3085"/>
    <n v="5"/>
    <n v="0"/>
    <s v="August"/>
  </r>
  <r>
    <x v="4"/>
    <s v="NQT51"/>
    <x v="0"/>
    <x v="111"/>
    <n v="0"/>
    <n v="1089"/>
    <n v="0"/>
    <n v="0"/>
    <n v="0"/>
    <n v="0"/>
    <x v="4"/>
    <x v="1"/>
    <x v="1"/>
    <n v="0"/>
    <n v="1089"/>
    <n v="5"/>
    <n v="0"/>
    <s v="August"/>
  </r>
  <r>
    <x v="4"/>
    <s v="NQTE4"/>
    <x v="5"/>
    <x v="132"/>
    <n v="0"/>
    <n v="2916"/>
    <n v="0"/>
    <n v="0"/>
    <n v="0"/>
    <n v="0"/>
    <x v="4"/>
    <x v="1"/>
    <x v="1"/>
    <n v="0"/>
    <n v="2916"/>
    <n v="5"/>
    <n v="0"/>
    <s v="August"/>
  </r>
  <r>
    <x v="4"/>
    <s v="NTV0B"/>
    <x v="0"/>
    <x v="127"/>
    <n v="0"/>
    <n v="2325"/>
    <n v="0"/>
    <n v="23"/>
    <n v="0"/>
    <n v="0"/>
    <x v="4"/>
    <x v="1"/>
    <x v="1"/>
    <n v="0"/>
    <n v="2325"/>
    <n v="5"/>
    <n v="0"/>
    <s v="August"/>
  </r>
  <r>
    <x v="4"/>
    <s v="NTV0W"/>
    <x v="0"/>
    <x v="128"/>
    <n v="0"/>
    <n v="2325"/>
    <n v="0"/>
    <n v="23"/>
    <n v="0"/>
    <n v="0"/>
    <x v="4"/>
    <x v="1"/>
    <x v="1"/>
    <n v="0"/>
    <n v="2325"/>
    <n v="5"/>
    <n v="0"/>
    <s v="August"/>
  </r>
  <r>
    <x v="4"/>
    <s v="RCD"/>
    <x v="6"/>
    <x v="134"/>
    <n v="5031"/>
    <n v="1100"/>
    <n v="1103"/>
    <n v="0"/>
    <n v="95"/>
    <n v="0"/>
    <x v="4"/>
    <x v="1"/>
    <x v="1"/>
    <n v="0.21924070761280062"/>
    <n v="6131"/>
    <n v="5"/>
    <n v="0"/>
    <s v="August"/>
  </r>
  <r>
    <x v="4"/>
    <s v="RWY"/>
    <x v="6"/>
    <x v="138"/>
    <n v="15446"/>
    <n v="0"/>
    <n v="2708"/>
    <n v="0"/>
    <n v="846"/>
    <n v="16"/>
    <x v="4"/>
    <x v="1"/>
    <x v="1"/>
    <n v="0.17532047131943546"/>
    <n v="15446"/>
    <n v="5"/>
    <n v="1.035866891104493E-3"/>
    <s v="August"/>
  </r>
  <r>
    <x v="4"/>
    <s v="Y02532"/>
    <x v="3"/>
    <x v="141"/>
    <n v="0"/>
    <n v="1643"/>
    <n v="0"/>
    <n v="2"/>
    <n v="0"/>
    <n v="0"/>
    <x v="4"/>
    <x v="1"/>
    <x v="1"/>
    <n v="0"/>
    <n v="1643"/>
    <n v="5"/>
    <n v="0"/>
    <s v="August"/>
  </r>
  <r>
    <x v="4"/>
    <s v="Y02615"/>
    <x v="5"/>
    <x v="129"/>
    <n v="0"/>
    <n v="5641"/>
    <n v="0"/>
    <n v="0"/>
    <n v="0"/>
    <n v="0"/>
    <x v="4"/>
    <x v="1"/>
    <x v="1"/>
    <n v="0"/>
    <n v="5641"/>
    <n v="5"/>
    <n v="0"/>
    <s v="August"/>
  </r>
  <r>
    <x v="4"/>
    <s v="AAH"/>
    <x v="1"/>
    <x v="149"/>
    <n v="0"/>
    <n v="482"/>
    <n v="0"/>
    <n v="0"/>
    <n v="0"/>
    <n v="0"/>
    <x v="4"/>
    <x v="1"/>
    <x v="1"/>
    <n v="0"/>
    <n v="482"/>
    <n v="5"/>
    <n v="0"/>
    <s v="August"/>
  </r>
  <r>
    <x v="4"/>
    <s v="RPA"/>
    <x v="0"/>
    <x v="191"/>
    <n v="9278"/>
    <n v="5843"/>
    <n v="3599"/>
    <n v="689"/>
    <n v="334"/>
    <n v="696"/>
    <x v="4"/>
    <x v="1"/>
    <x v="1"/>
    <n v="0.38790687648200045"/>
    <n v="15121"/>
    <n v="5"/>
    <n v="7.5016167277430476E-2"/>
    <s v="August"/>
  </r>
  <r>
    <x v="4"/>
    <s v="RTP"/>
    <x v="0"/>
    <x v="136"/>
    <n v="10052"/>
    <n v="0"/>
    <n v="3904"/>
    <n v="0"/>
    <n v="552"/>
    <n v="538"/>
    <x v="4"/>
    <x v="1"/>
    <x v="1"/>
    <n v="0.38838042180660565"/>
    <n v="10052"/>
    <n v="5"/>
    <n v="5.3521687226422601E-2"/>
    <s v="August"/>
  </r>
  <r>
    <x v="4"/>
    <s v="RW1"/>
    <x v="0"/>
    <x v="137"/>
    <n v="0"/>
    <n v="2986"/>
    <n v="0"/>
    <n v="65"/>
    <n v="0"/>
    <n v="0"/>
    <x v="4"/>
    <x v="1"/>
    <x v="1"/>
    <n v="0"/>
    <n v="2986"/>
    <n v="5"/>
    <n v="0"/>
    <s v="August"/>
  </r>
  <r>
    <x v="4"/>
    <s v="RYY"/>
    <x v="0"/>
    <x v="122"/>
    <n v="0"/>
    <n v="6264"/>
    <n v="0"/>
    <n v="21"/>
    <n v="0"/>
    <n v="0"/>
    <x v="4"/>
    <x v="1"/>
    <x v="1"/>
    <n v="0"/>
    <n v="6264"/>
    <n v="5"/>
    <n v="0"/>
    <s v="August"/>
  </r>
  <r>
    <x v="4"/>
    <s v="Y03218"/>
    <x v="4"/>
    <x v="108"/>
    <n v="0"/>
    <n v="998"/>
    <n v="0"/>
    <n v="0"/>
    <n v="0"/>
    <n v="0"/>
    <x v="4"/>
    <x v="1"/>
    <x v="1"/>
    <n v="0"/>
    <n v="998"/>
    <n v="5"/>
    <n v="0"/>
    <s v="August"/>
  </r>
  <r>
    <x v="4"/>
    <s v="DT301"/>
    <x v="2"/>
    <x v="110"/>
    <n v="0"/>
    <n v="2050"/>
    <n v="0"/>
    <n v="98"/>
    <n v="0"/>
    <n v="0"/>
    <x v="4"/>
    <x v="1"/>
    <x v="1"/>
    <n v="0"/>
    <n v="2050"/>
    <n v="5"/>
    <n v="0"/>
    <s v="August"/>
  </r>
  <r>
    <x v="4"/>
    <s v="L83087"/>
    <x v="1"/>
    <x v="180"/>
    <n v="0"/>
    <n v="103"/>
    <n v="0"/>
    <n v="0"/>
    <n v="0"/>
    <n v="0"/>
    <x v="4"/>
    <x v="1"/>
    <x v="1"/>
    <n v="0"/>
    <n v="103"/>
    <n v="5"/>
    <n v="0"/>
    <s v="August"/>
  </r>
  <r>
    <x v="4"/>
    <s v="R0B"/>
    <x v="6"/>
    <x v="156"/>
    <n v="10927"/>
    <n v="5708"/>
    <n v="5402"/>
    <n v="132"/>
    <n v="663"/>
    <n v="4"/>
    <x v="4"/>
    <x v="1"/>
    <x v="1"/>
    <n v="0.49437173972728105"/>
    <n v="16635"/>
    <n v="5"/>
    <n v="3.6606570879472864E-4"/>
    <s v="August"/>
  </r>
  <r>
    <x v="4"/>
    <s v="RBS"/>
    <x v="3"/>
    <x v="160"/>
    <n v="4303"/>
    <n v="0"/>
    <n v="424"/>
    <n v="0"/>
    <n v="0"/>
    <n v="0"/>
    <x v="4"/>
    <x v="1"/>
    <x v="1"/>
    <n v="9.8535905182430869E-2"/>
    <n v="4303"/>
    <n v="5"/>
    <n v="0"/>
    <s v="August"/>
  </r>
  <r>
    <x v="4"/>
    <s v="RFF"/>
    <x v="6"/>
    <x v="104"/>
    <n v="9140"/>
    <n v="0"/>
    <n v="1992"/>
    <n v="0"/>
    <n v="260"/>
    <n v="0"/>
    <x v="4"/>
    <x v="1"/>
    <x v="1"/>
    <n v="0.21794310722100657"/>
    <n v="9140"/>
    <n v="5"/>
    <n v="0"/>
    <s v="August"/>
  </r>
  <r>
    <x v="4"/>
    <s v="RCU"/>
    <x v="6"/>
    <x v="184"/>
    <n v="3594"/>
    <n v="0"/>
    <n v="173"/>
    <n v="0"/>
    <n v="8"/>
    <n v="0"/>
    <x v="4"/>
    <x v="1"/>
    <x v="1"/>
    <n v="4.8135781858653311E-2"/>
    <n v="3594"/>
    <n v="5"/>
    <n v="0"/>
    <s v="August"/>
  </r>
  <r>
    <x v="4"/>
    <s v="RBV"/>
    <x v="3"/>
    <x v="22"/>
    <n v="0"/>
    <n v="0"/>
    <n v="0"/>
    <n v="0"/>
    <n v="0"/>
    <n v="0"/>
    <x v="4"/>
    <x v="1"/>
    <x v="1"/>
    <n v="0"/>
    <n v="0"/>
    <n v="5"/>
    <n v="0"/>
    <s v="August"/>
  </r>
  <r>
    <x v="4"/>
    <s v="REP"/>
    <x v="3"/>
    <x v="38"/>
    <n v="0"/>
    <n v="0"/>
    <n v="0"/>
    <n v="0"/>
    <n v="0"/>
    <n v="0"/>
    <x v="4"/>
    <x v="1"/>
    <x v="1"/>
    <n v="0"/>
    <n v="0"/>
    <n v="5"/>
    <n v="0"/>
    <s v="August"/>
  </r>
  <r>
    <x v="4"/>
    <s v="RJ1"/>
    <x v="4"/>
    <x v="43"/>
    <n v="9878"/>
    <n v="6783"/>
    <n v="3438"/>
    <n v="168"/>
    <n v="107"/>
    <n v="61"/>
    <x v="4"/>
    <x v="1"/>
    <x v="1"/>
    <n v="0.34804616319092935"/>
    <n v="16661"/>
    <n v="5"/>
    <n v="6.1753391374772225E-3"/>
    <s v="August"/>
  </r>
  <r>
    <x v="4"/>
    <s v="RJL"/>
    <x v="6"/>
    <x v="164"/>
    <n v="9249"/>
    <n v="6912"/>
    <n v="4275"/>
    <n v="53"/>
    <n v="653"/>
    <n v="594"/>
    <x v="4"/>
    <x v="1"/>
    <x v="1"/>
    <n v="0.46221213104119363"/>
    <n v="16161"/>
    <n v="5"/>
    <n v="6.4223159260460586E-2"/>
    <s v="August"/>
  </r>
  <r>
    <x v="4"/>
    <s v="RJN"/>
    <x v="3"/>
    <x v="125"/>
    <n v="4192"/>
    <n v="0"/>
    <n v="2265"/>
    <n v="0"/>
    <n v="214"/>
    <n v="432"/>
    <x v="4"/>
    <x v="1"/>
    <x v="1"/>
    <n v="0.54031488549618323"/>
    <n v="4192"/>
    <n v="5"/>
    <n v="0.10305343511450382"/>
    <s v="August"/>
  </r>
  <r>
    <x v="4"/>
    <s v="RJR"/>
    <x v="3"/>
    <x v="105"/>
    <n v="5200"/>
    <n v="2249"/>
    <n v="2523"/>
    <n v="127"/>
    <n v="763"/>
    <n v="330"/>
    <x v="4"/>
    <x v="1"/>
    <x v="1"/>
    <n v="0.4851923076923077"/>
    <n v="7449"/>
    <n v="5"/>
    <n v="6.3461538461538458E-2"/>
    <s v="August"/>
  </r>
  <r>
    <x v="4"/>
    <s v="RKE"/>
    <x v="4"/>
    <x v="194"/>
    <n v="8361"/>
    <n v="0"/>
    <n v="2409"/>
    <n v="0"/>
    <n v="235"/>
    <n v="137"/>
    <x v="4"/>
    <x v="1"/>
    <x v="1"/>
    <n v="0.28812343021169717"/>
    <n v="8361"/>
    <n v="5"/>
    <n v="1.638559980863533E-2"/>
    <s v="August"/>
  </r>
  <r>
    <x v="4"/>
    <s v="RQW"/>
    <x v="2"/>
    <x v="150"/>
    <n v="7952"/>
    <n v="1746"/>
    <n v="2556"/>
    <n v="0"/>
    <n v="484"/>
    <n v="195"/>
    <x v="4"/>
    <x v="1"/>
    <x v="1"/>
    <n v="0.32142857142857145"/>
    <n v="9698"/>
    <n v="5"/>
    <n v="2.4522132796780685E-2"/>
    <s v="August"/>
  </r>
  <r>
    <x v="4"/>
    <s v="RRF"/>
    <x v="3"/>
    <x v="21"/>
    <n v="7288"/>
    <n v="4956"/>
    <n v="2788"/>
    <n v="30"/>
    <n v="530"/>
    <n v="260"/>
    <x v="4"/>
    <x v="1"/>
    <x v="1"/>
    <n v="0.38254665203073546"/>
    <n v="12244"/>
    <n v="5"/>
    <n v="3.5675082327113063E-2"/>
    <s v="August"/>
  </r>
  <r>
    <x v="4"/>
    <s v="RTX"/>
    <x v="3"/>
    <x v="98"/>
    <n v="9279"/>
    <n v="3181"/>
    <n v="3434"/>
    <n v="78"/>
    <n v="684"/>
    <n v="360"/>
    <x v="4"/>
    <x v="1"/>
    <x v="1"/>
    <n v="0.37008298308007326"/>
    <n v="12460"/>
    <n v="5"/>
    <n v="3.8797284190106696E-2"/>
    <s v="August"/>
  </r>
  <r>
    <x v="4"/>
    <s v="RV9"/>
    <x v="6"/>
    <x v="148"/>
    <n v="0"/>
    <n v="1210"/>
    <n v="0"/>
    <n v="7"/>
    <n v="0"/>
    <n v="0"/>
    <x v="4"/>
    <x v="1"/>
    <x v="1"/>
    <n v="0"/>
    <n v="1210"/>
    <n v="5"/>
    <n v="0"/>
    <s v="August"/>
  </r>
  <r>
    <x v="4"/>
    <s v="RWE"/>
    <x v="5"/>
    <x v="79"/>
    <n v="20916"/>
    <n v="0"/>
    <n v="8251"/>
    <n v="0"/>
    <n v="1161"/>
    <n v="964"/>
    <x v="4"/>
    <x v="1"/>
    <x v="1"/>
    <n v="0.39448269267546376"/>
    <n v="20916"/>
    <n v="5"/>
    <n v="4.6089118378275007E-2"/>
    <s v="August"/>
  </r>
  <r>
    <x v="4"/>
    <s v="RWH"/>
    <x v="2"/>
    <x v="81"/>
    <n v="8370"/>
    <n v="8102"/>
    <n v="3609"/>
    <n v="42"/>
    <n v="192"/>
    <n v="23"/>
    <x v="4"/>
    <x v="1"/>
    <x v="1"/>
    <n v="0.4311827956989247"/>
    <n v="16472"/>
    <n v="5"/>
    <n v="2.7479091995221026E-3"/>
    <s v="August"/>
  </r>
  <r>
    <x v="4"/>
    <s v="RXK"/>
    <x v="5"/>
    <x v="176"/>
    <n v="10876"/>
    <n v="7706"/>
    <n v="3770"/>
    <n v="133"/>
    <n v="645"/>
    <n v="102"/>
    <x v="4"/>
    <x v="1"/>
    <x v="1"/>
    <n v="0.3466347922030158"/>
    <n v="18582"/>
    <n v="5"/>
    <n v="9.3784479588083849E-3"/>
    <s v="August"/>
  </r>
  <r>
    <x v="4"/>
    <s v="RXL"/>
    <x v="3"/>
    <x v="86"/>
    <n v="9421"/>
    <n v="10199"/>
    <n v="4240"/>
    <n v="56"/>
    <n v="820"/>
    <n v="262"/>
    <x v="4"/>
    <x v="1"/>
    <x v="1"/>
    <n v="0.45005838021441463"/>
    <n v="19620"/>
    <n v="5"/>
    <n v="2.7810211230230336E-2"/>
    <s v="August"/>
  </r>
  <r>
    <x v="4"/>
    <s v="RXR"/>
    <x v="3"/>
    <x v="107"/>
    <n v="13281"/>
    <n v="10655"/>
    <n v="4442"/>
    <n v="595"/>
    <n v="577"/>
    <n v="925"/>
    <x v="4"/>
    <x v="1"/>
    <x v="1"/>
    <n v="0.33446276635795497"/>
    <n v="23936"/>
    <n v="5"/>
    <n v="6.9648369851667793E-2"/>
    <s v="August"/>
  </r>
  <r>
    <x v="4"/>
    <s v="RYR"/>
    <x v="0"/>
    <x v="92"/>
    <n v="26764"/>
    <n v="2094"/>
    <n v="10519"/>
    <n v="235"/>
    <n v="632"/>
    <n v="534"/>
    <x v="4"/>
    <x v="1"/>
    <x v="1"/>
    <n v="0.39302794798983709"/>
    <n v="28858"/>
    <n v="5"/>
    <n v="1.9952174562845613E-2"/>
    <s v="August"/>
  </r>
  <r>
    <x v="4"/>
    <s v="Y03007"/>
    <x v="5"/>
    <x v="118"/>
    <n v="0"/>
    <n v="0"/>
    <n v="0"/>
    <n v="0"/>
    <n v="0"/>
    <n v="0"/>
    <x v="4"/>
    <x v="1"/>
    <x v="1"/>
    <n v="0"/>
    <n v="0"/>
    <n v="5"/>
    <n v="0"/>
    <s v="August"/>
  </r>
  <r>
    <x v="4"/>
    <s v="AQM01"/>
    <x v="0"/>
    <x v="198"/>
    <n v="0"/>
    <n v="2864"/>
    <n v="0"/>
    <n v="0"/>
    <n v="0"/>
    <n v="0"/>
    <x v="4"/>
    <x v="1"/>
    <x v="1"/>
    <n v="0"/>
    <n v="2864"/>
    <n v="5"/>
    <n v="0"/>
    <s v="August"/>
  </r>
  <r>
    <x v="4"/>
    <s v="R0D"/>
    <x v="1"/>
    <x v="157"/>
    <n v="14621"/>
    <n v="5370"/>
    <n v="5621"/>
    <n v="0"/>
    <n v="617"/>
    <n v="57"/>
    <x v="4"/>
    <x v="1"/>
    <x v="1"/>
    <n v="0.38444702824704191"/>
    <n v="19991"/>
    <n v="5"/>
    <n v="3.898502154435401E-3"/>
    <s v="August"/>
  </r>
  <r>
    <x v="4"/>
    <s v="R1F"/>
    <x v="0"/>
    <x v="25"/>
    <n v="4420"/>
    <n v="1844"/>
    <n v="1619"/>
    <n v="65"/>
    <n v="228"/>
    <n v="100"/>
    <x v="4"/>
    <x v="1"/>
    <x v="1"/>
    <n v="0.36628959276018097"/>
    <n v="6264"/>
    <n v="5"/>
    <n v="2.2624434389140271E-2"/>
    <s v="August"/>
  </r>
  <r>
    <x v="4"/>
    <s v="RAJ"/>
    <x v="2"/>
    <x v="32"/>
    <n v="28878"/>
    <n v="4089"/>
    <n v="7915"/>
    <n v="106"/>
    <n v="1943"/>
    <n v="303"/>
    <x v="4"/>
    <x v="1"/>
    <x v="1"/>
    <n v="0.2740840778447261"/>
    <n v="32967"/>
    <n v="5"/>
    <n v="1.0492416372324953E-2"/>
    <s v="August"/>
  </r>
  <r>
    <x v="4"/>
    <s v="RBN"/>
    <x v="3"/>
    <x v="34"/>
    <n v="16472"/>
    <n v="7270"/>
    <n v="6432"/>
    <n v="79"/>
    <n v="566"/>
    <n v="290"/>
    <x v="4"/>
    <x v="1"/>
    <x v="1"/>
    <n v="0.39048081593006312"/>
    <n v="23742"/>
    <n v="5"/>
    <n v="1.7605633802816902E-2"/>
    <s v="August"/>
  </r>
  <r>
    <x v="4"/>
    <s v="RFR"/>
    <x v="6"/>
    <x v="39"/>
    <n v="8638"/>
    <n v="0"/>
    <n v="2524"/>
    <n v="0"/>
    <n v="318"/>
    <n v="0"/>
    <x v="4"/>
    <x v="1"/>
    <x v="1"/>
    <n v="0.29219726788608474"/>
    <n v="8638"/>
    <n v="5"/>
    <n v="0"/>
    <s v="August"/>
  </r>
  <r>
    <x v="4"/>
    <s v="RCF"/>
    <x v="6"/>
    <x v="162"/>
    <n v="6036"/>
    <n v="0"/>
    <n v="2246"/>
    <n v="0"/>
    <n v="424"/>
    <n v="61"/>
    <x v="4"/>
    <x v="1"/>
    <x v="1"/>
    <n v="0.37210072895957585"/>
    <n v="6036"/>
    <n v="5"/>
    <n v="1.0106030483764083E-2"/>
    <s v="August"/>
  </r>
  <r>
    <x v="4"/>
    <s v="RCX"/>
    <x v="2"/>
    <x v="103"/>
    <n v="6802"/>
    <n v="1151"/>
    <n v="3245"/>
    <n v="0"/>
    <n v="702"/>
    <n v="124"/>
    <x v="4"/>
    <x v="1"/>
    <x v="1"/>
    <n v="0.47706556895030872"/>
    <n v="7953"/>
    <n v="5"/>
    <n v="1.822993237283152E-2"/>
    <s v="August"/>
  </r>
  <r>
    <x v="4"/>
    <s v="RA9"/>
    <x v="1"/>
    <x v="113"/>
    <n v="6928"/>
    <n v="3552"/>
    <n v="2700"/>
    <n v="17"/>
    <n v="179"/>
    <n v="31"/>
    <x v="4"/>
    <x v="1"/>
    <x v="1"/>
    <n v="0.38972286374133946"/>
    <n v="10480"/>
    <n v="5"/>
    <n v="4.4745958429561203E-3"/>
    <s v="August"/>
  </r>
  <r>
    <x v="4"/>
    <s v="RGR"/>
    <x v="2"/>
    <x v="186"/>
    <n v="7826"/>
    <n v="649"/>
    <n v="2231"/>
    <n v="0"/>
    <n v="438"/>
    <n v="199"/>
    <x v="4"/>
    <x v="1"/>
    <x v="1"/>
    <n v="0.2850753897265525"/>
    <n v="8475"/>
    <n v="5"/>
    <n v="2.5428060311781242E-2"/>
    <s v="August"/>
  </r>
  <r>
    <x v="4"/>
    <s v="RK9"/>
    <x v="1"/>
    <x v="195"/>
    <n v="9265"/>
    <n v="5765"/>
    <n v="4281"/>
    <n v="95"/>
    <n v="680"/>
    <n v="329"/>
    <x v="4"/>
    <x v="1"/>
    <x v="1"/>
    <n v="0.462061521856449"/>
    <n v="15030"/>
    <n v="5"/>
    <n v="3.5509983810037775E-2"/>
    <s v="August"/>
  </r>
  <r>
    <x v="4"/>
    <s v="RKB"/>
    <x v="5"/>
    <x v="11"/>
    <n v="11743"/>
    <n v="5448"/>
    <n v="4495"/>
    <n v="82"/>
    <n v="74"/>
    <n v="9"/>
    <x v="4"/>
    <x v="1"/>
    <x v="1"/>
    <n v="0.38278123137188114"/>
    <n v="17191"/>
    <n v="5"/>
    <n v="7.6641403389253167E-4"/>
    <s v="August"/>
  </r>
  <r>
    <x v="4"/>
    <s v="RMC"/>
    <x v="3"/>
    <x v="72"/>
    <n v="7488"/>
    <n v="3890"/>
    <n v="3709"/>
    <n v="318"/>
    <n v="481"/>
    <n v="331"/>
    <x v="4"/>
    <x v="1"/>
    <x v="1"/>
    <n v="0.49532585470085472"/>
    <n v="11378"/>
    <n v="5"/>
    <n v="4.4204059829059832E-2"/>
    <s v="August"/>
  </r>
  <r>
    <x v="4"/>
    <s v="RPC"/>
    <x v="0"/>
    <x v="190"/>
    <n v="0"/>
    <n v="1387"/>
    <n v="0"/>
    <n v="2"/>
    <n v="0"/>
    <n v="0"/>
    <x v="4"/>
    <x v="1"/>
    <x v="1"/>
    <n v="0"/>
    <n v="1387"/>
    <n v="5"/>
    <n v="0"/>
    <s v="August"/>
  </r>
  <r>
    <x v="4"/>
    <s v="RRV"/>
    <x v="4"/>
    <x v="171"/>
    <n v="12926"/>
    <n v="0"/>
    <n v="3381"/>
    <n v="0"/>
    <n v="299"/>
    <n v="72"/>
    <x v="4"/>
    <x v="1"/>
    <x v="1"/>
    <n v="0.26156583629893237"/>
    <n v="12926"/>
    <n v="5"/>
    <n v="5.5701686523286402E-3"/>
    <s v="August"/>
  </r>
  <r>
    <x v="4"/>
    <s v="RTE"/>
    <x v="1"/>
    <x v="23"/>
    <n v="13420"/>
    <n v="0"/>
    <n v="5301"/>
    <n v="0"/>
    <n v="439"/>
    <n v="221"/>
    <x v="4"/>
    <x v="1"/>
    <x v="1"/>
    <n v="0.39500745156482864"/>
    <n v="13420"/>
    <n v="5"/>
    <n v="1.6467958271236961E-2"/>
    <s v="August"/>
  </r>
  <r>
    <x v="4"/>
    <s v="RTK"/>
    <x v="0"/>
    <x v="49"/>
    <n v="6990"/>
    <n v="2820"/>
    <n v="3499"/>
    <n v="31"/>
    <n v="535"/>
    <n v="118"/>
    <x v="4"/>
    <x v="1"/>
    <x v="1"/>
    <n v="0.5005722460658083"/>
    <n v="9810"/>
    <n v="5"/>
    <n v="1.688125894134478E-2"/>
    <s v="August"/>
  </r>
  <r>
    <x v="4"/>
    <s v="RYF"/>
    <x v="1"/>
    <x v="89"/>
    <n v="0"/>
    <n v="1972"/>
    <n v="0"/>
    <n v="47"/>
    <n v="0"/>
    <n v="0"/>
    <x v="4"/>
    <x v="1"/>
    <x v="1"/>
    <n v="0"/>
    <n v="1972"/>
    <n v="5"/>
    <n v="0"/>
    <s v="August"/>
  </r>
  <r>
    <x v="4"/>
    <s v="Y02428"/>
    <x v="2"/>
    <x v="140"/>
    <n v="0"/>
    <n v="2334"/>
    <n v="0"/>
    <n v="0"/>
    <n v="0"/>
    <n v="0"/>
    <x v="4"/>
    <x v="1"/>
    <x v="1"/>
    <n v="0"/>
    <n v="2334"/>
    <n v="5"/>
    <n v="0"/>
    <s v="August"/>
  </r>
  <r>
    <x v="4"/>
    <s v="8J094"/>
    <x v="5"/>
    <x v="109"/>
    <n v="0"/>
    <n v="0"/>
    <n v="0"/>
    <n v="0"/>
    <n v="0"/>
    <n v="0"/>
    <x v="4"/>
    <x v="1"/>
    <x v="1"/>
    <n v="0"/>
    <n v="0"/>
    <n v="5"/>
    <n v="0"/>
    <s v="August"/>
  </r>
  <r>
    <x v="4"/>
    <s v="AD913"/>
    <x v="4"/>
    <x v="70"/>
    <n v="0"/>
    <n v="3363"/>
    <n v="0"/>
    <n v="13"/>
    <n v="0"/>
    <n v="0"/>
    <x v="4"/>
    <x v="1"/>
    <x v="1"/>
    <n v="0"/>
    <n v="3363"/>
    <n v="5"/>
    <n v="0"/>
    <s v="August"/>
  </r>
  <r>
    <x v="4"/>
    <s v="G3P9C"/>
    <x v="1"/>
    <x v="199"/>
    <n v="0"/>
    <n v="1058"/>
    <n v="0"/>
    <n v="7"/>
    <n v="0"/>
    <n v="0"/>
    <x v="4"/>
    <x v="1"/>
    <x v="1"/>
    <n v="0"/>
    <n v="1058"/>
    <n v="5"/>
    <n v="0"/>
    <s v="August"/>
  </r>
  <r>
    <x v="4"/>
    <s v="NQT1I"/>
    <x v="1"/>
    <x v="200"/>
    <n v="0"/>
    <n v="1685"/>
    <n v="0"/>
    <n v="9"/>
    <n v="0"/>
    <n v="0"/>
    <x v="4"/>
    <x v="1"/>
    <x v="1"/>
    <n v="0"/>
    <n v="1685"/>
    <n v="5"/>
    <n v="0"/>
    <s v="August"/>
  </r>
  <r>
    <x v="4"/>
    <s v="NQT5F"/>
    <x v="3"/>
    <x v="143"/>
    <n v="0"/>
    <n v="1584"/>
    <n v="0"/>
    <n v="7"/>
    <n v="0"/>
    <n v="0"/>
    <x v="4"/>
    <x v="1"/>
    <x v="1"/>
    <n v="0"/>
    <n v="1584"/>
    <n v="5"/>
    <n v="0"/>
    <s v="August"/>
  </r>
  <r>
    <x v="4"/>
    <s v="NQT5H"/>
    <x v="1"/>
    <x v="144"/>
    <n v="0"/>
    <n v="1148"/>
    <n v="0"/>
    <n v="2"/>
    <n v="0"/>
    <n v="0"/>
    <x v="4"/>
    <x v="1"/>
    <x v="1"/>
    <n v="0"/>
    <n v="1148"/>
    <n v="5"/>
    <n v="0"/>
    <s v="August"/>
  </r>
  <r>
    <x v="4"/>
    <s v="NR3"/>
    <x v="5"/>
    <x v="45"/>
    <n v="0"/>
    <n v="4694"/>
    <n v="0"/>
    <n v="231"/>
    <n v="0"/>
    <n v="0"/>
    <x v="4"/>
    <x v="1"/>
    <x v="1"/>
    <n v="0"/>
    <n v="4694"/>
    <n v="5"/>
    <n v="0"/>
    <s v="August"/>
  </r>
  <r>
    <x v="4"/>
    <s v="NV693"/>
    <x v="3"/>
    <x v="102"/>
    <n v="0"/>
    <n v="1018"/>
    <n v="0"/>
    <n v="0"/>
    <n v="0"/>
    <n v="0"/>
    <x v="4"/>
    <x v="1"/>
    <x v="1"/>
    <n v="0"/>
    <n v="1018"/>
    <n v="5"/>
    <n v="0"/>
    <s v="August"/>
  </r>
  <r>
    <x v="4"/>
    <s v="R0A"/>
    <x v="3"/>
    <x v="155"/>
    <n v="23856"/>
    <n v="10819"/>
    <n v="10063"/>
    <n v="284"/>
    <n v="2881"/>
    <n v="69"/>
    <x v="4"/>
    <x v="1"/>
    <x v="1"/>
    <n v="0.42182260228034874"/>
    <n v="34675"/>
    <n v="5"/>
    <n v="2.8923541247484908E-3"/>
    <s v="August"/>
  </r>
  <r>
    <x v="4"/>
    <s v="R1D"/>
    <x v="5"/>
    <x v="46"/>
    <n v="0"/>
    <n v="3193"/>
    <n v="0"/>
    <n v="52"/>
    <n v="0"/>
    <n v="0"/>
    <x v="4"/>
    <x v="1"/>
    <x v="1"/>
    <n v="0"/>
    <n v="3193"/>
    <n v="5"/>
    <n v="0"/>
    <s v="August"/>
  </r>
  <r>
    <x v="4"/>
    <s v="RA2"/>
    <x v="0"/>
    <x v="47"/>
    <n v="6430"/>
    <n v="1629"/>
    <n v="2023"/>
    <n v="0"/>
    <n v="376"/>
    <n v="5"/>
    <x v="4"/>
    <x v="1"/>
    <x v="1"/>
    <n v="0.31461897356143081"/>
    <n v="8059"/>
    <n v="5"/>
    <n v="7.776049766718507E-4"/>
    <s v="August"/>
  </r>
  <r>
    <x v="4"/>
    <s v="RBK"/>
    <x v="5"/>
    <x v="159"/>
    <n v="8935"/>
    <n v="4373"/>
    <n v="2943"/>
    <n v="10"/>
    <n v="949"/>
    <n v="117"/>
    <x v="4"/>
    <x v="1"/>
    <x v="1"/>
    <n v="0.32937884722999439"/>
    <n v="13308"/>
    <n v="5"/>
    <n v="1.3094571908226077E-2"/>
    <s v="August"/>
  </r>
  <r>
    <x v="4"/>
    <s v="RJ8"/>
    <x v="1"/>
    <x v="135"/>
    <n v="0"/>
    <n v="0"/>
    <n v="0"/>
    <n v="0"/>
    <n v="0"/>
    <n v="0"/>
    <x v="4"/>
    <x v="1"/>
    <x v="1"/>
    <n v="0"/>
    <n v="0"/>
    <n v="5"/>
    <n v="0"/>
    <s v="August"/>
  </r>
  <r>
    <x v="4"/>
    <s v="REM"/>
    <x v="3"/>
    <x v="5"/>
    <n v="16163"/>
    <n v="7505"/>
    <n v="7501"/>
    <n v="150"/>
    <n v="1433"/>
    <n v="477"/>
    <x v="4"/>
    <x v="1"/>
    <x v="1"/>
    <n v="0.46408463775289238"/>
    <n v="23668"/>
    <n v="5"/>
    <n v="2.9511848048010891E-2"/>
    <s v="August"/>
  </r>
  <r>
    <x v="4"/>
    <s v="AQN04"/>
    <x v="0"/>
    <x v="130"/>
    <n v="0"/>
    <n v="3395"/>
    <n v="0"/>
    <n v="50"/>
    <n v="0"/>
    <n v="0"/>
    <x v="4"/>
    <x v="1"/>
    <x v="1"/>
    <n v="0"/>
    <n v="3395"/>
    <n v="5"/>
    <n v="0"/>
    <s v="August"/>
  </r>
  <r>
    <x v="4"/>
    <s v="RAN"/>
    <x v="4"/>
    <x v="24"/>
    <n v="0"/>
    <n v="0"/>
    <n v="0"/>
    <n v="0"/>
    <n v="0"/>
    <n v="0"/>
    <x v="4"/>
    <x v="1"/>
    <x v="1"/>
    <n v="0"/>
    <n v="0"/>
    <n v="5"/>
    <n v="0"/>
    <s v="August"/>
  </r>
  <r>
    <x v="5"/>
    <s v="RJE"/>
    <x v="5"/>
    <x v="9"/>
    <n v="14776"/>
    <n v="8096"/>
    <n v="7469"/>
    <n v="146"/>
    <n v="1062"/>
    <n v="1003"/>
    <x v="5"/>
    <x v="1"/>
    <x v="2"/>
    <n v="0.50548186247969684"/>
    <n v="22872"/>
    <n v="6"/>
    <n v="6.7880346507850575E-2"/>
    <s v="September"/>
  </r>
  <r>
    <x v="5"/>
    <s v="RJC"/>
    <x v="5"/>
    <x v="188"/>
    <n v="8326"/>
    <n v="449"/>
    <n v="2163"/>
    <n v="0"/>
    <n v="432"/>
    <n v="57"/>
    <x v="5"/>
    <x v="1"/>
    <x v="2"/>
    <n v="0.25978861398030267"/>
    <n v="8775"/>
    <n v="6"/>
    <n v="6.8460245015613741E-3"/>
    <s v="September"/>
  </r>
  <r>
    <x v="5"/>
    <s v="RJ1"/>
    <x v="4"/>
    <x v="43"/>
    <n v="10047"/>
    <n v="6766"/>
    <n v="3541"/>
    <n v="153"/>
    <n v="137"/>
    <n v="67"/>
    <x v="5"/>
    <x v="1"/>
    <x v="2"/>
    <n v="0.35244351547725689"/>
    <n v="16813"/>
    <n v="6"/>
    <n v="6.6686573106399917E-3"/>
    <s v="September"/>
  </r>
  <r>
    <x v="5"/>
    <s v="RGP"/>
    <x v="2"/>
    <x v="146"/>
    <n v="7390"/>
    <n v="1352"/>
    <n v="2629"/>
    <n v="0"/>
    <n v="493"/>
    <n v="381"/>
    <x v="5"/>
    <x v="1"/>
    <x v="2"/>
    <n v="0.35575101488497968"/>
    <n v="8742"/>
    <n v="6"/>
    <n v="5.155615696887686E-2"/>
    <s v="September"/>
  </r>
  <r>
    <x v="5"/>
    <s v="RDE"/>
    <x v="2"/>
    <x v="2"/>
    <n v="12269"/>
    <n v="13229"/>
    <n v="6644"/>
    <n v="698"/>
    <n v="1073"/>
    <n v="597"/>
    <x v="5"/>
    <x v="1"/>
    <x v="2"/>
    <n v="0.54152742684815391"/>
    <n v="25498"/>
    <n v="6"/>
    <n v="4.8659222430515937E-2"/>
    <s v="September"/>
  </r>
  <r>
    <x v="5"/>
    <s v="RCX"/>
    <x v="2"/>
    <x v="103"/>
    <n v="6525"/>
    <n v="1242"/>
    <n v="2857"/>
    <n v="0"/>
    <n v="620"/>
    <n v="153"/>
    <x v="5"/>
    <x v="1"/>
    <x v="2"/>
    <n v="0.43785440613026821"/>
    <n v="7767"/>
    <n v="6"/>
    <n v="2.3448275862068966E-2"/>
    <s v="September"/>
  </r>
  <r>
    <x v="5"/>
    <s v="RAX"/>
    <x v="4"/>
    <x v="114"/>
    <n v="7000"/>
    <n v="8430"/>
    <n v="4257"/>
    <n v="342"/>
    <n v="316"/>
    <n v="320"/>
    <x v="5"/>
    <x v="1"/>
    <x v="2"/>
    <n v="0.6081428571428571"/>
    <n v="15430"/>
    <n v="6"/>
    <n v="4.5714285714285714E-2"/>
    <s v="September"/>
  </r>
  <r>
    <x v="5"/>
    <s v="RA2"/>
    <x v="0"/>
    <x v="203"/>
    <n v="6802"/>
    <n v="1813"/>
    <n v="2360"/>
    <n v="0"/>
    <n v="422"/>
    <n v="7"/>
    <x v="5"/>
    <x v="1"/>
    <x v="2"/>
    <n v="0.34695677741840636"/>
    <n v="8615"/>
    <n v="6"/>
    <n v="1.0291090855630697E-3"/>
    <s v="September"/>
  </r>
  <r>
    <x v="5"/>
    <s v="NTV0W"/>
    <x v="0"/>
    <x v="128"/>
    <n v="0"/>
    <n v="2621"/>
    <n v="0"/>
    <n v="70"/>
    <n v="0"/>
    <n v="0"/>
    <x v="5"/>
    <x v="1"/>
    <x v="2"/>
    <n v="0"/>
    <n v="2621"/>
    <n v="6"/>
    <n v="0"/>
    <s v="September"/>
  </r>
  <r>
    <x v="5"/>
    <s v="NTV0B"/>
    <x v="0"/>
    <x v="127"/>
    <n v="0"/>
    <n v="2374"/>
    <n v="0"/>
    <n v="34"/>
    <n v="0"/>
    <n v="0"/>
    <x v="5"/>
    <x v="1"/>
    <x v="2"/>
    <n v="0"/>
    <n v="2374"/>
    <n v="6"/>
    <n v="0"/>
    <s v="September"/>
  </r>
  <r>
    <x v="5"/>
    <s v="NR3"/>
    <x v="5"/>
    <x v="45"/>
    <n v="0"/>
    <n v="5001"/>
    <n v="0"/>
    <n v="281"/>
    <n v="0"/>
    <n v="0"/>
    <x v="5"/>
    <x v="1"/>
    <x v="2"/>
    <n v="0"/>
    <n v="5001"/>
    <n v="6"/>
    <n v="0"/>
    <s v="September"/>
  </r>
  <r>
    <x v="5"/>
    <s v="C82009"/>
    <x v="5"/>
    <x v="179"/>
    <n v="0"/>
    <n v="304"/>
    <n v="0"/>
    <n v="0"/>
    <n v="0"/>
    <n v="0"/>
    <x v="5"/>
    <x v="1"/>
    <x v="2"/>
    <n v="0"/>
    <n v="304"/>
    <n v="6"/>
    <n v="0"/>
    <s v="September"/>
  </r>
  <r>
    <x v="5"/>
    <s v="RYF"/>
    <x v="1"/>
    <x v="89"/>
    <n v="0"/>
    <n v="1871"/>
    <n v="0"/>
    <n v="40"/>
    <n v="0"/>
    <n v="0"/>
    <x v="5"/>
    <x v="1"/>
    <x v="2"/>
    <n v="0"/>
    <n v="1871"/>
    <n v="6"/>
    <n v="0"/>
    <s v="September"/>
  </r>
  <r>
    <x v="5"/>
    <s v="RY7"/>
    <x v="3"/>
    <x v="139"/>
    <n v="0"/>
    <n v="4025"/>
    <n v="0"/>
    <n v="218"/>
    <n v="0"/>
    <n v="0"/>
    <x v="5"/>
    <x v="1"/>
    <x v="2"/>
    <n v="0"/>
    <n v="4025"/>
    <n v="6"/>
    <n v="0"/>
    <s v="September"/>
  </r>
  <r>
    <x v="5"/>
    <s v="RXR"/>
    <x v="3"/>
    <x v="107"/>
    <n v="13452"/>
    <n v="10742"/>
    <n v="4441"/>
    <n v="527"/>
    <n v="365"/>
    <n v="978"/>
    <x v="5"/>
    <x v="1"/>
    <x v="2"/>
    <n v="0.33013678263455248"/>
    <n v="24194"/>
    <n v="6"/>
    <n v="7.2702943800178416E-2"/>
    <s v="September"/>
  </r>
  <r>
    <x v="5"/>
    <s v="RWP"/>
    <x v="5"/>
    <x v="170"/>
    <n v="13774"/>
    <n v="5944"/>
    <n v="7203"/>
    <n v="86"/>
    <n v="1068"/>
    <n v="1160"/>
    <x v="5"/>
    <x v="1"/>
    <x v="2"/>
    <n v="0.52294177435748512"/>
    <n v="19718"/>
    <n v="6"/>
    <n v="8.4216640046464356E-2"/>
    <s v="September"/>
  </r>
  <r>
    <x v="5"/>
    <s v="RV9"/>
    <x v="6"/>
    <x v="148"/>
    <n v="0"/>
    <n v="1116"/>
    <n v="0"/>
    <n v="9"/>
    <n v="0"/>
    <n v="0"/>
    <x v="5"/>
    <x v="1"/>
    <x v="2"/>
    <n v="0"/>
    <n v="1116"/>
    <n v="6"/>
    <n v="0"/>
    <s v="September"/>
  </r>
  <r>
    <x v="5"/>
    <s v="RTQ"/>
    <x v="1"/>
    <x v="126"/>
    <n v="0"/>
    <n v="8097"/>
    <n v="0"/>
    <n v="141"/>
    <n v="0"/>
    <n v="0"/>
    <x v="5"/>
    <x v="1"/>
    <x v="2"/>
    <n v="0"/>
    <n v="8097"/>
    <n v="6"/>
    <n v="0"/>
    <s v="September"/>
  </r>
  <r>
    <x v="5"/>
    <s v="RRV"/>
    <x v="4"/>
    <x v="171"/>
    <n v="13081"/>
    <n v="0"/>
    <n v="4117"/>
    <n v="0"/>
    <n v="444"/>
    <n v="194"/>
    <x v="5"/>
    <x v="1"/>
    <x v="2"/>
    <n v="0.31473128965675407"/>
    <n v="13081"/>
    <n v="6"/>
    <n v="1.4830670438039905E-2"/>
    <s v="September"/>
  </r>
  <r>
    <x v="5"/>
    <s v="RR7"/>
    <x v="6"/>
    <x v="115"/>
    <n v="5635"/>
    <n v="4063"/>
    <n v="2161"/>
    <n v="24"/>
    <n v="643"/>
    <n v="2"/>
    <x v="5"/>
    <x v="1"/>
    <x v="2"/>
    <n v="0.38349600709849158"/>
    <n v="9698"/>
    <n v="6"/>
    <n v="3.5492457852706301E-4"/>
    <s v="September"/>
  </r>
  <r>
    <x v="5"/>
    <s v="RJZ"/>
    <x v="4"/>
    <x v="196"/>
    <n v="15522"/>
    <n v="9115"/>
    <n v="7143"/>
    <n v="703"/>
    <n v="1604"/>
    <n v="664"/>
    <x v="5"/>
    <x v="1"/>
    <x v="2"/>
    <n v="0.46018554310011595"/>
    <n v="24637"/>
    <n v="6"/>
    <n v="4.2777992526736246E-2"/>
    <s v="September"/>
  </r>
  <r>
    <x v="5"/>
    <s v="RK9"/>
    <x v="1"/>
    <x v="195"/>
    <n v="8381"/>
    <n v="7353"/>
    <n v="4936"/>
    <n v="81"/>
    <n v="538"/>
    <n v="667"/>
    <x v="5"/>
    <x v="1"/>
    <x v="2"/>
    <n v="0.58895119914091398"/>
    <n v="15734"/>
    <n v="6"/>
    <n v="7.9584775086505188E-2"/>
    <s v="September"/>
  </r>
  <r>
    <x v="5"/>
    <s v="RMP"/>
    <x v="3"/>
    <x v="166"/>
    <n v="8516"/>
    <n v="2379"/>
    <n v="3902"/>
    <n v="42"/>
    <n v="405"/>
    <n v="650"/>
    <x v="5"/>
    <x v="1"/>
    <x v="2"/>
    <n v="0.4581963363081259"/>
    <n v="10895"/>
    <n v="6"/>
    <n v="7.6326914044152178E-2"/>
    <s v="September"/>
  </r>
  <r>
    <x v="5"/>
    <s v="RNQ"/>
    <x v="5"/>
    <x v="169"/>
    <n v="9876"/>
    <n v="8117"/>
    <n v="3536"/>
    <n v="75"/>
    <n v="759"/>
    <n v="438"/>
    <x v="5"/>
    <x v="1"/>
    <x v="2"/>
    <n v="0.35803969218307008"/>
    <n v="17993"/>
    <n v="6"/>
    <n v="4.4349939246658567E-2"/>
    <s v="September"/>
  </r>
  <r>
    <x v="5"/>
    <s v="RJL"/>
    <x v="6"/>
    <x v="164"/>
    <n v="9382"/>
    <n v="7076"/>
    <n v="4831"/>
    <n v="42"/>
    <n v="745"/>
    <n v="689"/>
    <x v="5"/>
    <x v="1"/>
    <x v="2"/>
    <n v="0.51492219143039863"/>
    <n v="16458"/>
    <n v="6"/>
    <n v="7.3438499253890427E-2"/>
    <s v="September"/>
  </r>
  <r>
    <x v="5"/>
    <s v="RHM"/>
    <x v="0"/>
    <x v="41"/>
    <n v="11703"/>
    <n v="0"/>
    <n v="4114"/>
    <n v="0"/>
    <n v="442"/>
    <n v="13"/>
    <x v="5"/>
    <x v="1"/>
    <x v="2"/>
    <n v="0.35153379475348201"/>
    <n v="11703"/>
    <n v="6"/>
    <n v="1.1108262838588395E-3"/>
    <s v="September"/>
  </r>
  <r>
    <x v="5"/>
    <s v="RH8"/>
    <x v="1"/>
    <x v="163"/>
    <n v="13032"/>
    <n v="4214"/>
    <n v="5967"/>
    <n v="36"/>
    <n v="974"/>
    <n v="180"/>
    <x v="5"/>
    <x v="1"/>
    <x v="2"/>
    <n v="0.45787292817679559"/>
    <n v="17246"/>
    <n v="6"/>
    <n v="1.3812154696132596E-2"/>
    <s v="September"/>
  </r>
  <r>
    <x v="5"/>
    <s v="RET"/>
    <x v="3"/>
    <x v="6"/>
    <n v="0"/>
    <n v="0"/>
    <n v="0"/>
    <n v="0"/>
    <n v="0"/>
    <n v="0"/>
    <x v="5"/>
    <x v="1"/>
    <x v="2"/>
    <n v="0"/>
    <n v="0"/>
    <n v="6"/>
    <n v="0"/>
    <s v="September"/>
  </r>
  <r>
    <x v="5"/>
    <s v="REP"/>
    <x v="3"/>
    <x v="38"/>
    <n v="0"/>
    <n v="0"/>
    <n v="0"/>
    <n v="0"/>
    <n v="0"/>
    <n v="0"/>
    <x v="5"/>
    <x v="1"/>
    <x v="2"/>
    <n v="0"/>
    <n v="0"/>
    <n v="6"/>
    <n v="0"/>
    <s v="September"/>
  </r>
  <r>
    <x v="5"/>
    <s v="RDU"/>
    <x v="0"/>
    <x v="37"/>
    <n v="22763"/>
    <n v="12113"/>
    <n v="9408"/>
    <n v="246"/>
    <n v="1435"/>
    <n v="325"/>
    <x v="5"/>
    <x v="1"/>
    <x v="2"/>
    <n v="0.41330228880200326"/>
    <n v="34876"/>
    <n v="6"/>
    <n v="1.4277555682467162E-2"/>
    <s v="September"/>
  </r>
  <r>
    <x v="5"/>
    <s v="RC9"/>
    <x v="2"/>
    <x v="161"/>
    <n v="16618"/>
    <n v="8009"/>
    <n v="6124"/>
    <n v="0"/>
    <n v="80"/>
    <n v="2"/>
    <x v="5"/>
    <x v="1"/>
    <x v="2"/>
    <n v="0.36851606691539296"/>
    <n v="24627"/>
    <n v="6"/>
    <n v="1.2035142616440005E-4"/>
    <s v="September"/>
  </r>
  <r>
    <x v="5"/>
    <s v="RBN"/>
    <x v="3"/>
    <x v="34"/>
    <n v="17140"/>
    <n v="6989"/>
    <n v="6435"/>
    <n v="84"/>
    <n v="564"/>
    <n v="367"/>
    <x v="5"/>
    <x v="1"/>
    <x v="2"/>
    <n v="0.37543757292882146"/>
    <n v="24129"/>
    <n v="6"/>
    <n v="2.1411901983663943E-2"/>
    <s v="September"/>
  </r>
  <r>
    <x v="5"/>
    <s v="RBD"/>
    <x v="1"/>
    <x v="183"/>
    <n v="4529"/>
    <n v="0"/>
    <n v="1710"/>
    <n v="0"/>
    <n v="209"/>
    <n v="74"/>
    <x v="5"/>
    <x v="1"/>
    <x v="2"/>
    <n v="0.37756679178626629"/>
    <n v="4529"/>
    <n v="6"/>
    <n v="1.6339147714727314E-2"/>
    <s v="September"/>
  </r>
  <r>
    <x v="5"/>
    <s v="RGR"/>
    <x v="2"/>
    <x v="186"/>
    <n v="7969"/>
    <n v="648"/>
    <n v="2637"/>
    <n v="0"/>
    <n v="534"/>
    <n v="373"/>
    <x v="5"/>
    <x v="1"/>
    <x v="2"/>
    <n v="0.33090726565441086"/>
    <n v="8617"/>
    <n v="6"/>
    <n v="4.6806374701970133E-2"/>
    <s v="September"/>
  </r>
  <r>
    <x v="5"/>
    <s v="RAE"/>
    <x v="6"/>
    <x v="31"/>
    <n v="9085"/>
    <n v="3316"/>
    <n v="2193"/>
    <n v="0"/>
    <n v="670"/>
    <n v="76"/>
    <x v="5"/>
    <x v="1"/>
    <x v="2"/>
    <n v="0.24138690148596587"/>
    <n v="12401"/>
    <n v="6"/>
    <n v="8.3654375343973578E-3"/>
    <s v="September"/>
  </r>
  <r>
    <x v="5"/>
    <s v="NQT51"/>
    <x v="0"/>
    <x v="111"/>
    <n v="0"/>
    <n v="856"/>
    <n v="0"/>
    <n v="0"/>
    <n v="0"/>
    <n v="0"/>
    <x v="5"/>
    <x v="1"/>
    <x v="2"/>
    <n v="0"/>
    <n v="856"/>
    <n v="6"/>
    <n v="0"/>
    <s v="September"/>
  </r>
  <r>
    <x v="5"/>
    <s v="RYX"/>
    <x v="4"/>
    <x v="51"/>
    <n v="0"/>
    <n v="11653"/>
    <n v="0"/>
    <n v="170"/>
    <n v="0"/>
    <n v="0"/>
    <x v="5"/>
    <x v="1"/>
    <x v="2"/>
    <n v="0"/>
    <n v="11653"/>
    <n v="6"/>
    <n v="0"/>
    <s v="September"/>
  </r>
  <r>
    <x v="5"/>
    <s v="RY4"/>
    <x v="2"/>
    <x v="172"/>
    <n v="0"/>
    <n v="1169"/>
    <n v="0"/>
    <n v="67"/>
    <n v="0"/>
    <n v="0"/>
    <x v="5"/>
    <x v="1"/>
    <x v="2"/>
    <n v="0"/>
    <n v="1169"/>
    <n v="6"/>
    <n v="0"/>
    <s v="September"/>
  </r>
  <r>
    <x v="5"/>
    <s v="RXL"/>
    <x v="3"/>
    <x v="86"/>
    <n v="8782"/>
    <n v="9722"/>
    <n v="4275"/>
    <n v="74"/>
    <n v="729"/>
    <n v="415"/>
    <x v="5"/>
    <x v="1"/>
    <x v="2"/>
    <n v="0.48679116374402187"/>
    <n v="18504"/>
    <n v="6"/>
    <n v="4.7255750398542476E-2"/>
    <s v="September"/>
  </r>
  <r>
    <x v="5"/>
    <s v="RXC"/>
    <x v="0"/>
    <x v="84"/>
    <n v="8997"/>
    <n v="2484"/>
    <n v="3277"/>
    <n v="31"/>
    <n v="185"/>
    <n v="19"/>
    <x v="5"/>
    <x v="1"/>
    <x v="2"/>
    <n v="0.3642325219517617"/>
    <n v="11481"/>
    <n v="6"/>
    <n v="2.1118150494609314E-3"/>
    <s v="September"/>
  </r>
  <r>
    <x v="5"/>
    <s v="RVW"/>
    <x v="6"/>
    <x v="76"/>
    <n v="4801"/>
    <n v="11009"/>
    <n v="2574"/>
    <n v="53"/>
    <n v="221"/>
    <n v="26"/>
    <x v="5"/>
    <x v="1"/>
    <x v="2"/>
    <n v="0.53613830451989164"/>
    <n v="15810"/>
    <n v="6"/>
    <n v="5.4155384294938555E-3"/>
    <s v="September"/>
  </r>
  <r>
    <x v="5"/>
    <s v="RTX"/>
    <x v="3"/>
    <x v="98"/>
    <n v="9043"/>
    <n v="2724"/>
    <n v="3480"/>
    <n v="62"/>
    <n v="631"/>
    <n v="591"/>
    <x v="5"/>
    <x v="1"/>
    <x v="2"/>
    <n v="0.3848280437907774"/>
    <n v="11767"/>
    <n v="6"/>
    <n v="6.5354417781709612E-2"/>
    <s v="September"/>
  </r>
  <r>
    <x v="5"/>
    <s v="RTR"/>
    <x v="6"/>
    <x v="147"/>
    <n v="7342"/>
    <n v="9220"/>
    <n v="3918"/>
    <n v="331"/>
    <n v="348"/>
    <n v="28"/>
    <x v="5"/>
    <x v="1"/>
    <x v="2"/>
    <n v="0.53364205938436393"/>
    <n v="16562"/>
    <n v="6"/>
    <n v="3.8136747480250611E-3"/>
    <s v="September"/>
  </r>
  <r>
    <x v="5"/>
    <s v="RPA"/>
    <x v="0"/>
    <x v="191"/>
    <n v="9817"/>
    <n v="5974"/>
    <n v="3316"/>
    <n v="794"/>
    <n v="369"/>
    <n v="630"/>
    <x v="5"/>
    <x v="1"/>
    <x v="2"/>
    <n v="0.33778139961291637"/>
    <n v="15791"/>
    <n v="6"/>
    <n v="6.4174391361923197E-2"/>
    <s v="September"/>
  </r>
  <r>
    <x v="5"/>
    <s v="R1F"/>
    <x v="0"/>
    <x v="25"/>
    <n v="4275"/>
    <n v="1669"/>
    <n v="1297"/>
    <n v="55"/>
    <n v="163"/>
    <n v="86"/>
    <x v="5"/>
    <x v="1"/>
    <x v="2"/>
    <n v="0.3033918128654971"/>
    <n v="5944"/>
    <n v="6"/>
    <n v="2.0116959064327485E-2"/>
    <s v="September"/>
  </r>
  <r>
    <x v="5"/>
    <s v="RFR"/>
    <x v="6"/>
    <x v="39"/>
    <n v="8932"/>
    <n v="0"/>
    <n v="2550"/>
    <n v="0"/>
    <n v="401"/>
    <n v="1"/>
    <x v="5"/>
    <x v="1"/>
    <x v="2"/>
    <n v="0.28549037169726826"/>
    <n v="8932"/>
    <n v="6"/>
    <n v="1.1195700850873264E-4"/>
    <s v="September"/>
  </r>
  <r>
    <x v="5"/>
    <s v="RCU"/>
    <x v="6"/>
    <x v="184"/>
    <n v="4136"/>
    <n v="321"/>
    <n v="262"/>
    <n v="0"/>
    <n v="14"/>
    <n v="0"/>
    <x v="5"/>
    <x v="1"/>
    <x v="2"/>
    <n v="6.3346228239845259E-2"/>
    <n v="4457"/>
    <n v="6"/>
    <n v="0"/>
    <s v="September"/>
  </r>
  <r>
    <x v="5"/>
    <s v="RCD"/>
    <x v="6"/>
    <x v="134"/>
    <n v="5219"/>
    <n v="1039"/>
    <n v="1416"/>
    <n v="0"/>
    <n v="58"/>
    <n v="0"/>
    <x v="5"/>
    <x v="1"/>
    <x v="2"/>
    <n v="0.27131634412722744"/>
    <n v="6258"/>
    <n v="6"/>
    <n v="0"/>
    <s v="September"/>
  </r>
  <r>
    <x v="5"/>
    <s v="DT301"/>
    <x v="2"/>
    <x v="110"/>
    <n v="0"/>
    <n v="2249"/>
    <n v="0"/>
    <n v="207"/>
    <n v="0"/>
    <n v="0"/>
    <x v="5"/>
    <x v="1"/>
    <x v="2"/>
    <n v="0"/>
    <n v="2249"/>
    <n v="6"/>
    <n v="0"/>
    <s v="September"/>
  </r>
  <r>
    <x v="5"/>
    <s v="8J094"/>
    <x v="5"/>
    <x v="109"/>
    <n v="0"/>
    <n v="0"/>
    <n v="0"/>
    <n v="0"/>
    <n v="0"/>
    <n v="0"/>
    <x v="5"/>
    <x v="1"/>
    <x v="2"/>
    <n v="0"/>
    <n v="0"/>
    <n v="6"/>
    <n v="0"/>
    <s v="September"/>
  </r>
  <r>
    <x v="5"/>
    <s v="RY8"/>
    <x v="5"/>
    <x v="152"/>
    <n v="0"/>
    <n v="7613"/>
    <n v="0"/>
    <n v="213"/>
    <n v="0"/>
    <n v="0"/>
    <x v="5"/>
    <x v="1"/>
    <x v="2"/>
    <n v="0"/>
    <n v="7613"/>
    <n v="6"/>
    <n v="0"/>
    <s v="September"/>
  </r>
  <r>
    <x v="5"/>
    <s v="RWY"/>
    <x v="6"/>
    <x v="138"/>
    <n v="16024"/>
    <n v="0"/>
    <n v="2314"/>
    <n v="0"/>
    <n v="874"/>
    <n v="9"/>
    <x v="5"/>
    <x v="1"/>
    <x v="2"/>
    <n v="0.14440838741887169"/>
    <n v="16024"/>
    <n v="6"/>
    <n v="5.6165751372940593E-4"/>
    <s v="September"/>
  </r>
  <r>
    <x v="5"/>
    <s v="RNU"/>
    <x v="0"/>
    <x v="16"/>
    <n v="0"/>
    <n v="4426"/>
    <n v="0"/>
    <n v="245"/>
    <n v="0"/>
    <n v="0"/>
    <x v="5"/>
    <x v="1"/>
    <x v="2"/>
    <n v="0"/>
    <n v="4426"/>
    <n v="6"/>
    <n v="0"/>
    <s v="September"/>
  </r>
  <r>
    <x v="5"/>
    <s v="RL4"/>
    <x v="5"/>
    <x v="165"/>
    <n v="10776"/>
    <n v="5627"/>
    <n v="3134"/>
    <n v="107"/>
    <n v="556"/>
    <n v="486"/>
    <x v="5"/>
    <x v="1"/>
    <x v="2"/>
    <n v="0.29083147735708981"/>
    <n v="16403"/>
    <n v="6"/>
    <n v="4.5100222717149217E-2"/>
    <s v="September"/>
  </r>
  <r>
    <x v="5"/>
    <s v="RL1"/>
    <x v="5"/>
    <x v="12"/>
    <n v="0"/>
    <n v="0"/>
    <n v="0"/>
    <n v="0"/>
    <n v="0"/>
    <n v="0"/>
    <x v="5"/>
    <x v="1"/>
    <x v="2"/>
    <n v="0"/>
    <n v="0"/>
    <n v="6"/>
    <n v="0"/>
    <s v="September"/>
  </r>
  <r>
    <x v="5"/>
    <s v="RFF"/>
    <x v="6"/>
    <x v="104"/>
    <n v="9034"/>
    <n v="0"/>
    <n v="2326"/>
    <n v="0"/>
    <n v="199"/>
    <n v="1"/>
    <x v="5"/>
    <x v="1"/>
    <x v="2"/>
    <n v="0.2574717733008634"/>
    <n v="9034"/>
    <n v="6"/>
    <n v="1.1069293779056896E-4"/>
    <s v="September"/>
  </r>
  <r>
    <x v="5"/>
    <s v="NDJ"/>
    <x v="0"/>
    <x v="0"/>
    <n v="0"/>
    <n v="2403"/>
    <n v="0"/>
    <n v="14"/>
    <n v="0"/>
    <n v="0"/>
    <x v="5"/>
    <x v="1"/>
    <x v="2"/>
    <n v="0"/>
    <n v="2403"/>
    <n v="6"/>
    <n v="0"/>
    <s v="September"/>
  </r>
  <r>
    <x v="5"/>
    <s v="L83087"/>
    <x v="1"/>
    <x v="180"/>
    <n v="0"/>
    <n v="93"/>
    <n v="0"/>
    <n v="0"/>
    <n v="0"/>
    <n v="0"/>
    <x v="5"/>
    <x v="1"/>
    <x v="2"/>
    <n v="0"/>
    <n v="93"/>
    <n v="6"/>
    <n v="0"/>
    <s v="September"/>
  </r>
  <r>
    <x v="5"/>
    <s v="DJV01"/>
    <x v="0"/>
    <x v="202"/>
    <n v="0"/>
    <n v="2454"/>
    <n v="0"/>
    <n v="0"/>
    <n v="0"/>
    <n v="0"/>
    <x v="5"/>
    <x v="1"/>
    <x v="2"/>
    <n v="0"/>
    <n v="2454"/>
    <n v="6"/>
    <n v="0"/>
    <s v="September"/>
  </r>
  <r>
    <x v="5"/>
    <s v="Y02676"/>
    <x v="0"/>
    <x v="52"/>
    <n v="0"/>
    <n v="1825"/>
    <n v="0"/>
    <n v="0"/>
    <n v="0"/>
    <n v="0"/>
    <x v="5"/>
    <x v="1"/>
    <x v="2"/>
    <n v="0"/>
    <n v="1825"/>
    <n v="6"/>
    <n v="0"/>
    <s v="September"/>
  </r>
  <r>
    <x v="5"/>
    <s v="RBT"/>
    <x v="3"/>
    <x v="69"/>
    <n v="6842"/>
    <n v="2996"/>
    <n v="3886"/>
    <n v="9"/>
    <n v="455"/>
    <n v="497"/>
    <x v="5"/>
    <x v="1"/>
    <x v="2"/>
    <n v="0.56796258403975441"/>
    <n v="9838"/>
    <n v="6"/>
    <n v="7.2639579070447241E-2"/>
    <s v="September"/>
  </r>
  <r>
    <x v="5"/>
    <s v="RA9"/>
    <x v="1"/>
    <x v="113"/>
    <n v="6648"/>
    <n v="3322"/>
    <n v="3160"/>
    <n v="3"/>
    <n v="255"/>
    <n v="78"/>
    <x v="5"/>
    <x v="1"/>
    <x v="2"/>
    <n v="0.47533092659446452"/>
    <n v="9970"/>
    <n v="6"/>
    <n v="1.1732851985559567E-2"/>
    <s v="September"/>
  </r>
  <r>
    <x v="5"/>
    <s v="Y03218"/>
    <x v="4"/>
    <x v="108"/>
    <n v="0"/>
    <n v="1044"/>
    <n v="0"/>
    <n v="0"/>
    <n v="0"/>
    <n v="0"/>
    <x v="5"/>
    <x v="1"/>
    <x v="2"/>
    <n v="0"/>
    <n v="1044"/>
    <n v="6"/>
    <n v="0"/>
    <s v="September"/>
  </r>
  <r>
    <x v="5"/>
    <s v="Y02532"/>
    <x v="3"/>
    <x v="141"/>
    <n v="0"/>
    <n v="1605"/>
    <n v="0"/>
    <n v="0"/>
    <n v="0"/>
    <n v="0"/>
    <x v="5"/>
    <x v="1"/>
    <x v="2"/>
    <n v="0"/>
    <n v="1605"/>
    <n v="6"/>
    <n v="0"/>
    <s v="September"/>
  </r>
  <r>
    <x v="5"/>
    <s v="Y00751"/>
    <x v="0"/>
    <x v="116"/>
    <n v="0"/>
    <n v="0"/>
    <n v="0"/>
    <n v="0"/>
    <n v="0"/>
    <n v="0"/>
    <x v="5"/>
    <x v="1"/>
    <x v="2"/>
    <n v="0"/>
    <n v="0"/>
    <n v="6"/>
    <n v="0"/>
    <s v="September"/>
  </r>
  <r>
    <x v="5"/>
    <s v="RYY"/>
    <x v="0"/>
    <x v="122"/>
    <n v="0"/>
    <n v="6480"/>
    <n v="0"/>
    <n v="22"/>
    <n v="0"/>
    <n v="0"/>
    <x v="5"/>
    <x v="1"/>
    <x v="2"/>
    <n v="0"/>
    <n v="6480"/>
    <n v="6"/>
    <n v="0"/>
    <s v="September"/>
  </r>
  <r>
    <x v="5"/>
    <s v="RWF"/>
    <x v="0"/>
    <x v="193"/>
    <n v="19916"/>
    <n v="2105"/>
    <n v="4113"/>
    <n v="69"/>
    <n v="839"/>
    <n v="96"/>
    <x v="5"/>
    <x v="1"/>
    <x v="2"/>
    <n v="0.20651737296645914"/>
    <n v="22021"/>
    <n v="6"/>
    <n v="4.8202450291223138E-3"/>
    <s v="September"/>
  </r>
  <r>
    <x v="5"/>
    <s v="RW1"/>
    <x v="0"/>
    <x v="137"/>
    <n v="0"/>
    <n v="2793"/>
    <n v="0"/>
    <n v="64"/>
    <n v="0"/>
    <n v="0"/>
    <x v="5"/>
    <x v="1"/>
    <x v="2"/>
    <n v="0"/>
    <n v="2793"/>
    <n v="6"/>
    <n v="0"/>
    <s v="September"/>
  </r>
  <r>
    <x v="5"/>
    <s v="RJ8"/>
    <x v="1"/>
    <x v="135"/>
    <n v="0"/>
    <n v="0"/>
    <n v="0"/>
    <n v="0"/>
    <n v="0"/>
    <n v="0"/>
    <x v="5"/>
    <x v="1"/>
    <x v="2"/>
    <n v="0"/>
    <n v="0"/>
    <n v="6"/>
    <n v="0"/>
    <s v="September"/>
  </r>
  <r>
    <x v="5"/>
    <s v="NNF09"/>
    <x v="6"/>
    <x v="26"/>
    <n v="0"/>
    <n v="3484"/>
    <n v="0"/>
    <n v="315"/>
    <n v="0"/>
    <n v="0"/>
    <x v="5"/>
    <x v="1"/>
    <x v="2"/>
    <n v="0"/>
    <n v="3484"/>
    <n v="6"/>
    <n v="0"/>
    <s v="September"/>
  </r>
  <r>
    <x v="5"/>
    <s v="RKE"/>
    <x v="4"/>
    <x v="194"/>
    <n v="8812"/>
    <n v="0"/>
    <n v="2582"/>
    <n v="0"/>
    <n v="261"/>
    <n v="261"/>
    <x v="5"/>
    <x v="1"/>
    <x v="2"/>
    <n v="0.29300953245574218"/>
    <n v="8812"/>
    <n v="6"/>
    <n v="2.961870177031321E-2"/>
    <s v="September"/>
  </r>
  <r>
    <x v="5"/>
    <s v="NNF16"/>
    <x v="6"/>
    <x v="27"/>
    <n v="0"/>
    <n v="1462"/>
    <n v="0"/>
    <n v="26"/>
    <n v="0"/>
    <n v="0"/>
    <x v="5"/>
    <x v="1"/>
    <x v="2"/>
    <n v="0"/>
    <n v="1462"/>
    <n v="6"/>
    <n v="0"/>
    <s v="September"/>
  </r>
  <r>
    <x v="5"/>
    <s v="NNFA7"/>
    <x v="6"/>
    <x v="29"/>
    <n v="0"/>
    <n v="1644"/>
    <n v="0"/>
    <n v="37"/>
    <n v="0"/>
    <n v="0"/>
    <x v="5"/>
    <x v="1"/>
    <x v="2"/>
    <n v="0"/>
    <n v="1644"/>
    <n v="6"/>
    <n v="0"/>
    <s v="September"/>
  </r>
  <r>
    <x v="5"/>
    <s v="RBS"/>
    <x v="3"/>
    <x v="160"/>
    <n v="5271"/>
    <n v="0"/>
    <n v="669"/>
    <n v="0"/>
    <n v="0"/>
    <n v="0"/>
    <x v="5"/>
    <x v="1"/>
    <x v="2"/>
    <n v="0.12692088787706318"/>
    <n v="5271"/>
    <n v="6"/>
    <n v="0"/>
    <s v="September"/>
  </r>
  <r>
    <x v="5"/>
    <s v="RAN"/>
    <x v="4"/>
    <x v="24"/>
    <n v="0"/>
    <n v="0"/>
    <n v="0"/>
    <n v="0"/>
    <n v="0"/>
    <n v="0"/>
    <x v="5"/>
    <x v="1"/>
    <x v="2"/>
    <n v="0"/>
    <n v="0"/>
    <n v="6"/>
    <n v="0"/>
    <s v="September"/>
  </r>
  <r>
    <x v="5"/>
    <s v="RAJ"/>
    <x v="2"/>
    <x v="32"/>
    <n v="30199"/>
    <n v="4085"/>
    <n v="8720"/>
    <n v="122"/>
    <n v="2024"/>
    <n v="483"/>
    <x v="5"/>
    <x v="1"/>
    <x v="2"/>
    <n v="0.28875128315507137"/>
    <n v="34284"/>
    <n v="6"/>
    <n v="1.5993907083015995E-2"/>
    <s v="September"/>
  </r>
  <r>
    <x v="5"/>
    <s v="R1D"/>
    <x v="5"/>
    <x v="46"/>
    <n v="0"/>
    <n v="3451"/>
    <n v="0"/>
    <n v="12"/>
    <n v="0"/>
    <n v="0"/>
    <x v="5"/>
    <x v="1"/>
    <x v="2"/>
    <n v="0"/>
    <n v="3451"/>
    <n v="6"/>
    <n v="0"/>
    <s v="September"/>
  </r>
  <r>
    <x v="5"/>
    <s v="NV693"/>
    <x v="3"/>
    <x v="102"/>
    <n v="0"/>
    <n v="1041"/>
    <n v="0"/>
    <n v="2"/>
    <n v="0"/>
    <n v="0"/>
    <x v="5"/>
    <x v="1"/>
    <x v="2"/>
    <n v="0"/>
    <n v="1041"/>
    <n v="6"/>
    <n v="0"/>
    <s v="September"/>
  </r>
  <r>
    <x v="5"/>
    <s v="NTP11"/>
    <x v="0"/>
    <x v="154"/>
    <n v="0"/>
    <n v="4769"/>
    <n v="0"/>
    <n v="107"/>
    <n v="0"/>
    <n v="0"/>
    <x v="5"/>
    <x v="1"/>
    <x v="2"/>
    <n v="0"/>
    <n v="4769"/>
    <n v="6"/>
    <n v="0"/>
    <s v="September"/>
  </r>
  <r>
    <x v="5"/>
    <s v="NQT5H"/>
    <x v="1"/>
    <x v="144"/>
    <n v="0"/>
    <n v="1175"/>
    <n v="0"/>
    <n v="9"/>
    <n v="0"/>
    <n v="0"/>
    <x v="5"/>
    <x v="1"/>
    <x v="2"/>
    <n v="0"/>
    <n v="1175"/>
    <n v="6"/>
    <n v="0"/>
    <s v="September"/>
  </r>
  <r>
    <x v="5"/>
    <s v="NQT5F"/>
    <x v="3"/>
    <x v="143"/>
    <n v="0"/>
    <n v="1565"/>
    <n v="0"/>
    <n v="7"/>
    <n v="0"/>
    <n v="0"/>
    <x v="5"/>
    <x v="1"/>
    <x v="2"/>
    <n v="0"/>
    <n v="1565"/>
    <n v="6"/>
    <n v="0"/>
    <s v="September"/>
  </r>
  <r>
    <x v="5"/>
    <s v="NQT1I"/>
    <x v="1"/>
    <x v="200"/>
    <n v="0"/>
    <n v="1799"/>
    <n v="0"/>
    <n v="21"/>
    <n v="0"/>
    <n v="0"/>
    <x v="5"/>
    <x v="1"/>
    <x v="2"/>
    <n v="0"/>
    <n v="1799"/>
    <n v="6"/>
    <n v="0"/>
    <s v="September"/>
  </r>
  <r>
    <x v="5"/>
    <s v="NLX"/>
    <x v="1"/>
    <x v="181"/>
    <n v="0"/>
    <n v="8757"/>
    <n v="0"/>
    <n v="285"/>
    <n v="0"/>
    <n v="0"/>
    <x v="5"/>
    <x v="1"/>
    <x v="2"/>
    <n v="0"/>
    <n v="8757"/>
    <n v="6"/>
    <n v="0"/>
    <s v="September"/>
  </r>
  <r>
    <x v="5"/>
    <s v="G3P9C"/>
    <x v="1"/>
    <x v="199"/>
    <n v="0"/>
    <n v="936"/>
    <n v="0"/>
    <n v="7"/>
    <n v="0"/>
    <n v="0"/>
    <x v="5"/>
    <x v="1"/>
    <x v="2"/>
    <n v="0"/>
    <n v="936"/>
    <n v="6"/>
    <n v="0"/>
    <s v="September"/>
  </r>
  <r>
    <x v="5"/>
    <s v="Y02428"/>
    <x v="2"/>
    <x v="140"/>
    <n v="0"/>
    <n v="2266"/>
    <n v="0"/>
    <n v="0"/>
    <n v="0"/>
    <n v="0"/>
    <x v="5"/>
    <x v="1"/>
    <x v="2"/>
    <n v="0"/>
    <n v="2266"/>
    <n v="6"/>
    <n v="0"/>
    <s v="September"/>
  </r>
  <r>
    <x v="5"/>
    <s v="RYR"/>
    <x v="0"/>
    <x v="92"/>
    <n v="26515"/>
    <n v="1755"/>
    <n v="10655"/>
    <n v="188"/>
    <n v="754"/>
    <n v="589"/>
    <x v="5"/>
    <x v="1"/>
    <x v="2"/>
    <n v="0.40184801056006036"/>
    <n v="28270"/>
    <n v="6"/>
    <n v="2.2213841221949839E-2"/>
    <s v="September"/>
  </r>
  <r>
    <x v="5"/>
    <s v="RTP"/>
    <x v="0"/>
    <x v="136"/>
    <n v="10355"/>
    <n v="0"/>
    <n v="3916"/>
    <n v="0"/>
    <n v="569"/>
    <n v="441"/>
    <x v="5"/>
    <x v="1"/>
    <x v="2"/>
    <n v="0.37817479478512794"/>
    <n v="10355"/>
    <n v="6"/>
    <n v="4.258812168034766E-2"/>
    <s v="September"/>
  </r>
  <r>
    <x v="5"/>
    <s v="RQX"/>
    <x v="4"/>
    <x v="106"/>
    <n v="10890"/>
    <n v="0"/>
    <n v="1947"/>
    <n v="0"/>
    <n v="168"/>
    <n v="28"/>
    <x v="5"/>
    <x v="1"/>
    <x v="2"/>
    <n v="0.1787878787878788"/>
    <n v="10890"/>
    <n v="6"/>
    <n v="2.5711662075298437E-3"/>
    <s v="September"/>
  </r>
  <r>
    <x v="5"/>
    <s v="RHW"/>
    <x v="0"/>
    <x v="66"/>
    <n v="10741"/>
    <n v="2797"/>
    <n v="3913"/>
    <n v="0"/>
    <n v="625"/>
    <n v="12"/>
    <x v="5"/>
    <x v="1"/>
    <x v="2"/>
    <n v="0.36430499953449397"/>
    <n v="13538"/>
    <n v="6"/>
    <n v="1.1172144120659157E-3"/>
    <s v="September"/>
  </r>
  <r>
    <x v="5"/>
    <s v="REF"/>
    <x v="1"/>
    <x v="4"/>
    <n v="6655"/>
    <n v="11805"/>
    <n v="2843"/>
    <n v="485"/>
    <n v="474"/>
    <n v="545"/>
    <x v="5"/>
    <x v="1"/>
    <x v="2"/>
    <n v="0.42719759579263711"/>
    <n v="18460"/>
    <n v="6"/>
    <n v="8.1893313298271972E-2"/>
    <s v="September"/>
  </r>
  <r>
    <x v="5"/>
    <s v="NL7"/>
    <x v="5"/>
    <x v="142"/>
    <n v="0"/>
    <n v="3412"/>
    <n v="0"/>
    <n v="0"/>
    <n v="0"/>
    <n v="0"/>
    <x v="5"/>
    <x v="1"/>
    <x v="2"/>
    <n v="0"/>
    <n v="3412"/>
    <n v="6"/>
    <n v="0"/>
    <s v="September"/>
  </r>
  <r>
    <x v="5"/>
    <s v="Y03007"/>
    <x v="5"/>
    <x v="118"/>
    <n v="0"/>
    <n v="0"/>
    <n v="0"/>
    <n v="0"/>
    <n v="0"/>
    <n v="0"/>
    <x v="5"/>
    <x v="1"/>
    <x v="2"/>
    <n v="0"/>
    <n v="0"/>
    <n v="6"/>
    <n v="0"/>
    <s v="September"/>
  </r>
  <r>
    <x v="5"/>
    <s v="RJN"/>
    <x v="3"/>
    <x v="125"/>
    <n v="4449"/>
    <n v="0"/>
    <n v="2500"/>
    <n v="0"/>
    <n v="245"/>
    <n v="385"/>
    <x v="5"/>
    <x v="1"/>
    <x v="2"/>
    <n v="0.56192402787143181"/>
    <n v="4449"/>
    <n v="6"/>
    <n v="8.6536300292200496E-2"/>
    <s v="September"/>
  </r>
  <r>
    <x v="5"/>
    <s v="R0B"/>
    <x v="6"/>
    <x v="156"/>
    <n v="10956"/>
    <n v="5666"/>
    <n v="4858"/>
    <n v="169"/>
    <n v="650"/>
    <n v="3"/>
    <x v="5"/>
    <x v="1"/>
    <x v="2"/>
    <n v="0.4434100036509675"/>
    <n v="16622"/>
    <n v="6"/>
    <n v="2.7382256297918948E-4"/>
    <s v="September"/>
  </r>
  <r>
    <x v="5"/>
    <s v="NNF94"/>
    <x v="6"/>
    <x v="28"/>
    <n v="0"/>
    <n v="2668"/>
    <n v="0"/>
    <n v="194"/>
    <n v="0"/>
    <n v="0"/>
    <x v="5"/>
    <x v="1"/>
    <x v="2"/>
    <n v="0"/>
    <n v="2668"/>
    <n v="6"/>
    <n v="0"/>
    <s v="September"/>
  </r>
  <r>
    <x v="5"/>
    <s v="RN3"/>
    <x v="1"/>
    <x v="167"/>
    <n v="5928"/>
    <n v="5521"/>
    <n v="3032"/>
    <n v="598"/>
    <n v="692"/>
    <n v="266"/>
    <x v="5"/>
    <x v="1"/>
    <x v="2"/>
    <n v="0.51147098515519573"/>
    <n v="11449"/>
    <n v="6"/>
    <n v="4.4871794871794872E-2"/>
    <s v="September"/>
  </r>
  <r>
    <x v="5"/>
    <s v="RN5"/>
    <x v="0"/>
    <x v="97"/>
    <n v="10808"/>
    <n v="3417"/>
    <n v="4547"/>
    <n v="154"/>
    <n v="186"/>
    <n v="17"/>
    <x v="5"/>
    <x v="1"/>
    <x v="2"/>
    <n v="0.42070688378978532"/>
    <n v="14225"/>
    <n v="6"/>
    <n v="1.5729089563286454E-3"/>
    <s v="September"/>
  </r>
  <r>
    <x v="5"/>
    <s v="RNA"/>
    <x v="5"/>
    <x v="168"/>
    <n v="9774"/>
    <n v="3850"/>
    <n v="3028"/>
    <n v="46"/>
    <n v="2415"/>
    <n v="135"/>
    <x v="5"/>
    <x v="1"/>
    <x v="2"/>
    <n v="0.30980151422140373"/>
    <n v="13624"/>
    <n v="6"/>
    <n v="1.3812154696132596E-2"/>
    <s v="September"/>
  </r>
  <r>
    <x v="5"/>
    <s v="RM1"/>
    <x v="2"/>
    <x v="75"/>
    <n v="12782"/>
    <n v="7275"/>
    <n v="3924"/>
    <n v="5"/>
    <n v="616"/>
    <n v="145"/>
    <x v="5"/>
    <x v="1"/>
    <x v="2"/>
    <n v="0.30699421060866844"/>
    <n v="20057"/>
    <n v="6"/>
    <n v="1.1344077609137851E-2"/>
    <s v="September"/>
  </r>
  <r>
    <x v="5"/>
    <s v="RHQ"/>
    <x v="6"/>
    <x v="42"/>
    <n v="8761"/>
    <n v="7121"/>
    <n v="4508"/>
    <n v="396"/>
    <n v="1146"/>
    <n v="7"/>
    <x v="5"/>
    <x v="1"/>
    <x v="2"/>
    <n v="0.51455313320397211"/>
    <n v="15882"/>
    <n v="6"/>
    <n v="7.9899554845337293E-4"/>
    <s v="September"/>
  </r>
  <r>
    <x v="5"/>
    <s v="RGT"/>
    <x v="2"/>
    <x v="95"/>
    <n v="10918"/>
    <n v="5495"/>
    <n v="4607"/>
    <n v="61"/>
    <n v="648"/>
    <n v="428"/>
    <x v="5"/>
    <x v="1"/>
    <x v="2"/>
    <n v="0.42196372962080969"/>
    <n v="16413"/>
    <n v="6"/>
    <n v="3.9201318922879647E-2"/>
    <s v="September"/>
  </r>
  <r>
    <x v="5"/>
    <s v="RGN"/>
    <x v="2"/>
    <x v="185"/>
    <n v="14958"/>
    <n v="4919"/>
    <n v="5793"/>
    <n v="188"/>
    <n v="651"/>
    <n v="689"/>
    <x v="5"/>
    <x v="1"/>
    <x v="2"/>
    <n v="0.38728439630966704"/>
    <n v="19877"/>
    <n v="6"/>
    <n v="4.6062307795159782E-2"/>
    <s v="September"/>
  </r>
  <r>
    <x v="5"/>
    <s v="RCF"/>
    <x v="6"/>
    <x v="162"/>
    <n v="5960"/>
    <n v="0"/>
    <n v="2336"/>
    <n v="0"/>
    <n v="456"/>
    <n v="154"/>
    <x v="5"/>
    <x v="1"/>
    <x v="2"/>
    <n v="0.39194630872483222"/>
    <n v="5960"/>
    <n v="6"/>
    <n v="2.5838926174496644E-2"/>
    <s v="September"/>
  </r>
  <r>
    <x v="5"/>
    <s v="RBV"/>
    <x v="3"/>
    <x v="22"/>
    <n v="0"/>
    <n v="0"/>
    <n v="0"/>
    <n v="0"/>
    <n v="0"/>
    <n v="0"/>
    <x v="5"/>
    <x v="1"/>
    <x v="2"/>
    <n v="0"/>
    <n v="0"/>
    <n v="6"/>
    <n v="0"/>
    <s v="September"/>
  </r>
  <r>
    <x v="5"/>
    <s v="NNJ15"/>
    <x v="5"/>
    <x v="61"/>
    <n v="0"/>
    <n v="48"/>
    <n v="0"/>
    <n v="0"/>
    <n v="0"/>
    <n v="0"/>
    <x v="5"/>
    <x v="1"/>
    <x v="2"/>
    <n v="0"/>
    <n v="48"/>
    <n v="6"/>
    <n v="0"/>
    <s v="September"/>
  </r>
  <r>
    <x v="5"/>
    <s v="NNJ14"/>
    <x v="5"/>
    <x v="60"/>
    <n v="0"/>
    <n v="512"/>
    <n v="0"/>
    <n v="1"/>
    <n v="0"/>
    <n v="0"/>
    <x v="5"/>
    <x v="1"/>
    <x v="2"/>
    <n v="0"/>
    <n v="512"/>
    <n v="6"/>
    <n v="0"/>
    <s v="September"/>
  </r>
  <r>
    <x v="5"/>
    <s v="NNJ13"/>
    <x v="5"/>
    <x v="59"/>
    <n v="0"/>
    <n v="46"/>
    <n v="0"/>
    <n v="0"/>
    <n v="0"/>
    <n v="0"/>
    <x v="5"/>
    <x v="1"/>
    <x v="2"/>
    <n v="0"/>
    <n v="46"/>
    <n v="6"/>
    <n v="0"/>
    <s v="September"/>
  </r>
  <r>
    <x v="5"/>
    <s v="NNJ12"/>
    <x v="5"/>
    <x v="58"/>
    <n v="0"/>
    <n v="75"/>
    <n v="0"/>
    <n v="0"/>
    <n v="0"/>
    <n v="0"/>
    <x v="5"/>
    <x v="1"/>
    <x v="2"/>
    <n v="0"/>
    <n v="75"/>
    <n v="6"/>
    <n v="0"/>
    <s v="September"/>
  </r>
  <r>
    <x v="5"/>
    <s v="NNJ0H"/>
    <x v="5"/>
    <x v="57"/>
    <n v="0"/>
    <n v="345"/>
    <n v="0"/>
    <n v="1"/>
    <n v="0"/>
    <n v="0"/>
    <x v="5"/>
    <x v="1"/>
    <x v="2"/>
    <n v="0"/>
    <n v="345"/>
    <n v="6"/>
    <n v="0"/>
    <s v="September"/>
  </r>
  <r>
    <x v="5"/>
    <s v="NNJ07"/>
    <x v="5"/>
    <x v="56"/>
    <n v="0"/>
    <n v="6494"/>
    <n v="0"/>
    <n v="471"/>
    <n v="0"/>
    <n v="0"/>
    <x v="5"/>
    <x v="1"/>
    <x v="2"/>
    <n v="0"/>
    <n v="6494"/>
    <n v="6"/>
    <n v="0"/>
    <s v="September"/>
  </r>
  <r>
    <x v="5"/>
    <s v="K6K0R"/>
    <x v="4"/>
    <x v="121"/>
    <n v="0"/>
    <n v="2669"/>
    <n v="0"/>
    <n v="2"/>
    <n v="0"/>
    <n v="0"/>
    <x v="5"/>
    <x v="1"/>
    <x v="2"/>
    <n v="0"/>
    <n v="2669"/>
    <n v="6"/>
    <n v="0"/>
    <s v="September"/>
  </r>
  <r>
    <x v="5"/>
    <s v="G0Q0L"/>
    <x v="4"/>
    <x v="120"/>
    <n v="0"/>
    <n v="2853"/>
    <n v="0"/>
    <n v="24"/>
    <n v="0"/>
    <n v="0"/>
    <x v="5"/>
    <x v="1"/>
    <x v="2"/>
    <n v="0"/>
    <n v="2853"/>
    <n v="6"/>
    <n v="0"/>
    <s v="September"/>
  </r>
  <r>
    <x v="5"/>
    <s v="C83023"/>
    <x v="5"/>
    <x v="44"/>
    <n v="0"/>
    <n v="488"/>
    <n v="0"/>
    <n v="0"/>
    <n v="0"/>
    <n v="0"/>
    <x v="5"/>
    <x v="1"/>
    <x v="2"/>
    <n v="0"/>
    <n v="488"/>
    <n v="6"/>
    <n v="0"/>
    <s v="September"/>
  </r>
  <r>
    <x v="5"/>
    <s v="ARN03"/>
    <x v="6"/>
    <x v="178"/>
    <n v="0"/>
    <n v="2151"/>
    <n v="0"/>
    <n v="9"/>
    <n v="0"/>
    <n v="0"/>
    <x v="5"/>
    <x v="1"/>
    <x v="2"/>
    <n v="0"/>
    <n v="2151"/>
    <n v="6"/>
    <n v="0"/>
    <s v="September"/>
  </r>
  <r>
    <x v="5"/>
    <s v="RXP"/>
    <x v="6"/>
    <x v="87"/>
    <n v="12654"/>
    <n v="4047"/>
    <n v="4903"/>
    <n v="0"/>
    <n v="1789"/>
    <n v="42"/>
    <x v="5"/>
    <x v="1"/>
    <x v="2"/>
    <n v="0.38746641378220326"/>
    <n v="16701"/>
    <n v="6"/>
    <n v="3.3191085822664771E-3"/>
    <s v="September"/>
  </r>
  <r>
    <x v="5"/>
    <s v="RXF"/>
    <x v="6"/>
    <x v="177"/>
    <n v="16641"/>
    <n v="6350"/>
    <n v="6123"/>
    <n v="150"/>
    <n v="1711"/>
    <n v="76"/>
    <x v="5"/>
    <x v="1"/>
    <x v="2"/>
    <n v="0.36794663782224624"/>
    <n v="22991"/>
    <n v="6"/>
    <n v="4.5670332311760114E-3"/>
    <s v="September"/>
  </r>
  <r>
    <x v="5"/>
    <s v="RWW"/>
    <x v="3"/>
    <x v="83"/>
    <n v="6814"/>
    <n v="2955"/>
    <n v="3428"/>
    <n v="46"/>
    <n v="534"/>
    <n v="891"/>
    <x v="5"/>
    <x v="1"/>
    <x v="2"/>
    <n v="0.50308189022600525"/>
    <n v="9769"/>
    <n v="6"/>
    <n v="0.13076019958908131"/>
    <s v="September"/>
  </r>
  <r>
    <x v="5"/>
    <s v="RWH"/>
    <x v="2"/>
    <x v="204"/>
    <n v="8701"/>
    <n v="8295"/>
    <n v="4036"/>
    <n v="101"/>
    <n v="351"/>
    <n v="96"/>
    <x v="5"/>
    <x v="1"/>
    <x v="2"/>
    <n v="0.463854729341455"/>
    <n v="16996"/>
    <n v="6"/>
    <n v="1.1033214573037582E-2"/>
    <s v="September"/>
  </r>
  <r>
    <x v="5"/>
    <s v="RWG"/>
    <x v="2"/>
    <x v="80"/>
    <n v="7950"/>
    <n v="7699"/>
    <n v="2427"/>
    <n v="104"/>
    <n v="627"/>
    <n v="26"/>
    <x v="5"/>
    <x v="1"/>
    <x v="2"/>
    <n v="0.30528301886792453"/>
    <n v="15649"/>
    <n v="6"/>
    <n v="3.2704402515723271E-3"/>
    <s v="September"/>
  </r>
  <r>
    <x v="5"/>
    <s v="RPC"/>
    <x v="0"/>
    <x v="190"/>
    <n v="0"/>
    <n v="1342"/>
    <n v="0"/>
    <n v="25"/>
    <n v="0"/>
    <n v="0"/>
    <x v="5"/>
    <x v="1"/>
    <x v="2"/>
    <n v="0"/>
    <n v="1342"/>
    <n v="6"/>
    <n v="0"/>
    <s v="September"/>
  </r>
  <r>
    <x v="5"/>
    <s v="RWE"/>
    <x v="5"/>
    <x v="79"/>
    <n v="21979"/>
    <n v="0"/>
    <n v="8933"/>
    <n v="0"/>
    <n v="1336"/>
    <n v="619"/>
    <x v="5"/>
    <x v="1"/>
    <x v="2"/>
    <n v="0.40643341371308978"/>
    <n v="21979"/>
    <n v="6"/>
    <n v="2.8163246735520269E-2"/>
    <s v="September"/>
  </r>
  <r>
    <x v="5"/>
    <s v="RRK"/>
    <x v="5"/>
    <x v="67"/>
    <n v="34990"/>
    <n v="3254"/>
    <n v="13697"/>
    <n v="57"/>
    <n v="2739"/>
    <n v="1692"/>
    <x v="5"/>
    <x v="1"/>
    <x v="2"/>
    <n v="0.39145470134324095"/>
    <n v="38244"/>
    <n v="6"/>
    <n v="4.8356673335238638E-2"/>
    <s v="September"/>
  </r>
  <r>
    <x v="5"/>
    <s v="RWX"/>
    <x v="0"/>
    <x v="55"/>
    <n v="0"/>
    <n v="1480"/>
    <n v="0"/>
    <n v="10"/>
    <n v="0"/>
    <n v="0"/>
    <x v="5"/>
    <x v="1"/>
    <x v="2"/>
    <n v="0"/>
    <n v="1480"/>
    <n v="6"/>
    <n v="0"/>
    <s v="September"/>
  </r>
  <r>
    <x v="5"/>
    <s v="AQN04"/>
    <x v="0"/>
    <x v="130"/>
    <n v="0"/>
    <n v="2988"/>
    <n v="0"/>
    <n v="15"/>
    <n v="0"/>
    <n v="0"/>
    <x v="5"/>
    <x v="1"/>
    <x v="2"/>
    <n v="0"/>
    <n v="2988"/>
    <n v="6"/>
    <n v="0"/>
    <s v="September"/>
  </r>
  <r>
    <x v="5"/>
    <s v="RBQ"/>
    <x v="3"/>
    <x v="133"/>
    <n v="0"/>
    <n v="0"/>
    <n v="0"/>
    <n v="0"/>
    <n v="0"/>
    <n v="0"/>
    <x v="5"/>
    <x v="1"/>
    <x v="2"/>
    <n v="0"/>
    <n v="0"/>
    <n v="6"/>
    <n v="0"/>
    <s v="September"/>
  </r>
  <r>
    <x v="5"/>
    <s v="RLQ"/>
    <x v="5"/>
    <x v="123"/>
    <n v="5972"/>
    <n v="155"/>
    <n v="2510"/>
    <n v="0"/>
    <n v="443"/>
    <n v="274"/>
    <x v="5"/>
    <x v="1"/>
    <x v="2"/>
    <n v="0.42029470864032148"/>
    <n v="6127"/>
    <n v="6"/>
    <n v="4.5880776959142666E-2"/>
    <s v="September"/>
  </r>
  <r>
    <x v="5"/>
    <s v="RX1"/>
    <x v="5"/>
    <x v="175"/>
    <n v="12732"/>
    <n v="0"/>
    <n v="6930"/>
    <n v="0"/>
    <n v="255"/>
    <n v="634"/>
    <x v="5"/>
    <x v="1"/>
    <x v="2"/>
    <n v="0.54429783223374173"/>
    <n v="12732"/>
    <n v="6"/>
    <n v="4.979579013509268E-2"/>
    <s v="September"/>
  </r>
  <r>
    <x v="5"/>
    <s v="RH5"/>
    <x v="1"/>
    <x v="40"/>
    <n v="12710"/>
    <n v="8427"/>
    <n v="6042"/>
    <n v="127"/>
    <n v="205"/>
    <n v="100"/>
    <x v="5"/>
    <x v="1"/>
    <x v="2"/>
    <n v="0.4753737214791503"/>
    <n v="21137"/>
    <n v="6"/>
    <n v="7.8678206136900079E-3"/>
    <s v="September"/>
  </r>
  <r>
    <x v="5"/>
    <s v="Y02147"/>
    <x v="4"/>
    <x v="117"/>
    <n v="0"/>
    <n v="7801"/>
    <n v="0"/>
    <n v="123"/>
    <n v="0"/>
    <n v="0"/>
    <x v="5"/>
    <x v="1"/>
    <x v="2"/>
    <n v="0"/>
    <n v="7801"/>
    <n v="6"/>
    <n v="0"/>
    <s v="September"/>
  </r>
  <r>
    <x v="5"/>
    <s v="RYJ"/>
    <x v="4"/>
    <x v="91"/>
    <n v="11866"/>
    <n v="7038"/>
    <n v="5300"/>
    <n v="333"/>
    <n v="588"/>
    <n v="0"/>
    <x v="5"/>
    <x v="1"/>
    <x v="2"/>
    <n v="0.44665430642170906"/>
    <n v="18904"/>
    <n v="6"/>
    <n v="0"/>
    <s v="September"/>
  </r>
  <r>
    <x v="5"/>
    <s v="RJ7"/>
    <x v="4"/>
    <x v="96"/>
    <n v="8302"/>
    <n v="4055"/>
    <n v="2580"/>
    <n v="172"/>
    <n v="376"/>
    <n v="500"/>
    <x v="5"/>
    <x v="1"/>
    <x v="2"/>
    <n v="0.31076848952059744"/>
    <n v="12357"/>
    <n v="6"/>
    <n v="6.0226451457480124E-2"/>
    <s v="September"/>
  </r>
  <r>
    <x v="5"/>
    <s v="RBL"/>
    <x v="3"/>
    <x v="94"/>
    <n v="8030"/>
    <n v="2802"/>
    <n v="4600"/>
    <n v="95"/>
    <n v="563"/>
    <n v="696"/>
    <x v="5"/>
    <x v="1"/>
    <x v="2"/>
    <n v="0.57285180572851802"/>
    <n v="10832"/>
    <n v="6"/>
    <n v="8.6674968866749691E-2"/>
    <s v="September"/>
  </r>
  <r>
    <x v="5"/>
    <s v="RWJ"/>
    <x v="3"/>
    <x v="82"/>
    <n v="7974"/>
    <n v="1010"/>
    <n v="3249"/>
    <n v="42"/>
    <n v="687"/>
    <n v="324"/>
    <x v="5"/>
    <x v="1"/>
    <x v="2"/>
    <n v="0.4074492099322799"/>
    <n v="8984"/>
    <n v="6"/>
    <n v="4.0632054176072234E-2"/>
    <s v="September"/>
  </r>
  <r>
    <x v="5"/>
    <s v="RMC"/>
    <x v="3"/>
    <x v="72"/>
    <n v="8141"/>
    <n v="3746"/>
    <n v="3816"/>
    <n v="269"/>
    <n v="536"/>
    <n v="213"/>
    <x v="5"/>
    <x v="1"/>
    <x v="2"/>
    <n v="0.4687384842156983"/>
    <n v="11887"/>
    <n v="6"/>
    <n v="2.6163861933423412E-2"/>
    <s v="September"/>
  </r>
  <r>
    <x v="5"/>
    <s v="RM3"/>
    <x v="3"/>
    <x v="64"/>
    <n v="26117"/>
    <n v="9791"/>
    <n v="9870"/>
    <n v="401"/>
    <n v="1017"/>
    <n v="1095"/>
    <x v="5"/>
    <x v="1"/>
    <x v="2"/>
    <n v="0.37791476815867059"/>
    <n v="35908"/>
    <n v="6"/>
    <n v="4.1926714400581995E-2"/>
    <s v="September"/>
  </r>
  <r>
    <x v="5"/>
    <s v="RHU"/>
    <x v="0"/>
    <x v="63"/>
    <n v="10993"/>
    <n v="2982"/>
    <n v="4170"/>
    <n v="9"/>
    <n v="801"/>
    <n v="1170"/>
    <x v="5"/>
    <x v="1"/>
    <x v="2"/>
    <n v="0.37933230237423815"/>
    <n v="13975"/>
    <n v="6"/>
    <n v="0.10643136541435459"/>
    <s v="September"/>
  </r>
  <r>
    <x v="5"/>
    <s v="R1K"/>
    <x v="4"/>
    <x v="30"/>
    <n v="13596"/>
    <n v="15146"/>
    <n v="6518"/>
    <n v="526"/>
    <n v="633"/>
    <n v="419"/>
    <x v="5"/>
    <x v="1"/>
    <x v="2"/>
    <n v="0.47940570756104739"/>
    <n v="28742"/>
    <n v="6"/>
    <n v="3.0817887614004121E-2"/>
    <s v="September"/>
  </r>
  <r>
    <x v="5"/>
    <s v="NNJ"/>
    <x v="5"/>
    <x v="62"/>
    <n v="0"/>
    <n v="1727"/>
    <n v="0"/>
    <n v="0"/>
    <n v="0"/>
    <n v="0"/>
    <x v="5"/>
    <x v="1"/>
    <x v="2"/>
    <n v="0"/>
    <n v="1727"/>
    <n v="6"/>
    <n v="0"/>
    <s v="September"/>
  </r>
  <r>
    <x v="5"/>
    <s v="RTH"/>
    <x v="0"/>
    <x v="100"/>
    <n v="12153"/>
    <n v="3273"/>
    <n v="3679"/>
    <n v="73"/>
    <n v="397"/>
    <n v="3"/>
    <x v="5"/>
    <x v="1"/>
    <x v="2"/>
    <n v="0.30272360733975151"/>
    <n v="15426"/>
    <n v="6"/>
    <n v="2.4685262898049864E-4"/>
    <s v="September"/>
  </r>
  <r>
    <x v="5"/>
    <s v="RDR"/>
    <x v="0"/>
    <x v="3"/>
    <n v="0"/>
    <n v="11738"/>
    <n v="0"/>
    <n v="131"/>
    <n v="0"/>
    <n v="0"/>
    <x v="5"/>
    <x v="1"/>
    <x v="2"/>
    <n v="0"/>
    <n v="11738"/>
    <n v="6"/>
    <n v="0"/>
    <s v="September"/>
  </r>
  <r>
    <x v="5"/>
    <s v="RAS"/>
    <x v="4"/>
    <x v="174"/>
    <n v="5135"/>
    <n v="7323"/>
    <n v="2453"/>
    <n v="99"/>
    <n v="460"/>
    <n v="37"/>
    <x v="5"/>
    <x v="1"/>
    <x v="2"/>
    <n v="0.47770204479065237"/>
    <n v="12458"/>
    <n v="6"/>
    <n v="7.2054527750730285E-3"/>
    <s v="September"/>
  </r>
  <r>
    <x v="5"/>
    <s v="RXQ"/>
    <x v="0"/>
    <x v="48"/>
    <n v="10740"/>
    <n v="3058"/>
    <n v="4079"/>
    <n v="98"/>
    <n v="195"/>
    <n v="337"/>
    <x v="5"/>
    <x v="1"/>
    <x v="2"/>
    <n v="0.3797951582867784"/>
    <n v="13798"/>
    <n v="6"/>
    <n v="3.1378026070763503E-2"/>
    <s v="September"/>
  </r>
  <r>
    <x v="5"/>
    <s v="RXN"/>
    <x v="3"/>
    <x v="65"/>
    <n v="12119"/>
    <n v="3016"/>
    <n v="4631"/>
    <n v="101"/>
    <n v="1109"/>
    <n v="465"/>
    <x v="5"/>
    <x v="1"/>
    <x v="2"/>
    <n v="0.38212723822097533"/>
    <n v="15135"/>
    <n v="6"/>
    <n v="3.8369502434194243E-2"/>
    <s v="September"/>
  </r>
  <r>
    <x v="5"/>
    <s v="RXK"/>
    <x v="5"/>
    <x v="176"/>
    <n v="11092"/>
    <n v="8078"/>
    <n v="4432"/>
    <n v="161"/>
    <n v="894"/>
    <n v="299"/>
    <x v="5"/>
    <x v="1"/>
    <x v="2"/>
    <n v="0.3995672556797692"/>
    <n v="19170"/>
    <n v="6"/>
    <n v="2.695636494771006E-2"/>
    <s v="September"/>
  </r>
  <r>
    <x v="5"/>
    <s v="RVR"/>
    <x v="4"/>
    <x v="74"/>
    <n v="10989"/>
    <n v="2368"/>
    <n v="3292"/>
    <n v="195"/>
    <n v="871"/>
    <n v="778"/>
    <x v="5"/>
    <x v="1"/>
    <x v="2"/>
    <n v="0.29957229957229958"/>
    <n v="13357"/>
    <n v="6"/>
    <n v="7.0798070798070795E-2"/>
    <s v="September"/>
  </r>
  <r>
    <x v="5"/>
    <s v="NQTE4"/>
    <x v="5"/>
    <x v="132"/>
    <n v="0"/>
    <n v="3150"/>
    <n v="0"/>
    <n v="0"/>
    <n v="0"/>
    <n v="0"/>
    <x v="5"/>
    <x v="1"/>
    <x v="2"/>
    <n v="0"/>
    <n v="3150"/>
    <n v="6"/>
    <n v="0"/>
    <s v="September"/>
  </r>
  <r>
    <x v="5"/>
    <s v="RWD"/>
    <x v="5"/>
    <x v="78"/>
    <n v="16570"/>
    <n v="3896"/>
    <n v="6887"/>
    <n v="267"/>
    <n v="985"/>
    <n v="946"/>
    <x v="5"/>
    <x v="1"/>
    <x v="2"/>
    <n v="0.41563065781532893"/>
    <n v="20466"/>
    <n v="6"/>
    <n v="5.7091128545564272E-2"/>
    <s v="September"/>
  </r>
  <r>
    <x v="5"/>
    <s v="RW4"/>
    <x v="3"/>
    <x v="124"/>
    <n v="0"/>
    <n v="13214"/>
    <n v="0"/>
    <n v="235"/>
    <n v="0"/>
    <n v="0"/>
    <x v="5"/>
    <x v="1"/>
    <x v="2"/>
    <n v="0"/>
    <n v="13214"/>
    <n v="6"/>
    <n v="0"/>
    <s v="September"/>
  </r>
  <r>
    <x v="5"/>
    <s v="R0D"/>
    <x v="1"/>
    <x v="157"/>
    <n v="13867"/>
    <n v="4973"/>
    <n v="5538"/>
    <n v="0"/>
    <n v="936"/>
    <n v="169"/>
    <x v="5"/>
    <x v="1"/>
    <x v="2"/>
    <n v="0.39936539987019543"/>
    <n v="18840"/>
    <n v="6"/>
    <n v="1.2187207038292349E-2"/>
    <s v="September"/>
  </r>
  <r>
    <x v="5"/>
    <s v="R0A"/>
    <x v="3"/>
    <x v="155"/>
    <n v="25360"/>
    <n v="10810"/>
    <n v="11008"/>
    <n v="296"/>
    <n v="3225"/>
    <n v="105"/>
    <x v="5"/>
    <x v="1"/>
    <x v="2"/>
    <n v="0.43406940063091481"/>
    <n v="36170"/>
    <n v="6"/>
    <n v="4.1403785488958993E-3"/>
    <s v="September"/>
  </r>
  <r>
    <x v="5"/>
    <s v="NTPAD"/>
    <x v="0"/>
    <x v="112"/>
    <n v="0"/>
    <n v="5205"/>
    <n v="0"/>
    <n v="390"/>
    <n v="0"/>
    <n v="0"/>
    <x v="5"/>
    <x v="1"/>
    <x v="2"/>
    <n v="0"/>
    <n v="5205"/>
    <n v="6"/>
    <n v="0"/>
    <s v="September"/>
  </r>
  <r>
    <x v="5"/>
    <s v="AQM01"/>
    <x v="0"/>
    <x v="198"/>
    <n v="0"/>
    <n v="2934"/>
    <n v="0"/>
    <n v="0"/>
    <n v="0"/>
    <n v="0"/>
    <x v="5"/>
    <x v="1"/>
    <x v="2"/>
    <n v="0"/>
    <n v="2934"/>
    <n v="6"/>
    <n v="0"/>
    <s v="September"/>
  </r>
  <r>
    <x v="5"/>
    <s v="AJN"/>
    <x v="6"/>
    <x v="187"/>
    <n v="0"/>
    <n v="392"/>
    <n v="0"/>
    <n v="0"/>
    <n v="0"/>
    <n v="0"/>
    <x v="5"/>
    <x v="1"/>
    <x v="2"/>
    <n v="0"/>
    <n v="392"/>
    <n v="6"/>
    <n v="0"/>
    <s v="September"/>
  </r>
  <r>
    <x v="5"/>
    <s v="AD913"/>
    <x v="4"/>
    <x v="70"/>
    <n v="0"/>
    <n v="3395"/>
    <n v="0"/>
    <n v="30"/>
    <n v="0"/>
    <n v="0"/>
    <x v="5"/>
    <x v="1"/>
    <x v="2"/>
    <n v="0"/>
    <n v="3395"/>
    <n v="6"/>
    <n v="0"/>
    <s v="September"/>
  </r>
  <r>
    <x v="5"/>
    <s v="ACH01"/>
    <x v="0"/>
    <x v="119"/>
    <n v="0"/>
    <n v="4919"/>
    <n v="0"/>
    <n v="0"/>
    <n v="0"/>
    <n v="0"/>
    <x v="5"/>
    <x v="1"/>
    <x v="2"/>
    <n v="0"/>
    <n v="4919"/>
    <n v="6"/>
    <n v="0"/>
    <s v="September"/>
  </r>
  <r>
    <x v="5"/>
    <s v="A5D4Q"/>
    <x v="5"/>
    <x v="201"/>
    <n v="0"/>
    <n v="4240"/>
    <n v="0"/>
    <n v="991"/>
    <n v="0"/>
    <n v="0"/>
    <x v="5"/>
    <x v="1"/>
    <x v="2"/>
    <n v="0"/>
    <n v="4240"/>
    <n v="6"/>
    <n v="0"/>
    <s v="September"/>
  </r>
  <r>
    <x v="5"/>
    <s v="RYG"/>
    <x v="5"/>
    <x v="90"/>
    <n v="0"/>
    <n v="0"/>
    <n v="0"/>
    <n v="0"/>
    <n v="0"/>
    <n v="0"/>
    <x v="5"/>
    <x v="1"/>
    <x v="2"/>
    <n v="0"/>
    <n v="0"/>
    <n v="6"/>
    <n v="0"/>
    <s v="September"/>
  </r>
  <r>
    <x v="5"/>
    <s v="RY5"/>
    <x v="5"/>
    <x v="151"/>
    <n v="0"/>
    <n v="8314"/>
    <n v="0"/>
    <n v="187"/>
    <n v="0"/>
    <n v="0"/>
    <x v="5"/>
    <x v="1"/>
    <x v="2"/>
    <n v="0"/>
    <n v="8314"/>
    <n v="6"/>
    <n v="0"/>
    <s v="September"/>
  </r>
  <r>
    <x v="5"/>
    <s v="RY2"/>
    <x v="3"/>
    <x v="173"/>
    <n v="0"/>
    <n v="2781"/>
    <n v="0"/>
    <n v="52"/>
    <n v="0"/>
    <n v="0"/>
    <x v="5"/>
    <x v="1"/>
    <x v="2"/>
    <n v="0"/>
    <n v="2781"/>
    <n v="6"/>
    <n v="0"/>
    <s v="September"/>
  </r>
  <r>
    <x v="5"/>
    <s v="RXW"/>
    <x v="5"/>
    <x v="88"/>
    <n v="10459"/>
    <n v="2507"/>
    <n v="5685"/>
    <n v="312"/>
    <n v="392"/>
    <n v="1492"/>
    <x v="5"/>
    <x v="1"/>
    <x v="2"/>
    <n v="0.54355100870064055"/>
    <n v="12966"/>
    <n v="6"/>
    <n v="0.14265226121044078"/>
    <s v="September"/>
  </r>
  <r>
    <x v="5"/>
    <s v="RXG"/>
    <x v="6"/>
    <x v="85"/>
    <n v="0"/>
    <n v="0"/>
    <n v="0"/>
    <n v="0"/>
    <n v="0"/>
    <n v="0"/>
    <x v="5"/>
    <x v="1"/>
    <x v="2"/>
    <n v="0"/>
    <n v="0"/>
    <n v="6"/>
    <n v="0"/>
    <s v="September"/>
  </r>
  <r>
    <x v="5"/>
    <s v="RTK"/>
    <x v="0"/>
    <x v="49"/>
    <n v="7056"/>
    <n v="2773"/>
    <n v="3397"/>
    <n v="23"/>
    <n v="518"/>
    <n v="299"/>
    <x v="5"/>
    <x v="1"/>
    <x v="2"/>
    <n v="0.48143424036281179"/>
    <n v="9829"/>
    <n v="6"/>
    <n v="4.2375283446712021E-2"/>
    <s v="September"/>
  </r>
  <r>
    <x v="5"/>
    <s v="RRF"/>
    <x v="3"/>
    <x v="21"/>
    <n v="7389"/>
    <n v="4941"/>
    <n v="3087"/>
    <n v="41"/>
    <n v="640"/>
    <n v="439"/>
    <x v="5"/>
    <x v="1"/>
    <x v="2"/>
    <n v="0.41778319123020707"/>
    <n v="12330"/>
    <n v="6"/>
    <n v="5.9412640411422385E-2"/>
    <s v="September"/>
  </r>
  <r>
    <x v="5"/>
    <s v="RR8"/>
    <x v="6"/>
    <x v="20"/>
    <n v="17702"/>
    <n v="11080"/>
    <n v="6911"/>
    <n v="153"/>
    <n v="1435"/>
    <n v="552"/>
    <x v="5"/>
    <x v="1"/>
    <x v="2"/>
    <n v="0.39040786351824652"/>
    <n v="28782"/>
    <n v="6"/>
    <n v="3.1182917184498928E-2"/>
    <s v="September"/>
  </r>
  <r>
    <x v="5"/>
    <s v="RQW"/>
    <x v="2"/>
    <x v="150"/>
    <n v="8343"/>
    <n v="1926"/>
    <n v="2187"/>
    <n v="0"/>
    <n v="547"/>
    <n v="279"/>
    <x v="5"/>
    <x v="1"/>
    <x v="2"/>
    <n v="0.26213592233009708"/>
    <n v="10269"/>
    <n v="6"/>
    <n v="3.3441208198489752E-2"/>
    <s v="September"/>
  </r>
  <r>
    <x v="5"/>
    <s v="RQM"/>
    <x v="4"/>
    <x v="19"/>
    <n v="19591"/>
    <n v="6102"/>
    <n v="5703"/>
    <n v="135"/>
    <n v="937"/>
    <n v="46"/>
    <x v="5"/>
    <x v="1"/>
    <x v="2"/>
    <n v="0.29110305752641519"/>
    <n v="25693"/>
    <n v="6"/>
    <n v="2.3480169465570923E-3"/>
    <s v="September"/>
  </r>
  <r>
    <x v="5"/>
    <s v="RP6"/>
    <x v="4"/>
    <x v="192"/>
    <n v="0"/>
    <n v="0"/>
    <n v="0"/>
    <n v="0"/>
    <n v="0"/>
    <n v="0"/>
    <x v="5"/>
    <x v="1"/>
    <x v="2"/>
    <n v="0"/>
    <n v="0"/>
    <n v="6"/>
    <n v="0"/>
    <s v="September"/>
  </r>
  <r>
    <x v="5"/>
    <s v="RNS"/>
    <x v="5"/>
    <x v="15"/>
    <n v="10254"/>
    <n v="1764"/>
    <n v="4221"/>
    <n v="81"/>
    <n v="603"/>
    <n v="628"/>
    <x v="5"/>
    <x v="1"/>
    <x v="2"/>
    <n v="0.41164423639555298"/>
    <n v="12018"/>
    <n v="6"/>
    <n v="6.1244392432221573E-2"/>
    <s v="September"/>
  </r>
  <r>
    <x v="5"/>
    <s v="RNN"/>
    <x v="6"/>
    <x v="197"/>
    <n v="8864"/>
    <n v="1987"/>
    <n v="4042"/>
    <n v="9"/>
    <n v="647"/>
    <n v="277"/>
    <x v="5"/>
    <x v="1"/>
    <x v="2"/>
    <n v="0.45600180505415161"/>
    <n v="10851"/>
    <n v="6"/>
    <n v="3.125E-2"/>
    <s v="September"/>
  </r>
  <r>
    <x v="5"/>
    <s v="R1H"/>
    <x v="4"/>
    <x v="93"/>
    <n v="24887"/>
    <n v="17931"/>
    <n v="10741"/>
    <n v="1565"/>
    <n v="1162"/>
    <n v="951"/>
    <x v="5"/>
    <x v="1"/>
    <x v="2"/>
    <n v="0.4315907903724836"/>
    <n v="42818"/>
    <n v="6"/>
    <n v="3.8212721501185355E-2"/>
    <s v="September"/>
  </r>
  <r>
    <x v="5"/>
    <s v="RWA"/>
    <x v="6"/>
    <x v="77"/>
    <n v="9658"/>
    <n v="4482"/>
    <n v="5594"/>
    <n v="280"/>
    <n v="972"/>
    <n v="600"/>
    <x v="5"/>
    <x v="1"/>
    <x v="2"/>
    <n v="0.57920894595154271"/>
    <n v="14140"/>
    <n v="6"/>
    <n v="6.2124663491406086E-2"/>
    <s v="September"/>
  </r>
  <r>
    <x v="5"/>
    <s v="RA7"/>
    <x v="1"/>
    <x v="158"/>
    <n v="15522"/>
    <n v="0"/>
    <n v="5293"/>
    <n v="0"/>
    <n v="1027"/>
    <n v="213"/>
    <x v="5"/>
    <x v="1"/>
    <x v="2"/>
    <n v="0.34099987115062491"/>
    <n v="15522"/>
    <n v="6"/>
    <n v="1.3722458446076537E-2"/>
    <s v="September"/>
  </r>
  <r>
    <x v="5"/>
    <s v="RBK"/>
    <x v="5"/>
    <x v="159"/>
    <n v="9406"/>
    <n v="4107"/>
    <n v="3357"/>
    <n v="47"/>
    <n v="1030"/>
    <n v="198"/>
    <x v="5"/>
    <x v="1"/>
    <x v="2"/>
    <n v="0.35689985115883477"/>
    <n v="13513"/>
    <n v="6"/>
    <n v="2.1050393365936636E-2"/>
    <s v="September"/>
  </r>
  <r>
    <x v="5"/>
    <s v="RVV"/>
    <x v="0"/>
    <x v="50"/>
    <n v="12369"/>
    <n v="12759"/>
    <n v="5916"/>
    <n v="311"/>
    <n v="519"/>
    <n v="1172"/>
    <x v="5"/>
    <x v="1"/>
    <x v="2"/>
    <n v="0.47829250545719137"/>
    <n v="25128"/>
    <n v="6"/>
    <n v="9.4753011561160963E-2"/>
    <s v="September"/>
  </r>
  <r>
    <x v="5"/>
    <s v="RVJ"/>
    <x v="1"/>
    <x v="73"/>
    <n v="9147"/>
    <n v="0"/>
    <n v="3238"/>
    <n v="0"/>
    <n v="570"/>
    <n v="197"/>
    <x v="5"/>
    <x v="1"/>
    <x v="2"/>
    <n v="0.35399584563244779"/>
    <n v="9147"/>
    <n v="6"/>
    <n v="2.1537115994315077E-2"/>
    <s v="September"/>
  </r>
  <r>
    <x v="5"/>
    <s v="RTG"/>
    <x v="5"/>
    <x v="54"/>
    <n v="18343"/>
    <n v="9024"/>
    <n v="8755"/>
    <n v="0"/>
    <n v="918"/>
    <n v="557"/>
    <x v="5"/>
    <x v="1"/>
    <x v="2"/>
    <n v="0.4772937905468026"/>
    <n v="27367"/>
    <n v="6"/>
    <n v="3.0365807119882245E-2"/>
    <s v="September"/>
  </r>
  <r>
    <x v="5"/>
    <s v="RTF"/>
    <x v="6"/>
    <x v="99"/>
    <n v="10222"/>
    <n v="13360"/>
    <n v="2584"/>
    <n v="4"/>
    <n v="18"/>
    <n v="0"/>
    <x v="5"/>
    <x v="1"/>
    <x v="2"/>
    <n v="0.25278810408921931"/>
    <n v="23582"/>
    <n v="6"/>
    <n v="0"/>
    <s v="September"/>
  </r>
  <r>
    <x v="5"/>
    <s v="RTE"/>
    <x v="1"/>
    <x v="23"/>
    <n v="13772"/>
    <n v="0"/>
    <n v="5165"/>
    <n v="0"/>
    <n v="502"/>
    <n v="281"/>
    <x v="5"/>
    <x v="1"/>
    <x v="2"/>
    <n v="0.37503630554748768"/>
    <n v="13772"/>
    <n v="6"/>
    <n v="2.0403717688062737E-2"/>
    <s v="September"/>
  </r>
  <r>
    <x v="5"/>
    <s v="RQ3"/>
    <x v="5"/>
    <x v="18"/>
    <n v="4565"/>
    <n v="0"/>
    <n v="611"/>
    <n v="0"/>
    <n v="20"/>
    <n v="2"/>
    <x v="5"/>
    <x v="1"/>
    <x v="2"/>
    <n v="0.13384446878422782"/>
    <n v="4565"/>
    <n v="6"/>
    <n v="4.381161007667032E-4"/>
    <s v="September"/>
  </r>
  <r>
    <x v="5"/>
    <s v="RP5"/>
    <x v="6"/>
    <x v="53"/>
    <n v="13811"/>
    <n v="4142"/>
    <n v="5411"/>
    <n v="6"/>
    <n v="1194"/>
    <n v="162"/>
    <x v="5"/>
    <x v="1"/>
    <x v="2"/>
    <n v="0.39178915357323874"/>
    <n v="17953"/>
    <n v="6"/>
    <n v="1.1729780609658968E-2"/>
    <s v="September"/>
  </r>
  <r>
    <x v="5"/>
    <s v="RNZ"/>
    <x v="1"/>
    <x v="17"/>
    <n v="4822"/>
    <n v="1678"/>
    <n v="2233"/>
    <n v="0"/>
    <n v="418"/>
    <n v="78"/>
    <x v="5"/>
    <x v="1"/>
    <x v="2"/>
    <n v="0.46308585649108253"/>
    <n v="6500"/>
    <n v="6"/>
    <n v="1.6175860638739114E-2"/>
    <s v="September"/>
  </r>
  <r>
    <x v="5"/>
    <s v="RN7"/>
    <x v="0"/>
    <x v="14"/>
    <n v="11172"/>
    <n v="3811"/>
    <n v="2488"/>
    <n v="19"/>
    <n v="620"/>
    <n v="129"/>
    <x v="5"/>
    <x v="1"/>
    <x v="2"/>
    <n v="0.22269960615825277"/>
    <n v="14983"/>
    <n v="6"/>
    <n v="1.154672395273899E-2"/>
    <s v="September"/>
  </r>
  <r>
    <x v="5"/>
    <s v="RLT"/>
    <x v="5"/>
    <x v="13"/>
    <n v="6824"/>
    <n v="1627"/>
    <n v="1973"/>
    <n v="17"/>
    <n v="256"/>
    <n v="499"/>
    <x v="5"/>
    <x v="1"/>
    <x v="2"/>
    <n v="0.28912661195779599"/>
    <n v="8451"/>
    <n v="6"/>
    <n v="7.3124267291910905E-2"/>
    <s v="September"/>
  </r>
  <r>
    <x v="5"/>
    <s v="RK5"/>
    <x v="5"/>
    <x v="10"/>
    <n v="10728"/>
    <n v="5227"/>
    <n v="4743"/>
    <n v="355"/>
    <n v="832"/>
    <n v="204"/>
    <x v="5"/>
    <x v="1"/>
    <x v="2"/>
    <n v="0.44211409395973156"/>
    <n v="15955"/>
    <n v="6"/>
    <n v="1.901565995525727E-2"/>
    <s v="September"/>
  </r>
  <r>
    <x v="5"/>
    <s v="RJR"/>
    <x v="3"/>
    <x v="105"/>
    <n v="5335"/>
    <n v="2421"/>
    <n v="2746"/>
    <n v="187"/>
    <n v="368"/>
    <n v="747"/>
    <x v="5"/>
    <x v="1"/>
    <x v="2"/>
    <n v="0.51471415182755387"/>
    <n v="7756"/>
    <n v="6"/>
    <n v="0.14001874414245549"/>
    <s v="September"/>
  </r>
  <r>
    <x v="5"/>
    <s v="RJ6"/>
    <x v="4"/>
    <x v="189"/>
    <n v="12725"/>
    <n v="4746"/>
    <n v="4327"/>
    <n v="0"/>
    <n v="275"/>
    <n v="609"/>
    <x v="5"/>
    <x v="1"/>
    <x v="2"/>
    <n v="0.34003929273084477"/>
    <n v="17471"/>
    <n v="6"/>
    <n v="4.7858546168958745E-2"/>
    <s v="September"/>
  </r>
  <r>
    <x v="5"/>
    <s v="RJ2"/>
    <x v="4"/>
    <x v="8"/>
    <n v="15359"/>
    <n v="9033"/>
    <n v="7333"/>
    <n v="290"/>
    <n v="1189"/>
    <n v="598"/>
    <x v="5"/>
    <x v="1"/>
    <x v="2"/>
    <n v="0.47743993749593072"/>
    <n v="24392"/>
    <n v="6"/>
    <n v="3.8934826486099354E-2"/>
    <s v="September"/>
  </r>
  <r>
    <x v="5"/>
    <s v="RFS"/>
    <x v="5"/>
    <x v="68"/>
    <n v="5270"/>
    <n v="4692"/>
    <n v="2840"/>
    <n v="230"/>
    <n v="867"/>
    <n v="254"/>
    <x v="5"/>
    <x v="1"/>
    <x v="2"/>
    <n v="0.53889943074003799"/>
    <n v="9962"/>
    <n v="6"/>
    <n v="4.8197343453510434E-2"/>
    <s v="September"/>
  </r>
  <r>
    <x v="5"/>
    <s v="RF4"/>
    <x v="4"/>
    <x v="7"/>
    <n v="13173"/>
    <n v="13732"/>
    <n v="5665"/>
    <n v="116"/>
    <n v="646"/>
    <n v="772"/>
    <x v="5"/>
    <x v="1"/>
    <x v="2"/>
    <n v="0.43004630683974798"/>
    <n v="26905"/>
    <n v="6"/>
    <n v="5.8604721779397254E-2"/>
    <s v="September"/>
  </r>
  <r>
    <x v="5"/>
    <s v="REM"/>
    <x v="3"/>
    <x v="5"/>
    <n v="16233"/>
    <n v="8245"/>
    <n v="8032"/>
    <n v="232"/>
    <n v="1994"/>
    <n v="887"/>
    <x v="5"/>
    <x v="1"/>
    <x v="2"/>
    <n v="0.4947945543029631"/>
    <n v="24478"/>
    <n v="6"/>
    <n v="5.4641779091973139E-2"/>
    <s v="September"/>
  </r>
  <r>
    <x v="5"/>
    <s v="RDY"/>
    <x v="1"/>
    <x v="145"/>
    <n v="0"/>
    <n v="0"/>
    <n v="0"/>
    <n v="0"/>
    <n v="0"/>
    <n v="0"/>
    <x v="5"/>
    <x v="1"/>
    <x v="2"/>
    <n v="0"/>
    <n v="0"/>
    <n v="6"/>
    <n v="0"/>
    <s v="September"/>
  </r>
  <r>
    <x v="5"/>
    <s v="RD8"/>
    <x v="2"/>
    <x v="36"/>
    <n v="8199"/>
    <n v="4703"/>
    <n v="3248"/>
    <n v="26"/>
    <n v="563"/>
    <n v="0"/>
    <x v="5"/>
    <x v="1"/>
    <x v="2"/>
    <n v="0.39614587144773755"/>
    <n v="12902"/>
    <n v="6"/>
    <n v="0"/>
    <s v="September"/>
  </r>
  <r>
    <x v="5"/>
    <s v="RD1"/>
    <x v="1"/>
    <x v="1"/>
    <n v="8897"/>
    <n v="0"/>
    <n v="3776"/>
    <n v="0"/>
    <n v="970"/>
    <n v="113"/>
    <x v="5"/>
    <x v="1"/>
    <x v="2"/>
    <n v="0.42441272338990671"/>
    <n v="8897"/>
    <n v="6"/>
    <n v="1.2700910419242442E-2"/>
    <s v="September"/>
  </r>
  <r>
    <x v="5"/>
    <s v="RCB"/>
    <x v="6"/>
    <x v="35"/>
    <n v="10917"/>
    <n v="7767"/>
    <n v="5694"/>
    <n v="461"/>
    <n v="800"/>
    <n v="535"/>
    <x v="5"/>
    <x v="1"/>
    <x v="2"/>
    <n v="0.52157186040120918"/>
    <n v="18684"/>
    <n v="6"/>
    <n v="4.9006137217184206E-2"/>
    <s v="September"/>
  </r>
  <r>
    <x v="5"/>
    <s v="RAT"/>
    <x v="4"/>
    <x v="182"/>
    <n v="0"/>
    <n v="1849"/>
    <n v="0"/>
    <n v="88"/>
    <n v="0"/>
    <n v="0"/>
    <x v="5"/>
    <x v="1"/>
    <x v="2"/>
    <n v="0"/>
    <n v="1849"/>
    <n v="6"/>
    <n v="0"/>
    <s v="September"/>
  </r>
  <r>
    <x v="5"/>
    <s v="C82038"/>
    <x v="5"/>
    <x v="131"/>
    <n v="0"/>
    <n v="363"/>
    <n v="0"/>
    <n v="0"/>
    <n v="0"/>
    <n v="0"/>
    <x v="5"/>
    <x v="1"/>
    <x v="2"/>
    <n v="0"/>
    <n v="363"/>
    <n v="6"/>
    <n v="0"/>
    <s v="September"/>
  </r>
  <r>
    <x v="5"/>
    <s v="RKB"/>
    <x v="5"/>
    <x v="11"/>
    <n v="12527"/>
    <n v="5585"/>
    <n v="5074"/>
    <n v="46"/>
    <n v="57"/>
    <n v="14"/>
    <x v="5"/>
    <x v="1"/>
    <x v="2"/>
    <n v="0.40504510257843057"/>
    <n v="18112"/>
    <n v="6"/>
    <n v="1.1175860142093078E-3"/>
    <s v="September"/>
  </r>
  <r>
    <x v="5"/>
    <s v="RAL"/>
    <x v="4"/>
    <x v="33"/>
    <n v="26019"/>
    <n v="14950"/>
    <n v="8625"/>
    <n v="603"/>
    <n v="1018"/>
    <n v="1975"/>
    <x v="5"/>
    <x v="1"/>
    <x v="2"/>
    <n v="0.33148852761443559"/>
    <n v="40969"/>
    <n v="6"/>
    <n v="7.5906068642146121E-2"/>
    <s v="September"/>
  </r>
  <r>
    <x v="5"/>
    <s v="Y02615"/>
    <x v="5"/>
    <x v="129"/>
    <n v="0"/>
    <n v="6084"/>
    <n v="0"/>
    <n v="0"/>
    <n v="0"/>
    <n v="0"/>
    <x v="5"/>
    <x v="1"/>
    <x v="2"/>
    <n v="0"/>
    <n v="6084"/>
    <n v="6"/>
    <n v="0"/>
    <s v="September"/>
  </r>
  <r>
    <x v="5"/>
    <s v="AAH"/>
    <x v="1"/>
    <x v="149"/>
    <n v="0"/>
    <n v="593"/>
    <n v="0"/>
    <n v="0"/>
    <n v="0"/>
    <n v="0"/>
    <x v="5"/>
    <x v="1"/>
    <x v="2"/>
    <n v="0"/>
    <n v="593"/>
    <n v="6"/>
    <n v="0"/>
    <s v="September"/>
  </r>
  <r>
    <x v="5"/>
    <s v="RTD"/>
    <x v="6"/>
    <x v="71"/>
    <n v="12773"/>
    <n v="6244"/>
    <n v="5163"/>
    <n v="0"/>
    <n v="541"/>
    <n v="12"/>
    <x v="5"/>
    <x v="1"/>
    <x v="2"/>
    <n v="0.40421200970797777"/>
    <n v="19017"/>
    <n v="6"/>
    <n v="9.3948171925154627E-4"/>
    <s v="September"/>
  </r>
  <r>
    <x v="6"/>
    <s v="RCB"/>
    <x v="6"/>
    <x v="35"/>
    <n v="11343"/>
    <n v="7942"/>
    <n v="5778"/>
    <n v="367"/>
    <n v="945"/>
    <n v="628"/>
    <x v="6"/>
    <x v="2"/>
    <x v="2"/>
    <n v="0.50938905051573657"/>
    <n v="19285"/>
    <n v="7"/>
    <n v="5.5364542008287047E-2"/>
    <s v="October"/>
  </r>
  <r>
    <x v="6"/>
    <s v="RCU"/>
    <x v="6"/>
    <x v="184"/>
    <n v="4674"/>
    <n v="586"/>
    <n v="356"/>
    <n v="0"/>
    <n v="8"/>
    <n v="0"/>
    <x v="6"/>
    <x v="2"/>
    <x v="2"/>
    <n v="7.6166024818142913E-2"/>
    <n v="5260"/>
    <n v="7"/>
    <n v="0"/>
    <s v="October"/>
  </r>
  <r>
    <x v="6"/>
    <s v="RD1"/>
    <x v="1"/>
    <x v="1"/>
    <n v="9562"/>
    <n v="0"/>
    <n v="4229"/>
    <n v="0"/>
    <n v="982"/>
    <n v="112"/>
    <x v="6"/>
    <x v="2"/>
    <x v="2"/>
    <n v="0.44227149131980759"/>
    <n v="9562"/>
    <n v="7"/>
    <n v="1.171303074670571E-2"/>
    <s v="October"/>
  </r>
  <r>
    <x v="6"/>
    <s v="RD8"/>
    <x v="2"/>
    <x v="36"/>
    <n v="8428"/>
    <n v="5222"/>
    <n v="3454"/>
    <n v="43"/>
    <n v="706"/>
    <n v="0"/>
    <x v="6"/>
    <x v="2"/>
    <x v="2"/>
    <n v="0.40982439487422878"/>
    <n v="13650"/>
    <n v="7"/>
    <n v="0"/>
    <s v="October"/>
  </r>
  <r>
    <x v="6"/>
    <s v="RDE"/>
    <x v="2"/>
    <x v="2"/>
    <n v="11567"/>
    <n v="13288"/>
    <n v="6210"/>
    <n v="1213"/>
    <n v="819"/>
    <n v="556"/>
    <x v="6"/>
    <x v="2"/>
    <x v="2"/>
    <n v="0.53687213624967578"/>
    <n v="24855"/>
    <n v="7"/>
    <n v="4.8067779026541024E-2"/>
    <s v="October"/>
  </r>
  <r>
    <x v="6"/>
    <s v="RDU"/>
    <x v="0"/>
    <x v="37"/>
    <n v="23647"/>
    <n v="12660"/>
    <n v="9661"/>
    <n v="222"/>
    <n v="1387"/>
    <n v="492"/>
    <x v="6"/>
    <x v="2"/>
    <x v="2"/>
    <n v="0.40855076753922276"/>
    <n v="36307"/>
    <n v="7"/>
    <n v="2.080602190552713E-2"/>
    <s v="October"/>
  </r>
  <r>
    <x v="6"/>
    <s v="RET"/>
    <x v="3"/>
    <x v="6"/>
    <n v="0"/>
    <n v="0"/>
    <n v="0"/>
    <n v="0"/>
    <n v="0"/>
    <n v="0"/>
    <x v="6"/>
    <x v="2"/>
    <x v="2"/>
    <n v="0"/>
    <n v="0"/>
    <n v="7"/>
    <n v="0"/>
    <s v="October"/>
  </r>
  <r>
    <x v="6"/>
    <s v="RF4"/>
    <x v="4"/>
    <x v="7"/>
    <n v="14159"/>
    <n v="14559"/>
    <n v="6429"/>
    <n v="179"/>
    <n v="690"/>
    <n v="949"/>
    <x v="6"/>
    <x v="2"/>
    <x v="2"/>
    <n v="0.45405748993572992"/>
    <n v="28718"/>
    <n v="7"/>
    <n v="6.7024507380464726E-2"/>
    <s v="October"/>
  </r>
  <r>
    <x v="6"/>
    <s v="RFS"/>
    <x v="5"/>
    <x v="68"/>
    <n v="5372"/>
    <n v="5404"/>
    <n v="2895"/>
    <n v="257"/>
    <n v="963"/>
    <n v="276"/>
    <x v="6"/>
    <x v="2"/>
    <x v="2"/>
    <n v="0.53890543559195825"/>
    <n v="10776"/>
    <n v="7"/>
    <n v="5.137751303052867E-2"/>
    <s v="October"/>
  </r>
  <r>
    <x v="6"/>
    <s v="RGN"/>
    <x v="2"/>
    <x v="185"/>
    <n v="15528"/>
    <n v="4796"/>
    <n v="5883"/>
    <n v="96"/>
    <n v="560"/>
    <n v="945"/>
    <x v="6"/>
    <x v="2"/>
    <x v="2"/>
    <n v="0.37886398763523954"/>
    <n v="20324"/>
    <n v="7"/>
    <n v="6.0857805255023184E-2"/>
    <s v="October"/>
  </r>
  <r>
    <x v="6"/>
    <s v="RJ2"/>
    <x v="4"/>
    <x v="8"/>
    <n v="16150"/>
    <n v="16657"/>
    <n v="7660"/>
    <n v="380"/>
    <n v="1253"/>
    <n v="652"/>
    <x v="6"/>
    <x v="2"/>
    <x v="2"/>
    <n v="0.47430340557275541"/>
    <n v="32807"/>
    <n v="7"/>
    <n v="4.0371517027863776E-2"/>
    <s v="October"/>
  </r>
  <r>
    <x v="6"/>
    <s v="RBS"/>
    <x v="3"/>
    <x v="160"/>
    <n v="6441"/>
    <n v="0"/>
    <n v="841"/>
    <n v="0"/>
    <n v="0"/>
    <n v="0"/>
    <x v="6"/>
    <x v="2"/>
    <x v="2"/>
    <n v="0.13056978730010868"/>
    <n v="6441"/>
    <n v="7"/>
    <n v="0"/>
    <s v="October"/>
  </r>
  <r>
    <x v="6"/>
    <s v="RJ7"/>
    <x v="4"/>
    <x v="96"/>
    <n v="8936"/>
    <n v="3900"/>
    <n v="2633"/>
    <n v="106"/>
    <n v="408"/>
    <n v="651"/>
    <x v="6"/>
    <x v="2"/>
    <x v="2"/>
    <n v="0.29465085049239031"/>
    <n v="12836"/>
    <n v="7"/>
    <n v="7.2851387645478966E-2"/>
    <s v="October"/>
  </r>
  <r>
    <x v="6"/>
    <s v="RJE"/>
    <x v="5"/>
    <x v="9"/>
    <n v="15284"/>
    <n v="9167"/>
    <n v="8226"/>
    <n v="321"/>
    <n v="852"/>
    <n v="1384"/>
    <x v="6"/>
    <x v="2"/>
    <x v="2"/>
    <n v="0.53820989269824648"/>
    <n v="24451"/>
    <n v="7"/>
    <n v="9.055221146296781E-2"/>
    <s v="October"/>
  </r>
  <r>
    <x v="6"/>
    <s v="RK5"/>
    <x v="5"/>
    <x v="10"/>
    <n v="11208"/>
    <n v="5679"/>
    <n v="5069"/>
    <n v="445"/>
    <n v="917"/>
    <n v="606"/>
    <x v="6"/>
    <x v="2"/>
    <x v="2"/>
    <n v="0.45226623840114205"/>
    <n v="16887"/>
    <n v="7"/>
    <n v="5.4068522483940042E-2"/>
    <s v="October"/>
  </r>
  <r>
    <x v="6"/>
    <s v="RKB"/>
    <x v="5"/>
    <x v="11"/>
    <n v="12851"/>
    <n v="5876"/>
    <n v="5414"/>
    <n v="105"/>
    <n v="73"/>
    <n v="22"/>
    <x v="6"/>
    <x v="2"/>
    <x v="2"/>
    <n v="0.42129017197105284"/>
    <n v="18727"/>
    <n v="7"/>
    <n v="1.7119290327600966E-3"/>
    <s v="October"/>
  </r>
  <r>
    <x v="6"/>
    <s v="RN5"/>
    <x v="0"/>
    <x v="97"/>
    <n v="11240"/>
    <n v="3567"/>
    <n v="5158"/>
    <n v="149"/>
    <n v="192"/>
    <n v="29"/>
    <x v="6"/>
    <x v="2"/>
    <x v="2"/>
    <n v="0.45889679715302489"/>
    <n v="14807"/>
    <n v="7"/>
    <n v="2.5800711743772242E-3"/>
    <s v="October"/>
  </r>
  <r>
    <x v="6"/>
    <s v="RP5"/>
    <x v="6"/>
    <x v="53"/>
    <n v="14193"/>
    <n v="3954"/>
    <n v="5556"/>
    <n v="1"/>
    <n v="1283"/>
    <n v="142"/>
    <x v="6"/>
    <x v="2"/>
    <x v="2"/>
    <n v="0.39146057915874022"/>
    <n v="18147"/>
    <n v="7"/>
    <n v="1.0004932008736702E-2"/>
    <s v="October"/>
  </r>
  <r>
    <x v="6"/>
    <s v="RP6"/>
    <x v="4"/>
    <x v="192"/>
    <n v="0"/>
    <n v="0"/>
    <n v="0"/>
    <n v="0"/>
    <n v="0"/>
    <n v="0"/>
    <x v="6"/>
    <x v="2"/>
    <x v="2"/>
    <n v="0"/>
    <n v="0"/>
    <n v="7"/>
    <n v="0"/>
    <s v="October"/>
  </r>
  <r>
    <x v="6"/>
    <s v="RQW"/>
    <x v="2"/>
    <x v="150"/>
    <n v="8233"/>
    <n v="2322"/>
    <n v="2351"/>
    <n v="0"/>
    <n v="549"/>
    <n v="240"/>
    <x v="6"/>
    <x v="2"/>
    <x v="2"/>
    <n v="0.28555811976193368"/>
    <n v="10555"/>
    <n v="7"/>
    <n v="2.915097777237945E-2"/>
    <s v="October"/>
  </r>
  <r>
    <x v="6"/>
    <s v="RHQ"/>
    <x v="6"/>
    <x v="42"/>
    <n v="8972"/>
    <n v="7773"/>
    <n v="4759"/>
    <n v="244"/>
    <n v="1193"/>
    <n v="13"/>
    <x v="6"/>
    <x v="2"/>
    <x v="2"/>
    <n v="0.53042799821667408"/>
    <n v="16745"/>
    <n v="7"/>
    <n v="1.4489522960321E-3"/>
    <s v="October"/>
  </r>
  <r>
    <x v="6"/>
    <s v="RAL"/>
    <x v="4"/>
    <x v="33"/>
    <n v="27391"/>
    <n v="15885"/>
    <n v="9137"/>
    <n v="700"/>
    <n v="899"/>
    <n v="2109"/>
    <x v="6"/>
    <x v="2"/>
    <x v="2"/>
    <n v="0.33357672228104124"/>
    <n v="43276"/>
    <n v="7"/>
    <n v="7.6996093607389293E-2"/>
    <s v="October"/>
  </r>
  <r>
    <x v="6"/>
    <s v="NNJ15"/>
    <x v="5"/>
    <x v="61"/>
    <n v="0"/>
    <n v="53"/>
    <n v="0"/>
    <n v="0"/>
    <n v="0"/>
    <n v="0"/>
    <x v="6"/>
    <x v="2"/>
    <x v="2"/>
    <n v="0"/>
    <n v="53"/>
    <n v="7"/>
    <n v="0"/>
    <s v="October"/>
  </r>
  <r>
    <x v="6"/>
    <s v="RR8"/>
    <x v="6"/>
    <x v="20"/>
    <n v="18939"/>
    <n v="11826"/>
    <n v="7529"/>
    <n v="453"/>
    <n v="1447"/>
    <n v="714"/>
    <x v="6"/>
    <x v="2"/>
    <x v="2"/>
    <n v="0.39753946882095148"/>
    <n v="30765"/>
    <n v="7"/>
    <n v="3.7699984159670519E-2"/>
    <s v="October"/>
  </r>
  <r>
    <x v="6"/>
    <s v="REP"/>
    <x v="3"/>
    <x v="38"/>
    <n v="0"/>
    <n v="0"/>
    <n v="0"/>
    <n v="0"/>
    <n v="0"/>
    <n v="0"/>
    <x v="6"/>
    <x v="2"/>
    <x v="2"/>
    <n v="0"/>
    <n v="0"/>
    <n v="7"/>
    <n v="0"/>
    <s v="October"/>
  </r>
  <r>
    <x v="6"/>
    <s v="RGR"/>
    <x v="2"/>
    <x v="186"/>
    <n v="7944"/>
    <n v="730"/>
    <n v="2673"/>
    <n v="0"/>
    <n v="511"/>
    <n v="406"/>
    <x v="6"/>
    <x v="2"/>
    <x v="2"/>
    <n v="0.33648036253776437"/>
    <n v="8674"/>
    <n v="7"/>
    <n v="5.110775427995972E-2"/>
    <s v="October"/>
  </r>
  <r>
    <x v="6"/>
    <s v="RH8"/>
    <x v="1"/>
    <x v="163"/>
    <n v="13317"/>
    <n v="4221"/>
    <n v="5806"/>
    <n v="4"/>
    <n v="946"/>
    <n v="207"/>
    <x v="6"/>
    <x v="2"/>
    <x v="2"/>
    <n v="0.43598408049861082"/>
    <n v="17538"/>
    <n v="7"/>
    <n v="1.5544041450777202E-2"/>
    <s v="October"/>
  </r>
  <r>
    <x v="6"/>
    <s v="RJZ"/>
    <x v="4"/>
    <x v="196"/>
    <n v="16287"/>
    <n v="8678"/>
    <n v="6934"/>
    <n v="358"/>
    <n v="1512"/>
    <n v="593"/>
    <x v="6"/>
    <x v="2"/>
    <x v="2"/>
    <n v="0.42573831890464786"/>
    <n v="24965"/>
    <n v="7"/>
    <n v="3.6409406274943205E-2"/>
    <s v="October"/>
  </r>
  <r>
    <x v="6"/>
    <s v="RL1"/>
    <x v="5"/>
    <x v="12"/>
    <n v="0"/>
    <n v="0"/>
    <n v="0"/>
    <n v="0"/>
    <n v="0"/>
    <n v="0"/>
    <x v="6"/>
    <x v="2"/>
    <x v="2"/>
    <n v="0"/>
    <n v="0"/>
    <n v="7"/>
    <n v="0"/>
    <s v="October"/>
  </r>
  <r>
    <x v="6"/>
    <s v="RN3"/>
    <x v="1"/>
    <x v="167"/>
    <n v="6185"/>
    <n v="5911"/>
    <n v="3152"/>
    <n v="486"/>
    <n v="702"/>
    <n v="326"/>
    <x v="6"/>
    <x v="2"/>
    <x v="2"/>
    <n v="0.5096200485044462"/>
    <n v="12096"/>
    <n v="7"/>
    <n v="5.270816491511722E-2"/>
    <s v="October"/>
  </r>
  <r>
    <x v="6"/>
    <s v="RNS"/>
    <x v="5"/>
    <x v="15"/>
    <n v="10636"/>
    <n v="1921"/>
    <n v="4524"/>
    <n v="49"/>
    <n v="571"/>
    <n v="764"/>
    <x v="6"/>
    <x v="2"/>
    <x v="2"/>
    <n v="0.42534787514103045"/>
    <n v="12557"/>
    <n v="7"/>
    <n v="7.1831515607371194E-2"/>
    <s v="October"/>
  </r>
  <r>
    <x v="6"/>
    <s v="RPC"/>
    <x v="0"/>
    <x v="190"/>
    <n v="0"/>
    <n v="1395"/>
    <n v="0"/>
    <n v="19"/>
    <n v="0"/>
    <n v="0"/>
    <x v="6"/>
    <x v="2"/>
    <x v="2"/>
    <n v="0"/>
    <n v="1395"/>
    <n v="7"/>
    <n v="0"/>
    <s v="October"/>
  </r>
  <r>
    <x v="6"/>
    <s v="RTH"/>
    <x v="0"/>
    <x v="100"/>
    <n v="12950"/>
    <n v="3269"/>
    <n v="3808"/>
    <n v="110"/>
    <n v="450"/>
    <n v="0"/>
    <x v="6"/>
    <x v="2"/>
    <x v="2"/>
    <n v="0.29405405405405405"/>
    <n v="16219"/>
    <n v="7"/>
    <n v="0"/>
    <s v="October"/>
  </r>
  <r>
    <x v="6"/>
    <s v="RVV"/>
    <x v="0"/>
    <x v="50"/>
    <n v="13171"/>
    <n v="13017"/>
    <n v="6372"/>
    <n v="357"/>
    <n v="406"/>
    <n v="1238"/>
    <x v="6"/>
    <x v="2"/>
    <x v="2"/>
    <n v="0.4837901450155645"/>
    <n v="26188"/>
    <n v="7"/>
    <n v="9.399438159593046E-2"/>
    <s v="October"/>
  </r>
  <r>
    <x v="6"/>
    <s v="RWJ"/>
    <x v="3"/>
    <x v="82"/>
    <n v="8296"/>
    <n v="1162"/>
    <n v="3528"/>
    <n v="59"/>
    <n v="802"/>
    <n v="447"/>
    <x v="6"/>
    <x v="2"/>
    <x v="2"/>
    <n v="0.42526518804243008"/>
    <n v="9458"/>
    <n v="7"/>
    <n v="5.388138862102218E-2"/>
    <s v="October"/>
  </r>
  <r>
    <x v="6"/>
    <s v="RWX"/>
    <x v="0"/>
    <x v="55"/>
    <n v="0"/>
    <n v="1447"/>
    <n v="0"/>
    <n v="12"/>
    <n v="0"/>
    <n v="0"/>
    <x v="6"/>
    <x v="2"/>
    <x v="2"/>
    <n v="0"/>
    <n v="1447"/>
    <n v="7"/>
    <n v="0"/>
    <s v="October"/>
  </r>
  <r>
    <x v="6"/>
    <s v="RXF"/>
    <x v="6"/>
    <x v="177"/>
    <n v="17426"/>
    <n v="6725"/>
    <n v="6729"/>
    <n v="263"/>
    <n v="2098"/>
    <n v="125"/>
    <x v="6"/>
    <x v="2"/>
    <x v="2"/>
    <n v="0.38614713646275678"/>
    <n v="24151"/>
    <n v="7"/>
    <n v="7.1731894869734875E-3"/>
    <s v="October"/>
  </r>
  <r>
    <x v="6"/>
    <s v="RXP"/>
    <x v="6"/>
    <x v="87"/>
    <n v="13410"/>
    <n v="4086"/>
    <n v="5620"/>
    <n v="0"/>
    <n v="2278"/>
    <n v="19"/>
    <x v="6"/>
    <x v="2"/>
    <x v="2"/>
    <n v="0.4190902311707681"/>
    <n v="17496"/>
    <n v="7"/>
    <n v="1.4168530947054436E-3"/>
    <s v="October"/>
  </r>
  <r>
    <x v="6"/>
    <s v="RXW"/>
    <x v="5"/>
    <x v="88"/>
    <n v="10982"/>
    <n v="2637"/>
    <n v="5893"/>
    <n v="340"/>
    <n v="429"/>
    <n v="1618"/>
    <x v="6"/>
    <x v="2"/>
    <x v="2"/>
    <n v="0.53660535421598976"/>
    <n v="13619"/>
    <n v="7"/>
    <n v="0.14733199781460571"/>
    <s v="October"/>
  </r>
  <r>
    <x v="6"/>
    <s v="RYG"/>
    <x v="5"/>
    <x v="90"/>
    <n v="0"/>
    <n v="0"/>
    <n v="0"/>
    <n v="0"/>
    <n v="0"/>
    <n v="0"/>
    <x v="6"/>
    <x v="2"/>
    <x v="2"/>
    <n v="0"/>
    <n v="0"/>
    <n v="7"/>
    <n v="0"/>
    <s v="October"/>
  </r>
  <r>
    <x v="6"/>
    <s v="Y02615"/>
    <x v="5"/>
    <x v="129"/>
    <n v="0"/>
    <n v="6420"/>
    <n v="0"/>
    <n v="0"/>
    <n v="0"/>
    <n v="0"/>
    <x v="6"/>
    <x v="2"/>
    <x v="2"/>
    <n v="0"/>
    <n v="6420"/>
    <n v="7"/>
    <n v="0"/>
    <s v="October"/>
  </r>
  <r>
    <x v="6"/>
    <s v="NNJ0H"/>
    <x v="5"/>
    <x v="57"/>
    <n v="0"/>
    <n v="329"/>
    <n v="0"/>
    <n v="3"/>
    <n v="0"/>
    <n v="0"/>
    <x v="6"/>
    <x v="2"/>
    <x v="2"/>
    <n v="0"/>
    <n v="329"/>
    <n v="7"/>
    <n v="0"/>
    <s v="October"/>
  </r>
  <r>
    <x v="6"/>
    <s v="NNJ12"/>
    <x v="5"/>
    <x v="58"/>
    <n v="0"/>
    <n v="89"/>
    <n v="0"/>
    <n v="0"/>
    <n v="0"/>
    <n v="0"/>
    <x v="6"/>
    <x v="2"/>
    <x v="2"/>
    <n v="0"/>
    <n v="89"/>
    <n v="7"/>
    <n v="0"/>
    <s v="October"/>
  </r>
  <r>
    <x v="6"/>
    <s v="NNJ13"/>
    <x v="5"/>
    <x v="59"/>
    <n v="0"/>
    <n v="54"/>
    <n v="0"/>
    <n v="0"/>
    <n v="0"/>
    <n v="0"/>
    <x v="6"/>
    <x v="2"/>
    <x v="2"/>
    <n v="0"/>
    <n v="54"/>
    <n v="7"/>
    <n v="0"/>
    <s v="October"/>
  </r>
  <r>
    <x v="6"/>
    <s v="NNJ14"/>
    <x v="5"/>
    <x v="60"/>
    <n v="0"/>
    <n v="534"/>
    <n v="0"/>
    <n v="0"/>
    <n v="0"/>
    <n v="0"/>
    <x v="6"/>
    <x v="2"/>
    <x v="2"/>
    <n v="0"/>
    <n v="534"/>
    <n v="7"/>
    <n v="0"/>
    <s v="October"/>
  </r>
  <r>
    <x v="6"/>
    <s v="RA7"/>
    <x v="1"/>
    <x v="158"/>
    <n v="16671"/>
    <n v="0"/>
    <n v="6315"/>
    <n v="0"/>
    <n v="1187"/>
    <n v="562"/>
    <x v="6"/>
    <x v="2"/>
    <x v="2"/>
    <n v="0.37880151160698217"/>
    <n v="16671"/>
    <n v="7"/>
    <n v="3.3711235078879492E-2"/>
    <s v="October"/>
  </r>
  <r>
    <x v="6"/>
    <s v="RRF"/>
    <x v="3"/>
    <x v="21"/>
    <n v="8009"/>
    <n v="5045"/>
    <n v="3531"/>
    <n v="54"/>
    <n v="647"/>
    <n v="434"/>
    <x v="6"/>
    <x v="2"/>
    <x v="2"/>
    <n v="0.44087901111249844"/>
    <n v="13054"/>
    <n v="7"/>
    <n v="5.4189037333000373E-2"/>
    <s v="October"/>
  </r>
  <r>
    <x v="6"/>
    <s v="RTE"/>
    <x v="1"/>
    <x v="23"/>
    <n v="13881"/>
    <n v="0"/>
    <n v="5212"/>
    <n v="0"/>
    <n v="451"/>
    <n v="348"/>
    <x v="6"/>
    <x v="2"/>
    <x v="2"/>
    <n v="0.37547727108997908"/>
    <n v="13881"/>
    <n v="7"/>
    <n v="2.5070239896261077E-2"/>
    <s v="October"/>
  </r>
  <r>
    <x v="6"/>
    <s v="RAN"/>
    <x v="4"/>
    <x v="24"/>
    <n v="0"/>
    <n v="0"/>
    <n v="0"/>
    <n v="0"/>
    <n v="0"/>
    <n v="0"/>
    <x v="6"/>
    <x v="2"/>
    <x v="2"/>
    <n v="0"/>
    <n v="0"/>
    <n v="7"/>
    <n v="0"/>
    <s v="October"/>
  </r>
  <r>
    <x v="6"/>
    <s v="AQM01"/>
    <x v="0"/>
    <x v="198"/>
    <n v="0"/>
    <n v="2943"/>
    <n v="0"/>
    <n v="0"/>
    <n v="0"/>
    <n v="0"/>
    <x v="6"/>
    <x v="2"/>
    <x v="2"/>
    <n v="0"/>
    <n v="2943"/>
    <n v="7"/>
    <n v="0"/>
    <s v="October"/>
  </r>
  <r>
    <x v="6"/>
    <s v="DJV01"/>
    <x v="0"/>
    <x v="202"/>
    <n v="0"/>
    <n v="2567"/>
    <n v="0"/>
    <n v="0"/>
    <n v="0"/>
    <n v="0"/>
    <x v="6"/>
    <x v="2"/>
    <x v="2"/>
    <n v="0"/>
    <n v="2567"/>
    <n v="7"/>
    <n v="0"/>
    <s v="October"/>
  </r>
  <r>
    <x v="6"/>
    <s v="G0Q0L"/>
    <x v="4"/>
    <x v="120"/>
    <n v="0"/>
    <n v="2914"/>
    <n v="0"/>
    <n v="9"/>
    <n v="0"/>
    <n v="0"/>
    <x v="6"/>
    <x v="2"/>
    <x v="2"/>
    <n v="0"/>
    <n v="2914"/>
    <n v="7"/>
    <n v="0"/>
    <s v="October"/>
  </r>
  <r>
    <x v="6"/>
    <s v="K6K0R"/>
    <x v="4"/>
    <x v="121"/>
    <n v="0"/>
    <n v="2792"/>
    <n v="0"/>
    <n v="6"/>
    <n v="0"/>
    <n v="0"/>
    <x v="6"/>
    <x v="2"/>
    <x v="2"/>
    <n v="0"/>
    <n v="2792"/>
    <n v="7"/>
    <n v="0"/>
    <s v="October"/>
  </r>
  <r>
    <x v="6"/>
    <s v="RJ1"/>
    <x v="4"/>
    <x v="43"/>
    <n v="10559"/>
    <n v="6955"/>
    <n v="3780"/>
    <n v="192"/>
    <n v="129"/>
    <n v="94"/>
    <x v="6"/>
    <x v="2"/>
    <x v="2"/>
    <n v="0.35798844587555639"/>
    <n v="17514"/>
    <n v="7"/>
    <n v="8.9023581778577519E-3"/>
    <s v="October"/>
  </r>
  <r>
    <x v="6"/>
    <s v="RX1"/>
    <x v="5"/>
    <x v="175"/>
    <n v="12936"/>
    <n v="9888"/>
    <n v="7207"/>
    <n v="2314"/>
    <n v="195"/>
    <n v="859"/>
    <x v="6"/>
    <x v="2"/>
    <x v="2"/>
    <n v="0.55712739641311071"/>
    <n v="22824"/>
    <n v="7"/>
    <n v="6.6403834260977124E-2"/>
    <s v="October"/>
  </r>
  <r>
    <x v="6"/>
    <s v="Y02532"/>
    <x v="3"/>
    <x v="141"/>
    <n v="0"/>
    <n v="1766"/>
    <n v="0"/>
    <n v="0"/>
    <n v="0"/>
    <n v="0"/>
    <x v="6"/>
    <x v="2"/>
    <x v="2"/>
    <n v="0"/>
    <n v="1766"/>
    <n v="7"/>
    <n v="0"/>
    <s v="October"/>
  </r>
  <r>
    <x v="6"/>
    <s v="RC9"/>
    <x v="2"/>
    <x v="161"/>
    <n v="17663"/>
    <n v="8549"/>
    <n v="7164"/>
    <n v="0"/>
    <n v="82"/>
    <n v="40"/>
    <x v="6"/>
    <x v="2"/>
    <x v="2"/>
    <n v="0.40559361376889541"/>
    <n v="26212"/>
    <n v="7"/>
    <n v="2.2646209590669762E-3"/>
    <s v="October"/>
  </r>
  <r>
    <x v="6"/>
    <s v="Y03218"/>
    <x v="4"/>
    <x v="108"/>
    <n v="0"/>
    <n v="1094"/>
    <n v="0"/>
    <n v="0"/>
    <n v="0"/>
    <n v="0"/>
    <x v="6"/>
    <x v="2"/>
    <x v="2"/>
    <n v="0"/>
    <n v="1094"/>
    <n v="7"/>
    <n v="0"/>
    <s v="October"/>
  </r>
  <r>
    <x v="6"/>
    <s v="RBL"/>
    <x v="3"/>
    <x v="94"/>
    <n v="8314"/>
    <n v="2815"/>
    <n v="4670"/>
    <n v="118"/>
    <n v="646"/>
    <n v="822"/>
    <x v="6"/>
    <x v="2"/>
    <x v="2"/>
    <n v="0.56170315131104165"/>
    <n v="11129"/>
    <n v="7"/>
    <n v="9.8869376954534516E-2"/>
    <s v="October"/>
  </r>
  <r>
    <x v="6"/>
    <s v="RM3"/>
    <x v="3"/>
    <x v="64"/>
    <n v="27521"/>
    <n v="9475"/>
    <n v="11063"/>
    <n v="271"/>
    <n v="1130"/>
    <n v="1237"/>
    <x v="6"/>
    <x v="2"/>
    <x v="2"/>
    <n v="0.40198393953708078"/>
    <n v="36996"/>
    <n v="7"/>
    <n v="4.494749464045638E-2"/>
    <s v="October"/>
  </r>
  <r>
    <x v="6"/>
    <s v="R1H"/>
    <x v="4"/>
    <x v="93"/>
    <n v="26298"/>
    <n v="19094"/>
    <n v="11870"/>
    <n v="2032"/>
    <n v="1062"/>
    <n v="1241"/>
    <x v="6"/>
    <x v="2"/>
    <x v="2"/>
    <n v="0.45136512282302838"/>
    <n v="45392"/>
    <n v="7"/>
    <n v="4.7189900372651909E-2"/>
    <s v="October"/>
  </r>
  <r>
    <x v="6"/>
    <s v="RHM"/>
    <x v="0"/>
    <x v="41"/>
    <n v="12327"/>
    <n v="0"/>
    <n v="5600"/>
    <n v="0"/>
    <n v="583"/>
    <n v="1"/>
    <x v="6"/>
    <x v="2"/>
    <x v="2"/>
    <n v="0.45428733674048838"/>
    <n v="12327"/>
    <n v="7"/>
    <n v="8.112273870365864E-5"/>
    <s v="October"/>
  </r>
  <r>
    <x v="6"/>
    <s v="RHU"/>
    <x v="0"/>
    <x v="63"/>
    <n v="11157"/>
    <n v="3091"/>
    <n v="4450"/>
    <n v="21"/>
    <n v="784"/>
    <n v="1232"/>
    <x v="6"/>
    <x v="2"/>
    <x v="2"/>
    <n v="0.39885273819127004"/>
    <n v="14248"/>
    <n v="7"/>
    <n v="0.11042394909025724"/>
    <s v="October"/>
  </r>
  <r>
    <x v="6"/>
    <s v="R1K"/>
    <x v="4"/>
    <x v="30"/>
    <n v="14426"/>
    <n v="16111"/>
    <n v="7089"/>
    <n v="1291"/>
    <n v="677"/>
    <n v="446"/>
    <x v="6"/>
    <x v="2"/>
    <x v="2"/>
    <n v="0.49140440870650215"/>
    <n v="30537"/>
    <n v="7"/>
    <n v="3.091640094274227E-2"/>
    <s v="October"/>
  </r>
  <r>
    <x v="6"/>
    <s v="RXQ"/>
    <x v="0"/>
    <x v="48"/>
    <n v="9939"/>
    <n v="3127"/>
    <n v="3693"/>
    <n v="96"/>
    <n v="190"/>
    <n v="336"/>
    <x v="6"/>
    <x v="2"/>
    <x v="2"/>
    <n v="0.37156655599154842"/>
    <n v="13066"/>
    <n v="7"/>
    <n v="3.3806217929369151E-2"/>
    <s v="October"/>
  </r>
  <r>
    <x v="6"/>
    <s v="RYF"/>
    <x v="1"/>
    <x v="89"/>
    <n v="0"/>
    <n v="1898"/>
    <n v="0"/>
    <n v="42"/>
    <n v="0"/>
    <n v="0"/>
    <x v="6"/>
    <x v="2"/>
    <x v="2"/>
    <n v="0"/>
    <n v="1898"/>
    <n v="7"/>
    <n v="0"/>
    <s v="October"/>
  </r>
  <r>
    <x v="6"/>
    <s v="RYX"/>
    <x v="4"/>
    <x v="51"/>
    <n v="0"/>
    <n v="12138"/>
    <n v="0"/>
    <n v="133"/>
    <n v="0"/>
    <n v="0"/>
    <x v="6"/>
    <x v="2"/>
    <x v="2"/>
    <n v="0"/>
    <n v="12138"/>
    <n v="7"/>
    <n v="0"/>
    <s v="October"/>
  </r>
  <r>
    <x v="6"/>
    <s v="RHW"/>
    <x v="0"/>
    <x v="66"/>
    <n v="11773"/>
    <n v="2670"/>
    <n v="4120"/>
    <n v="0"/>
    <n v="691"/>
    <n v="13"/>
    <x v="6"/>
    <x v="2"/>
    <x v="2"/>
    <n v="0.34995328293553046"/>
    <n v="14443"/>
    <n v="7"/>
    <n v="1.1042215238257029E-3"/>
    <s v="October"/>
  </r>
  <r>
    <x v="6"/>
    <s v="C83023"/>
    <x v="5"/>
    <x v="44"/>
    <n v="0"/>
    <n v="501"/>
    <n v="0"/>
    <n v="0"/>
    <n v="0"/>
    <n v="0"/>
    <x v="6"/>
    <x v="2"/>
    <x v="2"/>
    <n v="0"/>
    <n v="501"/>
    <n v="7"/>
    <n v="0"/>
    <s v="October"/>
  </r>
  <r>
    <x v="6"/>
    <s v="DT301"/>
    <x v="2"/>
    <x v="110"/>
    <n v="0"/>
    <n v="2189"/>
    <n v="0"/>
    <n v="100"/>
    <n v="0"/>
    <n v="0"/>
    <x v="6"/>
    <x v="2"/>
    <x v="2"/>
    <n v="0"/>
    <n v="2189"/>
    <n v="7"/>
    <n v="0"/>
    <s v="October"/>
  </r>
  <r>
    <x v="6"/>
    <s v="RY2"/>
    <x v="3"/>
    <x v="173"/>
    <n v="0"/>
    <n v="2951"/>
    <n v="0"/>
    <n v="51"/>
    <n v="0"/>
    <n v="0"/>
    <x v="6"/>
    <x v="2"/>
    <x v="2"/>
    <n v="0"/>
    <n v="2951"/>
    <n v="7"/>
    <n v="0"/>
    <s v="October"/>
  </r>
  <r>
    <x v="6"/>
    <s v="RRK"/>
    <x v="5"/>
    <x v="67"/>
    <n v="36434"/>
    <n v="3395"/>
    <n v="14338"/>
    <n v="46"/>
    <n v="2442"/>
    <n v="2030"/>
    <x v="6"/>
    <x v="2"/>
    <x v="2"/>
    <n v="0.39353351265301639"/>
    <n v="39829"/>
    <n v="7"/>
    <n v="5.5717187242685401E-2"/>
    <s v="October"/>
  </r>
  <r>
    <x v="6"/>
    <s v="RWF"/>
    <x v="0"/>
    <x v="193"/>
    <n v="20896"/>
    <n v="1822"/>
    <n v="4634"/>
    <n v="29"/>
    <n v="1046"/>
    <n v="317"/>
    <x v="6"/>
    <x v="2"/>
    <x v="2"/>
    <n v="0.22176493108728942"/>
    <n v="22718"/>
    <n v="7"/>
    <n v="1.5170367534456355E-2"/>
    <s v="October"/>
  </r>
  <r>
    <x v="6"/>
    <s v="RVJ"/>
    <x v="1"/>
    <x v="73"/>
    <n v="9818"/>
    <n v="0"/>
    <n v="3786"/>
    <n v="0"/>
    <n v="631"/>
    <n v="401"/>
    <x v="6"/>
    <x v="2"/>
    <x v="2"/>
    <n v="0.38561825218985535"/>
    <n v="9818"/>
    <n v="7"/>
    <n v="4.0843348950906501E-2"/>
    <s v="October"/>
  </r>
  <r>
    <x v="6"/>
    <s v="RTF"/>
    <x v="6"/>
    <x v="99"/>
    <n v="11014"/>
    <n v="13208"/>
    <n v="2985"/>
    <n v="0"/>
    <n v="49"/>
    <n v="0"/>
    <x v="6"/>
    <x v="2"/>
    <x v="2"/>
    <n v="0.27101870346831308"/>
    <n v="24222"/>
    <n v="7"/>
    <n v="0"/>
    <s v="October"/>
  </r>
  <r>
    <x v="6"/>
    <s v="RWD"/>
    <x v="5"/>
    <x v="78"/>
    <n v="17436"/>
    <n v="4099"/>
    <n v="6972"/>
    <n v="374"/>
    <n v="965"/>
    <n v="1196"/>
    <x v="6"/>
    <x v="2"/>
    <x v="2"/>
    <n v="0.39986235375086027"/>
    <n v="21535"/>
    <n v="7"/>
    <n v="6.859371415462262E-2"/>
    <s v="October"/>
  </r>
  <r>
    <x v="6"/>
    <s v="RWE"/>
    <x v="5"/>
    <x v="79"/>
    <n v="23885"/>
    <n v="0"/>
    <n v="9536"/>
    <n v="0"/>
    <n v="1182"/>
    <n v="844"/>
    <x v="6"/>
    <x v="2"/>
    <x v="2"/>
    <n v="0.3992463889470379"/>
    <n v="23885"/>
    <n v="7"/>
    <n v="3.5335984927778938E-2"/>
    <s v="October"/>
  </r>
  <r>
    <x v="6"/>
    <s v="RWG"/>
    <x v="2"/>
    <x v="80"/>
    <n v="8532"/>
    <n v="7389"/>
    <n v="2749"/>
    <n v="65"/>
    <n v="779"/>
    <n v="22"/>
    <x v="6"/>
    <x v="2"/>
    <x v="2"/>
    <n v="0.32219878105954053"/>
    <n v="15921"/>
    <n v="7"/>
    <n v="2.5785278949835913E-3"/>
    <s v="October"/>
  </r>
  <r>
    <x v="6"/>
    <s v="RWH"/>
    <x v="2"/>
    <x v="204"/>
    <n v="9294"/>
    <n v="8403"/>
    <n v="4574"/>
    <n v="27"/>
    <n v="545"/>
    <n v="172"/>
    <x v="6"/>
    <x v="2"/>
    <x v="2"/>
    <n v="0.49214547019582527"/>
    <n v="17697"/>
    <n v="7"/>
    <n v="1.8506563374219926E-2"/>
    <s v="October"/>
  </r>
  <r>
    <x v="6"/>
    <s v="RWW"/>
    <x v="3"/>
    <x v="83"/>
    <n v="7210"/>
    <n v="3092"/>
    <n v="3769"/>
    <n v="86"/>
    <n v="579"/>
    <n v="988"/>
    <x v="6"/>
    <x v="2"/>
    <x v="2"/>
    <n v="0.52274618585298194"/>
    <n v="10302"/>
    <n v="7"/>
    <n v="0.13703190013869626"/>
    <s v="October"/>
  </r>
  <r>
    <x v="6"/>
    <s v="RXC"/>
    <x v="0"/>
    <x v="84"/>
    <n v="9250"/>
    <n v="2428"/>
    <n v="3788"/>
    <n v="28"/>
    <n v="275"/>
    <n v="117"/>
    <x v="6"/>
    <x v="2"/>
    <x v="2"/>
    <n v="0.40951351351351351"/>
    <n v="11678"/>
    <n v="7"/>
    <n v="1.2648648648648649E-2"/>
    <s v="October"/>
  </r>
  <r>
    <x v="6"/>
    <s v="RXL"/>
    <x v="3"/>
    <x v="86"/>
    <n v="9263"/>
    <n v="10484"/>
    <n v="4480"/>
    <n v="153"/>
    <n v="524"/>
    <n v="544"/>
    <x v="6"/>
    <x v="2"/>
    <x v="2"/>
    <n v="0.48364460757853828"/>
    <n v="19747"/>
    <n v="7"/>
    <n v="5.8728273777393931E-2"/>
    <s v="October"/>
  </r>
  <r>
    <x v="6"/>
    <s v="RYJ"/>
    <x v="4"/>
    <x v="91"/>
    <n v="12719"/>
    <n v="7454"/>
    <n v="5375"/>
    <n v="416"/>
    <n v="575"/>
    <n v="0"/>
    <x v="6"/>
    <x v="2"/>
    <x v="2"/>
    <n v="0.42259611604685904"/>
    <n v="20173"/>
    <n v="7"/>
    <n v="0"/>
    <s v="October"/>
  </r>
  <r>
    <x v="6"/>
    <s v="ARN03"/>
    <x v="6"/>
    <x v="178"/>
    <n v="0"/>
    <n v="2371"/>
    <n v="0"/>
    <n v="9"/>
    <n v="0"/>
    <n v="0"/>
    <x v="6"/>
    <x v="2"/>
    <x v="2"/>
    <n v="0"/>
    <n v="2371"/>
    <n v="7"/>
    <n v="0"/>
    <s v="October"/>
  </r>
  <r>
    <x v="6"/>
    <s v="R0D"/>
    <x v="1"/>
    <x v="157"/>
    <n v="14481"/>
    <n v="4810"/>
    <n v="6026"/>
    <n v="0"/>
    <n v="1171"/>
    <n v="434"/>
    <x v="6"/>
    <x v="2"/>
    <x v="2"/>
    <n v="0.4161314826324149"/>
    <n v="19291"/>
    <n v="7"/>
    <n v="2.9970305918099578E-2"/>
    <s v="October"/>
  </r>
  <r>
    <x v="6"/>
    <s v="RDR"/>
    <x v="0"/>
    <x v="3"/>
    <n v="0"/>
    <n v="11779"/>
    <n v="0"/>
    <n v="173"/>
    <n v="0"/>
    <n v="0"/>
    <x v="6"/>
    <x v="2"/>
    <x v="2"/>
    <n v="0"/>
    <n v="11779"/>
    <n v="7"/>
    <n v="0"/>
    <s v="October"/>
  </r>
  <r>
    <x v="6"/>
    <s v="RGT"/>
    <x v="2"/>
    <x v="95"/>
    <n v="11309"/>
    <n v="5334"/>
    <n v="4661"/>
    <n v="48"/>
    <n v="546"/>
    <n v="568"/>
    <x v="6"/>
    <x v="2"/>
    <x v="2"/>
    <n v="0.41214961535060574"/>
    <n v="16643"/>
    <n v="7"/>
    <n v="5.0225484127685911E-2"/>
    <s v="October"/>
  </r>
  <r>
    <x v="6"/>
    <s v="RH5"/>
    <x v="1"/>
    <x v="40"/>
    <n v="12856"/>
    <n v="8360"/>
    <n v="6024"/>
    <n v="139"/>
    <n v="610"/>
    <n v="207"/>
    <x v="6"/>
    <x v="2"/>
    <x v="2"/>
    <n v="0.46857498444306162"/>
    <n v="21216"/>
    <n v="7"/>
    <n v="1.6101431238332298E-2"/>
    <s v="October"/>
  </r>
  <r>
    <x v="6"/>
    <s v="RJ6"/>
    <x v="4"/>
    <x v="189"/>
    <n v="13542"/>
    <n v="5354"/>
    <n v="4873"/>
    <n v="0"/>
    <n v="292"/>
    <n v="751"/>
    <x v="6"/>
    <x v="2"/>
    <x v="2"/>
    <n v="0.35984345000738444"/>
    <n v="18896"/>
    <n v="7"/>
    <n v="5.5457096440702999E-2"/>
    <s v="October"/>
  </r>
  <r>
    <x v="6"/>
    <s v="RJN"/>
    <x v="3"/>
    <x v="125"/>
    <n v="4646"/>
    <n v="0"/>
    <n v="2459"/>
    <n v="0"/>
    <n v="298"/>
    <n v="256"/>
    <x v="6"/>
    <x v="2"/>
    <x v="2"/>
    <n v="0.52927249246663799"/>
    <n v="4646"/>
    <n v="7"/>
    <n v="5.5101162290142058E-2"/>
    <s v="October"/>
  </r>
  <r>
    <x v="6"/>
    <s v="RKE"/>
    <x v="4"/>
    <x v="194"/>
    <n v="9130"/>
    <n v="0"/>
    <n v="2753"/>
    <n v="0"/>
    <n v="248"/>
    <n v="296"/>
    <x v="6"/>
    <x v="2"/>
    <x v="2"/>
    <n v="0.30153340635268344"/>
    <n v="9130"/>
    <n v="7"/>
    <n v="3.2420591456736036E-2"/>
    <s v="October"/>
  </r>
  <r>
    <x v="6"/>
    <s v="RM1"/>
    <x v="2"/>
    <x v="75"/>
    <n v="12942"/>
    <n v="7670"/>
    <n v="4125"/>
    <n v="1"/>
    <n v="741"/>
    <n v="215"/>
    <x v="6"/>
    <x v="2"/>
    <x v="2"/>
    <n v="0.31872971719981458"/>
    <n v="20612"/>
    <n v="7"/>
    <n v="1.6612579199505487E-2"/>
    <s v="October"/>
  </r>
  <r>
    <x v="6"/>
    <s v="RN7"/>
    <x v="0"/>
    <x v="14"/>
    <n v="11792"/>
    <n v="3883"/>
    <n v="3066"/>
    <n v="9"/>
    <n v="713"/>
    <n v="112"/>
    <x v="6"/>
    <x v="2"/>
    <x v="2"/>
    <n v="0.2600067842605156"/>
    <n v="15675"/>
    <n v="7"/>
    <n v="9.497964721845319E-3"/>
    <s v="October"/>
  </r>
  <r>
    <x v="6"/>
    <s v="RNZ"/>
    <x v="1"/>
    <x v="17"/>
    <n v="4719"/>
    <n v="1568"/>
    <n v="2093"/>
    <n v="0"/>
    <n v="464"/>
    <n v="80"/>
    <x v="6"/>
    <x v="2"/>
    <x v="2"/>
    <n v="0.44352617079889806"/>
    <n v="6287"/>
    <n v="7"/>
    <n v="1.6952744225471498E-2"/>
    <s v="October"/>
  </r>
  <r>
    <x v="6"/>
    <s v="RQ3"/>
    <x v="5"/>
    <x v="18"/>
    <n v="5419"/>
    <n v="0"/>
    <n v="1065"/>
    <n v="0"/>
    <n v="10"/>
    <n v="2"/>
    <x v="6"/>
    <x v="2"/>
    <x v="2"/>
    <n v="0.19653072522605647"/>
    <n v="5419"/>
    <n v="7"/>
    <n v="3.6907178446207787E-4"/>
    <s v="October"/>
  </r>
  <r>
    <x v="6"/>
    <s v="RVR"/>
    <x v="4"/>
    <x v="74"/>
    <n v="11208"/>
    <n v="2251"/>
    <n v="3363"/>
    <n v="199"/>
    <n v="908"/>
    <n v="890"/>
    <x v="6"/>
    <x v="2"/>
    <x v="2"/>
    <n v="0.30005353319057815"/>
    <n v="13459"/>
    <n v="7"/>
    <n v="7.9407566024268378E-2"/>
    <s v="October"/>
  </r>
  <r>
    <x v="6"/>
    <s v="RDY"/>
    <x v="1"/>
    <x v="145"/>
    <n v="0"/>
    <n v="0"/>
    <n v="0"/>
    <n v="0"/>
    <n v="0"/>
    <n v="0"/>
    <x v="6"/>
    <x v="2"/>
    <x v="2"/>
    <n v="0"/>
    <n v="0"/>
    <n v="7"/>
    <n v="0"/>
    <s v="October"/>
  </r>
  <r>
    <x v="6"/>
    <s v="RAJ"/>
    <x v="2"/>
    <x v="32"/>
    <n v="27691"/>
    <n v="7669"/>
    <n v="9186"/>
    <n v="130"/>
    <n v="2393"/>
    <n v="610"/>
    <x v="6"/>
    <x v="2"/>
    <x v="2"/>
    <n v="0.33173233180455741"/>
    <n v="35360"/>
    <n v="7"/>
    <n v="2.2028818027517966E-2"/>
    <s v="October"/>
  </r>
  <r>
    <x v="6"/>
    <s v="NNJ07"/>
    <x v="5"/>
    <x v="56"/>
    <n v="0"/>
    <n v="0"/>
    <n v="0"/>
    <n v="0"/>
    <n v="0"/>
    <n v="0"/>
    <x v="6"/>
    <x v="2"/>
    <x v="2"/>
    <n v="0"/>
    <n v="0"/>
    <n v="7"/>
    <n v="0"/>
    <s v="October"/>
  </r>
  <r>
    <x v="6"/>
    <s v="RCF"/>
    <x v="6"/>
    <x v="162"/>
    <n v="6305"/>
    <n v="0"/>
    <n v="2412"/>
    <n v="0"/>
    <n v="517"/>
    <n v="139"/>
    <x v="6"/>
    <x v="2"/>
    <x v="2"/>
    <n v="0.3825535289452815"/>
    <n v="6305"/>
    <n v="7"/>
    <n v="2.2045995241871532E-2"/>
    <s v="October"/>
  </r>
  <r>
    <x v="6"/>
    <s v="RFF"/>
    <x v="6"/>
    <x v="104"/>
    <n v="9681"/>
    <n v="0"/>
    <n v="3103"/>
    <n v="0"/>
    <n v="422"/>
    <n v="0"/>
    <x v="6"/>
    <x v="2"/>
    <x v="2"/>
    <n v="0.32052473917983682"/>
    <n v="9681"/>
    <n v="7"/>
    <n v="0"/>
    <s v="October"/>
  </r>
  <r>
    <x v="6"/>
    <s v="RNU"/>
    <x v="0"/>
    <x v="16"/>
    <n v="0"/>
    <n v="4218"/>
    <n v="0"/>
    <n v="235"/>
    <n v="0"/>
    <n v="0"/>
    <x v="6"/>
    <x v="2"/>
    <x v="2"/>
    <n v="0"/>
    <n v="4218"/>
    <n v="7"/>
    <n v="0"/>
    <s v="October"/>
  </r>
  <r>
    <x v="6"/>
    <s v="RVW"/>
    <x v="6"/>
    <x v="76"/>
    <n v="4983"/>
    <n v="11225"/>
    <n v="2889"/>
    <n v="28"/>
    <n v="286"/>
    <n v="47"/>
    <x v="6"/>
    <x v="2"/>
    <x v="2"/>
    <n v="0.57977122215532817"/>
    <n v="16208"/>
    <n v="7"/>
    <n v="9.4320690347180422E-3"/>
    <s v="October"/>
  </r>
  <r>
    <x v="6"/>
    <s v="RXR"/>
    <x v="3"/>
    <x v="107"/>
    <n v="14603"/>
    <n v="11378"/>
    <n v="4992"/>
    <n v="618"/>
    <n v="271"/>
    <n v="1380"/>
    <x v="6"/>
    <x v="2"/>
    <x v="2"/>
    <n v="0.34184756556871876"/>
    <n v="25981"/>
    <n v="7"/>
    <n v="9.4501129904814074E-2"/>
    <s v="October"/>
  </r>
  <r>
    <x v="6"/>
    <s v="RY5"/>
    <x v="5"/>
    <x v="151"/>
    <n v="0"/>
    <n v="8124"/>
    <n v="0"/>
    <n v="121"/>
    <n v="0"/>
    <n v="0"/>
    <x v="6"/>
    <x v="2"/>
    <x v="2"/>
    <n v="0"/>
    <n v="8124"/>
    <n v="7"/>
    <n v="0"/>
    <s v="October"/>
  </r>
  <r>
    <x v="6"/>
    <s v="RY8"/>
    <x v="5"/>
    <x v="152"/>
    <n v="0"/>
    <n v="7561"/>
    <n v="0"/>
    <n v="288"/>
    <n v="0"/>
    <n v="0"/>
    <x v="6"/>
    <x v="2"/>
    <x v="2"/>
    <n v="0"/>
    <n v="7561"/>
    <n v="7"/>
    <n v="0"/>
    <s v="October"/>
  </r>
  <r>
    <x v="6"/>
    <s v="8J094"/>
    <x v="5"/>
    <x v="109"/>
    <n v="0"/>
    <n v="0"/>
    <n v="0"/>
    <n v="0"/>
    <n v="0"/>
    <n v="0"/>
    <x v="6"/>
    <x v="2"/>
    <x v="2"/>
    <n v="0"/>
    <n v="0"/>
    <n v="7"/>
    <n v="0"/>
    <s v="October"/>
  </r>
  <r>
    <x v="6"/>
    <s v="C82009"/>
    <x v="5"/>
    <x v="179"/>
    <n v="0"/>
    <n v="412"/>
    <n v="0"/>
    <n v="0"/>
    <n v="0"/>
    <n v="0"/>
    <x v="6"/>
    <x v="2"/>
    <x v="2"/>
    <n v="0"/>
    <n v="412"/>
    <n v="7"/>
    <n v="0"/>
    <s v="October"/>
  </r>
  <r>
    <x v="6"/>
    <s v="R0B"/>
    <x v="6"/>
    <x v="156"/>
    <n v="11600"/>
    <n v="5852"/>
    <n v="5505"/>
    <n v="233"/>
    <n v="865"/>
    <n v="2"/>
    <x v="6"/>
    <x v="2"/>
    <x v="2"/>
    <n v="0.47456896551724137"/>
    <n v="17452"/>
    <n v="7"/>
    <n v="1.7241379310344826E-4"/>
    <s v="October"/>
  </r>
  <r>
    <x v="6"/>
    <s v="L83087"/>
    <x v="1"/>
    <x v="180"/>
    <n v="0"/>
    <n v="88"/>
    <n v="0"/>
    <n v="0"/>
    <n v="0"/>
    <n v="0"/>
    <x v="6"/>
    <x v="2"/>
    <x v="2"/>
    <n v="0"/>
    <n v="88"/>
    <n v="7"/>
    <n v="0"/>
    <s v="October"/>
  </r>
  <r>
    <x v="6"/>
    <s v="RQX"/>
    <x v="4"/>
    <x v="106"/>
    <n v="11547"/>
    <n v="0"/>
    <n v="2351"/>
    <n v="0"/>
    <n v="269"/>
    <n v="20"/>
    <x v="6"/>
    <x v="2"/>
    <x v="2"/>
    <n v="0.20360266735948732"/>
    <n v="11547"/>
    <n v="7"/>
    <n v="1.732051615138131E-3"/>
    <s v="October"/>
  </r>
  <r>
    <x v="6"/>
    <s v="RV9"/>
    <x v="6"/>
    <x v="148"/>
    <n v="0"/>
    <n v="1118"/>
    <n v="0"/>
    <n v="3"/>
    <n v="0"/>
    <n v="0"/>
    <x v="6"/>
    <x v="2"/>
    <x v="2"/>
    <n v="0"/>
    <n v="1118"/>
    <n v="7"/>
    <n v="0"/>
    <s v="October"/>
  </r>
  <r>
    <x v="6"/>
    <s v="RXG"/>
    <x v="6"/>
    <x v="85"/>
    <n v="0"/>
    <n v="0"/>
    <n v="0"/>
    <n v="0"/>
    <n v="0"/>
    <n v="0"/>
    <x v="6"/>
    <x v="2"/>
    <x v="2"/>
    <n v="0"/>
    <n v="0"/>
    <n v="7"/>
    <n v="0"/>
    <s v="October"/>
  </r>
  <r>
    <x v="6"/>
    <s v="RXK"/>
    <x v="5"/>
    <x v="176"/>
    <n v="11927"/>
    <n v="9016"/>
    <n v="5468"/>
    <n v="114"/>
    <n v="768"/>
    <n v="380"/>
    <x v="6"/>
    <x v="2"/>
    <x v="2"/>
    <n v="0.45845560492999077"/>
    <n v="20943"/>
    <n v="7"/>
    <n v="3.1860484614739663E-2"/>
    <s v="October"/>
  </r>
  <r>
    <x v="6"/>
    <s v="Y03007"/>
    <x v="5"/>
    <x v="118"/>
    <n v="0"/>
    <n v="0"/>
    <n v="0"/>
    <n v="0"/>
    <n v="0"/>
    <n v="0"/>
    <x v="6"/>
    <x v="2"/>
    <x v="2"/>
    <n v="0"/>
    <n v="0"/>
    <n v="7"/>
    <n v="0"/>
    <s v="October"/>
  </r>
  <r>
    <x v="6"/>
    <s v="RBD"/>
    <x v="1"/>
    <x v="183"/>
    <n v="4757"/>
    <n v="0"/>
    <n v="1564"/>
    <n v="0"/>
    <n v="192"/>
    <n v="80"/>
    <x v="6"/>
    <x v="2"/>
    <x v="2"/>
    <n v="0.32877864200126128"/>
    <n v="4757"/>
    <n v="7"/>
    <n v="1.681732184149674E-2"/>
    <s v="October"/>
  </r>
  <r>
    <x v="6"/>
    <s v="REM"/>
    <x v="3"/>
    <x v="5"/>
    <n v="17001"/>
    <n v="8706"/>
    <n v="8937"/>
    <n v="433"/>
    <n v="1439"/>
    <n v="962"/>
    <x v="6"/>
    <x v="2"/>
    <x v="2"/>
    <n v="0.52567496029645311"/>
    <n v="25707"/>
    <n v="7"/>
    <n v="5.6584906770189985E-2"/>
    <s v="October"/>
  </r>
  <r>
    <x v="6"/>
    <s v="RNQ"/>
    <x v="5"/>
    <x v="169"/>
    <n v="10327"/>
    <n v="8329"/>
    <n v="3898"/>
    <n v="110"/>
    <n v="559"/>
    <n v="695"/>
    <x v="6"/>
    <x v="2"/>
    <x v="2"/>
    <n v="0.37745715115716083"/>
    <n v="18656"/>
    <n v="7"/>
    <n v="6.7299312481843704E-2"/>
    <s v="October"/>
  </r>
  <r>
    <x v="6"/>
    <s v="RR7"/>
    <x v="6"/>
    <x v="115"/>
    <n v="5933"/>
    <n v="4258"/>
    <n v="2653"/>
    <n v="26"/>
    <n v="886"/>
    <n v="21"/>
    <x v="6"/>
    <x v="2"/>
    <x v="2"/>
    <n v="0.44715995280633741"/>
    <n v="10191"/>
    <n v="7"/>
    <n v="3.5395246923984494E-3"/>
    <s v="October"/>
  </r>
  <r>
    <x v="6"/>
    <s v="RCD"/>
    <x v="6"/>
    <x v="134"/>
    <n v="5321"/>
    <n v="1063"/>
    <n v="1651"/>
    <n v="2"/>
    <n v="135"/>
    <n v="6"/>
    <x v="6"/>
    <x v="2"/>
    <x v="2"/>
    <n v="0.31028002255215187"/>
    <n v="6384"/>
    <n v="7"/>
    <n v="1.1276075925577898E-3"/>
    <s v="October"/>
  </r>
  <r>
    <x v="6"/>
    <s v="NV693"/>
    <x v="3"/>
    <x v="102"/>
    <n v="0"/>
    <n v="1009"/>
    <n v="0"/>
    <n v="0"/>
    <n v="0"/>
    <n v="0"/>
    <x v="6"/>
    <x v="2"/>
    <x v="2"/>
    <n v="0"/>
    <n v="1009"/>
    <n v="7"/>
    <n v="0"/>
    <s v="October"/>
  </r>
  <r>
    <x v="6"/>
    <s v="AJN"/>
    <x v="6"/>
    <x v="187"/>
    <n v="0"/>
    <n v="436"/>
    <n v="0"/>
    <n v="0"/>
    <n v="0"/>
    <n v="0"/>
    <x v="6"/>
    <x v="2"/>
    <x v="2"/>
    <n v="0"/>
    <n v="436"/>
    <n v="7"/>
    <n v="0"/>
    <s v="October"/>
  </r>
  <r>
    <x v="6"/>
    <s v="Y02676"/>
    <x v="0"/>
    <x v="52"/>
    <n v="0"/>
    <n v="2161"/>
    <n v="0"/>
    <n v="0"/>
    <n v="0"/>
    <n v="0"/>
    <x v="6"/>
    <x v="2"/>
    <x v="2"/>
    <n v="0"/>
    <n v="2161"/>
    <n v="7"/>
    <n v="0"/>
    <s v="October"/>
  </r>
  <r>
    <x v="6"/>
    <s v="RBQ"/>
    <x v="3"/>
    <x v="133"/>
    <n v="0"/>
    <n v="0"/>
    <n v="0"/>
    <n v="0"/>
    <n v="0"/>
    <n v="0"/>
    <x v="6"/>
    <x v="2"/>
    <x v="2"/>
    <n v="0"/>
    <n v="0"/>
    <n v="7"/>
    <n v="0"/>
    <s v="October"/>
  </r>
  <r>
    <x v="6"/>
    <s v="RLQ"/>
    <x v="5"/>
    <x v="123"/>
    <n v="6138"/>
    <n v="127"/>
    <n v="2478"/>
    <n v="0"/>
    <n v="417"/>
    <n v="272"/>
    <x v="6"/>
    <x v="2"/>
    <x v="2"/>
    <n v="0.40371456500488756"/>
    <n v="6265"/>
    <n v="7"/>
    <n v="4.4314108830237862E-2"/>
    <s v="October"/>
  </r>
  <r>
    <x v="6"/>
    <s v="RYY"/>
    <x v="0"/>
    <x v="122"/>
    <n v="0"/>
    <n v="6140"/>
    <n v="0"/>
    <n v="13"/>
    <n v="0"/>
    <n v="0"/>
    <x v="6"/>
    <x v="2"/>
    <x v="2"/>
    <n v="0"/>
    <n v="6140"/>
    <n v="7"/>
    <n v="0"/>
    <s v="October"/>
  </r>
  <r>
    <x v="6"/>
    <s v="AAH"/>
    <x v="1"/>
    <x v="149"/>
    <n v="0"/>
    <n v="609"/>
    <n v="0"/>
    <n v="0"/>
    <n v="0"/>
    <n v="0"/>
    <x v="6"/>
    <x v="2"/>
    <x v="2"/>
    <n v="0"/>
    <n v="609"/>
    <n v="7"/>
    <n v="0"/>
    <s v="October"/>
  </r>
  <r>
    <x v="6"/>
    <s v="AQN04"/>
    <x v="0"/>
    <x v="130"/>
    <n v="0"/>
    <n v="2858"/>
    <n v="0"/>
    <n v="12"/>
    <n v="0"/>
    <n v="0"/>
    <x v="6"/>
    <x v="2"/>
    <x v="2"/>
    <n v="0"/>
    <n v="2858"/>
    <n v="7"/>
    <n v="0"/>
    <s v="October"/>
  </r>
  <r>
    <x v="6"/>
    <s v="C82038"/>
    <x v="5"/>
    <x v="131"/>
    <n v="0"/>
    <n v="362"/>
    <n v="0"/>
    <n v="0"/>
    <n v="0"/>
    <n v="0"/>
    <x v="6"/>
    <x v="2"/>
    <x v="2"/>
    <n v="0"/>
    <n v="362"/>
    <n v="7"/>
    <n v="0"/>
    <s v="October"/>
  </r>
  <r>
    <x v="6"/>
    <s v="NTV0B"/>
    <x v="0"/>
    <x v="127"/>
    <n v="0"/>
    <n v="2427"/>
    <n v="0"/>
    <n v="28"/>
    <n v="0"/>
    <n v="0"/>
    <x v="6"/>
    <x v="2"/>
    <x v="2"/>
    <n v="0"/>
    <n v="2427"/>
    <n v="7"/>
    <n v="0"/>
    <s v="October"/>
  </r>
  <r>
    <x v="6"/>
    <s v="NTV0W"/>
    <x v="0"/>
    <x v="128"/>
    <n v="0"/>
    <n v="2622"/>
    <n v="0"/>
    <n v="64"/>
    <n v="0"/>
    <n v="0"/>
    <x v="6"/>
    <x v="2"/>
    <x v="2"/>
    <n v="0"/>
    <n v="2622"/>
    <n v="7"/>
    <n v="0"/>
    <s v="October"/>
  </r>
  <r>
    <x v="6"/>
    <s v="R1D"/>
    <x v="5"/>
    <x v="46"/>
    <n v="0"/>
    <n v="3152"/>
    <n v="0"/>
    <n v="24"/>
    <n v="0"/>
    <n v="0"/>
    <x v="6"/>
    <x v="2"/>
    <x v="2"/>
    <n v="0"/>
    <n v="3152"/>
    <n v="7"/>
    <n v="0"/>
    <s v="October"/>
  </r>
  <r>
    <x v="6"/>
    <s v="RBT"/>
    <x v="3"/>
    <x v="69"/>
    <n v="7318"/>
    <n v="2950"/>
    <n v="4048"/>
    <n v="4"/>
    <n v="471"/>
    <n v="510"/>
    <x v="6"/>
    <x v="2"/>
    <x v="2"/>
    <n v="0.55315660016397927"/>
    <n v="10268"/>
    <n v="7"/>
    <n v="6.969117245148948E-2"/>
    <s v="October"/>
  </r>
  <r>
    <x v="6"/>
    <s v="RJ8"/>
    <x v="1"/>
    <x v="135"/>
    <n v="0"/>
    <n v="0"/>
    <n v="0"/>
    <n v="0"/>
    <n v="0"/>
    <n v="0"/>
    <x v="6"/>
    <x v="2"/>
    <x v="2"/>
    <n v="0"/>
    <n v="0"/>
    <n v="7"/>
    <n v="0"/>
    <s v="October"/>
  </r>
  <r>
    <x v="6"/>
    <s v="RW1"/>
    <x v="0"/>
    <x v="137"/>
    <n v="0"/>
    <n v="2826"/>
    <n v="0"/>
    <n v="27"/>
    <n v="0"/>
    <n v="0"/>
    <x v="6"/>
    <x v="2"/>
    <x v="2"/>
    <n v="0"/>
    <n v="2826"/>
    <n v="7"/>
    <n v="0"/>
    <s v="October"/>
  </r>
  <r>
    <x v="6"/>
    <s v="RWY"/>
    <x v="6"/>
    <x v="138"/>
    <n v="16644"/>
    <n v="0"/>
    <n v="2858"/>
    <n v="0"/>
    <n v="975"/>
    <n v="7"/>
    <x v="6"/>
    <x v="2"/>
    <x v="2"/>
    <n v="0.17171353040134582"/>
    <n v="16644"/>
    <n v="7"/>
    <n v="4.2057197788993028E-4"/>
    <s v="October"/>
  </r>
  <r>
    <x v="6"/>
    <s v="NNF09"/>
    <x v="6"/>
    <x v="26"/>
    <n v="0"/>
    <n v="3696"/>
    <n v="0"/>
    <n v="373"/>
    <n v="0"/>
    <n v="0"/>
    <x v="6"/>
    <x v="2"/>
    <x v="2"/>
    <n v="0"/>
    <n v="3696"/>
    <n v="7"/>
    <n v="0"/>
    <s v="October"/>
  </r>
  <r>
    <x v="6"/>
    <s v="NNF16"/>
    <x v="6"/>
    <x v="27"/>
    <n v="0"/>
    <n v="1455"/>
    <n v="0"/>
    <n v="33"/>
    <n v="0"/>
    <n v="0"/>
    <x v="6"/>
    <x v="2"/>
    <x v="2"/>
    <n v="0"/>
    <n v="1455"/>
    <n v="7"/>
    <n v="0"/>
    <s v="October"/>
  </r>
  <r>
    <x v="6"/>
    <s v="NNF94"/>
    <x v="6"/>
    <x v="28"/>
    <n v="0"/>
    <n v="2680"/>
    <n v="0"/>
    <n v="75"/>
    <n v="0"/>
    <n v="0"/>
    <x v="6"/>
    <x v="2"/>
    <x v="2"/>
    <n v="0"/>
    <n v="2680"/>
    <n v="7"/>
    <n v="0"/>
    <s v="October"/>
  </r>
  <r>
    <x v="6"/>
    <s v="NNFA7"/>
    <x v="6"/>
    <x v="29"/>
    <n v="0"/>
    <n v="1707"/>
    <n v="0"/>
    <n v="7"/>
    <n v="0"/>
    <n v="0"/>
    <x v="6"/>
    <x v="2"/>
    <x v="2"/>
    <n v="0"/>
    <n v="1707"/>
    <n v="7"/>
    <n v="0"/>
    <s v="October"/>
  </r>
  <r>
    <x v="6"/>
    <s v="NVE43"/>
    <x v="0"/>
    <x v="205"/>
    <n v="0"/>
    <n v="1012"/>
    <n v="0"/>
    <n v="0"/>
    <n v="0"/>
    <n v="0"/>
    <x v="6"/>
    <x v="2"/>
    <x v="2"/>
    <n v="0"/>
    <n v="1012"/>
    <n v="7"/>
    <n v="0"/>
    <s v="October"/>
  </r>
  <r>
    <x v="6"/>
    <s v="RA2"/>
    <x v="0"/>
    <x v="203"/>
    <n v="6976"/>
    <n v="1879"/>
    <n v="2548"/>
    <n v="0"/>
    <n v="508"/>
    <n v="12"/>
    <x v="6"/>
    <x v="2"/>
    <x v="2"/>
    <n v="0.36525229357798167"/>
    <n v="8855"/>
    <n v="7"/>
    <n v="1.7201834862385322E-3"/>
    <s v="October"/>
  </r>
  <r>
    <x v="6"/>
    <s v="RA9"/>
    <x v="1"/>
    <x v="113"/>
    <n v="6886"/>
    <n v="3271"/>
    <n v="3222"/>
    <n v="22"/>
    <n v="185"/>
    <n v="35"/>
    <x v="6"/>
    <x v="2"/>
    <x v="2"/>
    <n v="0.46790589602091198"/>
    <n v="10157"/>
    <n v="7"/>
    <n v="5.0827766482718561E-3"/>
    <s v="October"/>
  </r>
  <r>
    <x v="6"/>
    <s v="RTP"/>
    <x v="0"/>
    <x v="136"/>
    <n v="10542"/>
    <n v="0"/>
    <n v="4261"/>
    <n v="0"/>
    <n v="587"/>
    <n v="757"/>
    <x v="6"/>
    <x v="2"/>
    <x v="2"/>
    <n v="0.4041927527983305"/>
    <n v="10542"/>
    <n v="7"/>
    <n v="7.1808006070954278E-2"/>
    <s v="October"/>
  </r>
  <r>
    <x v="6"/>
    <s v="RW4"/>
    <x v="3"/>
    <x v="124"/>
    <n v="0"/>
    <n v="14676"/>
    <n v="0"/>
    <n v="489"/>
    <n v="0"/>
    <n v="0"/>
    <x v="6"/>
    <x v="2"/>
    <x v="2"/>
    <n v="0"/>
    <n v="14676"/>
    <n v="7"/>
    <n v="0"/>
    <s v="October"/>
  </r>
  <r>
    <x v="6"/>
    <s v="RWA"/>
    <x v="6"/>
    <x v="77"/>
    <n v="9956"/>
    <n v="4361"/>
    <n v="5884"/>
    <n v="438"/>
    <n v="991"/>
    <n v="670"/>
    <x v="6"/>
    <x v="2"/>
    <x v="2"/>
    <n v="0.59100040176777824"/>
    <n v="14317"/>
    <n v="7"/>
    <n v="6.7296102852551221E-2"/>
    <s v="October"/>
  </r>
  <r>
    <x v="6"/>
    <s v="RXN"/>
    <x v="3"/>
    <x v="65"/>
    <n v="12893"/>
    <n v="3418"/>
    <n v="4637"/>
    <n v="133"/>
    <n v="1023"/>
    <n v="463"/>
    <x v="6"/>
    <x v="2"/>
    <x v="2"/>
    <n v="0.35965252462576591"/>
    <n v="16311"/>
    <n v="7"/>
    <n v="3.5910959435352517E-2"/>
    <s v="October"/>
  </r>
  <r>
    <x v="6"/>
    <s v="RY4"/>
    <x v="2"/>
    <x v="172"/>
    <n v="0"/>
    <n v="1205"/>
    <n v="0"/>
    <n v="63"/>
    <n v="0"/>
    <n v="0"/>
    <x v="6"/>
    <x v="2"/>
    <x v="2"/>
    <n v="0"/>
    <n v="1205"/>
    <n v="7"/>
    <n v="0"/>
    <s v="October"/>
  </r>
  <r>
    <x v="6"/>
    <s v="RAE"/>
    <x v="6"/>
    <x v="31"/>
    <n v="9468"/>
    <n v="3244"/>
    <n v="2265"/>
    <n v="0"/>
    <n v="593"/>
    <n v="113"/>
    <x v="6"/>
    <x v="2"/>
    <x v="2"/>
    <n v="0.23922686945500635"/>
    <n v="12712"/>
    <n v="7"/>
    <n v="1.1934938741022392E-2"/>
    <s v="October"/>
  </r>
  <r>
    <x v="6"/>
    <s v="RCX"/>
    <x v="2"/>
    <x v="103"/>
    <n v="6549"/>
    <n v="1257"/>
    <n v="2593"/>
    <n v="0"/>
    <n v="309"/>
    <n v="148"/>
    <x v="6"/>
    <x v="2"/>
    <x v="2"/>
    <n v="0.39593831119254846"/>
    <n v="7806"/>
    <n v="7"/>
    <n v="2.2598870056497175E-2"/>
    <s v="October"/>
  </r>
  <r>
    <x v="6"/>
    <s v="RGP"/>
    <x v="2"/>
    <x v="146"/>
    <n v="7429"/>
    <n v="1286"/>
    <n v="2542"/>
    <n v="0"/>
    <n v="519"/>
    <n v="363"/>
    <x v="6"/>
    <x v="2"/>
    <x v="2"/>
    <n v="0.34217256696729037"/>
    <n v="8715"/>
    <n v="7"/>
    <n v="4.886256562121416E-2"/>
    <s v="October"/>
  </r>
  <r>
    <x v="6"/>
    <s v="RJC"/>
    <x v="5"/>
    <x v="188"/>
    <n v="8934"/>
    <n v="422"/>
    <n v="2584"/>
    <n v="0"/>
    <n v="639"/>
    <n v="53"/>
    <x v="6"/>
    <x v="2"/>
    <x v="2"/>
    <n v="0.28923214685471232"/>
    <n v="9356"/>
    <n v="7"/>
    <n v="5.9323931049921645E-3"/>
    <s v="October"/>
  </r>
  <r>
    <x v="6"/>
    <s v="RJL"/>
    <x v="6"/>
    <x v="164"/>
    <n v="9779"/>
    <n v="7235"/>
    <n v="5154"/>
    <n v="59"/>
    <n v="785"/>
    <n v="738"/>
    <x v="6"/>
    <x v="2"/>
    <x v="2"/>
    <n v="0.52704775539421211"/>
    <n v="17014"/>
    <n v="7"/>
    <n v="7.5467839247366802E-2"/>
    <s v="October"/>
  </r>
  <r>
    <x v="6"/>
    <s v="RJR"/>
    <x v="3"/>
    <x v="105"/>
    <n v="5823"/>
    <n v="2231"/>
    <n v="2669"/>
    <n v="180"/>
    <n v="565"/>
    <n v="530"/>
    <x v="6"/>
    <x v="2"/>
    <x v="2"/>
    <n v="0.4583547999313069"/>
    <n v="8054"/>
    <n v="7"/>
    <n v="9.1018375407865365E-2"/>
    <s v="October"/>
  </r>
  <r>
    <x v="6"/>
    <s v="RK9"/>
    <x v="1"/>
    <x v="195"/>
    <n v="8855"/>
    <n v="7625"/>
    <n v="5258"/>
    <n v="62"/>
    <n v="647"/>
    <n v="528"/>
    <x v="6"/>
    <x v="2"/>
    <x v="2"/>
    <n v="0.59378881987577636"/>
    <n v="16480"/>
    <n v="7"/>
    <n v="5.9627329192546583E-2"/>
    <s v="October"/>
  </r>
  <r>
    <x v="6"/>
    <s v="RLT"/>
    <x v="5"/>
    <x v="13"/>
    <n v="7354"/>
    <n v="1640"/>
    <n v="1918"/>
    <n v="5"/>
    <n v="254"/>
    <n v="560"/>
    <x v="6"/>
    <x v="2"/>
    <x v="2"/>
    <n v="0.26081044329616537"/>
    <n v="8994"/>
    <n v="7"/>
    <n v="7.6149034539026383E-2"/>
    <s v="October"/>
  </r>
  <r>
    <x v="6"/>
    <s v="RMC"/>
    <x v="3"/>
    <x v="72"/>
    <n v="8841"/>
    <n v="3894"/>
    <n v="4490"/>
    <n v="336"/>
    <n v="579"/>
    <n v="288"/>
    <x v="6"/>
    <x v="2"/>
    <x v="2"/>
    <n v="0.50786110168532972"/>
    <n v="12735"/>
    <n v="7"/>
    <n v="3.2575500508992196E-2"/>
    <s v="October"/>
  </r>
  <r>
    <x v="6"/>
    <s v="RMP"/>
    <x v="3"/>
    <x v="166"/>
    <n v="8957"/>
    <n v="2566"/>
    <n v="4543"/>
    <n v="146"/>
    <n v="502"/>
    <n v="590"/>
    <x v="6"/>
    <x v="2"/>
    <x v="2"/>
    <n v="0.50720107178742879"/>
    <n v="11523"/>
    <n v="7"/>
    <n v="6.5870269063302442E-2"/>
    <s v="October"/>
  </r>
  <r>
    <x v="6"/>
    <s v="RNA"/>
    <x v="5"/>
    <x v="168"/>
    <n v="10233"/>
    <n v="4270"/>
    <n v="3203"/>
    <n v="87"/>
    <n v="2600"/>
    <n v="141"/>
    <x v="6"/>
    <x v="2"/>
    <x v="2"/>
    <n v="0.31300693833675364"/>
    <n v="14503"/>
    <n v="7"/>
    <n v="1.3778950454412195E-2"/>
    <s v="October"/>
  </r>
  <r>
    <x v="6"/>
    <s v="RNN"/>
    <x v="6"/>
    <x v="197"/>
    <n v="8931"/>
    <n v="1961"/>
    <n v="4126"/>
    <n v="45"/>
    <n v="610"/>
    <n v="318"/>
    <x v="6"/>
    <x v="2"/>
    <x v="2"/>
    <n v="0.46198633971559738"/>
    <n v="10892"/>
    <n v="7"/>
    <n v="3.5606315082297613E-2"/>
    <s v="October"/>
  </r>
  <r>
    <x v="6"/>
    <s v="RPA"/>
    <x v="0"/>
    <x v="191"/>
    <n v="10088"/>
    <n v="6025"/>
    <n v="3467"/>
    <n v="906"/>
    <n v="367"/>
    <n v="728"/>
    <x v="6"/>
    <x v="2"/>
    <x v="2"/>
    <n v="0.34367565424266455"/>
    <n v="16113"/>
    <n v="7"/>
    <n v="7.2164948453608241E-2"/>
    <s v="October"/>
  </r>
  <r>
    <x v="6"/>
    <s v="RQM"/>
    <x v="4"/>
    <x v="19"/>
    <n v="20266"/>
    <n v="6584"/>
    <n v="5947"/>
    <n v="129"/>
    <n v="1040"/>
    <n v="45"/>
    <x v="6"/>
    <x v="2"/>
    <x v="2"/>
    <n v="0.29344715286687062"/>
    <n v="26850"/>
    <n v="7"/>
    <n v="2.220467778545347E-3"/>
    <s v="October"/>
  </r>
  <r>
    <x v="6"/>
    <s v="RRV"/>
    <x v="4"/>
    <x v="171"/>
    <n v="14180"/>
    <n v="0"/>
    <n v="3951"/>
    <n v="0"/>
    <n v="449"/>
    <n v="219"/>
    <x v="6"/>
    <x v="2"/>
    <x v="2"/>
    <n v="0.27863187588152327"/>
    <n v="14180"/>
    <n v="7"/>
    <n v="1.544428772919605E-2"/>
    <s v="October"/>
  </r>
  <r>
    <x v="6"/>
    <s v="RTD"/>
    <x v="6"/>
    <x v="71"/>
    <n v="13761"/>
    <n v="6799"/>
    <n v="5390"/>
    <n v="0"/>
    <n v="595"/>
    <n v="42"/>
    <x v="6"/>
    <x v="2"/>
    <x v="2"/>
    <n v="0.39168665067945646"/>
    <n v="20560"/>
    <n v="7"/>
    <n v="3.0521037715282319E-3"/>
    <s v="October"/>
  </r>
  <r>
    <x v="6"/>
    <s v="RTG"/>
    <x v="5"/>
    <x v="54"/>
    <n v="19491"/>
    <n v="9994"/>
    <n v="9255"/>
    <n v="4"/>
    <n v="935"/>
    <n v="1234"/>
    <x v="6"/>
    <x v="2"/>
    <x v="2"/>
    <n v="0.47483453901800832"/>
    <n v="29485"/>
    <n v="7"/>
    <n v="6.3311271869067778E-2"/>
    <s v="October"/>
  </r>
  <r>
    <x v="6"/>
    <s v="RTQ"/>
    <x v="1"/>
    <x v="126"/>
    <n v="0"/>
    <n v="8164"/>
    <n v="0"/>
    <n v="113"/>
    <n v="0"/>
    <n v="0"/>
    <x v="6"/>
    <x v="2"/>
    <x v="2"/>
    <n v="0"/>
    <n v="8164"/>
    <n v="7"/>
    <n v="0"/>
    <s v="October"/>
  </r>
  <r>
    <x v="6"/>
    <s v="RWP"/>
    <x v="5"/>
    <x v="170"/>
    <n v="14072"/>
    <n v="5674"/>
    <n v="7317"/>
    <n v="106"/>
    <n v="935"/>
    <n v="1326"/>
    <x v="6"/>
    <x v="2"/>
    <x v="2"/>
    <n v="0.51996873223422402"/>
    <n v="19746"/>
    <n v="7"/>
    <n v="9.4229675952245601E-2"/>
    <s v="October"/>
  </r>
  <r>
    <x v="6"/>
    <s v="NTPAD"/>
    <x v="0"/>
    <x v="112"/>
    <n v="0"/>
    <n v="5220"/>
    <n v="0"/>
    <n v="514"/>
    <n v="0"/>
    <n v="0"/>
    <x v="6"/>
    <x v="2"/>
    <x v="2"/>
    <n v="0"/>
    <n v="5220"/>
    <n v="7"/>
    <n v="0"/>
    <s v="October"/>
  </r>
  <r>
    <x v="6"/>
    <s v="R1F"/>
    <x v="0"/>
    <x v="25"/>
    <n v="4287"/>
    <n v="1632"/>
    <n v="1661"/>
    <n v="92"/>
    <n v="256"/>
    <n v="164"/>
    <x v="6"/>
    <x v="2"/>
    <x v="2"/>
    <n v="0.38745043153720549"/>
    <n v="5919"/>
    <n v="7"/>
    <n v="3.8255190109633776E-2"/>
    <s v="October"/>
  </r>
  <r>
    <x v="6"/>
    <s v="R0A"/>
    <x v="3"/>
    <x v="155"/>
    <n v="27673"/>
    <n v="11284"/>
    <n v="11350"/>
    <n v="328"/>
    <n v="3619"/>
    <n v="85"/>
    <x v="6"/>
    <x v="2"/>
    <x v="2"/>
    <n v="0.41014707476601742"/>
    <n v="38957"/>
    <n v="7"/>
    <n v="3.0715860224767824E-3"/>
    <s v="October"/>
  </r>
  <r>
    <x v="6"/>
    <s v="RBK"/>
    <x v="5"/>
    <x v="159"/>
    <n v="9963"/>
    <n v="4428"/>
    <n v="3596"/>
    <n v="105"/>
    <n v="945"/>
    <n v="279"/>
    <x v="6"/>
    <x v="2"/>
    <x v="2"/>
    <n v="0.36093546120646391"/>
    <n v="14391"/>
    <n v="7"/>
    <n v="2.8003613369467027E-2"/>
    <s v="October"/>
  </r>
  <r>
    <x v="6"/>
    <s v="NQTE4"/>
    <x v="5"/>
    <x v="132"/>
    <n v="0"/>
    <n v="3324"/>
    <n v="0"/>
    <n v="0"/>
    <n v="0"/>
    <n v="0"/>
    <x v="6"/>
    <x v="2"/>
    <x v="2"/>
    <n v="0"/>
    <n v="3324"/>
    <n v="7"/>
    <n v="0"/>
    <s v="October"/>
  </r>
  <r>
    <x v="6"/>
    <s v="NLX"/>
    <x v="1"/>
    <x v="181"/>
    <n v="0"/>
    <n v="8430"/>
    <n v="0"/>
    <n v="328"/>
    <n v="0"/>
    <n v="0"/>
    <x v="6"/>
    <x v="2"/>
    <x v="2"/>
    <n v="0"/>
    <n v="8430"/>
    <n v="7"/>
    <n v="0"/>
    <s v="October"/>
  </r>
  <r>
    <x v="6"/>
    <s v="RYR"/>
    <x v="0"/>
    <x v="92"/>
    <n v="27873"/>
    <n v="1887"/>
    <n v="10753"/>
    <n v="155"/>
    <n v="850"/>
    <n v="961"/>
    <x v="6"/>
    <x v="2"/>
    <x v="2"/>
    <n v="0.38578552721271481"/>
    <n v="29760"/>
    <n v="7"/>
    <n v="3.4477810067090019E-2"/>
    <s v="October"/>
  </r>
  <r>
    <x v="6"/>
    <s v="ACH01"/>
    <x v="0"/>
    <x v="119"/>
    <n v="0"/>
    <n v="4944"/>
    <n v="0"/>
    <n v="0"/>
    <n v="0"/>
    <n v="0"/>
    <x v="6"/>
    <x v="2"/>
    <x v="2"/>
    <n v="0"/>
    <n v="4944"/>
    <n v="7"/>
    <n v="0"/>
    <s v="October"/>
  </r>
  <r>
    <x v="6"/>
    <s v="AD913"/>
    <x v="4"/>
    <x v="70"/>
    <n v="0"/>
    <n v="3456"/>
    <n v="0"/>
    <n v="11"/>
    <n v="0"/>
    <n v="0"/>
    <x v="6"/>
    <x v="2"/>
    <x v="2"/>
    <n v="0"/>
    <n v="3456"/>
    <n v="7"/>
    <n v="0"/>
    <s v="October"/>
  </r>
  <r>
    <x v="6"/>
    <s v="G3P9C"/>
    <x v="1"/>
    <x v="199"/>
    <n v="0"/>
    <n v="889"/>
    <n v="0"/>
    <n v="1"/>
    <n v="0"/>
    <n v="0"/>
    <x v="6"/>
    <x v="2"/>
    <x v="2"/>
    <n v="0"/>
    <n v="889"/>
    <n v="7"/>
    <n v="0"/>
    <s v="October"/>
  </r>
  <r>
    <x v="6"/>
    <s v="NDJ"/>
    <x v="0"/>
    <x v="0"/>
    <n v="0"/>
    <n v="2218"/>
    <n v="0"/>
    <n v="8"/>
    <n v="0"/>
    <n v="0"/>
    <x v="6"/>
    <x v="2"/>
    <x v="2"/>
    <n v="0"/>
    <n v="2218"/>
    <n v="7"/>
    <n v="0"/>
    <s v="October"/>
  </r>
  <r>
    <x v="6"/>
    <s v="NQT1I"/>
    <x v="1"/>
    <x v="200"/>
    <n v="0"/>
    <n v="1645"/>
    <n v="0"/>
    <n v="12"/>
    <n v="0"/>
    <n v="0"/>
    <x v="6"/>
    <x v="2"/>
    <x v="2"/>
    <n v="0"/>
    <n v="1645"/>
    <n v="7"/>
    <n v="0"/>
    <s v="October"/>
  </r>
  <r>
    <x v="6"/>
    <s v="NQT5F"/>
    <x v="3"/>
    <x v="143"/>
    <n v="0"/>
    <n v="1718"/>
    <n v="0"/>
    <n v="24"/>
    <n v="0"/>
    <n v="0"/>
    <x v="6"/>
    <x v="2"/>
    <x v="2"/>
    <n v="0"/>
    <n v="1718"/>
    <n v="7"/>
    <n v="0"/>
    <s v="October"/>
  </r>
  <r>
    <x v="6"/>
    <s v="NQT5H"/>
    <x v="1"/>
    <x v="144"/>
    <n v="0"/>
    <n v="1130"/>
    <n v="0"/>
    <n v="5"/>
    <n v="0"/>
    <n v="0"/>
    <x v="6"/>
    <x v="2"/>
    <x v="2"/>
    <n v="0"/>
    <n v="1130"/>
    <n v="7"/>
    <n v="0"/>
    <s v="October"/>
  </r>
  <r>
    <x v="6"/>
    <s v="NTP11"/>
    <x v="0"/>
    <x v="154"/>
    <n v="0"/>
    <n v="5502"/>
    <n v="0"/>
    <n v="113"/>
    <n v="0"/>
    <n v="0"/>
    <x v="6"/>
    <x v="2"/>
    <x v="2"/>
    <n v="0"/>
    <n v="5502"/>
    <n v="7"/>
    <n v="0"/>
    <s v="October"/>
  </r>
  <r>
    <x v="6"/>
    <s v="RAS"/>
    <x v="4"/>
    <x v="174"/>
    <n v="5359"/>
    <n v="6831"/>
    <n v="2771"/>
    <n v="58"/>
    <n v="516"/>
    <n v="42"/>
    <x v="6"/>
    <x v="2"/>
    <x v="2"/>
    <n v="0.51707408098525842"/>
    <n v="12190"/>
    <n v="7"/>
    <n v="7.8372830752005979E-3"/>
    <s v="October"/>
  </r>
  <r>
    <x v="6"/>
    <s v="RAT"/>
    <x v="4"/>
    <x v="182"/>
    <n v="0"/>
    <n v="1899"/>
    <n v="0"/>
    <n v="36"/>
    <n v="0"/>
    <n v="0"/>
    <x v="6"/>
    <x v="2"/>
    <x v="2"/>
    <n v="0"/>
    <n v="1899"/>
    <n v="7"/>
    <n v="0"/>
    <s v="October"/>
  </r>
  <r>
    <x v="6"/>
    <s v="RAX"/>
    <x v="4"/>
    <x v="114"/>
    <n v="7042"/>
    <n v="8553"/>
    <n v="3867"/>
    <n v="365"/>
    <n v="218"/>
    <n v="579"/>
    <x v="6"/>
    <x v="2"/>
    <x v="2"/>
    <n v="0.54913376881567733"/>
    <n v="15595"/>
    <n v="7"/>
    <n v="8.2220959954558359E-2"/>
    <s v="October"/>
  </r>
  <r>
    <x v="6"/>
    <s v="RBV"/>
    <x v="3"/>
    <x v="22"/>
    <n v="0"/>
    <n v="0"/>
    <n v="0"/>
    <n v="0"/>
    <n v="0"/>
    <n v="0"/>
    <x v="6"/>
    <x v="2"/>
    <x v="2"/>
    <n v="0"/>
    <n v="0"/>
    <n v="7"/>
    <n v="0"/>
    <s v="October"/>
  </r>
  <r>
    <x v="6"/>
    <s v="REF"/>
    <x v="1"/>
    <x v="4"/>
    <n v="6727"/>
    <n v="11554"/>
    <n v="3087"/>
    <n v="526"/>
    <n v="431"/>
    <n v="626"/>
    <x v="6"/>
    <x v="2"/>
    <x v="2"/>
    <n v="0.45889698231009363"/>
    <n v="18281"/>
    <n v="7"/>
    <n v="9.305782666864873E-2"/>
    <s v="October"/>
  </r>
  <r>
    <x v="6"/>
    <s v="RFR"/>
    <x v="6"/>
    <x v="39"/>
    <n v="9550"/>
    <n v="0"/>
    <n v="3062"/>
    <n v="0"/>
    <n v="602"/>
    <n v="2"/>
    <x v="6"/>
    <x v="2"/>
    <x v="2"/>
    <n v="0.32062827225130891"/>
    <n v="9550"/>
    <n v="7"/>
    <n v="2.094240837696335E-4"/>
    <s v="October"/>
  </r>
  <r>
    <x v="6"/>
    <s v="RL4"/>
    <x v="5"/>
    <x v="165"/>
    <n v="11729"/>
    <n v="6773"/>
    <n v="4517"/>
    <n v="201"/>
    <n v="794"/>
    <n v="581"/>
    <x v="6"/>
    <x v="2"/>
    <x v="2"/>
    <n v="0.38511382044505071"/>
    <n v="18502"/>
    <n v="7"/>
    <n v="4.9535339756159945E-2"/>
    <s v="October"/>
  </r>
  <r>
    <x v="6"/>
    <s v="RTK"/>
    <x v="0"/>
    <x v="49"/>
    <n v="7513"/>
    <n v="2868"/>
    <n v="3785"/>
    <n v="16"/>
    <n v="596"/>
    <n v="361"/>
    <x v="6"/>
    <x v="2"/>
    <x v="2"/>
    <n v="0.50379342473046718"/>
    <n v="10381"/>
    <n v="7"/>
    <n v="4.8050046585917744E-2"/>
    <s v="October"/>
  </r>
  <r>
    <x v="6"/>
    <s v="RTR"/>
    <x v="6"/>
    <x v="147"/>
    <n v="7664"/>
    <n v="9064"/>
    <n v="3933"/>
    <n v="312"/>
    <n v="400"/>
    <n v="24"/>
    <x v="6"/>
    <x v="2"/>
    <x v="2"/>
    <n v="0.51317849686847594"/>
    <n v="16728"/>
    <n v="7"/>
    <n v="3.1315240083507308E-3"/>
    <s v="October"/>
  </r>
  <r>
    <x v="6"/>
    <s v="RTX"/>
    <x v="3"/>
    <x v="98"/>
    <n v="9431"/>
    <n v="2798"/>
    <n v="3720"/>
    <n v="69"/>
    <n v="718"/>
    <n v="700"/>
    <x v="6"/>
    <x v="2"/>
    <x v="2"/>
    <n v="0.39444385537058635"/>
    <n v="12229"/>
    <n v="7"/>
    <n v="7.4223306118121085E-2"/>
    <s v="October"/>
  </r>
  <r>
    <x v="6"/>
    <s v="RY7"/>
    <x v="3"/>
    <x v="139"/>
    <n v="0"/>
    <n v="4249"/>
    <n v="0"/>
    <n v="382"/>
    <n v="0"/>
    <n v="0"/>
    <x v="6"/>
    <x v="2"/>
    <x v="2"/>
    <n v="0"/>
    <n v="4249"/>
    <n v="7"/>
    <n v="0"/>
    <s v="October"/>
  </r>
  <r>
    <x v="6"/>
    <s v="Y02428"/>
    <x v="2"/>
    <x v="140"/>
    <n v="0"/>
    <n v="2619"/>
    <n v="0"/>
    <n v="0"/>
    <n v="0"/>
    <n v="0"/>
    <x v="6"/>
    <x v="2"/>
    <x v="2"/>
    <n v="0"/>
    <n v="2619"/>
    <n v="7"/>
    <n v="0"/>
    <s v="October"/>
  </r>
  <r>
    <x v="6"/>
    <s v="NNJ"/>
    <x v="5"/>
    <x v="62"/>
    <n v="0"/>
    <n v="1869"/>
    <n v="0"/>
    <n v="2"/>
    <n v="0"/>
    <n v="0"/>
    <x v="6"/>
    <x v="2"/>
    <x v="2"/>
    <n v="0"/>
    <n v="1869"/>
    <n v="7"/>
    <n v="0"/>
    <s v="October"/>
  </r>
  <r>
    <x v="6"/>
    <s v="RBN"/>
    <x v="3"/>
    <x v="34"/>
    <n v="18638"/>
    <n v="7376"/>
    <n v="7006"/>
    <n v="66"/>
    <n v="515"/>
    <n v="508"/>
    <x v="6"/>
    <x v="2"/>
    <x v="2"/>
    <n v="0.37589870157742244"/>
    <n v="26014"/>
    <n v="7"/>
    <n v="2.7256143363021783E-2"/>
    <s v="October"/>
  </r>
  <r>
    <x v="7"/>
    <s v="AQN04"/>
    <x v="0"/>
    <x v="130"/>
    <n v="0"/>
    <n v="2802"/>
    <n v="0"/>
    <n v="13"/>
    <n v="0"/>
    <n v="0"/>
    <x v="7"/>
    <x v="2"/>
    <x v="2"/>
    <n v="0"/>
    <n v="2802"/>
    <n v="8"/>
    <n v="0"/>
    <s v="November"/>
  </r>
  <r>
    <x v="7"/>
    <s v="RW1"/>
    <x v="0"/>
    <x v="137"/>
    <n v="0"/>
    <n v="2719"/>
    <n v="0"/>
    <n v="33"/>
    <n v="0"/>
    <n v="0"/>
    <x v="7"/>
    <x v="2"/>
    <x v="2"/>
    <n v="0"/>
    <n v="2719"/>
    <n v="8"/>
    <n v="0"/>
    <s v="November"/>
  </r>
  <r>
    <x v="7"/>
    <s v="R1F"/>
    <x v="0"/>
    <x v="25"/>
    <n v="4230"/>
    <n v="1528"/>
    <n v="1539"/>
    <n v="58"/>
    <n v="231"/>
    <n v="151"/>
    <x v="7"/>
    <x v="2"/>
    <x v="2"/>
    <n v="0.36382978723404258"/>
    <n v="5758"/>
    <n v="8"/>
    <n v="3.5697399527186764E-2"/>
    <s v="November"/>
  </r>
  <r>
    <x v="7"/>
    <s v="RA7"/>
    <x v="1"/>
    <x v="158"/>
    <n v="16630"/>
    <n v="0"/>
    <n v="6196"/>
    <n v="0"/>
    <n v="1188"/>
    <n v="243"/>
    <x v="7"/>
    <x v="2"/>
    <x v="2"/>
    <n v="0.37257967528562841"/>
    <n v="16630"/>
    <n v="8"/>
    <n v="1.4612146722790138E-2"/>
    <s v="November"/>
  </r>
  <r>
    <x v="7"/>
    <s v="RAX"/>
    <x v="4"/>
    <x v="114"/>
    <n v="7192"/>
    <n v="8197"/>
    <n v="4095"/>
    <n v="451"/>
    <n v="340"/>
    <n v="362"/>
    <x v="7"/>
    <x v="2"/>
    <x v="2"/>
    <n v="0.56938264738598443"/>
    <n v="15389"/>
    <n v="8"/>
    <n v="5.0333704115684094E-2"/>
    <s v="November"/>
  </r>
  <r>
    <x v="7"/>
    <s v="RD1"/>
    <x v="1"/>
    <x v="1"/>
    <n v="8866"/>
    <n v="0"/>
    <n v="3750"/>
    <n v="0"/>
    <n v="887"/>
    <n v="155"/>
    <x v="7"/>
    <x v="2"/>
    <x v="2"/>
    <n v="0.42296413264155197"/>
    <n v="8866"/>
    <n v="8"/>
    <n v="1.7482517482517484E-2"/>
    <s v="November"/>
  </r>
  <r>
    <x v="7"/>
    <s v="RDE"/>
    <x v="2"/>
    <x v="2"/>
    <n v="10929"/>
    <n v="13304"/>
    <n v="5054"/>
    <n v="1413"/>
    <n v="770"/>
    <n v="461"/>
    <x v="7"/>
    <x v="2"/>
    <x v="2"/>
    <n v="0.4624393814621649"/>
    <n v="24233"/>
    <n v="8"/>
    <n v="4.2181352365266725E-2"/>
    <s v="November"/>
  </r>
  <r>
    <x v="7"/>
    <s v="RDR"/>
    <x v="0"/>
    <x v="3"/>
    <n v="0"/>
    <n v="10995"/>
    <n v="0"/>
    <n v="168"/>
    <n v="0"/>
    <n v="0"/>
    <x v="7"/>
    <x v="2"/>
    <x v="2"/>
    <n v="0"/>
    <n v="10995"/>
    <n v="8"/>
    <n v="0"/>
    <s v="November"/>
  </r>
  <r>
    <x v="7"/>
    <s v="RDU"/>
    <x v="0"/>
    <x v="37"/>
    <n v="22861"/>
    <n v="11293"/>
    <n v="9459"/>
    <n v="345"/>
    <n v="1216"/>
    <n v="427"/>
    <x v="7"/>
    <x v="2"/>
    <x v="2"/>
    <n v="0.41376142775906566"/>
    <n v="34154"/>
    <n v="8"/>
    <n v="1.8678098070950527E-2"/>
    <s v="November"/>
  </r>
  <r>
    <x v="7"/>
    <s v="REM"/>
    <x v="3"/>
    <x v="5"/>
    <n v="16331"/>
    <n v="8379"/>
    <n v="7870"/>
    <n v="509"/>
    <n v="860"/>
    <n v="1040"/>
    <x v="7"/>
    <x v="2"/>
    <x v="2"/>
    <n v="0.48190557834792724"/>
    <n v="24710"/>
    <n v="8"/>
    <n v="6.368256689731186E-2"/>
    <s v="November"/>
  </r>
  <r>
    <x v="7"/>
    <s v="RHU"/>
    <x v="0"/>
    <x v="63"/>
    <n v="11135"/>
    <n v="3105"/>
    <n v="4299"/>
    <n v="8"/>
    <n v="678"/>
    <n v="1284"/>
    <x v="7"/>
    <x v="2"/>
    <x v="2"/>
    <n v="0.3860799281544679"/>
    <n v="14240"/>
    <n v="8"/>
    <n v="0.11531207903008532"/>
    <s v="November"/>
  </r>
  <r>
    <x v="7"/>
    <s v="NQT5H"/>
    <x v="1"/>
    <x v="144"/>
    <n v="0"/>
    <n v="992"/>
    <n v="0"/>
    <n v="2"/>
    <n v="0"/>
    <n v="0"/>
    <x v="7"/>
    <x v="2"/>
    <x v="2"/>
    <n v="0"/>
    <n v="992"/>
    <n v="8"/>
    <n v="0"/>
    <s v="November"/>
  </r>
  <r>
    <x v="7"/>
    <s v="RJC"/>
    <x v="5"/>
    <x v="188"/>
    <n v="8530"/>
    <n v="369"/>
    <n v="2261"/>
    <n v="0"/>
    <n v="375"/>
    <n v="64"/>
    <x v="7"/>
    <x v="2"/>
    <x v="2"/>
    <n v="0.26506447831184055"/>
    <n v="8899"/>
    <n v="8"/>
    <n v="7.5029308323563892E-3"/>
    <s v="November"/>
  </r>
  <r>
    <x v="7"/>
    <s v="RN5"/>
    <x v="0"/>
    <x v="97"/>
    <n v="10970"/>
    <n v="3167"/>
    <n v="4721"/>
    <n v="125"/>
    <n v="77"/>
    <n v="6"/>
    <x v="7"/>
    <x v="2"/>
    <x v="2"/>
    <n v="0.43035551504102099"/>
    <n v="14137"/>
    <n v="8"/>
    <n v="5.4694621695533269E-4"/>
    <s v="November"/>
  </r>
  <r>
    <x v="7"/>
    <s v="RN7"/>
    <x v="0"/>
    <x v="14"/>
    <n v="11842"/>
    <n v="3704"/>
    <n v="3069"/>
    <n v="12"/>
    <n v="689"/>
    <n v="249"/>
    <x v="7"/>
    <x v="2"/>
    <x v="2"/>
    <n v="0.25916230366492149"/>
    <n v="15546"/>
    <n v="8"/>
    <n v="2.102685357203175E-2"/>
    <s v="November"/>
  </r>
  <r>
    <x v="7"/>
    <s v="RNZ"/>
    <x v="1"/>
    <x v="17"/>
    <n v="4555"/>
    <n v="1798"/>
    <n v="1638"/>
    <n v="0"/>
    <n v="379"/>
    <n v="54"/>
    <x v="7"/>
    <x v="2"/>
    <x v="2"/>
    <n v="0.35960482985729969"/>
    <n v="6353"/>
    <n v="8"/>
    <n v="1.1855104281009879E-2"/>
    <s v="November"/>
  </r>
  <r>
    <x v="7"/>
    <s v="RP6"/>
    <x v="4"/>
    <x v="192"/>
    <n v="0"/>
    <n v="0"/>
    <n v="0"/>
    <n v="0"/>
    <n v="0"/>
    <n v="0"/>
    <x v="7"/>
    <x v="2"/>
    <x v="2"/>
    <n v="0"/>
    <n v="0"/>
    <n v="8"/>
    <n v="0"/>
    <s v="November"/>
  </r>
  <r>
    <x v="7"/>
    <s v="RRV"/>
    <x v="4"/>
    <x v="171"/>
    <n v="13781"/>
    <n v="0"/>
    <n v="4221"/>
    <n v="0"/>
    <n v="504"/>
    <n v="292"/>
    <x v="7"/>
    <x v="2"/>
    <x v="2"/>
    <n v="0.30629127058994265"/>
    <n v="13781"/>
    <n v="8"/>
    <n v="2.1188592990349031E-2"/>
    <s v="November"/>
  </r>
  <r>
    <x v="7"/>
    <s v="RTD"/>
    <x v="6"/>
    <x v="71"/>
    <n v="13567"/>
    <n v="6522"/>
    <n v="5561"/>
    <n v="12"/>
    <n v="586"/>
    <n v="48"/>
    <x v="7"/>
    <x v="2"/>
    <x v="2"/>
    <n v="0.4098916488538365"/>
    <n v="20089"/>
    <n v="8"/>
    <n v="3.5379966094199159E-3"/>
    <s v="November"/>
  </r>
  <r>
    <x v="7"/>
    <s v="RTE"/>
    <x v="1"/>
    <x v="23"/>
    <n v="13199"/>
    <n v="0"/>
    <n v="4804"/>
    <n v="0"/>
    <n v="430"/>
    <n v="389"/>
    <x v="7"/>
    <x v="2"/>
    <x v="2"/>
    <n v="0.3639669671944844"/>
    <n v="13199"/>
    <n v="8"/>
    <n v="2.9471929691643306E-2"/>
    <s v="November"/>
  </r>
  <r>
    <x v="7"/>
    <s v="RTF"/>
    <x v="6"/>
    <x v="99"/>
    <n v="10619"/>
    <n v="12504"/>
    <n v="2577"/>
    <n v="0"/>
    <n v="20"/>
    <n v="0"/>
    <x v="7"/>
    <x v="2"/>
    <x v="2"/>
    <n v="0.2426782182879744"/>
    <n v="23123"/>
    <n v="8"/>
    <n v="0"/>
    <s v="November"/>
  </r>
  <r>
    <x v="7"/>
    <s v="RTK"/>
    <x v="0"/>
    <x v="49"/>
    <n v="7533"/>
    <n v="2830"/>
    <n v="3455"/>
    <n v="25"/>
    <n v="521"/>
    <n v="325"/>
    <x v="7"/>
    <x v="2"/>
    <x v="2"/>
    <n v="0.45864861277047658"/>
    <n v="10363"/>
    <n v="8"/>
    <n v="4.3143501924863929E-2"/>
    <s v="November"/>
  </r>
  <r>
    <x v="7"/>
    <s v="RJE"/>
    <x v="5"/>
    <x v="9"/>
    <n v="14698"/>
    <n v="8611"/>
    <n v="8019"/>
    <n v="205"/>
    <n v="1073"/>
    <n v="1093"/>
    <x v="7"/>
    <x v="2"/>
    <x v="2"/>
    <n v="0.5455844332562253"/>
    <n v="23309"/>
    <n v="8"/>
    <n v="7.4363859028439241E-2"/>
    <s v="November"/>
  </r>
  <r>
    <x v="7"/>
    <s v="RTR"/>
    <x v="6"/>
    <x v="147"/>
    <n v="7413"/>
    <n v="9125"/>
    <n v="3761"/>
    <n v="361"/>
    <n v="372"/>
    <n v="24"/>
    <x v="7"/>
    <x v="2"/>
    <x v="2"/>
    <n v="0.50735194927829486"/>
    <n v="16538"/>
    <n v="8"/>
    <n v="3.2375556454876568E-3"/>
    <s v="November"/>
  </r>
  <r>
    <x v="7"/>
    <s v="NQT1I"/>
    <x v="1"/>
    <x v="200"/>
    <n v="0"/>
    <n v="1505"/>
    <n v="0"/>
    <n v="10"/>
    <n v="0"/>
    <n v="0"/>
    <x v="7"/>
    <x v="2"/>
    <x v="2"/>
    <n v="0"/>
    <n v="1505"/>
    <n v="8"/>
    <n v="0"/>
    <s v="November"/>
  </r>
  <r>
    <x v="7"/>
    <s v="NNF94"/>
    <x v="6"/>
    <x v="28"/>
    <n v="0"/>
    <n v="2511"/>
    <n v="0"/>
    <n v="83"/>
    <n v="0"/>
    <n v="0"/>
    <x v="7"/>
    <x v="2"/>
    <x v="2"/>
    <n v="0"/>
    <n v="2511"/>
    <n v="8"/>
    <n v="0"/>
    <s v="November"/>
  </r>
  <r>
    <x v="7"/>
    <s v="RMP"/>
    <x v="3"/>
    <x v="166"/>
    <n v="8397"/>
    <n v="3181"/>
    <n v="4053"/>
    <n v="213"/>
    <n v="429"/>
    <n v="655"/>
    <x v="7"/>
    <x v="2"/>
    <x v="2"/>
    <n v="0.4826723829939264"/>
    <n v="11578"/>
    <n v="8"/>
    <n v="7.8004049065142314E-2"/>
    <s v="November"/>
  </r>
  <r>
    <x v="7"/>
    <s v="RN3"/>
    <x v="1"/>
    <x v="167"/>
    <n v="6143"/>
    <n v="5510"/>
    <n v="2947"/>
    <n v="418"/>
    <n v="668"/>
    <n v="326"/>
    <x v="7"/>
    <x v="2"/>
    <x v="2"/>
    <n v="0.47973302946443108"/>
    <n v="11653"/>
    <n v="8"/>
    <n v="5.3068533289923489E-2"/>
    <s v="November"/>
  </r>
  <r>
    <x v="7"/>
    <s v="RNA"/>
    <x v="5"/>
    <x v="168"/>
    <n v="9954"/>
    <n v="4454"/>
    <n v="3561"/>
    <n v="85"/>
    <n v="2664"/>
    <n v="155"/>
    <x v="7"/>
    <x v="2"/>
    <x v="2"/>
    <n v="0.35774562989752862"/>
    <n v="14408"/>
    <n v="8"/>
    <n v="1.5571629495680129E-2"/>
    <s v="November"/>
  </r>
  <r>
    <x v="7"/>
    <s v="RNN"/>
    <x v="6"/>
    <x v="197"/>
    <n v="8819"/>
    <n v="1720"/>
    <n v="4564"/>
    <n v="56"/>
    <n v="753"/>
    <n v="432"/>
    <x v="7"/>
    <x v="2"/>
    <x v="2"/>
    <n v="0.517518993083116"/>
    <n v="10539"/>
    <n v="8"/>
    <n v="4.8985145708130173E-2"/>
    <s v="November"/>
  </r>
  <r>
    <x v="7"/>
    <s v="RNS"/>
    <x v="5"/>
    <x v="15"/>
    <n v="10425"/>
    <n v="2058"/>
    <n v="4000"/>
    <n v="132"/>
    <n v="467"/>
    <n v="669"/>
    <x v="7"/>
    <x v="2"/>
    <x v="2"/>
    <n v="0.38369304556354916"/>
    <n v="12483"/>
    <n v="8"/>
    <n v="6.4172661870503592E-2"/>
    <s v="November"/>
  </r>
  <r>
    <x v="7"/>
    <s v="RQM"/>
    <x v="4"/>
    <x v="19"/>
    <n v="20633"/>
    <n v="6228"/>
    <n v="5718"/>
    <n v="135"/>
    <n v="729"/>
    <n v="59"/>
    <x v="7"/>
    <x v="2"/>
    <x v="2"/>
    <n v="0.2771288712257064"/>
    <n v="26861"/>
    <n v="8"/>
    <n v="2.8594969224058548E-3"/>
    <s v="November"/>
  </r>
  <r>
    <x v="7"/>
    <s v="RR8"/>
    <x v="6"/>
    <x v="20"/>
    <n v="18631"/>
    <n v="11615"/>
    <n v="7498"/>
    <n v="641"/>
    <n v="1271"/>
    <n v="707"/>
    <x v="7"/>
    <x v="2"/>
    <x v="2"/>
    <n v="0.40244753368042507"/>
    <n v="30246"/>
    <n v="8"/>
    <n v="3.7947506843432989E-2"/>
    <s v="November"/>
  </r>
  <r>
    <x v="7"/>
    <s v="RTX"/>
    <x v="3"/>
    <x v="98"/>
    <n v="9070"/>
    <n v="2550"/>
    <n v="3894"/>
    <n v="97"/>
    <n v="693"/>
    <n v="551"/>
    <x v="7"/>
    <x v="2"/>
    <x v="2"/>
    <n v="0.42932745314222714"/>
    <n v="11620"/>
    <n v="8"/>
    <n v="6.0749724366041896E-2"/>
    <s v="November"/>
  </r>
  <r>
    <x v="7"/>
    <s v="RVW"/>
    <x v="6"/>
    <x v="76"/>
    <n v="5042"/>
    <n v="11490"/>
    <n v="2935"/>
    <n v="37"/>
    <n v="264"/>
    <n v="29"/>
    <x v="7"/>
    <x v="2"/>
    <x v="2"/>
    <n v="0.58211027370091228"/>
    <n v="16532"/>
    <n v="8"/>
    <n v="5.7516858389527964E-3"/>
    <s v="November"/>
  </r>
  <r>
    <x v="7"/>
    <s v="NNFA7"/>
    <x v="6"/>
    <x v="29"/>
    <n v="0"/>
    <n v="1567"/>
    <n v="0"/>
    <n v="41"/>
    <n v="0"/>
    <n v="0"/>
    <x v="7"/>
    <x v="2"/>
    <x v="2"/>
    <n v="0"/>
    <n v="1567"/>
    <n v="8"/>
    <n v="0"/>
    <s v="November"/>
  </r>
  <r>
    <x v="7"/>
    <s v="RXK"/>
    <x v="5"/>
    <x v="176"/>
    <n v="11914"/>
    <n v="8726"/>
    <n v="5652"/>
    <n v="279"/>
    <n v="695"/>
    <n v="386"/>
    <x v="7"/>
    <x v="2"/>
    <x v="2"/>
    <n v="0.47439986570421355"/>
    <n v="20640"/>
    <n v="8"/>
    <n v="3.2398858485815009E-2"/>
    <s v="November"/>
  </r>
  <r>
    <x v="7"/>
    <s v="RYG"/>
    <x v="5"/>
    <x v="90"/>
    <n v="0"/>
    <n v="0"/>
    <n v="0"/>
    <n v="0"/>
    <n v="0"/>
    <n v="0"/>
    <x v="7"/>
    <x v="2"/>
    <x v="2"/>
    <n v="0"/>
    <n v="0"/>
    <n v="8"/>
    <n v="0"/>
    <s v="November"/>
  </r>
  <r>
    <x v="7"/>
    <s v="RYJ"/>
    <x v="4"/>
    <x v="91"/>
    <n v="12110"/>
    <n v="6975"/>
    <n v="4743"/>
    <n v="340"/>
    <n v="579"/>
    <n v="0"/>
    <x v="7"/>
    <x v="2"/>
    <x v="2"/>
    <n v="0.39165978530140377"/>
    <n v="19085"/>
    <n v="8"/>
    <n v="0"/>
    <s v="November"/>
  </r>
  <r>
    <x v="7"/>
    <s v="Y03007"/>
    <x v="5"/>
    <x v="118"/>
    <n v="0"/>
    <n v="0"/>
    <n v="0"/>
    <n v="0"/>
    <n v="0"/>
    <n v="0"/>
    <x v="7"/>
    <x v="2"/>
    <x v="2"/>
    <n v="0"/>
    <n v="0"/>
    <n v="8"/>
    <n v="0"/>
    <s v="November"/>
  </r>
  <r>
    <x v="7"/>
    <s v="AD913"/>
    <x v="4"/>
    <x v="70"/>
    <n v="0"/>
    <n v="3433"/>
    <n v="0"/>
    <n v="4"/>
    <n v="0"/>
    <n v="0"/>
    <x v="7"/>
    <x v="2"/>
    <x v="2"/>
    <n v="0"/>
    <n v="3433"/>
    <n v="8"/>
    <n v="0"/>
    <s v="November"/>
  </r>
  <r>
    <x v="7"/>
    <s v="G0Q0L"/>
    <x v="4"/>
    <x v="120"/>
    <n v="0"/>
    <n v="2802"/>
    <n v="0"/>
    <n v="14"/>
    <n v="0"/>
    <n v="0"/>
    <x v="7"/>
    <x v="2"/>
    <x v="2"/>
    <n v="0"/>
    <n v="2802"/>
    <n v="8"/>
    <n v="0"/>
    <s v="November"/>
  </r>
  <r>
    <x v="7"/>
    <s v="G3P9C"/>
    <x v="1"/>
    <x v="199"/>
    <n v="0"/>
    <n v="990"/>
    <n v="0"/>
    <n v="1"/>
    <n v="0"/>
    <n v="0"/>
    <x v="7"/>
    <x v="2"/>
    <x v="2"/>
    <n v="0"/>
    <n v="990"/>
    <n v="8"/>
    <n v="0"/>
    <s v="November"/>
  </r>
  <r>
    <x v="7"/>
    <s v="K6K0R"/>
    <x v="4"/>
    <x v="121"/>
    <n v="0"/>
    <n v="2904"/>
    <n v="0"/>
    <n v="23"/>
    <n v="0"/>
    <n v="0"/>
    <x v="7"/>
    <x v="2"/>
    <x v="2"/>
    <n v="0"/>
    <n v="2904"/>
    <n v="8"/>
    <n v="0"/>
    <s v="November"/>
  </r>
  <r>
    <x v="7"/>
    <s v="NNF09"/>
    <x v="6"/>
    <x v="26"/>
    <n v="0"/>
    <n v="3748"/>
    <n v="0"/>
    <n v="461"/>
    <n v="0"/>
    <n v="0"/>
    <x v="7"/>
    <x v="2"/>
    <x v="2"/>
    <n v="0"/>
    <n v="3748"/>
    <n v="8"/>
    <n v="0"/>
    <s v="November"/>
  </r>
  <r>
    <x v="7"/>
    <s v="NNF16"/>
    <x v="6"/>
    <x v="27"/>
    <n v="0"/>
    <n v="1320"/>
    <n v="0"/>
    <n v="57"/>
    <n v="0"/>
    <n v="0"/>
    <x v="7"/>
    <x v="2"/>
    <x v="2"/>
    <n v="0"/>
    <n v="1320"/>
    <n v="8"/>
    <n v="0"/>
    <s v="November"/>
  </r>
  <r>
    <x v="7"/>
    <s v="RXW"/>
    <x v="5"/>
    <x v="88"/>
    <n v="10683"/>
    <n v="2678"/>
    <n v="5826"/>
    <n v="380"/>
    <n v="385"/>
    <n v="1454"/>
    <x v="7"/>
    <x v="2"/>
    <x v="2"/>
    <n v="0.54535242909295145"/>
    <n v="13361"/>
    <n v="8"/>
    <n v="0.13610409061125153"/>
    <s v="November"/>
  </r>
  <r>
    <x v="7"/>
    <s v="RVJ"/>
    <x v="1"/>
    <x v="73"/>
    <n v="9172"/>
    <n v="0"/>
    <n v="3075"/>
    <n v="0"/>
    <n v="554"/>
    <n v="366"/>
    <x v="7"/>
    <x v="2"/>
    <x v="2"/>
    <n v="0.33525948539031836"/>
    <n v="9172"/>
    <n v="8"/>
    <n v="3.9904055822067158E-2"/>
    <s v="November"/>
  </r>
  <r>
    <x v="7"/>
    <s v="RWD"/>
    <x v="5"/>
    <x v="78"/>
    <n v="16510"/>
    <n v="4055"/>
    <n v="6433"/>
    <n v="296"/>
    <n v="895"/>
    <n v="932"/>
    <x v="7"/>
    <x v="2"/>
    <x v="2"/>
    <n v="0.38964264082374317"/>
    <n v="20565"/>
    <n v="8"/>
    <n v="5.6450635978195031E-2"/>
    <s v="November"/>
  </r>
  <r>
    <x v="7"/>
    <s v="RWF"/>
    <x v="0"/>
    <x v="193"/>
    <n v="18346"/>
    <n v="1739"/>
    <n v="3915"/>
    <n v="55"/>
    <n v="988"/>
    <n v="247"/>
    <x v="7"/>
    <x v="2"/>
    <x v="2"/>
    <n v="0.21339801591627602"/>
    <n v="20085"/>
    <n v="8"/>
    <n v="1.3463425269813584E-2"/>
    <s v="November"/>
  </r>
  <r>
    <x v="7"/>
    <s v="RJ1"/>
    <x v="4"/>
    <x v="43"/>
    <n v="10659"/>
    <n v="6868"/>
    <n v="3310"/>
    <n v="178"/>
    <n v="141"/>
    <n v="76"/>
    <x v="7"/>
    <x v="2"/>
    <x v="2"/>
    <n v="0.31053569753260157"/>
    <n v="17527"/>
    <n v="8"/>
    <n v="7.1301247771836003E-3"/>
    <s v="November"/>
  </r>
  <r>
    <x v="7"/>
    <s v="RKE"/>
    <x v="4"/>
    <x v="194"/>
    <n v="9340"/>
    <n v="0"/>
    <n v="2580"/>
    <n v="0"/>
    <n v="265"/>
    <n v="317"/>
    <x v="7"/>
    <x v="2"/>
    <x v="2"/>
    <n v="0.27623126338329762"/>
    <n v="9340"/>
    <n v="8"/>
    <n v="3.3940042826552462E-2"/>
    <s v="November"/>
  </r>
  <r>
    <x v="7"/>
    <s v="RPA"/>
    <x v="0"/>
    <x v="191"/>
    <n v="9523"/>
    <n v="5900"/>
    <n v="3391"/>
    <n v="853"/>
    <n v="379"/>
    <n v="591"/>
    <x v="7"/>
    <x v="2"/>
    <x v="2"/>
    <n v="0.35608526724771605"/>
    <n v="15423"/>
    <n v="8"/>
    <n v="6.2060275123385487E-2"/>
    <s v="November"/>
  </r>
  <r>
    <x v="7"/>
    <s v="R1K"/>
    <x v="4"/>
    <x v="30"/>
    <n v="13768"/>
    <n v="15911"/>
    <n v="6911"/>
    <n v="896"/>
    <n v="754"/>
    <n v="667"/>
    <x v="7"/>
    <x v="2"/>
    <x v="2"/>
    <n v="0.50196106914584548"/>
    <n v="29679"/>
    <n v="8"/>
    <n v="4.844567112144102E-2"/>
    <s v="November"/>
  </r>
  <r>
    <x v="7"/>
    <s v="RBN"/>
    <x v="3"/>
    <x v="34"/>
    <n v="17705"/>
    <n v="7184"/>
    <n v="6946"/>
    <n v="120"/>
    <n v="520"/>
    <n v="471"/>
    <x v="7"/>
    <x v="2"/>
    <x v="2"/>
    <n v="0.39231855408076816"/>
    <n v="24889"/>
    <n v="8"/>
    <n v="2.6602654617339735E-2"/>
    <s v="November"/>
  </r>
  <r>
    <x v="7"/>
    <s v="RCB"/>
    <x v="6"/>
    <x v="35"/>
    <n v="11171"/>
    <n v="7361"/>
    <n v="5473"/>
    <n v="244"/>
    <n v="807"/>
    <n v="306"/>
    <x v="7"/>
    <x v="2"/>
    <x v="2"/>
    <n v="0.4899292811744696"/>
    <n v="18532"/>
    <n v="8"/>
    <n v="2.7392355205442663E-2"/>
    <s v="November"/>
  </r>
  <r>
    <x v="7"/>
    <s v="RM3"/>
    <x v="3"/>
    <x v="64"/>
    <n v="26810"/>
    <n v="9407"/>
    <n v="11165"/>
    <n v="301"/>
    <n v="1290"/>
    <n v="1068"/>
    <x v="7"/>
    <x v="2"/>
    <x v="2"/>
    <n v="0.41644908616187992"/>
    <n v="36217"/>
    <n v="8"/>
    <n v="3.9835882133532265E-2"/>
    <s v="November"/>
  </r>
  <r>
    <x v="7"/>
    <s v="DT301"/>
    <x v="2"/>
    <x v="110"/>
    <n v="0"/>
    <n v="1934"/>
    <n v="0"/>
    <n v="61"/>
    <n v="0"/>
    <n v="0"/>
    <x v="7"/>
    <x v="2"/>
    <x v="2"/>
    <n v="0"/>
    <n v="1934"/>
    <n v="8"/>
    <n v="0"/>
    <s v="November"/>
  </r>
  <r>
    <x v="7"/>
    <s v="RBL"/>
    <x v="3"/>
    <x v="94"/>
    <n v="8090"/>
    <n v="2744"/>
    <n v="4050"/>
    <n v="114"/>
    <n v="452"/>
    <n v="875"/>
    <x v="7"/>
    <x v="2"/>
    <x v="2"/>
    <n v="0.50061804697156986"/>
    <n v="10834"/>
    <n v="8"/>
    <n v="0.10815822002472188"/>
    <s v="November"/>
  </r>
  <r>
    <x v="7"/>
    <s v="C83023"/>
    <x v="5"/>
    <x v="44"/>
    <n v="0"/>
    <n v="591"/>
    <n v="0"/>
    <n v="0"/>
    <n v="0"/>
    <n v="0"/>
    <x v="7"/>
    <x v="2"/>
    <x v="2"/>
    <n v="0"/>
    <n v="591"/>
    <n v="8"/>
    <n v="0"/>
    <s v="November"/>
  </r>
  <r>
    <x v="7"/>
    <s v="RF4"/>
    <x v="4"/>
    <x v="7"/>
    <n v="13220"/>
    <n v="14696"/>
    <n v="7908"/>
    <n v="219"/>
    <n v="583"/>
    <n v="829"/>
    <x v="7"/>
    <x v="2"/>
    <x v="2"/>
    <n v="0.5981845688350983"/>
    <n v="27916"/>
    <n v="8"/>
    <n v="6.2708018154311651E-2"/>
    <s v="November"/>
  </r>
  <r>
    <x v="7"/>
    <s v="RWW"/>
    <x v="3"/>
    <x v="83"/>
    <n v="6989"/>
    <n v="2893"/>
    <n v="3444"/>
    <n v="70"/>
    <n v="615"/>
    <n v="922"/>
    <x v="7"/>
    <x v="2"/>
    <x v="2"/>
    <n v="0.49277435970811273"/>
    <n v="9882"/>
    <n v="8"/>
    <n v="0.13192159107168408"/>
    <s v="November"/>
  </r>
  <r>
    <x v="7"/>
    <s v="RX1"/>
    <x v="5"/>
    <x v="175"/>
    <n v="13016"/>
    <n v="8899"/>
    <n v="7451"/>
    <n v="1048"/>
    <n v="157"/>
    <n v="495"/>
    <x v="7"/>
    <x v="2"/>
    <x v="2"/>
    <n v="0.57244929317762749"/>
    <n v="21915"/>
    <n v="8"/>
    <n v="3.8030116779348491E-2"/>
    <s v="November"/>
  </r>
  <r>
    <x v="7"/>
    <s v="RXP"/>
    <x v="6"/>
    <x v="87"/>
    <n v="13118"/>
    <n v="3921"/>
    <n v="5639"/>
    <n v="0"/>
    <n v="1980"/>
    <n v="46"/>
    <x v="7"/>
    <x v="2"/>
    <x v="2"/>
    <n v="0.42986735782893731"/>
    <n v="17039"/>
    <n v="8"/>
    <n v="3.506632108553133E-3"/>
    <s v="November"/>
  </r>
  <r>
    <x v="7"/>
    <s v="RAT"/>
    <x v="4"/>
    <x v="182"/>
    <n v="0"/>
    <n v="1466"/>
    <n v="0"/>
    <n v="46"/>
    <n v="0"/>
    <n v="0"/>
    <x v="7"/>
    <x v="2"/>
    <x v="2"/>
    <n v="0"/>
    <n v="1466"/>
    <n v="8"/>
    <n v="0"/>
    <s v="November"/>
  </r>
  <r>
    <x v="7"/>
    <s v="NNJ07"/>
    <x v="5"/>
    <x v="56"/>
    <n v="0"/>
    <n v="5474"/>
    <n v="0"/>
    <n v="74"/>
    <n v="0"/>
    <n v="0"/>
    <x v="7"/>
    <x v="2"/>
    <x v="2"/>
    <n v="0"/>
    <n v="5474"/>
    <n v="8"/>
    <n v="0"/>
    <s v="November"/>
  </r>
  <r>
    <x v="7"/>
    <s v="NNJ0H"/>
    <x v="5"/>
    <x v="57"/>
    <n v="0"/>
    <n v="219"/>
    <n v="0"/>
    <n v="0"/>
    <n v="0"/>
    <n v="0"/>
    <x v="7"/>
    <x v="2"/>
    <x v="2"/>
    <n v="0"/>
    <n v="219"/>
    <n v="8"/>
    <n v="0"/>
    <s v="November"/>
  </r>
  <r>
    <x v="7"/>
    <s v="NNJ12"/>
    <x v="5"/>
    <x v="58"/>
    <n v="0"/>
    <n v="107"/>
    <n v="0"/>
    <n v="0"/>
    <n v="0"/>
    <n v="0"/>
    <x v="7"/>
    <x v="2"/>
    <x v="2"/>
    <n v="0"/>
    <n v="107"/>
    <n v="8"/>
    <n v="0"/>
    <s v="November"/>
  </r>
  <r>
    <x v="7"/>
    <s v="NNJ13"/>
    <x v="5"/>
    <x v="59"/>
    <n v="0"/>
    <n v="62"/>
    <n v="0"/>
    <n v="0"/>
    <n v="0"/>
    <n v="0"/>
    <x v="7"/>
    <x v="2"/>
    <x v="2"/>
    <n v="0"/>
    <n v="62"/>
    <n v="8"/>
    <n v="0"/>
    <s v="November"/>
  </r>
  <r>
    <x v="7"/>
    <s v="NNJ14"/>
    <x v="5"/>
    <x v="60"/>
    <n v="0"/>
    <n v="550"/>
    <n v="0"/>
    <n v="3"/>
    <n v="0"/>
    <n v="0"/>
    <x v="7"/>
    <x v="2"/>
    <x v="2"/>
    <n v="0"/>
    <n v="550"/>
    <n v="8"/>
    <n v="0"/>
    <s v="November"/>
  </r>
  <r>
    <x v="7"/>
    <s v="RTH"/>
    <x v="0"/>
    <x v="100"/>
    <n v="12395"/>
    <n v="3522"/>
    <n v="4092"/>
    <n v="110"/>
    <n v="436"/>
    <n v="1"/>
    <x v="7"/>
    <x v="2"/>
    <x v="2"/>
    <n v="0.33013311819281971"/>
    <n v="15917"/>
    <n v="8"/>
    <n v="8.0677692617991132E-5"/>
    <s v="November"/>
  </r>
  <r>
    <x v="7"/>
    <s v="RRK"/>
    <x v="5"/>
    <x v="67"/>
    <n v="35573"/>
    <n v="3244"/>
    <n v="14391"/>
    <n v="70"/>
    <n v="2895"/>
    <n v="1702"/>
    <x v="7"/>
    <x v="2"/>
    <x v="2"/>
    <n v="0.4045483934444663"/>
    <n v="38817"/>
    <n v="8"/>
    <n v="4.7845275911505919E-2"/>
    <s v="November"/>
  </r>
  <r>
    <x v="7"/>
    <s v="RRF"/>
    <x v="3"/>
    <x v="21"/>
    <n v="8206"/>
    <n v="4673"/>
    <n v="3681"/>
    <n v="79"/>
    <n v="649"/>
    <n v="466"/>
    <x v="7"/>
    <x v="2"/>
    <x v="2"/>
    <n v="0.4485742139897636"/>
    <n v="12879"/>
    <n v="8"/>
    <n v="5.678771630514258E-2"/>
    <s v="November"/>
  </r>
  <r>
    <x v="7"/>
    <s v="RKB"/>
    <x v="5"/>
    <x v="11"/>
    <n v="12703"/>
    <n v="5892"/>
    <n v="5588"/>
    <n v="159"/>
    <n v="48"/>
    <n v="17"/>
    <x v="7"/>
    <x v="2"/>
    <x v="2"/>
    <n v="0.43989608753837678"/>
    <n v="18595"/>
    <n v="8"/>
    <n v="1.3382665512083759E-3"/>
    <s v="November"/>
  </r>
  <r>
    <x v="7"/>
    <s v="RWG"/>
    <x v="2"/>
    <x v="80"/>
    <n v="8802"/>
    <n v="7278"/>
    <n v="2661"/>
    <n v="110"/>
    <n v="807"/>
    <n v="18"/>
    <x v="7"/>
    <x v="2"/>
    <x v="2"/>
    <n v="0.30231765507839126"/>
    <n v="16080"/>
    <n v="8"/>
    <n v="2.0449897750511249E-3"/>
    <s v="November"/>
  </r>
  <r>
    <x v="7"/>
    <s v="RWH"/>
    <x v="2"/>
    <x v="204"/>
    <n v="9292"/>
    <n v="8274"/>
    <n v="4538"/>
    <n v="40"/>
    <n v="474"/>
    <n v="185"/>
    <x v="7"/>
    <x v="2"/>
    <x v="2"/>
    <n v="0.48837709857942319"/>
    <n v="17566"/>
    <n v="8"/>
    <n v="1.9909599655617737E-2"/>
    <s v="November"/>
  </r>
  <r>
    <x v="7"/>
    <s v="RWJ"/>
    <x v="3"/>
    <x v="82"/>
    <n v="8127"/>
    <n v="1071"/>
    <n v="3187"/>
    <n v="57"/>
    <n v="644"/>
    <n v="445"/>
    <x v="7"/>
    <x v="2"/>
    <x v="2"/>
    <n v="0.39214962470776427"/>
    <n v="9198"/>
    <n v="8"/>
    <n v="5.4755752430171035E-2"/>
    <s v="November"/>
  </r>
  <r>
    <x v="7"/>
    <s v="RWX"/>
    <x v="0"/>
    <x v="55"/>
    <n v="0"/>
    <n v="1168"/>
    <n v="0"/>
    <n v="5"/>
    <n v="0"/>
    <n v="0"/>
    <x v="7"/>
    <x v="2"/>
    <x v="2"/>
    <n v="0"/>
    <n v="1168"/>
    <n v="8"/>
    <n v="0"/>
    <s v="November"/>
  </r>
  <r>
    <x v="7"/>
    <s v="RXC"/>
    <x v="0"/>
    <x v="84"/>
    <n v="8986"/>
    <n v="2348"/>
    <n v="4166"/>
    <n v="32"/>
    <n v="278"/>
    <n v="101"/>
    <x v="7"/>
    <x v="2"/>
    <x v="2"/>
    <n v="0.46361006009347877"/>
    <n v="11334"/>
    <n v="8"/>
    <n v="1.1239706209659471E-2"/>
    <s v="November"/>
  </r>
  <r>
    <x v="7"/>
    <s v="RXF"/>
    <x v="6"/>
    <x v="177"/>
    <n v="16746"/>
    <n v="6306"/>
    <n v="6446"/>
    <n v="370"/>
    <n v="2112"/>
    <n v="332"/>
    <x v="7"/>
    <x v="2"/>
    <x v="2"/>
    <n v="0.38492774393885104"/>
    <n v="23052"/>
    <n v="8"/>
    <n v="1.9825630001194316E-2"/>
    <s v="November"/>
  </r>
  <r>
    <x v="7"/>
    <s v="RXN"/>
    <x v="3"/>
    <x v="65"/>
    <n v="12364"/>
    <n v="3304"/>
    <n v="4551"/>
    <n v="212"/>
    <n v="960"/>
    <n v="471"/>
    <x v="7"/>
    <x v="2"/>
    <x v="2"/>
    <n v="0.36808476221287612"/>
    <n v="15668"/>
    <n v="8"/>
    <n v="3.8094467809770299E-2"/>
    <s v="November"/>
  </r>
  <r>
    <x v="7"/>
    <s v="RY2"/>
    <x v="3"/>
    <x v="173"/>
    <n v="0"/>
    <n v="2910"/>
    <n v="0"/>
    <n v="120"/>
    <n v="0"/>
    <n v="0"/>
    <x v="7"/>
    <x v="2"/>
    <x v="2"/>
    <n v="0"/>
    <n v="2910"/>
    <n v="8"/>
    <n v="0"/>
    <s v="November"/>
  </r>
  <r>
    <x v="7"/>
    <s v="RY4"/>
    <x v="2"/>
    <x v="172"/>
    <n v="0"/>
    <n v="1062"/>
    <n v="0"/>
    <n v="25"/>
    <n v="0"/>
    <n v="0"/>
    <x v="7"/>
    <x v="2"/>
    <x v="2"/>
    <n v="0"/>
    <n v="1062"/>
    <n v="8"/>
    <n v="0"/>
    <s v="November"/>
  </r>
  <r>
    <x v="7"/>
    <s v="RY5"/>
    <x v="5"/>
    <x v="151"/>
    <n v="0"/>
    <n v="7788"/>
    <n v="0"/>
    <n v="128"/>
    <n v="0"/>
    <n v="0"/>
    <x v="7"/>
    <x v="2"/>
    <x v="2"/>
    <n v="0"/>
    <n v="7788"/>
    <n v="8"/>
    <n v="0"/>
    <s v="November"/>
  </r>
  <r>
    <x v="7"/>
    <s v="ARN03"/>
    <x v="6"/>
    <x v="178"/>
    <n v="0"/>
    <n v="2555"/>
    <n v="0"/>
    <n v="9"/>
    <n v="0"/>
    <n v="0"/>
    <x v="7"/>
    <x v="2"/>
    <x v="2"/>
    <n v="0"/>
    <n v="2555"/>
    <n v="8"/>
    <n v="0"/>
    <s v="November"/>
  </r>
  <r>
    <x v="7"/>
    <s v="R1H"/>
    <x v="4"/>
    <x v="93"/>
    <n v="26111"/>
    <n v="18363"/>
    <n v="11748"/>
    <n v="2257"/>
    <n v="906"/>
    <n v="1000"/>
    <x v="7"/>
    <x v="2"/>
    <x v="2"/>
    <n v="0.44992531883114395"/>
    <n v="44474"/>
    <n v="8"/>
    <n v="3.8298035310788556E-2"/>
    <s v="November"/>
  </r>
  <r>
    <x v="7"/>
    <s v="RGT"/>
    <x v="2"/>
    <x v="95"/>
    <n v="11116"/>
    <n v="4946"/>
    <n v="4544"/>
    <n v="62"/>
    <n v="546"/>
    <n v="491"/>
    <x v="7"/>
    <x v="2"/>
    <x v="2"/>
    <n v="0.40878013673983449"/>
    <n v="16062"/>
    <n v="8"/>
    <n v="4.4170564951421375E-2"/>
    <s v="November"/>
  </r>
  <r>
    <x v="7"/>
    <s v="RH5"/>
    <x v="1"/>
    <x v="40"/>
    <n v="11913"/>
    <n v="8719"/>
    <n v="5991"/>
    <n v="206"/>
    <n v="364"/>
    <n v="87"/>
    <x v="7"/>
    <x v="2"/>
    <x v="2"/>
    <n v="0.50289599597078827"/>
    <n v="20632"/>
    <n v="8"/>
    <n v="7.3029463611181062E-3"/>
    <s v="November"/>
  </r>
  <r>
    <x v="7"/>
    <s v="RJ7"/>
    <x v="4"/>
    <x v="96"/>
    <n v="8963"/>
    <n v="3807"/>
    <n v="2493"/>
    <n v="65"/>
    <n v="395"/>
    <n v="625"/>
    <x v="7"/>
    <x v="2"/>
    <x v="2"/>
    <n v="0.27814347874595557"/>
    <n v="12770"/>
    <n v="8"/>
    <n v="6.973111681356689E-2"/>
    <s v="November"/>
  </r>
  <r>
    <x v="7"/>
    <s v="RM1"/>
    <x v="2"/>
    <x v="75"/>
    <n v="12411"/>
    <n v="7276"/>
    <n v="3845"/>
    <n v="2"/>
    <n v="696"/>
    <n v="236"/>
    <x v="7"/>
    <x v="2"/>
    <x v="2"/>
    <n v="0.3098058174200306"/>
    <n v="19687"/>
    <n v="8"/>
    <n v="1.901538957376521E-2"/>
    <s v="November"/>
  </r>
  <r>
    <x v="7"/>
    <s v="RP5"/>
    <x v="6"/>
    <x v="53"/>
    <n v="13650"/>
    <n v="3999"/>
    <n v="5155"/>
    <n v="5"/>
    <n v="1179"/>
    <n v="197"/>
    <x v="7"/>
    <x v="2"/>
    <x v="2"/>
    <n v="0.37765567765567765"/>
    <n v="17649"/>
    <n v="8"/>
    <n v="1.4432234432234433E-2"/>
    <s v="November"/>
  </r>
  <r>
    <x v="7"/>
    <s v="RVR"/>
    <x v="4"/>
    <x v="74"/>
    <n v="11357"/>
    <n v="2179"/>
    <n v="3613"/>
    <n v="206"/>
    <n v="952"/>
    <n v="712"/>
    <x v="7"/>
    <x v="2"/>
    <x v="2"/>
    <n v="0.31812978779607293"/>
    <n v="13536"/>
    <n v="8"/>
    <n v="6.2692612485691648E-2"/>
    <s v="November"/>
  </r>
  <r>
    <x v="7"/>
    <s v="RWA"/>
    <x v="6"/>
    <x v="77"/>
    <n v="9961"/>
    <n v="4693"/>
    <n v="5722"/>
    <n v="552"/>
    <n v="936"/>
    <n v="534"/>
    <x v="7"/>
    <x v="2"/>
    <x v="2"/>
    <n v="0.57444031723722522"/>
    <n v="14654"/>
    <n v="8"/>
    <n v="5.3609075394036747E-2"/>
    <s v="November"/>
  </r>
  <r>
    <x v="7"/>
    <s v="RXL"/>
    <x v="3"/>
    <x v="86"/>
    <n v="8917"/>
    <n v="10017"/>
    <n v="4390"/>
    <n v="75"/>
    <n v="574"/>
    <n v="404"/>
    <x v="7"/>
    <x v="2"/>
    <x v="2"/>
    <n v="0.49231804418526409"/>
    <n v="18934"/>
    <n v="8"/>
    <n v="4.5306717505887634E-2"/>
    <s v="November"/>
  </r>
  <r>
    <x v="7"/>
    <s v="RET"/>
    <x v="3"/>
    <x v="6"/>
    <n v="0"/>
    <n v="0"/>
    <n v="0"/>
    <n v="0"/>
    <n v="0"/>
    <n v="0"/>
    <x v="7"/>
    <x v="2"/>
    <x v="2"/>
    <n v="0"/>
    <n v="0"/>
    <n v="8"/>
    <n v="0"/>
    <s v="November"/>
  </r>
  <r>
    <x v="7"/>
    <s v="RLT"/>
    <x v="5"/>
    <x v="13"/>
    <n v="7200"/>
    <n v="1649"/>
    <n v="1863"/>
    <n v="1"/>
    <n v="329"/>
    <n v="417"/>
    <x v="7"/>
    <x v="2"/>
    <x v="2"/>
    <n v="0.25874999999999998"/>
    <n v="8849"/>
    <n v="8"/>
    <n v="5.7916666666666665E-2"/>
    <s v="November"/>
  </r>
  <r>
    <x v="7"/>
    <s v="RL4"/>
    <x v="5"/>
    <x v="165"/>
    <n v="11537"/>
    <n v="7238"/>
    <n v="4325"/>
    <n v="268"/>
    <n v="759"/>
    <n v="620"/>
    <x v="7"/>
    <x v="2"/>
    <x v="2"/>
    <n v="0.37488081823697667"/>
    <n v="18775"/>
    <n v="8"/>
    <n v="5.3740140417786256E-2"/>
    <s v="November"/>
  </r>
  <r>
    <x v="7"/>
    <s v="RK5"/>
    <x v="5"/>
    <x v="10"/>
    <n v="10617"/>
    <n v="5700"/>
    <n v="4758"/>
    <n v="549"/>
    <n v="814"/>
    <n v="484"/>
    <x v="7"/>
    <x v="2"/>
    <x v="2"/>
    <n v="0.44814919468776493"/>
    <n v="16317"/>
    <n v="8"/>
    <n v="4.5587265705943299E-2"/>
    <s v="November"/>
  </r>
  <r>
    <x v="7"/>
    <s v="RJZ"/>
    <x v="4"/>
    <x v="196"/>
    <n v="16021"/>
    <n v="8885"/>
    <n v="6752"/>
    <n v="959"/>
    <n v="1426"/>
    <n v="811"/>
    <x v="7"/>
    <x v="2"/>
    <x v="2"/>
    <n v="0.42144685100805196"/>
    <n v="24906"/>
    <n v="8"/>
    <n v="5.0621059858935148E-2"/>
    <s v="November"/>
  </r>
  <r>
    <x v="7"/>
    <s v="C82038"/>
    <x v="5"/>
    <x v="131"/>
    <n v="0"/>
    <n v="299"/>
    <n v="0"/>
    <n v="0"/>
    <n v="0"/>
    <n v="0"/>
    <x v="7"/>
    <x v="2"/>
    <x v="2"/>
    <n v="0"/>
    <n v="299"/>
    <n v="8"/>
    <n v="0"/>
    <s v="November"/>
  </r>
  <r>
    <x v="7"/>
    <s v="L83087"/>
    <x v="1"/>
    <x v="180"/>
    <n v="0"/>
    <n v="82"/>
    <n v="0"/>
    <n v="0"/>
    <n v="0"/>
    <n v="0"/>
    <x v="7"/>
    <x v="2"/>
    <x v="2"/>
    <n v="0"/>
    <n v="82"/>
    <n v="8"/>
    <n v="0"/>
    <s v="November"/>
  </r>
  <r>
    <x v="7"/>
    <s v="RAN"/>
    <x v="4"/>
    <x v="24"/>
    <n v="0"/>
    <n v="0"/>
    <n v="0"/>
    <n v="0"/>
    <n v="0"/>
    <n v="0"/>
    <x v="7"/>
    <x v="2"/>
    <x v="2"/>
    <n v="0"/>
    <n v="0"/>
    <n v="8"/>
    <n v="0"/>
    <s v="November"/>
  </r>
  <r>
    <x v="7"/>
    <s v="RFF"/>
    <x v="6"/>
    <x v="104"/>
    <n v="9445"/>
    <n v="0"/>
    <n v="2600"/>
    <n v="0"/>
    <n v="490"/>
    <n v="4"/>
    <x v="7"/>
    <x v="2"/>
    <x v="2"/>
    <n v="0.27527792482795127"/>
    <n v="9445"/>
    <n v="8"/>
    <n v="4.2350449973530967E-4"/>
    <s v="November"/>
  </r>
  <r>
    <x v="7"/>
    <s v="RGP"/>
    <x v="2"/>
    <x v="146"/>
    <n v="6933"/>
    <n v="1223"/>
    <n v="2144"/>
    <n v="0"/>
    <n v="425"/>
    <n v="342"/>
    <x v="7"/>
    <x v="2"/>
    <x v="2"/>
    <n v="0.30924563680946199"/>
    <n v="8156"/>
    <n v="8"/>
    <n v="4.9329294677628734E-2"/>
    <s v="November"/>
  </r>
  <r>
    <x v="7"/>
    <s v="RQX"/>
    <x v="4"/>
    <x v="106"/>
    <n v="11300"/>
    <n v="0"/>
    <n v="1890"/>
    <n v="0"/>
    <n v="189"/>
    <n v="25"/>
    <x v="7"/>
    <x v="2"/>
    <x v="2"/>
    <n v="0.1672566371681416"/>
    <n v="11300"/>
    <n v="8"/>
    <n v="2.2123893805309734E-3"/>
    <s v="November"/>
  </r>
  <r>
    <x v="7"/>
    <s v="RR7"/>
    <x v="6"/>
    <x v="115"/>
    <n v="6112"/>
    <n v="4334"/>
    <n v="2313"/>
    <n v="25"/>
    <n v="577"/>
    <n v="6"/>
    <x v="7"/>
    <x v="2"/>
    <x v="2"/>
    <n v="0.37843586387434552"/>
    <n v="10446"/>
    <n v="8"/>
    <n v="9.8167539267015702E-4"/>
    <s v="November"/>
  </r>
  <r>
    <x v="7"/>
    <s v="RCU"/>
    <x v="6"/>
    <x v="184"/>
    <n v="4998"/>
    <n v="721"/>
    <n v="686"/>
    <n v="5"/>
    <n v="24"/>
    <n v="0"/>
    <x v="7"/>
    <x v="2"/>
    <x v="2"/>
    <n v="0.13725490196078433"/>
    <n v="5719"/>
    <n v="8"/>
    <n v="0"/>
    <s v="November"/>
  </r>
  <r>
    <x v="7"/>
    <s v="RFR"/>
    <x v="6"/>
    <x v="39"/>
    <n v="9394"/>
    <n v="0"/>
    <n v="2778"/>
    <n v="0"/>
    <n v="408"/>
    <n v="0"/>
    <x v="7"/>
    <x v="2"/>
    <x v="2"/>
    <n v="0.29572067276985309"/>
    <n v="9394"/>
    <n v="8"/>
    <n v="0"/>
    <s v="November"/>
  </r>
  <r>
    <x v="7"/>
    <s v="ACH01"/>
    <x v="0"/>
    <x v="119"/>
    <n v="0"/>
    <n v="4747"/>
    <n v="0"/>
    <n v="0"/>
    <n v="0"/>
    <n v="0"/>
    <x v="7"/>
    <x v="2"/>
    <x v="2"/>
    <n v="0"/>
    <n v="4747"/>
    <n v="8"/>
    <n v="0"/>
    <s v="November"/>
  </r>
  <r>
    <x v="7"/>
    <s v="RJN"/>
    <x v="3"/>
    <x v="125"/>
    <n v="4516"/>
    <n v="0"/>
    <n v="2301"/>
    <n v="0"/>
    <n v="172"/>
    <n v="549"/>
    <x v="7"/>
    <x v="2"/>
    <x v="2"/>
    <n v="0.50952170062001767"/>
    <n v="4516"/>
    <n v="8"/>
    <n v="0.12156775907883083"/>
    <s v="November"/>
  </r>
  <r>
    <x v="7"/>
    <s v="RPC"/>
    <x v="0"/>
    <x v="190"/>
    <n v="0"/>
    <n v="1200"/>
    <n v="0"/>
    <n v="12"/>
    <n v="0"/>
    <n v="0"/>
    <x v="7"/>
    <x v="2"/>
    <x v="2"/>
    <n v="0"/>
    <n v="1200"/>
    <n v="8"/>
    <n v="0"/>
    <s v="November"/>
  </r>
  <r>
    <x v="7"/>
    <s v="RQ3"/>
    <x v="5"/>
    <x v="18"/>
    <n v="5568"/>
    <n v="0"/>
    <n v="1464"/>
    <n v="0"/>
    <n v="23"/>
    <n v="0"/>
    <x v="7"/>
    <x v="2"/>
    <x v="2"/>
    <n v="0.26293103448275862"/>
    <n v="5568"/>
    <n v="8"/>
    <n v="0"/>
    <s v="November"/>
  </r>
  <r>
    <x v="7"/>
    <s v="RWP"/>
    <x v="5"/>
    <x v="170"/>
    <n v="13836"/>
    <n v="5212"/>
    <n v="7046"/>
    <n v="64"/>
    <n v="989"/>
    <n v="1083"/>
    <x v="7"/>
    <x v="2"/>
    <x v="2"/>
    <n v="0.5092512286788089"/>
    <n v="19048"/>
    <n v="8"/>
    <n v="7.8274067649609716E-2"/>
    <s v="November"/>
  </r>
  <r>
    <x v="7"/>
    <s v="RXQ"/>
    <x v="0"/>
    <x v="48"/>
    <n v="9743"/>
    <n v="2989"/>
    <n v="4327"/>
    <n v="60"/>
    <n v="235"/>
    <n v="268"/>
    <x v="7"/>
    <x v="2"/>
    <x v="2"/>
    <n v="0.44411372267268806"/>
    <n v="12732"/>
    <n v="8"/>
    <n v="2.7506928050908343E-2"/>
    <s v="November"/>
  </r>
  <r>
    <x v="7"/>
    <s v="NTP11"/>
    <x v="0"/>
    <x v="154"/>
    <n v="0"/>
    <n v="5388"/>
    <n v="0"/>
    <n v="125"/>
    <n v="0"/>
    <n v="0"/>
    <x v="7"/>
    <x v="2"/>
    <x v="2"/>
    <n v="0"/>
    <n v="5388"/>
    <n v="8"/>
    <n v="0"/>
    <s v="November"/>
  </r>
  <r>
    <x v="7"/>
    <s v="RA2"/>
    <x v="0"/>
    <x v="203"/>
    <n v="6753"/>
    <n v="1819"/>
    <n v="2110"/>
    <n v="0"/>
    <n v="374"/>
    <n v="20"/>
    <x v="7"/>
    <x v="2"/>
    <x v="2"/>
    <n v="0.31245372427069451"/>
    <n v="8572"/>
    <n v="8"/>
    <n v="2.9616466755516065E-3"/>
    <s v="November"/>
  </r>
  <r>
    <x v="7"/>
    <s v="RBD"/>
    <x v="1"/>
    <x v="183"/>
    <n v="4321"/>
    <n v="0"/>
    <n v="1540"/>
    <n v="0"/>
    <n v="169"/>
    <n v="61"/>
    <x v="7"/>
    <x v="2"/>
    <x v="2"/>
    <n v="0.35639898171719508"/>
    <n v="4321"/>
    <n v="8"/>
    <n v="1.411710252256422E-2"/>
    <s v="November"/>
  </r>
  <r>
    <x v="7"/>
    <s v="RBS"/>
    <x v="3"/>
    <x v="160"/>
    <n v="6725"/>
    <n v="0"/>
    <n v="1081"/>
    <n v="0"/>
    <n v="0"/>
    <n v="0"/>
    <x v="7"/>
    <x v="2"/>
    <x v="2"/>
    <n v="0.16074349442379182"/>
    <n v="6725"/>
    <n v="8"/>
    <n v="0"/>
    <s v="November"/>
  </r>
  <r>
    <x v="7"/>
    <s v="RDY"/>
    <x v="1"/>
    <x v="145"/>
    <n v="0"/>
    <n v="0"/>
    <n v="0"/>
    <n v="0"/>
    <n v="0"/>
    <n v="0"/>
    <x v="7"/>
    <x v="2"/>
    <x v="2"/>
    <n v="0"/>
    <n v="0"/>
    <n v="8"/>
    <n v="0"/>
    <s v="November"/>
  </r>
  <r>
    <x v="7"/>
    <s v="RLQ"/>
    <x v="5"/>
    <x v="123"/>
    <n v="5849"/>
    <n v="126"/>
    <n v="2188"/>
    <n v="0"/>
    <n v="374"/>
    <n v="178"/>
    <x v="7"/>
    <x v="2"/>
    <x v="2"/>
    <n v="0.37408103949393057"/>
    <n v="5975"/>
    <n v="8"/>
    <n v="3.0432552573089418E-2"/>
    <s v="November"/>
  </r>
  <r>
    <x v="7"/>
    <s v="Y02532"/>
    <x v="3"/>
    <x v="141"/>
    <n v="0"/>
    <n v="1650"/>
    <n v="0"/>
    <n v="0"/>
    <n v="0"/>
    <n v="0"/>
    <x v="7"/>
    <x v="2"/>
    <x v="2"/>
    <n v="0"/>
    <n v="1650"/>
    <n v="8"/>
    <n v="0"/>
    <s v="November"/>
  </r>
  <r>
    <x v="7"/>
    <s v="RYR"/>
    <x v="0"/>
    <x v="92"/>
    <n v="27121"/>
    <n v="1687"/>
    <n v="10224"/>
    <n v="176"/>
    <n v="769"/>
    <n v="804"/>
    <x v="7"/>
    <x v="2"/>
    <x v="2"/>
    <n v="0.37697725010139743"/>
    <n v="28808"/>
    <n v="8"/>
    <n v="2.9644924597175621E-2"/>
    <s v="November"/>
  </r>
  <r>
    <x v="7"/>
    <s v="RY8"/>
    <x v="5"/>
    <x v="152"/>
    <n v="0"/>
    <n v="6956"/>
    <n v="0"/>
    <n v="404"/>
    <n v="0"/>
    <n v="0"/>
    <x v="7"/>
    <x v="2"/>
    <x v="2"/>
    <n v="0"/>
    <n v="6956"/>
    <n v="8"/>
    <n v="0"/>
    <s v="November"/>
  </r>
  <r>
    <x v="7"/>
    <s v="RYY"/>
    <x v="0"/>
    <x v="122"/>
    <n v="0"/>
    <n v="6044"/>
    <n v="0"/>
    <n v="27"/>
    <n v="0"/>
    <n v="0"/>
    <x v="7"/>
    <x v="2"/>
    <x v="2"/>
    <n v="0"/>
    <n v="6044"/>
    <n v="8"/>
    <n v="0"/>
    <s v="November"/>
  </r>
  <r>
    <x v="7"/>
    <s v="AAH"/>
    <x v="1"/>
    <x v="149"/>
    <n v="0"/>
    <n v="503"/>
    <n v="0"/>
    <n v="0"/>
    <n v="0"/>
    <n v="0"/>
    <x v="7"/>
    <x v="2"/>
    <x v="2"/>
    <n v="0"/>
    <n v="503"/>
    <n v="8"/>
    <n v="0"/>
    <s v="November"/>
  </r>
  <r>
    <x v="7"/>
    <s v="C82009"/>
    <x v="5"/>
    <x v="179"/>
    <n v="0"/>
    <n v="311"/>
    <n v="0"/>
    <n v="0"/>
    <n v="0"/>
    <n v="0"/>
    <x v="7"/>
    <x v="2"/>
    <x v="2"/>
    <n v="0"/>
    <n v="311"/>
    <n v="8"/>
    <n v="0"/>
    <s v="November"/>
  </r>
  <r>
    <x v="7"/>
    <s v="NDJ"/>
    <x v="0"/>
    <x v="0"/>
    <n v="0"/>
    <n v="2144"/>
    <n v="0"/>
    <n v="8"/>
    <n v="0"/>
    <n v="0"/>
    <x v="7"/>
    <x v="2"/>
    <x v="2"/>
    <n v="0"/>
    <n v="2144"/>
    <n v="8"/>
    <n v="0"/>
    <s v="November"/>
  </r>
  <r>
    <x v="7"/>
    <s v="NTV0B"/>
    <x v="0"/>
    <x v="127"/>
    <n v="0"/>
    <n v="2312"/>
    <n v="0"/>
    <n v="63"/>
    <n v="0"/>
    <n v="0"/>
    <x v="7"/>
    <x v="2"/>
    <x v="2"/>
    <n v="0"/>
    <n v="2312"/>
    <n v="8"/>
    <n v="0"/>
    <s v="November"/>
  </r>
  <r>
    <x v="7"/>
    <s v="NTV0W"/>
    <x v="0"/>
    <x v="128"/>
    <n v="0"/>
    <n v="2487"/>
    <n v="0"/>
    <n v="67"/>
    <n v="0"/>
    <n v="0"/>
    <x v="7"/>
    <x v="2"/>
    <x v="2"/>
    <n v="0"/>
    <n v="2487"/>
    <n v="8"/>
    <n v="0"/>
    <s v="November"/>
  </r>
  <r>
    <x v="7"/>
    <s v="RBQ"/>
    <x v="3"/>
    <x v="133"/>
    <n v="0"/>
    <n v="0"/>
    <n v="0"/>
    <n v="0"/>
    <n v="0"/>
    <n v="0"/>
    <x v="7"/>
    <x v="2"/>
    <x v="2"/>
    <n v="0"/>
    <n v="0"/>
    <n v="8"/>
    <n v="0"/>
    <s v="November"/>
  </r>
  <r>
    <x v="7"/>
    <s v="RJ8"/>
    <x v="1"/>
    <x v="135"/>
    <n v="0"/>
    <n v="0"/>
    <n v="0"/>
    <n v="0"/>
    <n v="0"/>
    <n v="0"/>
    <x v="7"/>
    <x v="2"/>
    <x v="2"/>
    <n v="0"/>
    <n v="0"/>
    <n v="8"/>
    <n v="0"/>
    <s v="November"/>
  </r>
  <r>
    <x v="7"/>
    <s v="RWY"/>
    <x v="6"/>
    <x v="138"/>
    <n v="16724"/>
    <n v="0"/>
    <n v="3083"/>
    <n v="0"/>
    <n v="1074"/>
    <n v="20"/>
    <x v="7"/>
    <x v="2"/>
    <x v="2"/>
    <n v="0.18434585027505382"/>
    <n v="16724"/>
    <n v="8"/>
    <n v="1.1958861516383639E-3"/>
    <s v="November"/>
  </r>
  <r>
    <x v="7"/>
    <s v="Y02615"/>
    <x v="5"/>
    <x v="129"/>
    <n v="0"/>
    <n v="4290"/>
    <n v="0"/>
    <n v="0"/>
    <n v="0"/>
    <n v="0"/>
    <x v="7"/>
    <x v="2"/>
    <x v="2"/>
    <n v="0"/>
    <n v="4290"/>
    <n v="8"/>
    <n v="0"/>
    <s v="November"/>
  </r>
  <r>
    <x v="7"/>
    <s v="Y02676"/>
    <x v="0"/>
    <x v="52"/>
    <n v="0"/>
    <n v="1946"/>
    <n v="0"/>
    <n v="0"/>
    <n v="0"/>
    <n v="0"/>
    <x v="7"/>
    <x v="2"/>
    <x v="2"/>
    <n v="0"/>
    <n v="1946"/>
    <n v="8"/>
    <n v="0"/>
    <s v="November"/>
  </r>
  <r>
    <x v="7"/>
    <s v="DJV01"/>
    <x v="0"/>
    <x v="202"/>
    <n v="0"/>
    <n v="2536"/>
    <n v="0"/>
    <n v="0"/>
    <n v="0"/>
    <n v="0"/>
    <x v="7"/>
    <x v="2"/>
    <x v="2"/>
    <n v="0"/>
    <n v="2536"/>
    <n v="8"/>
    <n v="0"/>
    <s v="November"/>
  </r>
  <r>
    <x v="7"/>
    <s v="NL7"/>
    <x v="5"/>
    <x v="142"/>
    <n v="0"/>
    <n v="3460"/>
    <n v="0"/>
    <n v="0"/>
    <n v="0"/>
    <n v="0"/>
    <x v="7"/>
    <x v="2"/>
    <x v="2"/>
    <n v="0"/>
    <n v="3460"/>
    <n v="8"/>
    <n v="0"/>
    <s v="November"/>
  </r>
  <r>
    <x v="7"/>
    <s v="NQT5F"/>
    <x v="3"/>
    <x v="143"/>
    <n v="0"/>
    <n v="1681"/>
    <n v="0"/>
    <n v="5"/>
    <n v="0"/>
    <n v="0"/>
    <x v="7"/>
    <x v="2"/>
    <x v="2"/>
    <n v="0"/>
    <n v="1681"/>
    <n v="8"/>
    <n v="0"/>
    <s v="November"/>
  </r>
  <r>
    <x v="7"/>
    <s v="NQTE4"/>
    <x v="5"/>
    <x v="132"/>
    <n v="0"/>
    <n v="2981"/>
    <n v="0"/>
    <n v="0"/>
    <n v="0"/>
    <n v="0"/>
    <x v="7"/>
    <x v="2"/>
    <x v="2"/>
    <n v="0"/>
    <n v="2981"/>
    <n v="8"/>
    <n v="0"/>
    <s v="November"/>
  </r>
  <r>
    <x v="7"/>
    <s v="NVE43"/>
    <x v="0"/>
    <x v="205"/>
    <n v="0"/>
    <n v="993"/>
    <n v="0"/>
    <n v="0"/>
    <n v="0"/>
    <n v="0"/>
    <x v="7"/>
    <x v="2"/>
    <x v="2"/>
    <n v="0"/>
    <n v="993"/>
    <n v="8"/>
    <n v="0"/>
    <s v="November"/>
  </r>
  <r>
    <x v="7"/>
    <s v="RJR"/>
    <x v="3"/>
    <x v="105"/>
    <n v="5805"/>
    <n v="2238"/>
    <n v="2829"/>
    <n v="352"/>
    <n v="418"/>
    <n v="613"/>
    <x v="7"/>
    <x v="2"/>
    <x v="2"/>
    <n v="0.48733850129198969"/>
    <n v="8043"/>
    <n v="8"/>
    <n v="0.10559862187769165"/>
    <s v="November"/>
  </r>
  <r>
    <x v="7"/>
    <s v="RNU"/>
    <x v="0"/>
    <x v="16"/>
    <n v="0"/>
    <n v="3576"/>
    <n v="0"/>
    <n v="110"/>
    <n v="0"/>
    <n v="0"/>
    <x v="7"/>
    <x v="2"/>
    <x v="2"/>
    <n v="0"/>
    <n v="3576"/>
    <n v="8"/>
    <n v="0"/>
    <s v="November"/>
  </r>
  <r>
    <x v="7"/>
    <s v="RTP"/>
    <x v="0"/>
    <x v="136"/>
    <n v="10560"/>
    <n v="0"/>
    <n v="4468"/>
    <n v="0"/>
    <n v="528"/>
    <n v="702"/>
    <x v="7"/>
    <x v="2"/>
    <x v="2"/>
    <n v="0.4231060606060606"/>
    <n v="10560"/>
    <n v="8"/>
    <n v="6.6477272727272732E-2"/>
    <s v="November"/>
  </r>
  <r>
    <x v="7"/>
    <s v="Y03218"/>
    <x v="4"/>
    <x v="108"/>
    <n v="0"/>
    <n v="918"/>
    <n v="0"/>
    <n v="0"/>
    <n v="0"/>
    <n v="0"/>
    <x v="7"/>
    <x v="2"/>
    <x v="2"/>
    <n v="0"/>
    <n v="918"/>
    <n v="8"/>
    <n v="0"/>
    <s v="November"/>
  </r>
  <r>
    <x v="7"/>
    <s v="R0B"/>
    <x v="6"/>
    <x v="156"/>
    <n v="11736"/>
    <n v="5716"/>
    <n v="5715"/>
    <n v="251"/>
    <n v="919"/>
    <n v="2"/>
    <x v="7"/>
    <x v="2"/>
    <x v="2"/>
    <n v="0.4869631901840491"/>
    <n v="17452"/>
    <n v="8"/>
    <n v="1.7041581458759374E-4"/>
    <s v="November"/>
  </r>
  <r>
    <x v="7"/>
    <s v="REF"/>
    <x v="1"/>
    <x v="4"/>
    <n v="6339"/>
    <n v="10401"/>
    <n v="2792"/>
    <n v="477"/>
    <n v="399"/>
    <n v="599"/>
    <x v="7"/>
    <x v="2"/>
    <x v="2"/>
    <n v="0.44044802019245938"/>
    <n v="16740"/>
    <n v="8"/>
    <n v="9.4494399747594257E-2"/>
    <s v="November"/>
  </r>
  <r>
    <x v="7"/>
    <s v="NNJ15"/>
    <x v="5"/>
    <x v="61"/>
    <n v="0"/>
    <n v="302"/>
    <n v="0"/>
    <n v="0"/>
    <n v="0"/>
    <n v="0"/>
    <x v="7"/>
    <x v="2"/>
    <x v="2"/>
    <n v="0"/>
    <n v="302"/>
    <n v="8"/>
    <n v="0"/>
    <s v="November"/>
  </r>
  <r>
    <x v="7"/>
    <s v="RGR"/>
    <x v="2"/>
    <x v="186"/>
    <n v="7786"/>
    <n v="703"/>
    <n v="2133"/>
    <n v="0"/>
    <n v="368"/>
    <n v="229"/>
    <x v="7"/>
    <x v="2"/>
    <x v="2"/>
    <n v="0.27395324942203958"/>
    <n v="8489"/>
    <n v="8"/>
    <n v="2.9411764705882353E-2"/>
    <s v="November"/>
  </r>
  <r>
    <x v="7"/>
    <s v="RQW"/>
    <x v="2"/>
    <x v="150"/>
    <n v="7743"/>
    <n v="2630"/>
    <n v="2165"/>
    <n v="0"/>
    <n v="429"/>
    <n v="314"/>
    <x v="7"/>
    <x v="2"/>
    <x v="2"/>
    <n v="0.27960738731757717"/>
    <n v="10373"/>
    <n v="8"/>
    <n v="4.0552757329200571E-2"/>
    <s v="November"/>
  </r>
  <r>
    <x v="7"/>
    <s v="RW4"/>
    <x v="3"/>
    <x v="124"/>
    <n v="0"/>
    <n v="14116"/>
    <n v="0"/>
    <n v="574"/>
    <n v="0"/>
    <n v="0"/>
    <x v="7"/>
    <x v="2"/>
    <x v="2"/>
    <n v="0"/>
    <n v="14116"/>
    <n v="8"/>
    <n v="0"/>
    <s v="November"/>
  </r>
  <r>
    <x v="7"/>
    <s v="RWE"/>
    <x v="5"/>
    <x v="79"/>
    <n v="22973"/>
    <n v="0"/>
    <n v="9337"/>
    <n v="0"/>
    <n v="1283"/>
    <n v="716"/>
    <x v="7"/>
    <x v="2"/>
    <x v="2"/>
    <n v="0.40643363948983591"/>
    <n v="22973"/>
    <n v="8"/>
    <n v="3.1167022156444523E-2"/>
    <s v="November"/>
  </r>
  <r>
    <x v="7"/>
    <s v="RXR"/>
    <x v="3"/>
    <x v="107"/>
    <n v="14006"/>
    <n v="10880"/>
    <n v="4649"/>
    <n v="698"/>
    <n v="292"/>
    <n v="1284"/>
    <x v="7"/>
    <x v="2"/>
    <x v="2"/>
    <n v="0.3319291732114808"/>
    <n v="24886"/>
    <n v="8"/>
    <n v="9.167499643010138E-2"/>
    <s v="November"/>
  </r>
  <r>
    <x v="7"/>
    <s v="RY7"/>
    <x v="3"/>
    <x v="139"/>
    <n v="0"/>
    <n v="4139"/>
    <n v="0"/>
    <n v="393"/>
    <n v="0"/>
    <n v="0"/>
    <x v="7"/>
    <x v="2"/>
    <x v="2"/>
    <n v="0"/>
    <n v="4139"/>
    <n v="8"/>
    <n v="0"/>
    <s v="November"/>
  </r>
  <r>
    <x v="7"/>
    <s v="8J094"/>
    <x v="5"/>
    <x v="109"/>
    <n v="0"/>
    <n v="0"/>
    <n v="0"/>
    <n v="0"/>
    <n v="0"/>
    <n v="0"/>
    <x v="7"/>
    <x v="2"/>
    <x v="2"/>
    <n v="0"/>
    <n v="0"/>
    <n v="8"/>
    <n v="0"/>
    <s v="November"/>
  </r>
  <r>
    <x v="7"/>
    <s v="AJN"/>
    <x v="6"/>
    <x v="187"/>
    <n v="0"/>
    <n v="337"/>
    <n v="0"/>
    <n v="0"/>
    <n v="0"/>
    <n v="0"/>
    <x v="7"/>
    <x v="2"/>
    <x v="2"/>
    <n v="0"/>
    <n v="337"/>
    <n v="8"/>
    <n v="0"/>
    <s v="November"/>
  </r>
  <r>
    <x v="7"/>
    <s v="AQM01"/>
    <x v="0"/>
    <x v="198"/>
    <n v="0"/>
    <n v="2962"/>
    <n v="0"/>
    <n v="0"/>
    <n v="0"/>
    <n v="0"/>
    <x v="7"/>
    <x v="2"/>
    <x v="2"/>
    <n v="0"/>
    <n v="2962"/>
    <n v="8"/>
    <n v="0"/>
    <s v="November"/>
  </r>
  <r>
    <x v="7"/>
    <s v="R0A"/>
    <x v="3"/>
    <x v="155"/>
    <n v="27251"/>
    <n v="10841"/>
    <n v="10687"/>
    <n v="354"/>
    <n v="3326"/>
    <n v="101"/>
    <x v="7"/>
    <x v="2"/>
    <x v="2"/>
    <n v="0.39216909471212064"/>
    <n v="38092"/>
    <n v="8"/>
    <n v="3.7062860078529228E-3"/>
    <s v="November"/>
  </r>
  <r>
    <x v="7"/>
    <s v="R0D"/>
    <x v="1"/>
    <x v="157"/>
    <n v="14479"/>
    <n v="4764"/>
    <n v="6290"/>
    <n v="0"/>
    <n v="1066"/>
    <n v="324"/>
    <x v="7"/>
    <x v="2"/>
    <x v="2"/>
    <n v="0.43442226673112783"/>
    <n v="19243"/>
    <n v="8"/>
    <n v="2.2377235996961117E-2"/>
    <s v="November"/>
  </r>
  <r>
    <x v="7"/>
    <s v="RVV"/>
    <x v="0"/>
    <x v="50"/>
    <n v="13224"/>
    <n v="12472"/>
    <n v="5570"/>
    <n v="294"/>
    <n v="496"/>
    <n v="1105"/>
    <x v="7"/>
    <x v="2"/>
    <x v="2"/>
    <n v="0.42120387174833634"/>
    <n v="25696"/>
    <n v="8"/>
    <n v="8.3560193587416814E-2"/>
    <s v="November"/>
  </r>
  <r>
    <x v="7"/>
    <s v="RAE"/>
    <x v="6"/>
    <x v="31"/>
    <n v="9942"/>
    <n v="3330"/>
    <n v="2582"/>
    <n v="0"/>
    <n v="659"/>
    <n v="70"/>
    <x v="7"/>
    <x v="2"/>
    <x v="2"/>
    <n v="0.25970629651981492"/>
    <n v="13272"/>
    <n v="8"/>
    <n v="7.0408368537517602E-3"/>
    <s v="November"/>
  </r>
  <r>
    <x v="7"/>
    <s v="RBK"/>
    <x v="5"/>
    <x v="159"/>
    <n v="9935"/>
    <n v="4109"/>
    <n v="3723"/>
    <n v="228"/>
    <n v="1031"/>
    <n v="545"/>
    <x v="7"/>
    <x v="2"/>
    <x v="2"/>
    <n v="0.37473578258681428"/>
    <n v="14044"/>
    <n v="8"/>
    <n v="5.4856567689984904E-2"/>
    <s v="November"/>
  </r>
  <r>
    <x v="7"/>
    <s v="RBT"/>
    <x v="3"/>
    <x v="69"/>
    <n v="7319"/>
    <n v="2991"/>
    <n v="3761"/>
    <n v="0"/>
    <n v="476"/>
    <n v="569"/>
    <x v="7"/>
    <x v="2"/>
    <x v="2"/>
    <n v="0.51386801475611421"/>
    <n v="10310"/>
    <n v="8"/>
    <n v="7.7742861046591061E-2"/>
    <s v="November"/>
  </r>
  <r>
    <x v="7"/>
    <s v="RBV"/>
    <x v="3"/>
    <x v="22"/>
    <n v="0"/>
    <n v="0"/>
    <n v="0"/>
    <n v="0"/>
    <n v="0"/>
    <n v="0"/>
    <x v="7"/>
    <x v="2"/>
    <x v="2"/>
    <n v="0"/>
    <n v="0"/>
    <n v="8"/>
    <n v="0"/>
    <s v="November"/>
  </r>
  <r>
    <x v="7"/>
    <s v="RC9"/>
    <x v="2"/>
    <x v="161"/>
    <n v="17038"/>
    <n v="8942"/>
    <n v="6555"/>
    <n v="0"/>
    <n v="80"/>
    <n v="13"/>
    <x v="7"/>
    <x v="2"/>
    <x v="2"/>
    <n v="0.38472825448996362"/>
    <n v="25980"/>
    <n v="8"/>
    <n v="7.6300035215400865E-4"/>
    <s v="November"/>
  </r>
  <r>
    <x v="7"/>
    <s v="RCD"/>
    <x v="6"/>
    <x v="134"/>
    <n v="5283"/>
    <n v="1441"/>
    <n v="1894"/>
    <n v="0"/>
    <n v="145"/>
    <n v="4"/>
    <x v="7"/>
    <x v="2"/>
    <x v="2"/>
    <n v="0.35850842324436871"/>
    <n v="6724"/>
    <n v="8"/>
    <n v="7.5714556123414724E-4"/>
    <s v="November"/>
  </r>
  <r>
    <x v="7"/>
    <s v="REP"/>
    <x v="3"/>
    <x v="38"/>
    <n v="0"/>
    <n v="0"/>
    <n v="0"/>
    <n v="0"/>
    <n v="0"/>
    <n v="0"/>
    <x v="7"/>
    <x v="2"/>
    <x v="2"/>
    <n v="0"/>
    <n v="0"/>
    <n v="8"/>
    <n v="0"/>
    <s v="November"/>
  </r>
  <r>
    <x v="7"/>
    <s v="RFS"/>
    <x v="5"/>
    <x v="68"/>
    <n v="6370"/>
    <n v="5889"/>
    <n v="3404"/>
    <n v="166"/>
    <n v="686"/>
    <n v="325"/>
    <x v="7"/>
    <x v="2"/>
    <x v="2"/>
    <n v="0.53437990580847727"/>
    <n v="12259"/>
    <n v="8"/>
    <n v="5.1020408163265307E-2"/>
    <s v="November"/>
  </r>
  <r>
    <x v="7"/>
    <s v="RGN"/>
    <x v="2"/>
    <x v="185"/>
    <n v="14820"/>
    <n v="4638"/>
    <n v="5796"/>
    <n v="134"/>
    <n v="487"/>
    <n v="862"/>
    <x v="7"/>
    <x v="2"/>
    <x v="2"/>
    <n v="0.3910931174089069"/>
    <n v="19458"/>
    <n v="8"/>
    <n v="5.816464237516869E-2"/>
    <s v="November"/>
  </r>
  <r>
    <x v="7"/>
    <s v="RJ2"/>
    <x v="4"/>
    <x v="8"/>
    <n v="16440"/>
    <n v="16392"/>
    <n v="7469"/>
    <n v="398"/>
    <n v="1025"/>
    <n v="506"/>
    <x v="7"/>
    <x v="2"/>
    <x v="2"/>
    <n v="0.45431873479318735"/>
    <n v="32832"/>
    <n v="8"/>
    <n v="3.0778588807785889E-2"/>
    <s v="November"/>
  </r>
  <r>
    <x v="7"/>
    <s v="RAL"/>
    <x v="4"/>
    <x v="33"/>
    <n v="27198"/>
    <n v="15690"/>
    <n v="9231"/>
    <n v="837"/>
    <n v="945"/>
    <n v="2065"/>
    <x v="7"/>
    <x v="2"/>
    <x v="2"/>
    <n v="0.33939995587910876"/>
    <n v="42888"/>
    <n v="8"/>
    <n v="7.5924700345613647E-2"/>
    <s v="November"/>
  </r>
  <r>
    <x v="7"/>
    <s v="RTG"/>
    <x v="5"/>
    <x v="54"/>
    <n v="19733"/>
    <n v="9373"/>
    <n v="9366"/>
    <n v="3"/>
    <n v="943"/>
    <n v="1160"/>
    <x v="7"/>
    <x v="2"/>
    <x v="2"/>
    <n v="0.47463639588506562"/>
    <n v="29106"/>
    <n v="8"/>
    <n v="5.8784776769877867E-2"/>
    <s v="November"/>
  </r>
  <r>
    <x v="7"/>
    <s v="RNQ"/>
    <x v="5"/>
    <x v="169"/>
    <n v="10226"/>
    <n v="8645"/>
    <n v="3683"/>
    <n v="40"/>
    <n v="535"/>
    <n v="553"/>
    <x v="7"/>
    <x v="2"/>
    <x v="2"/>
    <n v="0.36016037551339725"/>
    <n v="18871"/>
    <n v="8"/>
    <n v="5.4077840797965966E-2"/>
    <s v="November"/>
  </r>
  <r>
    <x v="7"/>
    <s v="RL1"/>
    <x v="5"/>
    <x v="12"/>
    <n v="0"/>
    <n v="0"/>
    <n v="0"/>
    <n v="0"/>
    <n v="0"/>
    <n v="0"/>
    <x v="7"/>
    <x v="2"/>
    <x v="2"/>
    <n v="0"/>
    <n v="0"/>
    <n v="8"/>
    <n v="0"/>
    <s v="November"/>
  </r>
  <r>
    <x v="7"/>
    <s v="RTQ"/>
    <x v="1"/>
    <x v="126"/>
    <n v="0"/>
    <n v="7517"/>
    <n v="0"/>
    <n v="129"/>
    <n v="0"/>
    <n v="0"/>
    <x v="7"/>
    <x v="2"/>
    <x v="2"/>
    <n v="0"/>
    <n v="7517"/>
    <n v="8"/>
    <n v="0"/>
    <s v="November"/>
  </r>
  <r>
    <x v="7"/>
    <s v="RV9"/>
    <x v="6"/>
    <x v="148"/>
    <n v="0"/>
    <n v="966"/>
    <n v="0"/>
    <n v="0"/>
    <n v="0"/>
    <n v="0"/>
    <x v="7"/>
    <x v="2"/>
    <x v="2"/>
    <n v="0"/>
    <n v="966"/>
    <n v="8"/>
    <n v="0"/>
    <s v="November"/>
  </r>
  <r>
    <x v="7"/>
    <s v="RXG"/>
    <x v="6"/>
    <x v="85"/>
    <n v="0"/>
    <n v="0"/>
    <n v="0"/>
    <n v="0"/>
    <n v="0"/>
    <n v="0"/>
    <x v="7"/>
    <x v="2"/>
    <x v="2"/>
    <n v="0"/>
    <n v="0"/>
    <n v="8"/>
    <n v="0"/>
    <s v="November"/>
  </r>
  <r>
    <x v="7"/>
    <s v="RYF"/>
    <x v="1"/>
    <x v="89"/>
    <n v="0"/>
    <n v="1883"/>
    <n v="0"/>
    <n v="17"/>
    <n v="0"/>
    <n v="0"/>
    <x v="7"/>
    <x v="2"/>
    <x v="2"/>
    <n v="0"/>
    <n v="1883"/>
    <n v="8"/>
    <n v="0"/>
    <s v="November"/>
  </r>
  <r>
    <x v="7"/>
    <s v="RYX"/>
    <x v="4"/>
    <x v="51"/>
    <n v="0"/>
    <n v="11752"/>
    <n v="0"/>
    <n v="125"/>
    <n v="0"/>
    <n v="0"/>
    <x v="7"/>
    <x v="2"/>
    <x v="2"/>
    <n v="0"/>
    <n v="11752"/>
    <n v="8"/>
    <n v="0"/>
    <s v="November"/>
  </r>
  <r>
    <x v="7"/>
    <s v="Y02428"/>
    <x v="2"/>
    <x v="140"/>
    <n v="0"/>
    <n v="3023"/>
    <n v="0"/>
    <n v="0"/>
    <n v="0"/>
    <n v="0"/>
    <x v="7"/>
    <x v="2"/>
    <x v="2"/>
    <n v="0"/>
    <n v="3023"/>
    <n v="8"/>
    <n v="0"/>
    <s v="November"/>
  </r>
  <r>
    <x v="7"/>
    <s v="NLX"/>
    <x v="1"/>
    <x v="181"/>
    <n v="0"/>
    <n v="7581"/>
    <n v="0"/>
    <n v="160"/>
    <n v="0"/>
    <n v="0"/>
    <x v="7"/>
    <x v="2"/>
    <x v="2"/>
    <n v="0"/>
    <n v="7581"/>
    <n v="8"/>
    <n v="0"/>
    <s v="November"/>
  </r>
  <r>
    <x v="7"/>
    <s v="NTPAD"/>
    <x v="0"/>
    <x v="112"/>
    <n v="0"/>
    <n v="4955"/>
    <n v="0"/>
    <n v="370"/>
    <n v="0"/>
    <n v="0"/>
    <x v="7"/>
    <x v="2"/>
    <x v="2"/>
    <n v="0"/>
    <n v="4955"/>
    <n v="8"/>
    <n v="0"/>
    <s v="November"/>
  </r>
  <r>
    <x v="7"/>
    <s v="NV693"/>
    <x v="3"/>
    <x v="102"/>
    <n v="0"/>
    <n v="889"/>
    <n v="0"/>
    <n v="0"/>
    <n v="0"/>
    <n v="0"/>
    <x v="7"/>
    <x v="2"/>
    <x v="2"/>
    <n v="0"/>
    <n v="889"/>
    <n v="8"/>
    <n v="0"/>
    <s v="November"/>
  </r>
  <r>
    <x v="7"/>
    <s v="R1D"/>
    <x v="5"/>
    <x v="46"/>
    <n v="0"/>
    <n v="2838"/>
    <n v="0"/>
    <n v="15"/>
    <n v="0"/>
    <n v="0"/>
    <x v="7"/>
    <x v="2"/>
    <x v="2"/>
    <n v="0"/>
    <n v="2838"/>
    <n v="8"/>
    <n v="0"/>
    <s v="November"/>
  </r>
  <r>
    <x v="7"/>
    <s v="RA9"/>
    <x v="1"/>
    <x v="113"/>
    <n v="6663"/>
    <n v="2857"/>
    <n v="3039"/>
    <n v="14"/>
    <n v="155"/>
    <n v="42"/>
    <x v="7"/>
    <x v="2"/>
    <x v="2"/>
    <n v="0.45610085547050877"/>
    <n v="9520"/>
    <n v="8"/>
    <n v="6.3034669067987392E-3"/>
    <s v="November"/>
  </r>
  <r>
    <x v="7"/>
    <s v="RAJ"/>
    <x v="2"/>
    <x v="32"/>
    <n v="27777"/>
    <n v="7663"/>
    <n v="10517"/>
    <n v="335"/>
    <n v="2305"/>
    <n v="869"/>
    <x v="7"/>
    <x v="2"/>
    <x v="2"/>
    <n v="0.3786226014328401"/>
    <n v="35440"/>
    <n v="8"/>
    <n v="3.1284875976527342E-2"/>
    <s v="November"/>
  </r>
  <r>
    <x v="7"/>
    <s v="RAS"/>
    <x v="4"/>
    <x v="174"/>
    <n v="5129"/>
    <n v="6657"/>
    <n v="2459"/>
    <n v="14"/>
    <n v="625"/>
    <n v="37"/>
    <x v="7"/>
    <x v="2"/>
    <x v="2"/>
    <n v="0.4794306882433223"/>
    <n v="11786"/>
    <n v="8"/>
    <n v="7.2138818483135116E-3"/>
    <s v="November"/>
  </r>
  <r>
    <x v="7"/>
    <s v="RCF"/>
    <x v="6"/>
    <x v="162"/>
    <n v="6085"/>
    <n v="0"/>
    <n v="2480"/>
    <n v="0"/>
    <n v="499"/>
    <n v="223"/>
    <x v="7"/>
    <x v="2"/>
    <x v="2"/>
    <n v="0.40755957271980281"/>
    <n v="6085"/>
    <n v="8"/>
    <n v="3.6647493837304847E-2"/>
    <s v="November"/>
  </r>
  <r>
    <x v="7"/>
    <s v="RCX"/>
    <x v="2"/>
    <x v="103"/>
    <n v="6395"/>
    <n v="1272"/>
    <n v="2681"/>
    <n v="0"/>
    <n v="558"/>
    <n v="229"/>
    <x v="7"/>
    <x v="2"/>
    <x v="2"/>
    <n v="0.41923377638780296"/>
    <n v="7667"/>
    <n v="8"/>
    <n v="3.5809225957779516E-2"/>
    <s v="November"/>
  </r>
  <r>
    <x v="7"/>
    <s v="RD8"/>
    <x v="2"/>
    <x v="36"/>
    <n v="8182"/>
    <n v="5518"/>
    <n v="3670"/>
    <n v="102"/>
    <n v="859"/>
    <n v="0"/>
    <x v="7"/>
    <x v="2"/>
    <x v="2"/>
    <n v="0.44854558787582499"/>
    <n v="13700"/>
    <n v="8"/>
    <n v="0"/>
    <s v="November"/>
  </r>
  <r>
    <x v="7"/>
    <s v="RH8"/>
    <x v="1"/>
    <x v="163"/>
    <n v="12523"/>
    <n v="4015"/>
    <n v="5374"/>
    <n v="2"/>
    <n v="875"/>
    <n v="207"/>
    <x v="7"/>
    <x v="2"/>
    <x v="2"/>
    <n v="0.42913040006388248"/>
    <n v="16538"/>
    <n v="8"/>
    <n v="1.652958556256488E-2"/>
    <s v="November"/>
  </r>
  <r>
    <x v="7"/>
    <s v="RHQ"/>
    <x v="6"/>
    <x v="42"/>
    <n v="8870"/>
    <n v="7250"/>
    <n v="4425"/>
    <n v="395"/>
    <n v="983"/>
    <n v="9"/>
    <x v="7"/>
    <x v="2"/>
    <x v="2"/>
    <n v="0.49887260428410374"/>
    <n v="16120"/>
    <n v="8"/>
    <n v="1.0146561443066515E-3"/>
    <s v="November"/>
  </r>
  <r>
    <x v="7"/>
    <s v="RJ6"/>
    <x v="4"/>
    <x v="189"/>
    <n v="13347"/>
    <n v="5396"/>
    <n v="4730"/>
    <n v="0"/>
    <n v="218"/>
    <n v="713"/>
    <x v="7"/>
    <x v="2"/>
    <x v="2"/>
    <n v="0.35438675357758298"/>
    <n v="18743"/>
    <n v="8"/>
    <n v="5.3420244249644117E-2"/>
    <s v="November"/>
  </r>
  <r>
    <x v="7"/>
    <s v="RJL"/>
    <x v="6"/>
    <x v="164"/>
    <n v="9695"/>
    <n v="7118"/>
    <n v="5501"/>
    <n v="75"/>
    <n v="698"/>
    <n v="857"/>
    <x v="7"/>
    <x v="2"/>
    <x v="2"/>
    <n v="0.56740587931923669"/>
    <n v="16813"/>
    <n v="8"/>
    <n v="8.8396080453842188E-2"/>
    <s v="November"/>
  </r>
  <r>
    <x v="7"/>
    <s v="RK9"/>
    <x v="1"/>
    <x v="195"/>
    <n v="8763"/>
    <n v="7292"/>
    <n v="4690"/>
    <n v="73"/>
    <n v="687"/>
    <n v="373"/>
    <x v="7"/>
    <x v="2"/>
    <x v="2"/>
    <n v="0.53520483852561906"/>
    <n v="16055"/>
    <n v="8"/>
    <n v="4.2565331507474609E-2"/>
    <s v="November"/>
  </r>
  <r>
    <x v="7"/>
    <s v="RMC"/>
    <x v="3"/>
    <x v="72"/>
    <n v="8768"/>
    <n v="3788"/>
    <n v="4635"/>
    <n v="268"/>
    <n v="467"/>
    <n v="395"/>
    <x v="7"/>
    <x v="2"/>
    <x v="2"/>
    <n v="0.52862682481751821"/>
    <n v="12556"/>
    <n v="8"/>
    <n v="4.5050182481751827E-2"/>
    <s v="November"/>
  </r>
  <r>
    <x v="7"/>
    <s v="NNJ"/>
    <x v="5"/>
    <x v="62"/>
    <n v="0"/>
    <n v="2137"/>
    <n v="0"/>
    <n v="2"/>
    <n v="0"/>
    <n v="0"/>
    <x v="7"/>
    <x v="2"/>
    <x v="2"/>
    <n v="0"/>
    <n v="2137"/>
    <n v="8"/>
    <n v="0"/>
    <s v="November"/>
  </r>
  <r>
    <x v="7"/>
    <s v="RHW"/>
    <x v="0"/>
    <x v="66"/>
    <n v="11173"/>
    <n v="2674"/>
    <n v="3497"/>
    <n v="0"/>
    <n v="494"/>
    <n v="7"/>
    <x v="7"/>
    <x v="2"/>
    <x v="2"/>
    <n v="0.31298666427996064"/>
    <n v="13847"/>
    <n v="8"/>
    <n v="6.2651033742056744E-4"/>
    <s v="November"/>
  </r>
  <r>
    <x v="7"/>
    <s v="RHM"/>
    <x v="0"/>
    <x v="41"/>
    <n v="12376"/>
    <n v="0"/>
    <n v="4907"/>
    <n v="0"/>
    <n v="548"/>
    <n v="12"/>
    <x v="7"/>
    <x v="2"/>
    <x v="2"/>
    <n v="0.39649321266968324"/>
    <n v="12376"/>
    <n v="8"/>
    <n v="9.6961861667744023E-4"/>
    <s v="November"/>
  </r>
  <r>
    <x v="8"/>
    <s v="RWH"/>
    <x v="2"/>
    <x v="204"/>
    <n v="9346"/>
    <n v="8313"/>
    <n v="4818"/>
    <n v="107"/>
    <n v="527"/>
    <n v="225"/>
    <x v="8"/>
    <x v="2"/>
    <x v="3"/>
    <n v="0.51551465867750912"/>
    <n v="17659"/>
    <n v="9"/>
    <n v="2.4074470361652042E-2"/>
    <s v="December"/>
  </r>
  <r>
    <x v="8"/>
    <s v="RWJ"/>
    <x v="3"/>
    <x v="82"/>
    <n v="8034"/>
    <n v="1084"/>
    <n v="3226"/>
    <n v="34"/>
    <n v="596"/>
    <n v="438"/>
    <x v="8"/>
    <x v="2"/>
    <x v="3"/>
    <n v="0.40154344037839185"/>
    <n v="9118"/>
    <n v="9"/>
    <n v="5.451829723674384E-2"/>
    <s v="December"/>
  </r>
  <r>
    <x v="8"/>
    <s v="RX1"/>
    <x v="5"/>
    <x v="175"/>
    <n v="12838"/>
    <n v="8866"/>
    <n v="7926"/>
    <n v="1309"/>
    <n v="196"/>
    <n v="578"/>
    <x v="8"/>
    <x v="2"/>
    <x v="3"/>
    <n v="0.61738588565197072"/>
    <n v="21704"/>
    <n v="9"/>
    <n v="4.5022589188347097E-2"/>
    <s v="December"/>
  </r>
  <r>
    <x v="8"/>
    <s v="RXR"/>
    <x v="3"/>
    <x v="107"/>
    <n v="13823"/>
    <n v="10496"/>
    <n v="4863"/>
    <n v="524"/>
    <n v="412"/>
    <n v="1139"/>
    <x v="8"/>
    <x v="2"/>
    <x v="3"/>
    <n v="0.35180496274325401"/>
    <n v="24319"/>
    <n v="9"/>
    <n v="8.2398900383418933E-2"/>
    <s v="December"/>
  </r>
  <r>
    <x v="8"/>
    <s v="RYG"/>
    <x v="5"/>
    <x v="90"/>
    <n v="0"/>
    <n v="0"/>
    <n v="0"/>
    <n v="0"/>
    <n v="0"/>
    <n v="0"/>
    <x v="8"/>
    <x v="2"/>
    <x v="3"/>
    <n v="0"/>
    <n v="0"/>
    <n v="9"/>
    <n v="0"/>
    <s v="December"/>
  </r>
  <r>
    <x v="8"/>
    <s v="RYJ"/>
    <x v="4"/>
    <x v="91"/>
    <n v="12169"/>
    <n v="6681"/>
    <n v="5058"/>
    <n v="302"/>
    <n v="621"/>
    <n v="0"/>
    <x v="8"/>
    <x v="2"/>
    <x v="3"/>
    <n v="0.41564631440545646"/>
    <n v="18850"/>
    <n v="9"/>
    <n v="0"/>
    <s v="December"/>
  </r>
  <r>
    <x v="8"/>
    <s v="Y03007"/>
    <x v="5"/>
    <x v="118"/>
    <n v="0"/>
    <n v="0"/>
    <n v="0"/>
    <n v="0"/>
    <n v="0"/>
    <n v="0"/>
    <x v="8"/>
    <x v="2"/>
    <x v="3"/>
    <n v="0"/>
    <n v="0"/>
    <n v="9"/>
    <n v="0"/>
    <s v="December"/>
  </r>
  <r>
    <x v="8"/>
    <s v="AD913"/>
    <x v="4"/>
    <x v="70"/>
    <n v="0"/>
    <n v="3330"/>
    <n v="0"/>
    <n v="31"/>
    <n v="0"/>
    <n v="0"/>
    <x v="8"/>
    <x v="2"/>
    <x v="3"/>
    <n v="0"/>
    <n v="3330"/>
    <n v="9"/>
    <n v="0"/>
    <s v="December"/>
  </r>
  <r>
    <x v="8"/>
    <s v="AQM01"/>
    <x v="0"/>
    <x v="198"/>
    <n v="0"/>
    <n v="3186"/>
    <n v="0"/>
    <n v="0"/>
    <n v="0"/>
    <n v="0"/>
    <x v="8"/>
    <x v="2"/>
    <x v="3"/>
    <n v="0"/>
    <n v="3186"/>
    <n v="9"/>
    <n v="0"/>
    <s v="December"/>
  </r>
  <r>
    <x v="8"/>
    <s v="NNJ07"/>
    <x v="5"/>
    <x v="56"/>
    <n v="0"/>
    <n v="5189"/>
    <n v="0"/>
    <n v="23"/>
    <n v="0"/>
    <n v="0"/>
    <x v="8"/>
    <x v="2"/>
    <x v="3"/>
    <n v="0"/>
    <n v="5189"/>
    <n v="9"/>
    <n v="0"/>
    <s v="December"/>
  </r>
  <r>
    <x v="8"/>
    <s v="NNJ0H"/>
    <x v="5"/>
    <x v="57"/>
    <n v="0"/>
    <n v="217"/>
    <n v="0"/>
    <n v="0"/>
    <n v="0"/>
    <n v="0"/>
    <x v="8"/>
    <x v="2"/>
    <x v="3"/>
    <n v="0"/>
    <n v="217"/>
    <n v="9"/>
    <n v="0"/>
    <s v="December"/>
  </r>
  <r>
    <x v="8"/>
    <s v="NNJ12"/>
    <x v="5"/>
    <x v="58"/>
    <n v="0"/>
    <n v="97"/>
    <n v="0"/>
    <n v="0"/>
    <n v="0"/>
    <n v="0"/>
    <x v="8"/>
    <x v="2"/>
    <x v="3"/>
    <n v="0"/>
    <n v="97"/>
    <n v="9"/>
    <n v="0"/>
    <s v="December"/>
  </r>
  <r>
    <x v="8"/>
    <s v="NNJ13"/>
    <x v="5"/>
    <x v="59"/>
    <n v="0"/>
    <n v="55"/>
    <n v="0"/>
    <n v="0"/>
    <n v="0"/>
    <n v="0"/>
    <x v="8"/>
    <x v="2"/>
    <x v="3"/>
    <n v="0"/>
    <n v="55"/>
    <n v="9"/>
    <n v="0"/>
    <s v="December"/>
  </r>
  <r>
    <x v="8"/>
    <s v="NNJ14"/>
    <x v="5"/>
    <x v="60"/>
    <n v="0"/>
    <n v="546"/>
    <n v="0"/>
    <n v="1"/>
    <n v="0"/>
    <n v="0"/>
    <x v="8"/>
    <x v="2"/>
    <x v="3"/>
    <n v="0"/>
    <n v="546"/>
    <n v="9"/>
    <n v="0"/>
    <s v="December"/>
  </r>
  <r>
    <x v="8"/>
    <s v="NNJ15"/>
    <x v="5"/>
    <x v="61"/>
    <n v="0"/>
    <n v="55"/>
    <n v="0"/>
    <n v="0"/>
    <n v="0"/>
    <n v="0"/>
    <x v="8"/>
    <x v="2"/>
    <x v="3"/>
    <n v="0"/>
    <n v="55"/>
    <n v="9"/>
    <n v="0"/>
    <s v="December"/>
  </r>
  <r>
    <x v="8"/>
    <s v="R1F"/>
    <x v="0"/>
    <x v="25"/>
    <n v="4274"/>
    <n v="1461"/>
    <n v="1637"/>
    <n v="113"/>
    <n v="296"/>
    <n v="162"/>
    <x v="8"/>
    <x v="2"/>
    <x v="3"/>
    <n v="0.38301357042583062"/>
    <n v="5735"/>
    <n v="9"/>
    <n v="3.7903603182030884E-2"/>
    <s v="December"/>
  </r>
  <r>
    <x v="8"/>
    <s v="RAJ"/>
    <x v="2"/>
    <x v="32"/>
    <n v="27713"/>
    <n v="7575"/>
    <n v="10824"/>
    <n v="190"/>
    <n v="2261"/>
    <n v="869"/>
    <x v="8"/>
    <x v="2"/>
    <x v="3"/>
    <n v="0.39057482048136255"/>
    <n v="35288"/>
    <n v="9"/>
    <n v="3.1357124815068742E-2"/>
    <s v="December"/>
  </r>
  <r>
    <x v="8"/>
    <s v="RBV"/>
    <x v="3"/>
    <x v="22"/>
    <n v="0"/>
    <n v="0"/>
    <n v="0"/>
    <n v="0"/>
    <n v="0"/>
    <n v="0"/>
    <x v="8"/>
    <x v="2"/>
    <x v="3"/>
    <n v="0"/>
    <n v="0"/>
    <n v="9"/>
    <n v="0"/>
    <s v="December"/>
  </r>
  <r>
    <x v="8"/>
    <s v="RCD"/>
    <x v="6"/>
    <x v="134"/>
    <n v="5262"/>
    <n v="1353"/>
    <n v="1825"/>
    <n v="0"/>
    <n v="159"/>
    <n v="6"/>
    <x v="8"/>
    <x v="2"/>
    <x v="3"/>
    <n v="0.34682630178639301"/>
    <n v="6615"/>
    <n v="9"/>
    <n v="1.1402508551881414E-3"/>
    <s v="December"/>
  </r>
  <r>
    <x v="8"/>
    <s v="RD8"/>
    <x v="2"/>
    <x v="36"/>
    <n v="7749"/>
    <n v="5682"/>
    <n v="3066"/>
    <n v="162"/>
    <n v="604"/>
    <n v="0"/>
    <x v="8"/>
    <x v="2"/>
    <x v="3"/>
    <n v="0.39566395663956638"/>
    <n v="13431"/>
    <n v="9"/>
    <n v="0"/>
    <s v="December"/>
  </r>
  <r>
    <x v="8"/>
    <s v="RDE"/>
    <x v="2"/>
    <x v="2"/>
    <n v="11399"/>
    <n v="13004"/>
    <n v="5265"/>
    <n v="849"/>
    <n v="810"/>
    <n v="433"/>
    <x v="8"/>
    <x v="2"/>
    <x v="3"/>
    <n v="0.46188262128256863"/>
    <n v="24403"/>
    <n v="9"/>
    <n v="3.7985788227037458E-2"/>
    <s v="December"/>
  </r>
  <r>
    <x v="8"/>
    <s v="RWF"/>
    <x v="0"/>
    <x v="193"/>
    <n v="18605"/>
    <n v="1332"/>
    <n v="4846"/>
    <n v="15"/>
    <n v="1010"/>
    <n v="383"/>
    <x v="8"/>
    <x v="2"/>
    <x v="3"/>
    <n v="0.26046761623219566"/>
    <n v="19937"/>
    <n v="9"/>
    <n v="2.0585864015049717E-2"/>
    <s v="December"/>
  </r>
  <r>
    <x v="8"/>
    <s v="RDR"/>
    <x v="0"/>
    <x v="3"/>
    <n v="0"/>
    <n v="11047"/>
    <n v="0"/>
    <n v="215"/>
    <n v="0"/>
    <n v="0"/>
    <x v="8"/>
    <x v="2"/>
    <x v="3"/>
    <n v="0"/>
    <n v="11047"/>
    <n v="9"/>
    <n v="0"/>
    <s v="December"/>
  </r>
  <r>
    <x v="8"/>
    <s v="RWE"/>
    <x v="5"/>
    <x v="79"/>
    <n v="22050"/>
    <n v="0"/>
    <n v="8067"/>
    <n v="0"/>
    <n v="1270"/>
    <n v="520"/>
    <x v="8"/>
    <x v="2"/>
    <x v="3"/>
    <n v="0.36585034013605444"/>
    <n v="22050"/>
    <n v="9"/>
    <n v="2.3582766439909298E-2"/>
    <s v="December"/>
  </r>
  <r>
    <x v="8"/>
    <s v="RVV"/>
    <x v="0"/>
    <x v="50"/>
    <n v="14024"/>
    <n v="12337"/>
    <n v="6794"/>
    <n v="331"/>
    <n v="597"/>
    <n v="1276"/>
    <x v="8"/>
    <x v="2"/>
    <x v="3"/>
    <n v="0.48445521962350258"/>
    <n v="26361"/>
    <n v="9"/>
    <n v="9.0986879634911574E-2"/>
    <s v="December"/>
  </r>
  <r>
    <x v="8"/>
    <s v="RBK"/>
    <x v="5"/>
    <x v="159"/>
    <n v="9994"/>
    <n v="3880"/>
    <n v="3869"/>
    <n v="115"/>
    <n v="922"/>
    <n v="620"/>
    <x v="8"/>
    <x v="2"/>
    <x v="3"/>
    <n v="0.38713227936762057"/>
    <n v="13874"/>
    <n v="9"/>
    <n v="6.203722233340004E-2"/>
    <s v="December"/>
  </r>
  <r>
    <x v="8"/>
    <s v="RCB"/>
    <x v="6"/>
    <x v="35"/>
    <n v="11321"/>
    <n v="6295"/>
    <n v="5819"/>
    <n v="333"/>
    <n v="817"/>
    <n v="759"/>
    <x v="8"/>
    <x v="2"/>
    <x v="3"/>
    <n v="0.51400052998851686"/>
    <n v="17616"/>
    <n v="9"/>
    <n v="6.7043547389806557E-2"/>
    <s v="December"/>
  </r>
  <r>
    <x v="8"/>
    <s v="RCX"/>
    <x v="2"/>
    <x v="103"/>
    <n v="6527"/>
    <n v="1335"/>
    <n v="2656"/>
    <n v="0"/>
    <n v="797"/>
    <n v="160"/>
    <x v="8"/>
    <x v="2"/>
    <x v="3"/>
    <n v="0.40692508043511566"/>
    <n v="7862"/>
    <n v="9"/>
    <n v="2.4513559062356367E-2"/>
    <s v="December"/>
  </r>
  <r>
    <x v="8"/>
    <s v="RD1"/>
    <x v="1"/>
    <x v="1"/>
    <n v="9074"/>
    <n v="0"/>
    <n v="3932"/>
    <n v="0"/>
    <n v="874"/>
    <n v="137"/>
    <x v="8"/>
    <x v="2"/>
    <x v="3"/>
    <n v="0.4333259863345823"/>
    <n v="9074"/>
    <n v="9"/>
    <n v="1.5098082433325987E-2"/>
    <s v="December"/>
  </r>
  <r>
    <x v="8"/>
    <s v="RDU"/>
    <x v="0"/>
    <x v="37"/>
    <n v="22507"/>
    <n v="11479"/>
    <n v="8969"/>
    <n v="219"/>
    <n v="1037"/>
    <n v="351"/>
    <x v="8"/>
    <x v="2"/>
    <x v="3"/>
    <n v="0.39849824499044739"/>
    <n v="33986"/>
    <n v="9"/>
    <n v="1.5595148176122984E-2"/>
    <s v="December"/>
  </r>
  <r>
    <x v="8"/>
    <s v="REM"/>
    <x v="3"/>
    <x v="5"/>
    <n v="15674"/>
    <n v="7339"/>
    <n v="7785"/>
    <n v="349"/>
    <n v="806"/>
    <n v="1111"/>
    <x v="8"/>
    <x v="2"/>
    <x v="3"/>
    <n v="0.49668240398111524"/>
    <n v="23013"/>
    <n v="9"/>
    <n v="7.0881714941942064E-2"/>
    <s v="December"/>
  </r>
  <r>
    <x v="8"/>
    <s v="RHW"/>
    <x v="0"/>
    <x v="66"/>
    <n v="10977"/>
    <n v="2749"/>
    <n v="3714"/>
    <n v="0"/>
    <n v="347"/>
    <n v="12"/>
    <x v="8"/>
    <x v="2"/>
    <x v="3"/>
    <n v="0.33834380978409401"/>
    <n v="13726"/>
    <n v="9"/>
    <n v="1.0931948619841486E-3"/>
    <s v="December"/>
  </r>
  <r>
    <x v="8"/>
    <s v="RJ2"/>
    <x v="4"/>
    <x v="8"/>
    <n v="16397"/>
    <n v="15840"/>
    <n v="7768"/>
    <n v="331"/>
    <n v="1088"/>
    <n v="674"/>
    <x v="8"/>
    <x v="2"/>
    <x v="3"/>
    <n v="0.47374519729218761"/>
    <n v="32237"/>
    <n v="9"/>
    <n v="4.1105080197597121E-2"/>
    <s v="December"/>
  </r>
  <r>
    <x v="8"/>
    <s v="RJ7"/>
    <x v="4"/>
    <x v="96"/>
    <n v="8872"/>
    <n v="3615"/>
    <n v="2272"/>
    <n v="76"/>
    <n v="377"/>
    <n v="457"/>
    <x v="8"/>
    <x v="2"/>
    <x v="3"/>
    <n v="0.25608656447249772"/>
    <n v="12487"/>
    <n v="9"/>
    <n v="5.1510369702434625E-2"/>
    <s v="December"/>
  </r>
  <r>
    <x v="8"/>
    <s v="RJE"/>
    <x v="5"/>
    <x v="9"/>
    <n v="14115"/>
    <n v="8081"/>
    <n v="7811"/>
    <n v="372"/>
    <n v="1035"/>
    <n v="1035"/>
    <x v="8"/>
    <x v="2"/>
    <x v="3"/>
    <n v="0.55338292596528516"/>
    <n v="22196"/>
    <n v="9"/>
    <n v="7.3326248671625932E-2"/>
    <s v="December"/>
  </r>
  <r>
    <x v="8"/>
    <s v="RJL"/>
    <x v="6"/>
    <x v="164"/>
    <n v="9775"/>
    <n v="6570"/>
    <n v="5737"/>
    <n v="41"/>
    <n v="686"/>
    <n v="871"/>
    <x v="8"/>
    <x v="2"/>
    <x v="3"/>
    <n v="0.58690537084398975"/>
    <n v="16345"/>
    <n v="9"/>
    <n v="8.9104859335038367E-2"/>
    <s v="December"/>
  </r>
  <r>
    <x v="8"/>
    <s v="RJZ"/>
    <x v="4"/>
    <x v="196"/>
    <n v="15697"/>
    <n v="8890"/>
    <n v="6760"/>
    <n v="771"/>
    <n v="1315"/>
    <n v="722"/>
    <x v="8"/>
    <x v="2"/>
    <x v="3"/>
    <n v="0.4306555392750207"/>
    <n v="24587"/>
    <n v="9"/>
    <n v="4.5996050200675286E-2"/>
    <s v="December"/>
  </r>
  <r>
    <x v="8"/>
    <s v="RK9"/>
    <x v="1"/>
    <x v="195"/>
    <n v="8876"/>
    <n v="7009"/>
    <n v="5057"/>
    <n v="66"/>
    <n v="688"/>
    <n v="441"/>
    <x v="8"/>
    <x v="2"/>
    <x v="3"/>
    <n v="0.5697386210004507"/>
    <n v="15885"/>
    <n v="9"/>
    <n v="4.9684542586750792E-2"/>
    <s v="December"/>
  </r>
  <r>
    <x v="8"/>
    <s v="RKB"/>
    <x v="5"/>
    <x v="11"/>
    <n v="12997"/>
    <n v="5819"/>
    <n v="5550"/>
    <n v="187"/>
    <n v="52"/>
    <n v="14"/>
    <x v="8"/>
    <x v="2"/>
    <x v="3"/>
    <n v="0.42702162037393243"/>
    <n v="18816"/>
    <n v="9"/>
    <n v="1.0771716549973071E-3"/>
    <s v="December"/>
  </r>
  <r>
    <x v="8"/>
    <s v="RN5"/>
    <x v="0"/>
    <x v="97"/>
    <n v="10601"/>
    <n v="3603"/>
    <n v="5071"/>
    <n v="121"/>
    <n v="202"/>
    <n v="6"/>
    <x v="8"/>
    <x v="2"/>
    <x v="3"/>
    <n v="0.47835109895292899"/>
    <n v="14204"/>
    <n v="9"/>
    <n v="5.6598434109989622E-4"/>
    <s v="December"/>
  </r>
  <r>
    <x v="8"/>
    <s v="RNN"/>
    <x v="6"/>
    <x v="197"/>
    <n v="8641"/>
    <n v="1678"/>
    <n v="3868"/>
    <n v="46"/>
    <n v="606"/>
    <n v="338"/>
    <x v="8"/>
    <x v="2"/>
    <x v="3"/>
    <n v="0.44763337576669365"/>
    <n v="10319"/>
    <n v="9"/>
    <n v="3.911584307371832E-2"/>
    <s v="December"/>
  </r>
  <r>
    <x v="8"/>
    <s v="RNS"/>
    <x v="5"/>
    <x v="15"/>
    <n v="10580"/>
    <n v="2137"/>
    <n v="4346"/>
    <n v="152"/>
    <n v="484"/>
    <n v="774"/>
    <x v="8"/>
    <x v="2"/>
    <x v="3"/>
    <n v="0.41077504725897923"/>
    <n v="12717"/>
    <n v="9"/>
    <n v="7.3156899810964085E-2"/>
    <s v="December"/>
  </r>
  <r>
    <x v="8"/>
    <s v="RPC"/>
    <x v="0"/>
    <x v="190"/>
    <n v="0"/>
    <n v="1163"/>
    <n v="0"/>
    <n v="5"/>
    <n v="0"/>
    <n v="0"/>
    <x v="8"/>
    <x v="2"/>
    <x v="3"/>
    <n v="0"/>
    <n v="1163"/>
    <n v="9"/>
    <n v="0"/>
    <s v="December"/>
  </r>
  <r>
    <x v="8"/>
    <s v="RRK"/>
    <x v="5"/>
    <x v="67"/>
    <n v="33408"/>
    <n v="2991"/>
    <n v="13755"/>
    <n v="40"/>
    <n v="3075"/>
    <n v="1269"/>
    <x v="8"/>
    <x v="2"/>
    <x v="3"/>
    <n v="0.41172772988505746"/>
    <n v="36399"/>
    <n v="9"/>
    <n v="3.7984913793103446E-2"/>
    <s v="December"/>
  </r>
  <r>
    <x v="8"/>
    <s v="RTG"/>
    <x v="5"/>
    <x v="54"/>
    <n v="19143"/>
    <n v="9520"/>
    <n v="9888"/>
    <n v="128"/>
    <n v="1284"/>
    <n v="770"/>
    <x v="8"/>
    <x v="2"/>
    <x v="3"/>
    <n v="0.51653345870553202"/>
    <n v="28663"/>
    <n v="9"/>
    <n v="4.0223580421041634E-2"/>
    <s v="December"/>
  </r>
  <r>
    <x v="8"/>
    <s v="RVJ"/>
    <x v="1"/>
    <x v="73"/>
    <n v="9074"/>
    <n v="0"/>
    <n v="3144"/>
    <n v="0"/>
    <n v="460"/>
    <n v="430"/>
    <x v="8"/>
    <x v="2"/>
    <x v="3"/>
    <n v="0.34648446109764164"/>
    <n v="9074"/>
    <n v="9"/>
    <n v="4.7388141944015867E-2"/>
    <s v="December"/>
  </r>
  <r>
    <x v="8"/>
    <s v="RWD"/>
    <x v="5"/>
    <x v="78"/>
    <n v="17127"/>
    <n v="4295"/>
    <n v="6863"/>
    <n v="308"/>
    <n v="877"/>
    <n v="1081"/>
    <x v="8"/>
    <x v="2"/>
    <x v="3"/>
    <n v="0.40071232556781688"/>
    <n v="21422"/>
    <n v="9"/>
    <n v="6.3116716295907052E-2"/>
    <s v="December"/>
  </r>
  <r>
    <x v="8"/>
    <s v="NQTE4"/>
    <x v="5"/>
    <x v="132"/>
    <n v="0"/>
    <n v="3033"/>
    <n v="0"/>
    <n v="0"/>
    <n v="0"/>
    <n v="0"/>
    <x v="8"/>
    <x v="2"/>
    <x v="3"/>
    <n v="0"/>
    <n v="3033"/>
    <n v="9"/>
    <n v="0"/>
    <s v="December"/>
  </r>
  <r>
    <x v="8"/>
    <s v="RET"/>
    <x v="3"/>
    <x v="6"/>
    <n v="0"/>
    <n v="0"/>
    <n v="0"/>
    <n v="0"/>
    <n v="0"/>
    <n v="0"/>
    <x v="8"/>
    <x v="2"/>
    <x v="3"/>
    <n v="0"/>
    <n v="0"/>
    <n v="9"/>
    <n v="0"/>
    <s v="December"/>
  </r>
  <r>
    <x v="8"/>
    <s v="RFF"/>
    <x v="6"/>
    <x v="104"/>
    <n v="9266"/>
    <n v="0"/>
    <n v="2831"/>
    <n v="0"/>
    <n v="601"/>
    <n v="11"/>
    <x v="8"/>
    <x v="2"/>
    <x v="3"/>
    <n v="0.30552557737966762"/>
    <n v="9266"/>
    <n v="9"/>
    <n v="1.1871357651629614E-3"/>
    <s v="December"/>
  </r>
  <r>
    <x v="8"/>
    <s v="RA7"/>
    <x v="1"/>
    <x v="158"/>
    <n v="16151"/>
    <n v="0"/>
    <n v="5956"/>
    <n v="0"/>
    <n v="1219"/>
    <n v="496"/>
    <x v="8"/>
    <x v="2"/>
    <x v="3"/>
    <n v="0.36876973562008547"/>
    <n v="16151"/>
    <n v="9"/>
    <n v="3.0710172744721688E-2"/>
    <s v="December"/>
  </r>
  <r>
    <x v="8"/>
    <s v="RAX"/>
    <x v="4"/>
    <x v="114"/>
    <n v="7217"/>
    <n v="8083"/>
    <n v="3964"/>
    <n v="345"/>
    <n v="255"/>
    <n v="498"/>
    <x v="8"/>
    <x v="2"/>
    <x v="3"/>
    <n v="0.54925869474851041"/>
    <n v="15300"/>
    <n v="9"/>
    <n v="6.9003741166689767E-2"/>
    <s v="December"/>
  </r>
  <r>
    <x v="8"/>
    <s v="RFR"/>
    <x v="6"/>
    <x v="39"/>
    <n v="9857"/>
    <n v="0"/>
    <n v="3359"/>
    <n v="0"/>
    <n v="808"/>
    <n v="22"/>
    <x v="8"/>
    <x v="2"/>
    <x v="3"/>
    <n v="0.3407730546819519"/>
    <n v="9857"/>
    <n v="9"/>
    <n v="2.2319164045855738E-3"/>
    <s v="December"/>
  </r>
  <r>
    <x v="8"/>
    <s v="RGT"/>
    <x v="2"/>
    <x v="95"/>
    <n v="10979"/>
    <n v="4843"/>
    <n v="4799"/>
    <n v="103"/>
    <n v="527"/>
    <n v="420"/>
    <x v="8"/>
    <x v="2"/>
    <x v="3"/>
    <n v="0.43710720466344838"/>
    <n v="15822"/>
    <n v="9"/>
    <n v="3.825485016850351E-2"/>
    <s v="December"/>
  </r>
  <r>
    <x v="8"/>
    <s v="RJ1"/>
    <x v="4"/>
    <x v="43"/>
    <n v="10381"/>
    <n v="6502"/>
    <n v="3407"/>
    <n v="135"/>
    <n v="129"/>
    <n v="60"/>
    <x v="8"/>
    <x v="2"/>
    <x v="3"/>
    <n v="0.32819574222136594"/>
    <n v="16883"/>
    <n v="9"/>
    <n v="5.7797900009632979E-3"/>
    <s v="December"/>
  </r>
  <r>
    <x v="8"/>
    <s v="RVR"/>
    <x v="4"/>
    <x v="74"/>
    <n v="11581"/>
    <n v="1927"/>
    <n v="3817"/>
    <n v="123"/>
    <n v="722"/>
    <n v="821"/>
    <x v="8"/>
    <x v="2"/>
    <x v="3"/>
    <n v="0.32959157240307402"/>
    <n v="13508"/>
    <n v="9"/>
    <n v="7.0891978240221046E-2"/>
    <s v="December"/>
  </r>
  <r>
    <x v="8"/>
    <s v="RWA"/>
    <x v="6"/>
    <x v="77"/>
    <n v="10230"/>
    <n v="4228"/>
    <n v="5408"/>
    <n v="356"/>
    <n v="953"/>
    <n v="635"/>
    <x v="8"/>
    <x v="2"/>
    <x v="3"/>
    <n v="0.52864125122189642"/>
    <n v="14458"/>
    <n v="9"/>
    <n v="6.2072336265884653E-2"/>
    <s v="December"/>
  </r>
  <r>
    <x v="8"/>
    <s v="RWX"/>
    <x v="0"/>
    <x v="55"/>
    <n v="0"/>
    <n v="1244"/>
    <n v="0"/>
    <n v="13"/>
    <n v="0"/>
    <n v="0"/>
    <x v="8"/>
    <x v="2"/>
    <x v="3"/>
    <n v="0"/>
    <n v="1244"/>
    <n v="9"/>
    <n v="0"/>
    <s v="December"/>
  </r>
  <r>
    <x v="8"/>
    <s v="RMC"/>
    <x v="3"/>
    <x v="72"/>
    <n v="8610"/>
    <n v="3237"/>
    <n v="4428"/>
    <n v="296"/>
    <n v="512"/>
    <n v="440"/>
    <x v="8"/>
    <x v="2"/>
    <x v="3"/>
    <n v="0.51428571428571423"/>
    <n v="11847"/>
    <n v="9"/>
    <n v="5.1103368176538912E-2"/>
    <s v="December"/>
  </r>
  <r>
    <x v="8"/>
    <s v="RQ3"/>
    <x v="5"/>
    <x v="18"/>
    <n v="5169"/>
    <n v="0"/>
    <n v="1484"/>
    <n v="0"/>
    <n v="52"/>
    <n v="3"/>
    <x v="8"/>
    <x v="2"/>
    <x v="3"/>
    <n v="0.28709615012574968"/>
    <n v="5169"/>
    <n v="9"/>
    <n v="5.8038305281485781E-4"/>
    <s v="December"/>
  </r>
  <r>
    <x v="8"/>
    <s v="RTH"/>
    <x v="0"/>
    <x v="100"/>
    <n v="12246"/>
    <n v="3448"/>
    <n v="4126"/>
    <n v="86"/>
    <n v="743"/>
    <n v="14"/>
    <x v="8"/>
    <x v="2"/>
    <x v="3"/>
    <n v="0.33692634329577004"/>
    <n v="15694"/>
    <n v="9"/>
    <n v="1.1432304425934999E-3"/>
    <s v="December"/>
  </r>
  <r>
    <x v="8"/>
    <s v="RYX"/>
    <x v="4"/>
    <x v="51"/>
    <n v="0"/>
    <n v="11883"/>
    <n v="0"/>
    <n v="143"/>
    <n v="0"/>
    <n v="0"/>
    <x v="8"/>
    <x v="2"/>
    <x v="3"/>
    <n v="0"/>
    <n v="11883"/>
    <n v="9"/>
    <n v="0"/>
    <s v="December"/>
  </r>
  <r>
    <x v="8"/>
    <s v="DT301"/>
    <x v="2"/>
    <x v="110"/>
    <n v="0"/>
    <n v="1857"/>
    <n v="0"/>
    <n v="37"/>
    <n v="0"/>
    <n v="0"/>
    <x v="8"/>
    <x v="2"/>
    <x v="3"/>
    <n v="0"/>
    <n v="1857"/>
    <n v="9"/>
    <n v="0"/>
    <s v="December"/>
  </r>
  <r>
    <x v="8"/>
    <s v="RBD"/>
    <x v="1"/>
    <x v="183"/>
    <n v="4536"/>
    <n v="0"/>
    <n v="1868"/>
    <n v="0"/>
    <n v="220"/>
    <n v="63"/>
    <x v="8"/>
    <x v="2"/>
    <x v="3"/>
    <n v="0.41181657848324515"/>
    <n v="4536"/>
    <n v="9"/>
    <n v="1.3888888888888888E-2"/>
    <s v="December"/>
  </r>
  <r>
    <x v="8"/>
    <s v="RFS"/>
    <x v="5"/>
    <x v="68"/>
    <n v="6384"/>
    <n v="6075"/>
    <n v="3165"/>
    <n v="41"/>
    <n v="637"/>
    <n v="385"/>
    <x v="8"/>
    <x v="2"/>
    <x v="3"/>
    <n v="0.49577067669172931"/>
    <n v="12459"/>
    <n v="9"/>
    <n v="6.0307017543859649E-2"/>
    <s v="December"/>
  </r>
  <r>
    <x v="8"/>
    <s v="RM3"/>
    <x v="3"/>
    <x v="64"/>
    <n v="26198"/>
    <n v="10203"/>
    <n v="10888"/>
    <n v="345"/>
    <n v="1121"/>
    <n v="1085"/>
    <x v="8"/>
    <x v="2"/>
    <x v="3"/>
    <n v="0.41560424459882434"/>
    <n v="36401"/>
    <n v="9"/>
    <n v="4.1415375219482402E-2"/>
    <s v="December"/>
  </r>
  <r>
    <x v="8"/>
    <s v="RXN"/>
    <x v="3"/>
    <x v="65"/>
    <n v="12275"/>
    <n v="3250"/>
    <n v="4443"/>
    <n v="92"/>
    <n v="1006"/>
    <n v="446"/>
    <x v="8"/>
    <x v="2"/>
    <x v="3"/>
    <n v="0.3619551934826884"/>
    <n v="15525"/>
    <n v="9"/>
    <n v="3.6334012219959265E-2"/>
    <s v="December"/>
  </r>
  <r>
    <x v="8"/>
    <s v="R1K"/>
    <x v="4"/>
    <x v="30"/>
    <n v="13918"/>
    <n v="15544"/>
    <n v="7172"/>
    <n v="866"/>
    <n v="649"/>
    <n v="673"/>
    <x v="8"/>
    <x v="2"/>
    <x v="3"/>
    <n v="0.51530392297743932"/>
    <n v="29462"/>
    <n v="9"/>
    <n v="4.8354648656416151E-2"/>
    <s v="December"/>
  </r>
  <r>
    <x v="8"/>
    <s v="RBL"/>
    <x v="3"/>
    <x v="94"/>
    <n v="7893"/>
    <n v="3086"/>
    <n v="4414"/>
    <n v="209"/>
    <n v="480"/>
    <n v="897"/>
    <x v="8"/>
    <x v="2"/>
    <x v="3"/>
    <n v="0.55922969720005067"/>
    <n v="10979"/>
    <n v="9"/>
    <n v="0.1136450019004181"/>
    <s v="December"/>
  </r>
  <r>
    <x v="8"/>
    <s v="RBN"/>
    <x v="3"/>
    <x v="34"/>
    <n v="17740"/>
    <n v="7162"/>
    <n v="7414"/>
    <n v="127"/>
    <n v="570"/>
    <n v="497"/>
    <x v="8"/>
    <x v="2"/>
    <x v="3"/>
    <n v="0.41792559188275086"/>
    <n v="24902"/>
    <n v="9"/>
    <n v="2.8015783540022546E-2"/>
    <s v="December"/>
  </r>
  <r>
    <x v="8"/>
    <s v="AQN04"/>
    <x v="0"/>
    <x v="130"/>
    <n v="0"/>
    <n v="2758"/>
    <n v="0"/>
    <n v="31"/>
    <n v="0"/>
    <n v="0"/>
    <x v="8"/>
    <x v="2"/>
    <x v="3"/>
    <n v="0"/>
    <n v="2758"/>
    <n v="9"/>
    <n v="0"/>
    <s v="December"/>
  </r>
  <r>
    <x v="8"/>
    <s v="R1H"/>
    <x v="4"/>
    <x v="93"/>
    <n v="25706"/>
    <n v="18261"/>
    <n v="12110"/>
    <n v="1857"/>
    <n v="1150"/>
    <n v="1088"/>
    <x v="8"/>
    <x v="2"/>
    <x v="3"/>
    <n v="0.47109624212246171"/>
    <n v="43967"/>
    <n v="9"/>
    <n v="4.2324749085816543E-2"/>
    <s v="December"/>
  </r>
  <r>
    <x v="8"/>
    <s v="RF4"/>
    <x v="4"/>
    <x v="7"/>
    <n v="13846"/>
    <n v="14734"/>
    <n v="6745"/>
    <n v="174"/>
    <n v="722"/>
    <n v="840"/>
    <x v="8"/>
    <x v="2"/>
    <x v="3"/>
    <n v="0.48714430160335115"/>
    <n v="28580"/>
    <n v="9"/>
    <n v="6.0667340748230533E-2"/>
    <s v="December"/>
  </r>
  <r>
    <x v="8"/>
    <s v="RY2"/>
    <x v="3"/>
    <x v="173"/>
    <n v="0"/>
    <n v="3088"/>
    <n v="0"/>
    <n v="130"/>
    <n v="0"/>
    <n v="0"/>
    <x v="8"/>
    <x v="2"/>
    <x v="3"/>
    <n v="0"/>
    <n v="3088"/>
    <n v="9"/>
    <n v="0"/>
    <s v="December"/>
  </r>
  <r>
    <x v="8"/>
    <s v="RXL"/>
    <x v="3"/>
    <x v="86"/>
    <n v="8841"/>
    <n v="9969"/>
    <n v="4200"/>
    <n v="124"/>
    <n v="498"/>
    <n v="466"/>
    <x v="8"/>
    <x v="2"/>
    <x v="3"/>
    <n v="0.47505938242280282"/>
    <n v="18810"/>
    <n v="9"/>
    <n v="5.2708969573577652E-2"/>
    <s v="December"/>
  </r>
  <r>
    <x v="8"/>
    <s v="RGN"/>
    <x v="2"/>
    <x v="185"/>
    <n v="15671"/>
    <n v="4510"/>
    <n v="5968"/>
    <n v="105"/>
    <n v="572"/>
    <n v="865"/>
    <x v="8"/>
    <x v="2"/>
    <x v="3"/>
    <n v="0.38083083402463147"/>
    <n v="20181"/>
    <n v="9"/>
    <n v="5.5197498564226913E-2"/>
    <s v="December"/>
  </r>
  <r>
    <x v="8"/>
    <s v="RGR"/>
    <x v="2"/>
    <x v="186"/>
    <n v="7850"/>
    <n v="815"/>
    <n v="2566"/>
    <n v="0"/>
    <n v="481"/>
    <n v="341"/>
    <x v="8"/>
    <x v="2"/>
    <x v="3"/>
    <n v="0.32687898089171974"/>
    <n v="8665"/>
    <n v="9"/>
    <n v="4.3439490445859874E-2"/>
    <s v="December"/>
  </r>
  <r>
    <x v="8"/>
    <s v="RH5"/>
    <x v="1"/>
    <x v="40"/>
    <n v="11873"/>
    <n v="8920"/>
    <n v="5902"/>
    <n v="187"/>
    <n v="502"/>
    <n v="132"/>
    <x v="8"/>
    <x v="2"/>
    <x v="3"/>
    <n v="0.49709424745220249"/>
    <n v="20793"/>
    <n v="9"/>
    <n v="1.1117661922007917E-2"/>
    <s v="December"/>
  </r>
  <r>
    <x v="8"/>
    <s v="RHM"/>
    <x v="0"/>
    <x v="41"/>
    <n v="11758"/>
    <n v="0"/>
    <n v="4459"/>
    <n v="0"/>
    <n v="568"/>
    <n v="11"/>
    <x v="8"/>
    <x v="2"/>
    <x v="3"/>
    <n v="0.37923116176220445"/>
    <n v="11758"/>
    <n v="9"/>
    <n v="9.3553325395475426E-4"/>
    <s v="December"/>
  </r>
  <r>
    <x v="8"/>
    <s v="RHQ"/>
    <x v="6"/>
    <x v="42"/>
    <n v="9074"/>
    <n v="7050"/>
    <n v="4702"/>
    <n v="419"/>
    <n v="1214"/>
    <n v="5"/>
    <x v="8"/>
    <x v="2"/>
    <x v="3"/>
    <n v="0.51818382190875023"/>
    <n v="16124"/>
    <n v="9"/>
    <n v="5.5102490632576596E-4"/>
    <s v="December"/>
  </r>
  <r>
    <x v="8"/>
    <s v="RHU"/>
    <x v="0"/>
    <x v="63"/>
    <n v="10779"/>
    <n v="2825"/>
    <n v="4119"/>
    <n v="10"/>
    <n v="773"/>
    <n v="1033"/>
    <x v="8"/>
    <x v="2"/>
    <x v="3"/>
    <n v="0.38213192318396882"/>
    <n v="13604"/>
    <n v="9"/>
    <n v="9.5834492995639675E-2"/>
    <s v="December"/>
  </r>
  <r>
    <x v="8"/>
    <s v="RK5"/>
    <x v="5"/>
    <x v="10"/>
    <n v="10530"/>
    <n v="5527"/>
    <n v="4775"/>
    <n v="531"/>
    <n v="860"/>
    <n v="642"/>
    <x v="8"/>
    <x v="2"/>
    <x v="3"/>
    <n v="0.45346628679962014"/>
    <n v="16057"/>
    <n v="9"/>
    <n v="6.0968660968660972E-2"/>
    <s v="December"/>
  </r>
  <r>
    <x v="8"/>
    <s v="RL1"/>
    <x v="5"/>
    <x v="12"/>
    <n v="0"/>
    <n v="0"/>
    <n v="0"/>
    <n v="0"/>
    <n v="0"/>
    <n v="0"/>
    <x v="8"/>
    <x v="2"/>
    <x v="3"/>
    <n v="0"/>
    <n v="0"/>
    <n v="9"/>
    <n v="0"/>
    <s v="December"/>
  </r>
  <r>
    <x v="8"/>
    <s v="RM1"/>
    <x v="2"/>
    <x v="75"/>
    <n v="12638"/>
    <n v="8115"/>
    <n v="3957"/>
    <n v="3"/>
    <n v="706"/>
    <n v="257"/>
    <x v="8"/>
    <x v="2"/>
    <x v="3"/>
    <n v="0.31310333913593924"/>
    <n v="20753"/>
    <n v="9"/>
    <n v="2.0335496122804241E-2"/>
    <s v="December"/>
  </r>
  <r>
    <x v="8"/>
    <s v="RMP"/>
    <x v="3"/>
    <x v="166"/>
    <n v="8140"/>
    <n v="3507"/>
    <n v="4161"/>
    <n v="162"/>
    <n v="361"/>
    <n v="718"/>
    <x v="8"/>
    <x v="2"/>
    <x v="3"/>
    <n v="0.51117936117936114"/>
    <n v="11647"/>
    <n v="9"/>
    <n v="8.8206388206388209E-2"/>
    <s v="December"/>
  </r>
  <r>
    <x v="8"/>
    <s v="RN7"/>
    <x v="0"/>
    <x v="14"/>
    <n v="11729"/>
    <n v="3731"/>
    <n v="2881"/>
    <n v="79"/>
    <n v="586"/>
    <n v="342"/>
    <x v="8"/>
    <x v="2"/>
    <x v="3"/>
    <n v="0.24563048853269673"/>
    <n v="15460"/>
    <n v="9"/>
    <n v="2.9158496035467645E-2"/>
    <s v="December"/>
  </r>
  <r>
    <x v="8"/>
    <s v="RNA"/>
    <x v="5"/>
    <x v="168"/>
    <n v="9815"/>
    <n v="4324"/>
    <n v="4068"/>
    <n v="218"/>
    <n v="2856"/>
    <n v="155"/>
    <x v="8"/>
    <x v="2"/>
    <x v="3"/>
    <n v="0.41446765155374427"/>
    <n v="14139"/>
    <n v="9"/>
    <n v="1.5792154865002548E-2"/>
    <s v="December"/>
  </r>
  <r>
    <x v="8"/>
    <s v="RNZ"/>
    <x v="1"/>
    <x v="17"/>
    <n v="4458"/>
    <n v="2150"/>
    <n v="1661"/>
    <n v="0"/>
    <n v="417"/>
    <n v="101"/>
    <x v="8"/>
    <x v="2"/>
    <x v="3"/>
    <n v="0.37258860475549571"/>
    <n v="6608"/>
    <n v="9"/>
    <n v="2.2655899506505161E-2"/>
    <s v="December"/>
  </r>
  <r>
    <x v="8"/>
    <s v="RP5"/>
    <x v="6"/>
    <x v="53"/>
    <n v="13497"/>
    <n v="3778"/>
    <n v="5338"/>
    <n v="0"/>
    <n v="1246"/>
    <n v="235"/>
    <x v="8"/>
    <x v="2"/>
    <x v="3"/>
    <n v="0.39549529525079646"/>
    <n v="17275"/>
    <n v="9"/>
    <n v="1.7411276579980737E-2"/>
    <s v="December"/>
  </r>
  <r>
    <x v="8"/>
    <s v="RRF"/>
    <x v="3"/>
    <x v="21"/>
    <n v="8080"/>
    <n v="4363"/>
    <n v="4062"/>
    <n v="71"/>
    <n v="548"/>
    <n v="453"/>
    <x v="8"/>
    <x v="2"/>
    <x v="3"/>
    <n v="0.50272277227722773"/>
    <n v="12443"/>
    <n v="9"/>
    <n v="5.6064356435643566E-2"/>
    <s v="December"/>
  </r>
  <r>
    <x v="8"/>
    <s v="RTD"/>
    <x v="6"/>
    <x v="71"/>
    <n v="12604"/>
    <n v="6407"/>
    <n v="5205"/>
    <n v="28"/>
    <n v="569"/>
    <n v="65"/>
    <x v="8"/>
    <x v="2"/>
    <x v="3"/>
    <n v="0.41296413836877183"/>
    <n v="19011"/>
    <n v="9"/>
    <n v="5.1570929863535382E-3"/>
    <s v="December"/>
  </r>
  <r>
    <x v="8"/>
    <s v="RTF"/>
    <x v="6"/>
    <x v="99"/>
    <n v="10826"/>
    <n v="12639"/>
    <n v="3036"/>
    <n v="0"/>
    <n v="89"/>
    <n v="0"/>
    <x v="8"/>
    <x v="2"/>
    <x v="3"/>
    <n v="0.28043598743765008"/>
    <n v="23465"/>
    <n v="9"/>
    <n v="0"/>
    <s v="December"/>
  </r>
  <r>
    <x v="8"/>
    <s v="RTK"/>
    <x v="0"/>
    <x v="49"/>
    <n v="7785"/>
    <n v="2532"/>
    <n v="3911"/>
    <n v="12"/>
    <n v="596"/>
    <n v="359"/>
    <x v="8"/>
    <x v="2"/>
    <x v="3"/>
    <n v="0.50237636480411052"/>
    <n v="10317"/>
    <n v="9"/>
    <n v="4.6114322414900447E-2"/>
    <s v="December"/>
  </r>
  <r>
    <x v="8"/>
    <s v="RWG"/>
    <x v="2"/>
    <x v="80"/>
    <n v="8832"/>
    <n v="7444"/>
    <n v="2577"/>
    <n v="194"/>
    <n v="669"/>
    <n v="27"/>
    <x v="8"/>
    <x v="2"/>
    <x v="3"/>
    <n v="0.29177989130434784"/>
    <n v="16276"/>
    <n v="9"/>
    <n v="3.0570652173913045E-3"/>
    <s v="December"/>
  </r>
  <r>
    <x v="8"/>
    <s v="RWW"/>
    <x v="3"/>
    <x v="83"/>
    <n v="6918"/>
    <n v="2815"/>
    <n v="3672"/>
    <n v="27"/>
    <n v="814"/>
    <n v="772"/>
    <x v="8"/>
    <x v="2"/>
    <x v="3"/>
    <n v="0.53078924544666084"/>
    <n v="9733"/>
    <n v="9"/>
    <n v="0.1115929459381324"/>
    <s v="December"/>
  </r>
  <r>
    <x v="8"/>
    <s v="RXC"/>
    <x v="0"/>
    <x v="84"/>
    <n v="9441"/>
    <n v="1859"/>
    <n v="4009"/>
    <n v="49"/>
    <n v="275"/>
    <n v="70"/>
    <x v="8"/>
    <x v="2"/>
    <x v="3"/>
    <n v="0.42463722063340748"/>
    <n v="11300"/>
    <n v="9"/>
    <n v="7.4144688062705221E-3"/>
    <s v="December"/>
  </r>
  <r>
    <x v="8"/>
    <s v="RXP"/>
    <x v="6"/>
    <x v="87"/>
    <n v="12861"/>
    <n v="4059"/>
    <n v="5583"/>
    <n v="0"/>
    <n v="1981"/>
    <n v="30"/>
    <x v="8"/>
    <x v="2"/>
    <x v="3"/>
    <n v="0.43410310240261257"/>
    <n v="16920"/>
    <n v="9"/>
    <n v="2.3326335432703521E-3"/>
    <s v="December"/>
  </r>
  <r>
    <x v="8"/>
    <s v="RAT"/>
    <x v="4"/>
    <x v="182"/>
    <n v="0"/>
    <n v="1508"/>
    <n v="0"/>
    <n v="16"/>
    <n v="0"/>
    <n v="0"/>
    <x v="8"/>
    <x v="2"/>
    <x v="3"/>
    <n v="0"/>
    <n v="1508"/>
    <n v="9"/>
    <n v="0"/>
    <s v="December"/>
  </r>
  <r>
    <x v="8"/>
    <s v="R0A"/>
    <x v="3"/>
    <x v="155"/>
    <n v="26603"/>
    <n v="10082"/>
    <n v="10068"/>
    <n v="303"/>
    <n v="3206"/>
    <n v="117"/>
    <x v="8"/>
    <x v="2"/>
    <x v="3"/>
    <n v="0.3784535578694132"/>
    <n v="36685"/>
    <n v="9"/>
    <n v="4.3980002255384733E-3"/>
    <s v="December"/>
  </r>
  <r>
    <x v="8"/>
    <s v="R0B"/>
    <x v="6"/>
    <x v="156"/>
    <n v="11522"/>
    <n v="5290"/>
    <n v="5763"/>
    <n v="132"/>
    <n v="937"/>
    <n v="4"/>
    <x v="8"/>
    <x v="2"/>
    <x v="3"/>
    <n v="0.50017358097552511"/>
    <n v="16812"/>
    <n v="9"/>
    <n v="3.4716195105016491E-4"/>
    <s v="December"/>
  </r>
  <r>
    <x v="8"/>
    <s v="RV9"/>
    <x v="6"/>
    <x v="148"/>
    <n v="0"/>
    <n v="1108"/>
    <n v="0"/>
    <n v="3"/>
    <n v="0"/>
    <n v="0"/>
    <x v="8"/>
    <x v="2"/>
    <x v="3"/>
    <n v="0"/>
    <n v="1108"/>
    <n v="9"/>
    <n v="0"/>
    <s v="December"/>
  </r>
  <r>
    <x v="8"/>
    <s v="RXK"/>
    <x v="5"/>
    <x v="176"/>
    <n v="11394"/>
    <n v="8770"/>
    <n v="5354"/>
    <n v="163"/>
    <n v="1036"/>
    <n v="422"/>
    <x v="8"/>
    <x v="2"/>
    <x v="3"/>
    <n v="0.46989643672108128"/>
    <n v="20164"/>
    <n v="9"/>
    <n v="3.7037037037037035E-2"/>
    <s v="December"/>
  </r>
  <r>
    <x v="8"/>
    <s v="NL7"/>
    <x v="5"/>
    <x v="142"/>
    <n v="0"/>
    <n v="3101"/>
    <n v="0"/>
    <n v="0"/>
    <n v="0"/>
    <n v="0"/>
    <x v="8"/>
    <x v="2"/>
    <x v="3"/>
    <n v="0"/>
    <n v="3101"/>
    <n v="9"/>
    <n v="0"/>
    <s v="December"/>
  </r>
  <r>
    <x v="8"/>
    <s v="RA2"/>
    <x v="0"/>
    <x v="203"/>
    <n v="6457"/>
    <n v="1760"/>
    <n v="2061"/>
    <n v="0"/>
    <n v="353"/>
    <n v="10"/>
    <x v="8"/>
    <x v="2"/>
    <x v="3"/>
    <n v="0.3191884776211863"/>
    <n v="8217"/>
    <n v="9"/>
    <n v="1.5487068297971194E-3"/>
    <s v="December"/>
  </r>
  <r>
    <x v="8"/>
    <s v="RAE"/>
    <x v="6"/>
    <x v="31"/>
    <n v="9699"/>
    <n v="3082"/>
    <n v="2395"/>
    <n v="0"/>
    <n v="699"/>
    <n v="50"/>
    <x v="8"/>
    <x v="2"/>
    <x v="3"/>
    <n v="0.24693267347149189"/>
    <n v="12781"/>
    <n v="9"/>
    <n v="5.1551706361480567E-3"/>
    <s v="December"/>
  </r>
  <r>
    <x v="8"/>
    <s v="RAS"/>
    <x v="4"/>
    <x v="174"/>
    <n v="5634"/>
    <n v="6910"/>
    <n v="3050"/>
    <n v="55"/>
    <n v="449"/>
    <n v="32"/>
    <x v="8"/>
    <x v="2"/>
    <x v="3"/>
    <n v="0.54135605253816121"/>
    <n v="12544"/>
    <n v="9"/>
    <n v="5.6798012069577564E-3"/>
    <s v="December"/>
  </r>
  <r>
    <x v="8"/>
    <s v="RBT"/>
    <x v="3"/>
    <x v="69"/>
    <n v="6779"/>
    <n v="2776"/>
    <n v="3555"/>
    <n v="13"/>
    <n v="488"/>
    <n v="551"/>
    <x v="8"/>
    <x v="2"/>
    <x v="3"/>
    <n v="0.52441363032895705"/>
    <n v="9555"/>
    <n v="9"/>
    <n v="8.1280424841422033E-2"/>
    <s v="December"/>
  </r>
  <r>
    <x v="8"/>
    <s v="RJN"/>
    <x v="3"/>
    <x v="125"/>
    <n v="4450"/>
    <n v="0"/>
    <n v="2192"/>
    <n v="0"/>
    <n v="195"/>
    <n v="285"/>
    <x v="8"/>
    <x v="2"/>
    <x v="3"/>
    <n v="0.49258426966292135"/>
    <n v="4450"/>
    <n v="9"/>
    <n v="6.4044943820224715E-2"/>
    <s v="December"/>
  </r>
  <r>
    <x v="8"/>
    <s v="RVW"/>
    <x v="6"/>
    <x v="76"/>
    <n v="5187"/>
    <n v="11450"/>
    <n v="2726"/>
    <n v="48"/>
    <n v="292"/>
    <n v="33"/>
    <x v="8"/>
    <x v="2"/>
    <x v="3"/>
    <n v="0.52554463080778868"/>
    <n v="16637"/>
    <n v="9"/>
    <n v="6.3620589936379413E-3"/>
    <s v="December"/>
  </r>
  <r>
    <x v="8"/>
    <s v="C83023"/>
    <x v="5"/>
    <x v="44"/>
    <n v="0"/>
    <n v="489"/>
    <n v="0"/>
    <n v="0"/>
    <n v="0"/>
    <n v="0"/>
    <x v="8"/>
    <x v="2"/>
    <x v="3"/>
    <n v="0"/>
    <n v="489"/>
    <n v="9"/>
    <n v="0"/>
    <s v="December"/>
  </r>
  <r>
    <x v="8"/>
    <s v="L83087"/>
    <x v="1"/>
    <x v="180"/>
    <n v="0"/>
    <n v="53"/>
    <n v="0"/>
    <n v="0"/>
    <n v="0"/>
    <n v="0"/>
    <x v="8"/>
    <x v="2"/>
    <x v="3"/>
    <n v="0"/>
    <n v="53"/>
    <n v="9"/>
    <n v="0"/>
    <s v="December"/>
  </r>
  <r>
    <x v="8"/>
    <s v="RGP"/>
    <x v="2"/>
    <x v="146"/>
    <n v="7283"/>
    <n v="1328"/>
    <n v="2285"/>
    <n v="0"/>
    <n v="480"/>
    <n v="362"/>
    <x v="8"/>
    <x v="2"/>
    <x v="3"/>
    <n v="0.31374433612522312"/>
    <n v="8611"/>
    <n v="9"/>
    <n v="4.9704791981326379E-2"/>
    <s v="December"/>
  </r>
  <r>
    <x v="8"/>
    <s v="RKE"/>
    <x v="4"/>
    <x v="194"/>
    <n v="9136"/>
    <n v="0"/>
    <n v="2819"/>
    <n v="0"/>
    <n v="282"/>
    <n v="258"/>
    <x v="8"/>
    <x v="2"/>
    <x v="3"/>
    <n v="0.30855954465849389"/>
    <n v="9136"/>
    <n v="9"/>
    <n v="2.8239929947460597E-2"/>
    <s v="December"/>
  </r>
  <r>
    <x v="8"/>
    <s v="RQX"/>
    <x v="4"/>
    <x v="106"/>
    <n v="11082"/>
    <n v="0"/>
    <n v="2048"/>
    <n v="0"/>
    <n v="226"/>
    <n v="25"/>
    <x v="8"/>
    <x v="2"/>
    <x v="3"/>
    <n v="0.18480418696986103"/>
    <n v="11082"/>
    <n v="9"/>
    <n v="2.2559104854719364E-3"/>
    <s v="December"/>
  </r>
  <r>
    <x v="8"/>
    <s v="RR7"/>
    <x v="6"/>
    <x v="115"/>
    <n v="6245"/>
    <n v="4200"/>
    <n v="2793"/>
    <n v="27"/>
    <n v="884"/>
    <n v="2"/>
    <x v="8"/>
    <x v="2"/>
    <x v="3"/>
    <n v="0.44723779023218574"/>
    <n v="10445"/>
    <n v="9"/>
    <n v="3.2025620496397119E-4"/>
    <s v="December"/>
  </r>
  <r>
    <x v="8"/>
    <s v="RXG"/>
    <x v="6"/>
    <x v="85"/>
    <n v="0"/>
    <n v="0"/>
    <n v="0"/>
    <n v="0"/>
    <n v="0"/>
    <n v="0"/>
    <x v="8"/>
    <x v="2"/>
    <x v="3"/>
    <n v="0"/>
    <n v="0"/>
    <n v="9"/>
    <n v="0"/>
    <s v="December"/>
  </r>
  <r>
    <x v="8"/>
    <s v="RXQ"/>
    <x v="0"/>
    <x v="48"/>
    <n v="9649"/>
    <n v="3156"/>
    <n v="3938"/>
    <n v="51"/>
    <n v="205"/>
    <n v="204"/>
    <x v="8"/>
    <x v="2"/>
    <x v="3"/>
    <n v="0.40812519432065497"/>
    <n v="12805"/>
    <n v="9"/>
    <n v="2.1142087262928801E-2"/>
    <s v="December"/>
  </r>
  <r>
    <x v="8"/>
    <s v="RNQ"/>
    <x v="5"/>
    <x v="169"/>
    <n v="10450"/>
    <n v="9038"/>
    <n v="3980"/>
    <n v="31"/>
    <n v="690"/>
    <n v="481"/>
    <x v="8"/>
    <x v="2"/>
    <x v="3"/>
    <n v="0.38086124401913873"/>
    <n v="19488"/>
    <n v="9"/>
    <n v="4.6028708133971294E-2"/>
    <s v="December"/>
  </r>
  <r>
    <x v="8"/>
    <s v="AAH"/>
    <x v="1"/>
    <x v="149"/>
    <n v="0"/>
    <n v="587"/>
    <n v="0"/>
    <n v="0"/>
    <n v="0"/>
    <n v="0"/>
    <x v="8"/>
    <x v="2"/>
    <x v="3"/>
    <n v="0"/>
    <n v="587"/>
    <n v="9"/>
    <n v="0"/>
    <s v="December"/>
  </r>
  <r>
    <x v="8"/>
    <s v="ACH01"/>
    <x v="0"/>
    <x v="119"/>
    <n v="0"/>
    <n v="4984"/>
    <n v="0"/>
    <n v="0"/>
    <n v="0"/>
    <n v="0"/>
    <x v="8"/>
    <x v="2"/>
    <x v="3"/>
    <n v="0"/>
    <n v="4984"/>
    <n v="9"/>
    <n v="0"/>
    <s v="December"/>
  </r>
  <r>
    <x v="8"/>
    <s v="NTP11"/>
    <x v="0"/>
    <x v="154"/>
    <n v="0"/>
    <n v="4862"/>
    <n v="0"/>
    <n v="35"/>
    <n v="0"/>
    <n v="0"/>
    <x v="8"/>
    <x v="2"/>
    <x v="3"/>
    <n v="0"/>
    <n v="4862"/>
    <n v="9"/>
    <n v="0"/>
    <s v="December"/>
  </r>
  <r>
    <x v="8"/>
    <s v="RBS"/>
    <x v="3"/>
    <x v="160"/>
    <n v="6808"/>
    <n v="0"/>
    <n v="1089"/>
    <n v="0"/>
    <n v="1"/>
    <n v="0"/>
    <x v="8"/>
    <x v="2"/>
    <x v="3"/>
    <n v="0.15995887191539365"/>
    <n v="6808"/>
    <n v="9"/>
    <n v="0"/>
    <s v="December"/>
  </r>
  <r>
    <x v="8"/>
    <s v="RLQ"/>
    <x v="5"/>
    <x v="123"/>
    <n v="5847"/>
    <n v="130"/>
    <n v="2414"/>
    <n v="0"/>
    <n v="400"/>
    <n v="202"/>
    <x v="8"/>
    <x v="2"/>
    <x v="3"/>
    <n v="0.41286129639131181"/>
    <n v="5977"/>
    <n v="9"/>
    <n v="3.4547631263896018E-2"/>
    <s v="December"/>
  </r>
  <r>
    <x v="8"/>
    <s v="RAN"/>
    <x v="4"/>
    <x v="24"/>
    <n v="0"/>
    <n v="0"/>
    <n v="0"/>
    <n v="0"/>
    <n v="0"/>
    <n v="0"/>
    <x v="8"/>
    <x v="2"/>
    <x v="3"/>
    <n v="0"/>
    <n v="0"/>
    <n v="9"/>
    <n v="0"/>
    <s v="December"/>
  </r>
  <r>
    <x v="8"/>
    <s v="Y02615"/>
    <x v="5"/>
    <x v="129"/>
    <n v="0"/>
    <n v="4387"/>
    <n v="0"/>
    <n v="0"/>
    <n v="0"/>
    <n v="0"/>
    <x v="8"/>
    <x v="2"/>
    <x v="3"/>
    <n v="0"/>
    <n v="4387"/>
    <n v="9"/>
    <n v="0"/>
    <s v="December"/>
  </r>
  <r>
    <x v="8"/>
    <s v="RAL"/>
    <x v="4"/>
    <x v="33"/>
    <n v="27408"/>
    <n v="15206"/>
    <n v="9294"/>
    <n v="718"/>
    <n v="1000"/>
    <n v="1921"/>
    <x v="8"/>
    <x v="2"/>
    <x v="3"/>
    <n v="0.33909807355516636"/>
    <n v="42614"/>
    <n v="9"/>
    <n v="7.0089025102159946E-2"/>
    <s v="December"/>
  </r>
  <r>
    <x v="8"/>
    <s v="RNU"/>
    <x v="0"/>
    <x v="16"/>
    <n v="0"/>
    <n v="3444"/>
    <n v="0"/>
    <n v="103"/>
    <n v="0"/>
    <n v="0"/>
    <x v="8"/>
    <x v="2"/>
    <x v="3"/>
    <n v="0"/>
    <n v="3444"/>
    <n v="9"/>
    <n v="0"/>
    <s v="December"/>
  </r>
  <r>
    <x v="8"/>
    <s v="Y02676"/>
    <x v="0"/>
    <x v="52"/>
    <n v="0"/>
    <n v="1871"/>
    <n v="0"/>
    <n v="0"/>
    <n v="0"/>
    <n v="0"/>
    <x v="8"/>
    <x v="2"/>
    <x v="3"/>
    <n v="0"/>
    <n v="1871"/>
    <n v="9"/>
    <n v="0"/>
    <s v="December"/>
  </r>
  <r>
    <x v="8"/>
    <s v="AJN"/>
    <x v="6"/>
    <x v="187"/>
    <n v="0"/>
    <n v="316"/>
    <n v="0"/>
    <n v="0"/>
    <n v="0"/>
    <n v="0"/>
    <x v="8"/>
    <x v="2"/>
    <x v="3"/>
    <n v="0"/>
    <n v="316"/>
    <n v="9"/>
    <n v="0"/>
    <s v="December"/>
  </r>
  <r>
    <x v="8"/>
    <s v="C82038"/>
    <x v="5"/>
    <x v="131"/>
    <n v="0"/>
    <n v="283"/>
    <n v="0"/>
    <n v="0"/>
    <n v="0"/>
    <n v="0"/>
    <x v="8"/>
    <x v="2"/>
    <x v="3"/>
    <n v="0"/>
    <n v="283"/>
    <n v="9"/>
    <n v="0"/>
    <s v="December"/>
  </r>
  <r>
    <x v="8"/>
    <s v="G3P9C"/>
    <x v="1"/>
    <x v="199"/>
    <n v="0"/>
    <n v="993"/>
    <n v="0"/>
    <n v="1"/>
    <n v="0"/>
    <n v="0"/>
    <x v="8"/>
    <x v="2"/>
    <x v="3"/>
    <n v="0"/>
    <n v="993"/>
    <n v="9"/>
    <n v="0"/>
    <s v="December"/>
  </r>
  <r>
    <x v="8"/>
    <s v="NQT1I"/>
    <x v="1"/>
    <x v="200"/>
    <n v="0"/>
    <n v="1364"/>
    <n v="0"/>
    <n v="13"/>
    <n v="0"/>
    <n v="0"/>
    <x v="8"/>
    <x v="2"/>
    <x v="3"/>
    <n v="0"/>
    <n v="1364"/>
    <n v="9"/>
    <n v="0"/>
    <s v="December"/>
  </r>
  <r>
    <x v="8"/>
    <s v="NQT5H"/>
    <x v="1"/>
    <x v="144"/>
    <n v="0"/>
    <n v="1010"/>
    <n v="0"/>
    <n v="1"/>
    <n v="0"/>
    <n v="0"/>
    <x v="8"/>
    <x v="2"/>
    <x v="3"/>
    <n v="0"/>
    <n v="1010"/>
    <n v="9"/>
    <n v="0"/>
    <s v="December"/>
  </r>
  <r>
    <x v="8"/>
    <s v="NTV0B"/>
    <x v="0"/>
    <x v="127"/>
    <n v="0"/>
    <n v="2358"/>
    <n v="0"/>
    <n v="42"/>
    <n v="0"/>
    <n v="0"/>
    <x v="8"/>
    <x v="2"/>
    <x v="3"/>
    <n v="0"/>
    <n v="2358"/>
    <n v="9"/>
    <n v="0"/>
    <s v="December"/>
  </r>
  <r>
    <x v="8"/>
    <s v="NTV0W"/>
    <x v="0"/>
    <x v="128"/>
    <n v="0"/>
    <n v="2599"/>
    <n v="0"/>
    <n v="28"/>
    <n v="0"/>
    <n v="0"/>
    <x v="8"/>
    <x v="2"/>
    <x v="3"/>
    <n v="0"/>
    <n v="2599"/>
    <n v="9"/>
    <n v="0"/>
    <s v="December"/>
  </r>
  <r>
    <x v="8"/>
    <s v="NVE43"/>
    <x v="0"/>
    <x v="205"/>
    <n v="0"/>
    <n v="1127"/>
    <n v="0"/>
    <n v="0"/>
    <n v="0"/>
    <n v="0"/>
    <x v="8"/>
    <x v="2"/>
    <x v="3"/>
    <n v="0"/>
    <n v="1127"/>
    <n v="9"/>
    <n v="0"/>
    <s v="December"/>
  </r>
  <r>
    <x v="8"/>
    <s v="R1D"/>
    <x v="5"/>
    <x v="46"/>
    <n v="0"/>
    <n v="2808"/>
    <n v="0"/>
    <n v="11"/>
    <n v="0"/>
    <n v="0"/>
    <x v="8"/>
    <x v="2"/>
    <x v="3"/>
    <n v="0"/>
    <n v="2808"/>
    <n v="9"/>
    <n v="0"/>
    <s v="December"/>
  </r>
  <r>
    <x v="8"/>
    <s v="RA9"/>
    <x v="1"/>
    <x v="113"/>
    <n v="6606"/>
    <n v="2925"/>
    <n v="2812"/>
    <n v="2"/>
    <n v="155"/>
    <n v="56"/>
    <x v="8"/>
    <x v="2"/>
    <x v="3"/>
    <n v="0.42567363003330305"/>
    <n v="9531"/>
    <n v="9"/>
    <n v="8.4771419921283678E-3"/>
    <s v="December"/>
  </r>
  <r>
    <x v="8"/>
    <s v="RC9"/>
    <x v="2"/>
    <x v="161"/>
    <n v="17035"/>
    <n v="9488"/>
    <n v="6156"/>
    <n v="0"/>
    <n v="82"/>
    <n v="39"/>
    <x v="8"/>
    <x v="2"/>
    <x v="3"/>
    <n v="0.36137364250073378"/>
    <n v="26523"/>
    <n v="9"/>
    <n v="2.2894041678896389E-3"/>
    <s v="December"/>
  </r>
  <r>
    <x v="8"/>
    <s v="RDY"/>
    <x v="1"/>
    <x v="145"/>
    <n v="0"/>
    <n v="0"/>
    <n v="0"/>
    <n v="0"/>
    <n v="0"/>
    <n v="0"/>
    <x v="8"/>
    <x v="2"/>
    <x v="3"/>
    <n v="0"/>
    <n v="0"/>
    <n v="9"/>
    <n v="0"/>
    <s v="December"/>
  </r>
  <r>
    <x v="8"/>
    <s v="REP"/>
    <x v="3"/>
    <x v="38"/>
    <n v="0"/>
    <n v="0"/>
    <n v="0"/>
    <n v="0"/>
    <n v="0"/>
    <n v="0"/>
    <x v="8"/>
    <x v="2"/>
    <x v="3"/>
    <n v="0"/>
    <n v="0"/>
    <n v="9"/>
    <n v="0"/>
    <s v="December"/>
  </r>
  <r>
    <x v="8"/>
    <s v="RJ8"/>
    <x v="1"/>
    <x v="135"/>
    <n v="0"/>
    <n v="0"/>
    <n v="0"/>
    <n v="0"/>
    <n v="0"/>
    <n v="0"/>
    <x v="8"/>
    <x v="2"/>
    <x v="3"/>
    <n v="0"/>
    <n v="0"/>
    <n v="9"/>
    <n v="0"/>
    <s v="December"/>
  </r>
  <r>
    <x v="8"/>
    <s v="RJR"/>
    <x v="3"/>
    <x v="105"/>
    <n v="5495"/>
    <n v="2116"/>
    <n v="2600"/>
    <n v="302"/>
    <n v="437"/>
    <n v="634"/>
    <x v="8"/>
    <x v="2"/>
    <x v="3"/>
    <n v="0.47315741583257509"/>
    <n v="7611"/>
    <n v="9"/>
    <n v="0.11537761601455869"/>
    <s v="December"/>
  </r>
  <r>
    <x v="8"/>
    <s v="RWY"/>
    <x v="6"/>
    <x v="138"/>
    <n v="15746"/>
    <n v="0"/>
    <n v="3024"/>
    <n v="0"/>
    <n v="1144"/>
    <n v="56"/>
    <x v="8"/>
    <x v="2"/>
    <x v="3"/>
    <n v="0.19204877429188366"/>
    <n v="15746"/>
    <n v="9"/>
    <n v="3.5564587831830308E-3"/>
    <s v="December"/>
  </r>
  <r>
    <x v="8"/>
    <s v="RYF"/>
    <x v="1"/>
    <x v="89"/>
    <n v="0"/>
    <n v="1808"/>
    <n v="0"/>
    <n v="23"/>
    <n v="0"/>
    <n v="0"/>
    <x v="8"/>
    <x v="2"/>
    <x v="3"/>
    <n v="0"/>
    <n v="1808"/>
    <n v="9"/>
    <n v="0"/>
    <s v="December"/>
  </r>
  <r>
    <x v="8"/>
    <s v="Y02428"/>
    <x v="2"/>
    <x v="140"/>
    <n v="0"/>
    <n v="3460"/>
    <n v="0"/>
    <n v="0"/>
    <n v="0"/>
    <n v="0"/>
    <x v="8"/>
    <x v="2"/>
    <x v="3"/>
    <n v="0"/>
    <n v="3460"/>
    <n v="9"/>
    <n v="0"/>
    <s v="December"/>
  </r>
  <r>
    <x v="8"/>
    <s v="Y03218"/>
    <x v="4"/>
    <x v="108"/>
    <n v="0"/>
    <n v="1005"/>
    <n v="0"/>
    <n v="0"/>
    <n v="0"/>
    <n v="0"/>
    <x v="8"/>
    <x v="2"/>
    <x v="3"/>
    <n v="0"/>
    <n v="1005"/>
    <n v="9"/>
    <n v="0"/>
    <s v="December"/>
  </r>
  <r>
    <x v="8"/>
    <s v="RPA"/>
    <x v="0"/>
    <x v="191"/>
    <n v="9720"/>
    <n v="5730"/>
    <n v="3923"/>
    <n v="1027"/>
    <n v="417"/>
    <n v="680"/>
    <x v="8"/>
    <x v="2"/>
    <x v="3"/>
    <n v="0.40360082304526751"/>
    <n v="15450"/>
    <n v="9"/>
    <n v="6.9958847736625515E-2"/>
    <s v="December"/>
  </r>
  <r>
    <x v="8"/>
    <s v="RBQ"/>
    <x v="3"/>
    <x v="133"/>
    <n v="0"/>
    <n v="0"/>
    <n v="0"/>
    <n v="0"/>
    <n v="0"/>
    <n v="0"/>
    <x v="8"/>
    <x v="2"/>
    <x v="3"/>
    <n v="0"/>
    <n v="0"/>
    <n v="9"/>
    <n v="0"/>
    <s v="December"/>
  </r>
  <r>
    <x v="8"/>
    <s v="RYY"/>
    <x v="0"/>
    <x v="122"/>
    <n v="0"/>
    <n v="6479"/>
    <n v="0"/>
    <n v="17"/>
    <n v="0"/>
    <n v="0"/>
    <x v="8"/>
    <x v="2"/>
    <x v="3"/>
    <n v="0"/>
    <n v="6479"/>
    <n v="9"/>
    <n v="0"/>
    <s v="December"/>
  </r>
  <r>
    <x v="8"/>
    <s v="RJC"/>
    <x v="5"/>
    <x v="188"/>
    <n v="8104"/>
    <n v="346"/>
    <n v="2015"/>
    <n v="0"/>
    <n v="396"/>
    <n v="49"/>
    <x v="8"/>
    <x v="2"/>
    <x v="3"/>
    <n v="0.24864264560710761"/>
    <n v="8450"/>
    <n v="9"/>
    <n v="6.0463968410661402E-3"/>
    <s v="December"/>
  </r>
  <r>
    <x v="8"/>
    <s v="RL4"/>
    <x v="5"/>
    <x v="165"/>
    <n v="10941"/>
    <n v="7633"/>
    <n v="4264"/>
    <n v="516"/>
    <n v="883"/>
    <n v="530"/>
    <x v="8"/>
    <x v="2"/>
    <x v="3"/>
    <n v="0.38972671602230141"/>
    <n v="18574"/>
    <n v="9"/>
    <n v="4.8441641531852667E-2"/>
    <s v="December"/>
  </r>
  <r>
    <x v="8"/>
    <s v="RQM"/>
    <x v="4"/>
    <x v="19"/>
    <n v="19984"/>
    <n v="6701"/>
    <n v="5683"/>
    <n v="240"/>
    <n v="922"/>
    <n v="51"/>
    <x v="8"/>
    <x v="2"/>
    <x v="3"/>
    <n v="0.28437750200160128"/>
    <n v="26685"/>
    <n v="9"/>
    <n v="2.5520416333066455E-3"/>
    <s v="December"/>
  </r>
  <r>
    <x v="8"/>
    <s v="RQW"/>
    <x v="2"/>
    <x v="150"/>
    <n v="8104"/>
    <n v="2529"/>
    <n v="2415"/>
    <n v="0"/>
    <n v="492"/>
    <n v="181"/>
    <x v="8"/>
    <x v="2"/>
    <x v="3"/>
    <n v="0.29800098716683121"/>
    <n v="10633"/>
    <n v="9"/>
    <n v="2.2334649555774928E-2"/>
    <s v="December"/>
  </r>
  <r>
    <x v="8"/>
    <s v="RR8"/>
    <x v="6"/>
    <x v="20"/>
    <n v="17518"/>
    <n v="11111"/>
    <n v="7234"/>
    <n v="573"/>
    <n v="1349"/>
    <n v="809"/>
    <x v="8"/>
    <x v="2"/>
    <x v="3"/>
    <n v="0.41294668341134833"/>
    <n v="28629"/>
    <n v="9"/>
    <n v="4.6181070898504394E-2"/>
    <s v="December"/>
  </r>
  <r>
    <x v="8"/>
    <s v="RRV"/>
    <x v="4"/>
    <x v="171"/>
    <n v="13329"/>
    <n v="0"/>
    <n v="3677"/>
    <n v="0"/>
    <n v="379"/>
    <n v="128"/>
    <x v="8"/>
    <x v="2"/>
    <x v="3"/>
    <n v="0.27586465601320431"/>
    <n v="13329"/>
    <n v="9"/>
    <n v="9.6031210143296564E-3"/>
    <s v="December"/>
  </r>
  <r>
    <x v="8"/>
    <s v="RTR"/>
    <x v="6"/>
    <x v="147"/>
    <n v="7786"/>
    <n v="9002"/>
    <n v="3671"/>
    <n v="442"/>
    <n v="327"/>
    <n v="11"/>
    <x v="8"/>
    <x v="2"/>
    <x v="3"/>
    <n v="0.47148728487027997"/>
    <n v="16788"/>
    <n v="9"/>
    <n v="1.4127921911122527E-3"/>
    <s v="December"/>
  </r>
  <r>
    <x v="8"/>
    <s v="RTX"/>
    <x v="3"/>
    <x v="98"/>
    <n v="8766"/>
    <n v="2567"/>
    <n v="3818"/>
    <n v="73"/>
    <n v="736"/>
    <n v="609"/>
    <x v="8"/>
    <x v="2"/>
    <x v="3"/>
    <n v="0.43554642938626509"/>
    <n v="11333"/>
    <n v="9"/>
    <n v="6.9472963723477069E-2"/>
    <s v="December"/>
  </r>
  <r>
    <x v="8"/>
    <s v="RY4"/>
    <x v="2"/>
    <x v="172"/>
    <n v="0"/>
    <n v="1033"/>
    <n v="0"/>
    <n v="11"/>
    <n v="0"/>
    <n v="0"/>
    <x v="8"/>
    <x v="2"/>
    <x v="3"/>
    <n v="0"/>
    <n v="1033"/>
    <n v="9"/>
    <n v="0"/>
    <s v="December"/>
  </r>
  <r>
    <x v="8"/>
    <s v="RY7"/>
    <x v="3"/>
    <x v="139"/>
    <n v="0"/>
    <n v="3401"/>
    <n v="0"/>
    <n v="324"/>
    <n v="0"/>
    <n v="0"/>
    <x v="8"/>
    <x v="2"/>
    <x v="3"/>
    <n v="0"/>
    <n v="3401"/>
    <n v="9"/>
    <n v="0"/>
    <s v="December"/>
  </r>
  <r>
    <x v="8"/>
    <s v="RYR"/>
    <x v="0"/>
    <x v="92"/>
    <n v="27283"/>
    <n v="1438"/>
    <n v="11226"/>
    <n v="176"/>
    <n v="905"/>
    <n v="718"/>
    <x v="8"/>
    <x v="2"/>
    <x v="3"/>
    <n v="0.41146501484440862"/>
    <n v="28721"/>
    <n v="9"/>
    <n v="2.6316754022651469E-2"/>
    <s v="December"/>
  </r>
  <r>
    <x v="8"/>
    <s v="8J094"/>
    <x v="5"/>
    <x v="109"/>
    <n v="0"/>
    <n v="0"/>
    <n v="0"/>
    <n v="0"/>
    <n v="0"/>
    <n v="0"/>
    <x v="8"/>
    <x v="2"/>
    <x v="3"/>
    <n v="0"/>
    <n v="0"/>
    <n v="9"/>
    <n v="0"/>
    <s v="December"/>
  </r>
  <r>
    <x v="8"/>
    <s v="ARN03"/>
    <x v="6"/>
    <x v="178"/>
    <n v="0"/>
    <n v="2515"/>
    <n v="0"/>
    <n v="9"/>
    <n v="0"/>
    <n v="0"/>
    <x v="8"/>
    <x v="2"/>
    <x v="3"/>
    <n v="0"/>
    <n v="2515"/>
    <n v="9"/>
    <n v="0"/>
    <s v="December"/>
  </r>
  <r>
    <x v="8"/>
    <s v="G0Q0L"/>
    <x v="4"/>
    <x v="120"/>
    <n v="0"/>
    <n v="2627"/>
    <n v="0"/>
    <n v="24"/>
    <n v="0"/>
    <n v="0"/>
    <x v="8"/>
    <x v="2"/>
    <x v="3"/>
    <n v="0"/>
    <n v="2627"/>
    <n v="9"/>
    <n v="0"/>
    <s v="December"/>
  </r>
  <r>
    <x v="8"/>
    <s v="K6K0R"/>
    <x v="4"/>
    <x v="121"/>
    <n v="0"/>
    <n v="2897"/>
    <n v="0"/>
    <n v="26"/>
    <n v="0"/>
    <n v="0"/>
    <x v="8"/>
    <x v="2"/>
    <x v="3"/>
    <n v="0"/>
    <n v="2897"/>
    <n v="9"/>
    <n v="0"/>
    <s v="December"/>
  </r>
  <r>
    <x v="8"/>
    <s v="NNF09"/>
    <x v="6"/>
    <x v="26"/>
    <n v="0"/>
    <n v="3846"/>
    <n v="0"/>
    <n v="525"/>
    <n v="0"/>
    <n v="0"/>
    <x v="8"/>
    <x v="2"/>
    <x v="3"/>
    <n v="0"/>
    <n v="3846"/>
    <n v="9"/>
    <n v="0"/>
    <s v="December"/>
  </r>
  <r>
    <x v="8"/>
    <s v="NNF16"/>
    <x v="6"/>
    <x v="27"/>
    <n v="0"/>
    <n v="1526"/>
    <n v="0"/>
    <n v="62"/>
    <n v="0"/>
    <n v="0"/>
    <x v="8"/>
    <x v="2"/>
    <x v="3"/>
    <n v="0"/>
    <n v="1526"/>
    <n v="9"/>
    <n v="0"/>
    <s v="December"/>
  </r>
  <r>
    <x v="8"/>
    <s v="NNF94"/>
    <x v="6"/>
    <x v="28"/>
    <n v="0"/>
    <n v="3038"/>
    <n v="0"/>
    <n v="212"/>
    <n v="0"/>
    <n v="0"/>
    <x v="8"/>
    <x v="2"/>
    <x v="3"/>
    <n v="0"/>
    <n v="3038"/>
    <n v="9"/>
    <n v="0"/>
    <s v="December"/>
  </r>
  <r>
    <x v="8"/>
    <s v="NNFA7"/>
    <x v="6"/>
    <x v="29"/>
    <n v="0"/>
    <n v="1790"/>
    <n v="0"/>
    <n v="5"/>
    <n v="0"/>
    <n v="0"/>
    <x v="8"/>
    <x v="2"/>
    <x v="3"/>
    <n v="0"/>
    <n v="1790"/>
    <n v="9"/>
    <n v="0"/>
    <s v="December"/>
  </r>
  <r>
    <x v="8"/>
    <s v="NV693"/>
    <x v="3"/>
    <x v="102"/>
    <n v="0"/>
    <n v="787"/>
    <n v="0"/>
    <n v="2"/>
    <n v="0"/>
    <n v="0"/>
    <x v="8"/>
    <x v="2"/>
    <x v="3"/>
    <n v="0"/>
    <n v="787"/>
    <n v="9"/>
    <n v="0"/>
    <s v="December"/>
  </r>
  <r>
    <x v="8"/>
    <s v="RY5"/>
    <x v="5"/>
    <x v="151"/>
    <n v="0"/>
    <n v="8220"/>
    <n v="0"/>
    <n v="166"/>
    <n v="0"/>
    <n v="0"/>
    <x v="8"/>
    <x v="2"/>
    <x v="3"/>
    <n v="0"/>
    <n v="8220"/>
    <n v="9"/>
    <n v="0"/>
    <s v="December"/>
  </r>
  <r>
    <x v="8"/>
    <s v="RJ6"/>
    <x v="4"/>
    <x v="189"/>
    <n v="13592"/>
    <n v="5317"/>
    <n v="4565"/>
    <n v="0"/>
    <n v="311"/>
    <n v="691"/>
    <x v="8"/>
    <x v="2"/>
    <x v="3"/>
    <n v="0.33585932901706889"/>
    <n v="18909"/>
    <n v="9"/>
    <n v="5.0838728663919953E-2"/>
    <s v="December"/>
  </r>
  <r>
    <x v="8"/>
    <s v="RH8"/>
    <x v="1"/>
    <x v="163"/>
    <n v="11950"/>
    <n v="3914"/>
    <n v="5412"/>
    <n v="4"/>
    <n v="876"/>
    <n v="272"/>
    <x v="8"/>
    <x v="2"/>
    <x v="3"/>
    <n v="0.45288702928870295"/>
    <n v="15864"/>
    <n v="9"/>
    <n v="2.2761506276150627E-2"/>
    <s v="December"/>
  </r>
  <r>
    <x v="8"/>
    <s v="RXW"/>
    <x v="5"/>
    <x v="88"/>
    <n v="10764"/>
    <n v="2805"/>
    <n v="6049"/>
    <n v="458"/>
    <n v="497"/>
    <n v="1429"/>
    <x v="8"/>
    <x v="2"/>
    <x v="3"/>
    <n v="0.56196581196581197"/>
    <n v="13569"/>
    <n v="9"/>
    <n v="0.1327573392790784"/>
    <s v="December"/>
  </r>
  <r>
    <x v="8"/>
    <s v="RCU"/>
    <x v="6"/>
    <x v="184"/>
    <n v="4907"/>
    <n v="554"/>
    <n v="587"/>
    <n v="5"/>
    <n v="13"/>
    <n v="0"/>
    <x v="8"/>
    <x v="2"/>
    <x v="3"/>
    <n v="0.11962502547381292"/>
    <n v="5461"/>
    <n v="9"/>
    <n v="0"/>
    <s v="December"/>
  </r>
  <r>
    <x v="8"/>
    <s v="C82009"/>
    <x v="5"/>
    <x v="179"/>
    <n v="0"/>
    <n v="306"/>
    <n v="0"/>
    <n v="0"/>
    <n v="0"/>
    <n v="0"/>
    <x v="8"/>
    <x v="2"/>
    <x v="3"/>
    <n v="0"/>
    <n v="306"/>
    <n v="9"/>
    <n v="0"/>
    <s v="December"/>
  </r>
  <r>
    <x v="8"/>
    <s v="REF"/>
    <x v="1"/>
    <x v="4"/>
    <n v="6695"/>
    <n v="10467"/>
    <n v="3210"/>
    <n v="603"/>
    <n v="529"/>
    <n v="581"/>
    <x v="8"/>
    <x v="2"/>
    <x v="3"/>
    <n v="0.47946228528752799"/>
    <n v="17162"/>
    <n v="9"/>
    <n v="8.6781179985063475E-2"/>
    <s v="December"/>
  </r>
  <r>
    <x v="8"/>
    <s v="NLX"/>
    <x v="1"/>
    <x v="181"/>
    <n v="0"/>
    <n v="7242"/>
    <n v="0"/>
    <n v="161"/>
    <n v="0"/>
    <n v="0"/>
    <x v="8"/>
    <x v="2"/>
    <x v="3"/>
    <n v="0"/>
    <n v="7242"/>
    <n v="9"/>
    <n v="0"/>
    <s v="December"/>
  </r>
  <r>
    <x v="8"/>
    <s v="NNJ"/>
    <x v="5"/>
    <x v="62"/>
    <n v="0"/>
    <n v="2159"/>
    <n v="0"/>
    <n v="3"/>
    <n v="0"/>
    <n v="0"/>
    <x v="8"/>
    <x v="2"/>
    <x v="3"/>
    <n v="0"/>
    <n v="2159"/>
    <n v="9"/>
    <n v="0"/>
    <s v="December"/>
  </r>
  <r>
    <x v="8"/>
    <s v="NTPAD"/>
    <x v="0"/>
    <x v="112"/>
    <n v="0"/>
    <n v="5032"/>
    <n v="0"/>
    <n v="178"/>
    <n v="0"/>
    <n v="0"/>
    <x v="8"/>
    <x v="2"/>
    <x v="3"/>
    <n v="0"/>
    <n v="5032"/>
    <n v="9"/>
    <n v="0"/>
    <s v="December"/>
  </r>
  <r>
    <x v="8"/>
    <s v="RLT"/>
    <x v="5"/>
    <x v="13"/>
    <n v="7185"/>
    <n v="1569"/>
    <n v="1900"/>
    <n v="7"/>
    <n v="329"/>
    <n v="424"/>
    <x v="8"/>
    <x v="2"/>
    <x v="3"/>
    <n v="0.26443980514961724"/>
    <n v="8754"/>
    <n v="9"/>
    <n v="5.9011830201809327E-2"/>
    <s v="December"/>
  </r>
  <r>
    <x v="8"/>
    <s v="RN3"/>
    <x v="1"/>
    <x v="167"/>
    <n v="6312"/>
    <n v="5380"/>
    <n v="3035"/>
    <n v="301"/>
    <n v="786"/>
    <n v="209"/>
    <x v="8"/>
    <x v="2"/>
    <x v="3"/>
    <n v="0.48083016476552598"/>
    <n v="11692"/>
    <n v="9"/>
    <n v="3.3111533586818759E-2"/>
    <s v="December"/>
  </r>
  <r>
    <x v="8"/>
    <s v="RP6"/>
    <x v="4"/>
    <x v="192"/>
    <n v="0"/>
    <n v="0"/>
    <n v="0"/>
    <n v="0"/>
    <n v="0"/>
    <n v="0"/>
    <x v="8"/>
    <x v="2"/>
    <x v="3"/>
    <n v="0"/>
    <n v="0"/>
    <n v="9"/>
    <n v="0"/>
    <s v="December"/>
  </r>
  <r>
    <x v="8"/>
    <s v="RTE"/>
    <x v="1"/>
    <x v="23"/>
    <n v="12939"/>
    <n v="0"/>
    <n v="4733"/>
    <n v="0"/>
    <n v="380"/>
    <n v="414"/>
    <x v="8"/>
    <x v="2"/>
    <x v="3"/>
    <n v="0.36579333797047686"/>
    <n v="12939"/>
    <n v="9"/>
    <n v="3.1996290285184324E-2"/>
    <s v="December"/>
  </r>
  <r>
    <x v="8"/>
    <s v="RTP"/>
    <x v="0"/>
    <x v="136"/>
    <n v="12321"/>
    <n v="0"/>
    <n v="4741"/>
    <n v="0"/>
    <n v="573"/>
    <n v="727"/>
    <x v="8"/>
    <x v="2"/>
    <x v="3"/>
    <n v="0.38479019560100641"/>
    <n v="12321"/>
    <n v="9"/>
    <n v="5.9004950896842788E-2"/>
    <s v="December"/>
  </r>
  <r>
    <x v="8"/>
    <s v="RTQ"/>
    <x v="1"/>
    <x v="126"/>
    <n v="0"/>
    <n v="7676"/>
    <n v="0"/>
    <n v="116"/>
    <n v="0"/>
    <n v="0"/>
    <x v="8"/>
    <x v="2"/>
    <x v="3"/>
    <n v="0"/>
    <n v="7676"/>
    <n v="9"/>
    <n v="0"/>
    <s v="December"/>
  </r>
  <r>
    <x v="8"/>
    <s v="DJV01"/>
    <x v="0"/>
    <x v="202"/>
    <n v="0"/>
    <n v="2761"/>
    <n v="0"/>
    <n v="0"/>
    <n v="0"/>
    <n v="0"/>
    <x v="8"/>
    <x v="2"/>
    <x v="3"/>
    <n v="0"/>
    <n v="2761"/>
    <n v="9"/>
    <n v="0"/>
    <s v="December"/>
  </r>
  <r>
    <x v="8"/>
    <s v="RW4"/>
    <x v="3"/>
    <x v="124"/>
    <n v="0"/>
    <n v="13436"/>
    <n v="0"/>
    <n v="422"/>
    <n v="0"/>
    <n v="0"/>
    <x v="8"/>
    <x v="2"/>
    <x v="3"/>
    <n v="0"/>
    <n v="13436"/>
    <n v="9"/>
    <n v="0"/>
    <s v="December"/>
  </r>
  <r>
    <x v="8"/>
    <s v="RCF"/>
    <x v="6"/>
    <x v="162"/>
    <n v="5866"/>
    <n v="0"/>
    <n v="2195"/>
    <n v="0"/>
    <n v="517"/>
    <n v="239"/>
    <x v="8"/>
    <x v="2"/>
    <x v="3"/>
    <n v="0.37419024889191954"/>
    <n v="5866"/>
    <n v="9"/>
    <n v="4.0743266280259122E-2"/>
    <s v="December"/>
  </r>
  <r>
    <x v="8"/>
    <s v="RWP"/>
    <x v="5"/>
    <x v="170"/>
    <n v="13727"/>
    <n v="4602"/>
    <n v="7261"/>
    <n v="84"/>
    <n v="1189"/>
    <n v="1035"/>
    <x v="8"/>
    <x v="2"/>
    <x v="3"/>
    <n v="0.52895752895752901"/>
    <n v="18329"/>
    <n v="9"/>
    <n v="7.5398848983754638E-2"/>
    <s v="December"/>
  </r>
  <r>
    <x v="8"/>
    <s v="RXF"/>
    <x v="6"/>
    <x v="177"/>
    <n v="16288"/>
    <n v="6307"/>
    <n v="6350"/>
    <n v="360"/>
    <n v="2001"/>
    <n v="315"/>
    <x v="8"/>
    <x v="2"/>
    <x v="3"/>
    <n v="0.38985756385068765"/>
    <n v="22595"/>
    <n v="9"/>
    <n v="1.9339390962671905E-2"/>
    <s v="December"/>
  </r>
  <r>
    <x v="8"/>
    <s v="RY8"/>
    <x v="5"/>
    <x v="152"/>
    <n v="0"/>
    <n v="6947"/>
    <n v="0"/>
    <n v="346"/>
    <n v="0"/>
    <n v="0"/>
    <x v="8"/>
    <x v="2"/>
    <x v="3"/>
    <n v="0"/>
    <n v="6947"/>
    <n v="9"/>
    <n v="0"/>
    <s v="December"/>
  </r>
  <r>
    <x v="8"/>
    <s v="Y02532"/>
    <x v="3"/>
    <x v="141"/>
    <n v="0"/>
    <n v="1787"/>
    <n v="0"/>
    <n v="0"/>
    <n v="0"/>
    <n v="0"/>
    <x v="8"/>
    <x v="2"/>
    <x v="3"/>
    <n v="0"/>
    <n v="1787"/>
    <n v="9"/>
    <n v="0"/>
    <s v="December"/>
  </r>
  <r>
    <x v="8"/>
    <s v="NDJ"/>
    <x v="0"/>
    <x v="0"/>
    <n v="0"/>
    <n v="2224"/>
    <n v="0"/>
    <n v="4"/>
    <n v="0"/>
    <n v="0"/>
    <x v="8"/>
    <x v="2"/>
    <x v="3"/>
    <n v="0"/>
    <n v="2224"/>
    <n v="9"/>
    <n v="0"/>
    <s v="December"/>
  </r>
  <r>
    <x v="8"/>
    <s v="NQT5F"/>
    <x v="3"/>
    <x v="143"/>
    <n v="0"/>
    <n v="1706"/>
    <n v="0"/>
    <n v="41"/>
    <n v="0"/>
    <n v="0"/>
    <x v="8"/>
    <x v="2"/>
    <x v="3"/>
    <n v="0"/>
    <n v="1706"/>
    <n v="9"/>
    <n v="0"/>
    <s v="December"/>
  </r>
  <r>
    <x v="8"/>
    <s v="R0D"/>
    <x v="1"/>
    <x v="157"/>
    <n v="14438"/>
    <n v="4035"/>
    <n v="6298"/>
    <n v="0"/>
    <n v="1095"/>
    <n v="395"/>
    <x v="8"/>
    <x v="2"/>
    <x v="3"/>
    <n v="0.43621000138523341"/>
    <n v="18473"/>
    <n v="9"/>
    <n v="2.7358359883640392E-2"/>
    <s v="December"/>
  </r>
  <r>
    <x v="8"/>
    <s v="RW1"/>
    <x v="0"/>
    <x v="137"/>
    <n v="0"/>
    <n v="2752"/>
    <n v="0"/>
    <n v="31"/>
    <n v="0"/>
    <n v="0"/>
    <x v="8"/>
    <x v="2"/>
    <x v="3"/>
    <n v="0"/>
    <n v="2752"/>
    <n v="9"/>
    <n v="0"/>
    <s v="December"/>
  </r>
  <r>
    <x v="9"/>
    <s v="L83087"/>
    <x v="1"/>
    <x v="180"/>
    <n v="0"/>
    <n v="62"/>
    <n v="0"/>
    <n v="0"/>
    <n v="0"/>
    <n v="0"/>
    <x v="9"/>
    <x v="3"/>
    <x v="3"/>
    <n v="0"/>
    <n v="62"/>
    <n v="10"/>
    <n v="0"/>
    <s v="January"/>
  </r>
  <r>
    <x v="9"/>
    <s v="R0A"/>
    <x v="3"/>
    <x v="155"/>
    <n v="26747"/>
    <n v="10782"/>
    <n v="10951"/>
    <n v="372"/>
    <n v="4363"/>
    <n v="188"/>
    <x v="9"/>
    <x v="3"/>
    <x v="3"/>
    <n v="0.4094290948517591"/>
    <n v="37529"/>
    <n v="10"/>
    <n v="7.0288256626911431E-3"/>
    <s v="January"/>
  </r>
  <r>
    <x v="9"/>
    <s v="RBV"/>
    <x v="3"/>
    <x v="22"/>
    <n v="0"/>
    <n v="0"/>
    <n v="0"/>
    <n v="0"/>
    <n v="0"/>
    <n v="0"/>
    <x v="9"/>
    <x v="3"/>
    <x v="3"/>
    <n v="0"/>
    <n v="0"/>
    <n v="10"/>
    <n v="0"/>
    <s v="January"/>
  </r>
  <r>
    <x v="9"/>
    <s v="RMC"/>
    <x v="3"/>
    <x v="72"/>
    <n v="8324"/>
    <n v="3623"/>
    <n v="4154"/>
    <n v="367"/>
    <n v="445"/>
    <n v="531"/>
    <x v="9"/>
    <x v="3"/>
    <x v="3"/>
    <n v="0.49903892359442575"/>
    <n v="11947"/>
    <n v="10"/>
    <n v="6.3791446419990391E-2"/>
    <s v="January"/>
  </r>
  <r>
    <x v="9"/>
    <s v="REF"/>
    <x v="1"/>
    <x v="4"/>
    <n v="6796"/>
    <n v="10651"/>
    <n v="3732"/>
    <n v="663"/>
    <n v="613"/>
    <n v="773"/>
    <x v="9"/>
    <x v="3"/>
    <x v="3"/>
    <n v="0.54914655679811653"/>
    <n v="17447"/>
    <n v="10"/>
    <n v="0.11374337845791642"/>
    <s v="January"/>
  </r>
  <r>
    <x v="9"/>
    <s v="RJE"/>
    <x v="5"/>
    <x v="9"/>
    <n v="14374"/>
    <n v="7622"/>
    <n v="8158"/>
    <n v="146"/>
    <n v="1062"/>
    <n v="1264"/>
    <x v="9"/>
    <x v="3"/>
    <x v="3"/>
    <n v="0.56755252539307077"/>
    <n v="21996"/>
    <n v="10"/>
    <n v="8.7936552107972729E-2"/>
    <s v="January"/>
  </r>
  <r>
    <x v="9"/>
    <s v="DJV01"/>
    <x v="0"/>
    <x v="202"/>
    <n v="0"/>
    <n v="2650"/>
    <n v="0"/>
    <n v="0"/>
    <n v="0"/>
    <n v="0"/>
    <x v="9"/>
    <x v="3"/>
    <x v="3"/>
    <n v="0"/>
    <n v="2650"/>
    <n v="10"/>
    <n v="0"/>
    <s v="January"/>
  </r>
  <r>
    <x v="9"/>
    <s v="RDU"/>
    <x v="0"/>
    <x v="37"/>
    <n v="23318"/>
    <n v="11552"/>
    <n v="11117"/>
    <n v="254"/>
    <n v="1272"/>
    <n v="743"/>
    <x v="9"/>
    <x v="3"/>
    <x v="3"/>
    <n v="0.47675615404408611"/>
    <n v="34870"/>
    <n v="10"/>
    <n v="3.1863796208937305E-2"/>
    <s v="January"/>
  </r>
  <r>
    <x v="9"/>
    <s v="C82038"/>
    <x v="5"/>
    <x v="131"/>
    <n v="0"/>
    <n v="322"/>
    <n v="0"/>
    <n v="0"/>
    <n v="0"/>
    <n v="0"/>
    <x v="9"/>
    <x v="3"/>
    <x v="3"/>
    <n v="0"/>
    <n v="322"/>
    <n v="10"/>
    <n v="0"/>
    <s v="January"/>
  </r>
  <r>
    <x v="9"/>
    <s v="RW4"/>
    <x v="3"/>
    <x v="124"/>
    <n v="0"/>
    <n v="13161"/>
    <n v="0"/>
    <n v="314"/>
    <n v="0"/>
    <n v="0"/>
    <x v="9"/>
    <x v="3"/>
    <x v="3"/>
    <n v="0"/>
    <n v="13161"/>
    <n v="10"/>
    <n v="0"/>
    <s v="January"/>
  </r>
  <r>
    <x v="9"/>
    <s v="Y03007"/>
    <x v="5"/>
    <x v="118"/>
    <n v="0"/>
    <n v="0"/>
    <n v="0"/>
    <n v="0"/>
    <n v="0"/>
    <n v="0"/>
    <x v="9"/>
    <x v="3"/>
    <x v="3"/>
    <n v="0"/>
    <n v="0"/>
    <n v="10"/>
    <n v="0"/>
    <s v="January"/>
  </r>
  <r>
    <x v="9"/>
    <s v="RY2"/>
    <x v="3"/>
    <x v="173"/>
    <n v="0"/>
    <n v="3061"/>
    <n v="0"/>
    <n v="33"/>
    <n v="0"/>
    <n v="0"/>
    <x v="9"/>
    <x v="3"/>
    <x v="3"/>
    <n v="0"/>
    <n v="3061"/>
    <n v="10"/>
    <n v="0"/>
    <s v="January"/>
  </r>
  <r>
    <x v="9"/>
    <s v="RNU"/>
    <x v="0"/>
    <x v="16"/>
    <n v="0"/>
    <n v="3872"/>
    <n v="0"/>
    <n v="118"/>
    <n v="0"/>
    <n v="0"/>
    <x v="9"/>
    <x v="3"/>
    <x v="3"/>
    <n v="0"/>
    <n v="3872"/>
    <n v="10"/>
    <n v="0"/>
    <s v="January"/>
  </r>
  <r>
    <x v="9"/>
    <s v="RLQ"/>
    <x v="5"/>
    <x v="123"/>
    <n v="6012"/>
    <n v="153"/>
    <n v="2490"/>
    <n v="0"/>
    <n v="505"/>
    <n v="275"/>
    <x v="9"/>
    <x v="3"/>
    <x v="3"/>
    <n v="0.41417165668662675"/>
    <n v="6165"/>
    <n v="10"/>
    <n v="4.5741849634065204E-2"/>
    <s v="January"/>
  </r>
  <r>
    <x v="9"/>
    <s v="RL1"/>
    <x v="5"/>
    <x v="12"/>
    <n v="0"/>
    <n v="0"/>
    <n v="0"/>
    <n v="0"/>
    <n v="0"/>
    <n v="0"/>
    <x v="9"/>
    <x v="3"/>
    <x v="3"/>
    <n v="0"/>
    <n v="0"/>
    <n v="10"/>
    <n v="0"/>
    <s v="January"/>
  </r>
  <r>
    <x v="9"/>
    <s v="RCU"/>
    <x v="6"/>
    <x v="184"/>
    <n v="4169"/>
    <n v="450"/>
    <n v="305"/>
    <n v="0"/>
    <n v="3"/>
    <n v="0"/>
    <x v="9"/>
    <x v="3"/>
    <x v="3"/>
    <n v="7.3159030942672107E-2"/>
    <n v="4619"/>
    <n v="10"/>
    <n v="0"/>
    <s v="January"/>
  </r>
  <r>
    <x v="9"/>
    <s v="RBS"/>
    <x v="3"/>
    <x v="160"/>
    <n v="6012"/>
    <n v="0"/>
    <n v="823"/>
    <n v="0"/>
    <n v="0"/>
    <n v="0"/>
    <x v="9"/>
    <x v="3"/>
    <x v="3"/>
    <n v="0.13689288090485696"/>
    <n v="6012"/>
    <n v="10"/>
    <n v="0"/>
    <s v="January"/>
  </r>
  <r>
    <x v="9"/>
    <s v="RAN"/>
    <x v="4"/>
    <x v="24"/>
    <n v="0"/>
    <n v="0"/>
    <n v="0"/>
    <n v="0"/>
    <n v="0"/>
    <n v="0"/>
    <x v="9"/>
    <x v="3"/>
    <x v="3"/>
    <n v="0"/>
    <n v="0"/>
    <n v="10"/>
    <n v="0"/>
    <s v="January"/>
  </r>
  <r>
    <x v="9"/>
    <s v="RTQ"/>
    <x v="1"/>
    <x v="126"/>
    <n v="0"/>
    <n v="7989"/>
    <n v="0"/>
    <n v="105"/>
    <n v="0"/>
    <n v="0"/>
    <x v="9"/>
    <x v="3"/>
    <x v="3"/>
    <n v="0"/>
    <n v="7989"/>
    <n v="10"/>
    <n v="0"/>
    <s v="January"/>
  </r>
  <r>
    <x v="9"/>
    <s v="AD913"/>
    <x v="4"/>
    <x v="70"/>
    <n v="0"/>
    <n v="3343"/>
    <n v="0"/>
    <n v="7"/>
    <n v="0"/>
    <n v="0"/>
    <x v="9"/>
    <x v="3"/>
    <x v="3"/>
    <n v="0"/>
    <n v="3343"/>
    <n v="10"/>
    <n v="0"/>
    <s v="January"/>
  </r>
  <r>
    <x v="9"/>
    <s v="RXG"/>
    <x v="6"/>
    <x v="85"/>
    <n v="0"/>
    <n v="0"/>
    <n v="0"/>
    <n v="0"/>
    <n v="0"/>
    <n v="0"/>
    <x v="9"/>
    <x v="3"/>
    <x v="3"/>
    <n v="0"/>
    <n v="0"/>
    <n v="10"/>
    <n v="0"/>
    <s v="January"/>
  </r>
  <r>
    <x v="9"/>
    <s v="NQT1I"/>
    <x v="1"/>
    <x v="200"/>
    <n v="0"/>
    <n v="1504"/>
    <n v="0"/>
    <n v="14"/>
    <n v="0"/>
    <n v="0"/>
    <x v="9"/>
    <x v="3"/>
    <x v="3"/>
    <n v="0"/>
    <n v="1504"/>
    <n v="10"/>
    <n v="0"/>
    <s v="January"/>
  </r>
  <r>
    <x v="9"/>
    <s v="RXQ"/>
    <x v="0"/>
    <x v="48"/>
    <n v="9621"/>
    <n v="3057"/>
    <n v="3889"/>
    <n v="56"/>
    <n v="158"/>
    <n v="469"/>
    <x v="9"/>
    <x v="3"/>
    <x v="3"/>
    <n v="0.40421993555763436"/>
    <n v="12678"/>
    <n v="10"/>
    <n v="4.8747531441638084E-2"/>
    <s v="January"/>
  </r>
  <r>
    <x v="9"/>
    <s v="NQT5H"/>
    <x v="1"/>
    <x v="144"/>
    <n v="0"/>
    <n v="1043"/>
    <n v="0"/>
    <n v="5"/>
    <n v="0"/>
    <n v="0"/>
    <x v="9"/>
    <x v="3"/>
    <x v="3"/>
    <n v="0"/>
    <n v="1043"/>
    <n v="10"/>
    <n v="0"/>
    <s v="January"/>
  </r>
  <r>
    <x v="9"/>
    <s v="AJN"/>
    <x v="6"/>
    <x v="187"/>
    <n v="0"/>
    <n v="361"/>
    <n v="0"/>
    <n v="0"/>
    <n v="0"/>
    <n v="0"/>
    <x v="9"/>
    <x v="3"/>
    <x v="3"/>
    <n v="0"/>
    <n v="361"/>
    <n v="10"/>
    <n v="0"/>
    <s v="January"/>
  </r>
  <r>
    <x v="9"/>
    <s v="NNJ"/>
    <x v="5"/>
    <x v="62"/>
    <n v="0"/>
    <n v="1937"/>
    <n v="0"/>
    <n v="11"/>
    <n v="0"/>
    <n v="0"/>
    <x v="9"/>
    <x v="3"/>
    <x v="3"/>
    <n v="0"/>
    <n v="1937"/>
    <n v="10"/>
    <n v="0"/>
    <s v="January"/>
  </r>
  <r>
    <x v="9"/>
    <s v="G3P9C"/>
    <x v="1"/>
    <x v="199"/>
    <n v="0"/>
    <n v="1052"/>
    <n v="0"/>
    <n v="2"/>
    <n v="0"/>
    <n v="0"/>
    <x v="9"/>
    <x v="3"/>
    <x v="3"/>
    <n v="0"/>
    <n v="1052"/>
    <n v="10"/>
    <n v="0"/>
    <s v="January"/>
  </r>
  <r>
    <x v="9"/>
    <s v="RXR"/>
    <x v="3"/>
    <x v="107"/>
    <n v="13668"/>
    <n v="11193"/>
    <n v="4842"/>
    <n v="766"/>
    <n v="304"/>
    <n v="1407"/>
    <x v="9"/>
    <x v="3"/>
    <x v="3"/>
    <n v="0.35425812115891131"/>
    <n v="24861"/>
    <n v="10"/>
    <n v="0.10294117647058823"/>
    <s v="January"/>
  </r>
  <r>
    <x v="9"/>
    <s v="RTX"/>
    <x v="3"/>
    <x v="98"/>
    <n v="8705"/>
    <n v="2390"/>
    <n v="3725"/>
    <n v="53"/>
    <n v="710"/>
    <n v="763"/>
    <x v="9"/>
    <x v="3"/>
    <x v="3"/>
    <n v="0.42791499138426192"/>
    <n v="11095"/>
    <n v="10"/>
    <n v="8.7650775416427337E-2"/>
    <s v="January"/>
  </r>
  <r>
    <x v="9"/>
    <s v="RTK"/>
    <x v="0"/>
    <x v="49"/>
    <n v="7877"/>
    <n v="2653"/>
    <n v="4216"/>
    <n v="42"/>
    <n v="574"/>
    <n v="424"/>
    <x v="9"/>
    <x v="3"/>
    <x v="3"/>
    <n v="0.53522914815285005"/>
    <n v="10530"/>
    <n v="10"/>
    <n v="5.3827599339850193E-2"/>
    <s v="January"/>
  </r>
  <r>
    <x v="9"/>
    <s v="RRV"/>
    <x v="4"/>
    <x v="171"/>
    <n v="13308"/>
    <n v="0"/>
    <n v="4256"/>
    <n v="0"/>
    <n v="394"/>
    <n v="317"/>
    <x v="9"/>
    <x v="3"/>
    <x v="3"/>
    <n v="0.31980763450556055"/>
    <n v="13308"/>
    <n v="10"/>
    <n v="2.3820258491133152E-2"/>
    <s v="January"/>
  </r>
  <r>
    <x v="9"/>
    <s v="RP6"/>
    <x v="4"/>
    <x v="192"/>
    <n v="0"/>
    <n v="0"/>
    <n v="0"/>
    <n v="0"/>
    <n v="0"/>
    <n v="0"/>
    <x v="9"/>
    <x v="3"/>
    <x v="3"/>
    <n v="0"/>
    <n v="0"/>
    <n v="10"/>
    <n v="0"/>
    <s v="January"/>
  </r>
  <r>
    <x v="9"/>
    <s v="RNN"/>
    <x v="6"/>
    <x v="197"/>
    <n v="8906"/>
    <n v="1543"/>
    <n v="4344"/>
    <n v="39"/>
    <n v="635"/>
    <n v="603"/>
    <x v="9"/>
    <x v="3"/>
    <x v="3"/>
    <n v="0.4877610599595778"/>
    <n v="10449"/>
    <n v="10"/>
    <n v="6.770716370985852E-2"/>
    <s v="January"/>
  </r>
  <r>
    <x v="9"/>
    <s v="RXK"/>
    <x v="5"/>
    <x v="176"/>
    <n v="11472"/>
    <n v="7907"/>
    <n v="5655"/>
    <n v="67"/>
    <n v="723"/>
    <n v="645"/>
    <x v="9"/>
    <x v="3"/>
    <x v="3"/>
    <n v="0.49293933054393307"/>
    <n v="19379"/>
    <n v="10"/>
    <n v="5.6223849372384935E-2"/>
    <s v="January"/>
  </r>
  <r>
    <x v="9"/>
    <s v="RK9"/>
    <x v="1"/>
    <x v="195"/>
    <n v="8852"/>
    <n v="7802"/>
    <n v="5644"/>
    <n v="181"/>
    <n v="559"/>
    <n v="807"/>
    <x v="9"/>
    <x v="3"/>
    <x v="3"/>
    <n v="0.63759602349751465"/>
    <n v="16654"/>
    <n v="10"/>
    <n v="9.1165838228648891E-2"/>
    <s v="January"/>
  </r>
  <r>
    <x v="9"/>
    <s v="RJC"/>
    <x v="5"/>
    <x v="188"/>
    <n v="8243"/>
    <n v="386"/>
    <n v="2728"/>
    <n v="0"/>
    <n v="558"/>
    <n v="235"/>
    <x v="9"/>
    <x v="3"/>
    <x v="3"/>
    <n v="0.33094747058109913"/>
    <n v="8629"/>
    <n v="10"/>
    <n v="2.8509037971612278E-2"/>
    <s v="January"/>
  </r>
  <r>
    <x v="9"/>
    <s v="RJ1"/>
    <x v="4"/>
    <x v="43"/>
    <n v="10484"/>
    <n v="6511"/>
    <n v="3908"/>
    <n v="153"/>
    <n v="127"/>
    <n v="59"/>
    <x v="9"/>
    <x v="3"/>
    <x v="3"/>
    <n v="0.37275848912628767"/>
    <n v="16995"/>
    <n v="10"/>
    <n v="5.627623044639451E-3"/>
    <s v="January"/>
  </r>
  <r>
    <x v="9"/>
    <s v="RH8"/>
    <x v="1"/>
    <x v="163"/>
    <n v="12593"/>
    <n v="3902"/>
    <n v="5840"/>
    <n v="8"/>
    <n v="1073"/>
    <n v="430"/>
    <x v="9"/>
    <x v="3"/>
    <x v="3"/>
    <n v="0.46374970221551653"/>
    <n v="16495"/>
    <n v="10"/>
    <n v="3.4145954101484952E-2"/>
    <s v="January"/>
  </r>
  <r>
    <x v="9"/>
    <s v="RDE"/>
    <x v="2"/>
    <x v="2"/>
    <n v="11181"/>
    <n v="13163"/>
    <n v="5267"/>
    <n v="947"/>
    <n v="674"/>
    <n v="744"/>
    <x v="9"/>
    <x v="3"/>
    <x v="3"/>
    <n v="0.47106698864144531"/>
    <n v="24344"/>
    <n v="10"/>
    <n v="6.6541454252750196E-2"/>
    <s v="January"/>
  </r>
  <r>
    <x v="9"/>
    <s v="RCD"/>
    <x v="6"/>
    <x v="134"/>
    <n v="5166"/>
    <n v="1288"/>
    <n v="1844"/>
    <n v="2"/>
    <n v="422"/>
    <n v="43"/>
    <x v="9"/>
    <x v="3"/>
    <x v="3"/>
    <n v="0.35694928377855206"/>
    <n v="6454"/>
    <n v="10"/>
    <n v="8.3236546651180802E-3"/>
    <s v="January"/>
  </r>
  <r>
    <x v="9"/>
    <s v="RAE"/>
    <x v="6"/>
    <x v="31"/>
    <n v="9305"/>
    <n v="3315"/>
    <n v="2144"/>
    <n v="1"/>
    <n v="594"/>
    <n v="83"/>
    <x v="9"/>
    <x v="3"/>
    <x v="3"/>
    <n v="0.23041375604513703"/>
    <n v="12620"/>
    <n v="10"/>
    <n v="8.9199355185384209E-3"/>
    <s v="January"/>
  </r>
  <r>
    <x v="9"/>
    <s v="R0D"/>
    <x v="1"/>
    <x v="157"/>
    <n v="14299"/>
    <n v="4003"/>
    <n v="6765"/>
    <n v="0"/>
    <n v="1172"/>
    <n v="698"/>
    <x v="9"/>
    <x v="3"/>
    <x v="3"/>
    <n v="0.47311000769284567"/>
    <n v="18302"/>
    <n v="10"/>
    <n v="4.8814602419749629E-2"/>
    <s v="January"/>
  </r>
  <r>
    <x v="9"/>
    <s v="NV693"/>
    <x v="3"/>
    <x v="102"/>
    <n v="0"/>
    <n v="854"/>
    <n v="0"/>
    <n v="1"/>
    <n v="0"/>
    <n v="0"/>
    <x v="9"/>
    <x v="3"/>
    <x v="3"/>
    <n v="0"/>
    <n v="854"/>
    <n v="10"/>
    <n v="0"/>
    <s v="January"/>
  </r>
  <r>
    <x v="9"/>
    <s v="NTPAD"/>
    <x v="0"/>
    <x v="112"/>
    <n v="0"/>
    <n v="4866"/>
    <n v="0"/>
    <n v="227"/>
    <n v="0"/>
    <n v="0"/>
    <x v="9"/>
    <x v="3"/>
    <x v="3"/>
    <n v="0"/>
    <n v="4866"/>
    <n v="10"/>
    <n v="0"/>
    <s v="January"/>
  </r>
  <r>
    <x v="9"/>
    <s v="RY7"/>
    <x v="3"/>
    <x v="139"/>
    <n v="0"/>
    <n v="2775"/>
    <n v="0"/>
    <n v="281"/>
    <n v="0"/>
    <n v="0"/>
    <x v="9"/>
    <x v="3"/>
    <x v="3"/>
    <n v="0"/>
    <n v="2775"/>
    <n v="10"/>
    <n v="0"/>
    <s v="January"/>
  </r>
  <r>
    <x v="9"/>
    <s v="RJN"/>
    <x v="3"/>
    <x v="125"/>
    <n v="4314"/>
    <n v="0"/>
    <n v="2554"/>
    <n v="0"/>
    <n v="254"/>
    <n v="384"/>
    <x v="9"/>
    <x v="3"/>
    <x v="3"/>
    <n v="0.5920259619842374"/>
    <n v="4314"/>
    <n v="10"/>
    <n v="8.9012517385257298E-2"/>
    <s v="January"/>
  </r>
  <r>
    <x v="9"/>
    <s v="8J094"/>
    <x v="5"/>
    <x v="109"/>
    <n v="0"/>
    <n v="0"/>
    <n v="0"/>
    <n v="0"/>
    <n v="0"/>
    <n v="0"/>
    <x v="9"/>
    <x v="3"/>
    <x v="3"/>
    <n v="0"/>
    <n v="0"/>
    <n v="10"/>
    <n v="0"/>
    <s v="January"/>
  </r>
  <r>
    <x v="9"/>
    <s v="RYR"/>
    <x v="0"/>
    <x v="92"/>
    <n v="27280"/>
    <n v="1692"/>
    <n v="11503"/>
    <n v="221"/>
    <n v="952"/>
    <n v="1196"/>
    <x v="9"/>
    <x v="3"/>
    <x v="3"/>
    <n v="0.42166422287390032"/>
    <n v="28972"/>
    <n v="10"/>
    <n v="4.3841642228739E-2"/>
    <s v="January"/>
  </r>
  <r>
    <x v="9"/>
    <s v="RWF"/>
    <x v="0"/>
    <x v="193"/>
    <n v="18969"/>
    <n v="1934"/>
    <n v="5286"/>
    <n v="25"/>
    <n v="910"/>
    <n v="629"/>
    <x v="9"/>
    <x v="3"/>
    <x v="3"/>
    <n v="0.27866519057409456"/>
    <n v="20903"/>
    <n v="10"/>
    <n v="3.3159365280194003E-2"/>
    <s v="January"/>
  </r>
  <r>
    <x v="9"/>
    <s v="NVE43"/>
    <x v="0"/>
    <x v="205"/>
    <n v="0"/>
    <n v="1059"/>
    <n v="0"/>
    <n v="0"/>
    <n v="0"/>
    <n v="0"/>
    <x v="9"/>
    <x v="3"/>
    <x v="3"/>
    <n v="0"/>
    <n v="1059"/>
    <n v="10"/>
    <n v="0"/>
    <s v="January"/>
  </r>
  <r>
    <x v="9"/>
    <s v="NTV0W"/>
    <x v="0"/>
    <x v="128"/>
    <n v="0"/>
    <n v="2724"/>
    <n v="0"/>
    <n v="22"/>
    <n v="0"/>
    <n v="0"/>
    <x v="9"/>
    <x v="3"/>
    <x v="3"/>
    <n v="0"/>
    <n v="2724"/>
    <n v="10"/>
    <n v="0"/>
    <s v="January"/>
  </r>
  <r>
    <x v="9"/>
    <s v="NTV0B"/>
    <x v="0"/>
    <x v="127"/>
    <n v="0"/>
    <n v="2350"/>
    <n v="0"/>
    <n v="28"/>
    <n v="0"/>
    <n v="0"/>
    <x v="9"/>
    <x v="3"/>
    <x v="3"/>
    <n v="0"/>
    <n v="2350"/>
    <n v="10"/>
    <n v="0"/>
    <s v="January"/>
  </r>
  <r>
    <x v="9"/>
    <s v="NTP11"/>
    <x v="0"/>
    <x v="154"/>
    <n v="0"/>
    <n v="5146"/>
    <n v="0"/>
    <n v="71"/>
    <n v="0"/>
    <n v="0"/>
    <x v="9"/>
    <x v="3"/>
    <x v="3"/>
    <n v="0"/>
    <n v="5146"/>
    <n v="10"/>
    <n v="0"/>
    <s v="January"/>
  </r>
  <r>
    <x v="9"/>
    <s v="Y02428"/>
    <x v="2"/>
    <x v="140"/>
    <n v="0"/>
    <n v="2871"/>
    <n v="0"/>
    <n v="0"/>
    <n v="0"/>
    <n v="0"/>
    <x v="9"/>
    <x v="3"/>
    <x v="3"/>
    <n v="0"/>
    <n v="2871"/>
    <n v="10"/>
    <n v="0"/>
    <s v="January"/>
  </r>
  <r>
    <x v="9"/>
    <s v="RYF"/>
    <x v="1"/>
    <x v="89"/>
    <n v="0"/>
    <n v="1859"/>
    <n v="0"/>
    <n v="27"/>
    <n v="0"/>
    <n v="0"/>
    <x v="9"/>
    <x v="3"/>
    <x v="3"/>
    <n v="0"/>
    <n v="1859"/>
    <n v="10"/>
    <n v="0"/>
    <s v="January"/>
  </r>
  <r>
    <x v="9"/>
    <s v="RY8"/>
    <x v="5"/>
    <x v="152"/>
    <n v="0"/>
    <n v="6814"/>
    <n v="0"/>
    <n v="212"/>
    <n v="0"/>
    <n v="0"/>
    <x v="9"/>
    <x v="3"/>
    <x v="3"/>
    <n v="0"/>
    <n v="6814"/>
    <n v="10"/>
    <n v="0"/>
    <s v="January"/>
  </r>
  <r>
    <x v="9"/>
    <s v="RWP"/>
    <x v="5"/>
    <x v="170"/>
    <n v="13731"/>
    <n v="5143"/>
    <n v="6952"/>
    <n v="56"/>
    <n v="865"/>
    <n v="1431"/>
    <x v="9"/>
    <x v="3"/>
    <x v="3"/>
    <n v="0.50629961401208945"/>
    <n v="18874"/>
    <n v="10"/>
    <n v="0.10421673585317894"/>
    <s v="January"/>
  </r>
  <r>
    <x v="9"/>
    <s v="RJ8"/>
    <x v="1"/>
    <x v="135"/>
    <n v="0"/>
    <n v="0"/>
    <n v="0"/>
    <n v="0"/>
    <n v="0"/>
    <n v="0"/>
    <x v="9"/>
    <x v="3"/>
    <x v="3"/>
    <n v="0"/>
    <n v="0"/>
    <n v="10"/>
    <n v="0"/>
    <s v="January"/>
  </r>
  <r>
    <x v="9"/>
    <s v="RBQ"/>
    <x v="3"/>
    <x v="133"/>
    <n v="0"/>
    <n v="0"/>
    <n v="0"/>
    <n v="0"/>
    <n v="0"/>
    <n v="0"/>
    <x v="9"/>
    <x v="3"/>
    <x v="3"/>
    <n v="0"/>
    <n v="0"/>
    <n v="10"/>
    <n v="0"/>
    <s v="January"/>
  </r>
  <r>
    <x v="9"/>
    <s v="RA9"/>
    <x v="1"/>
    <x v="113"/>
    <n v="6524"/>
    <n v="3034"/>
    <n v="3120"/>
    <n v="3"/>
    <n v="202"/>
    <n v="106"/>
    <x v="9"/>
    <x v="3"/>
    <x v="3"/>
    <n v="0.47823421213979156"/>
    <n v="9558"/>
    <n v="10"/>
    <n v="1.6247700797057021E-2"/>
    <s v="January"/>
  </r>
  <r>
    <x v="9"/>
    <s v="NQTE4"/>
    <x v="5"/>
    <x v="132"/>
    <n v="0"/>
    <n v="2840"/>
    <n v="0"/>
    <n v="0"/>
    <n v="0"/>
    <n v="0"/>
    <x v="9"/>
    <x v="3"/>
    <x v="3"/>
    <n v="0"/>
    <n v="2840"/>
    <n v="10"/>
    <n v="0"/>
    <s v="January"/>
  </r>
  <r>
    <x v="9"/>
    <s v="NNFA7"/>
    <x v="6"/>
    <x v="29"/>
    <n v="0"/>
    <n v="1571"/>
    <n v="0"/>
    <n v="21"/>
    <n v="0"/>
    <n v="0"/>
    <x v="9"/>
    <x v="3"/>
    <x v="3"/>
    <n v="0"/>
    <n v="1571"/>
    <n v="10"/>
    <n v="0"/>
    <s v="January"/>
  </r>
  <r>
    <x v="9"/>
    <s v="NNF94"/>
    <x v="6"/>
    <x v="28"/>
    <n v="0"/>
    <n v="2419"/>
    <n v="0"/>
    <n v="138"/>
    <n v="0"/>
    <n v="0"/>
    <x v="9"/>
    <x v="3"/>
    <x v="3"/>
    <n v="0"/>
    <n v="2419"/>
    <n v="10"/>
    <n v="0"/>
    <s v="January"/>
  </r>
  <r>
    <x v="9"/>
    <s v="NNF16"/>
    <x v="6"/>
    <x v="27"/>
    <n v="0"/>
    <n v="1283"/>
    <n v="0"/>
    <n v="23"/>
    <n v="0"/>
    <n v="0"/>
    <x v="9"/>
    <x v="3"/>
    <x v="3"/>
    <n v="0"/>
    <n v="1283"/>
    <n v="10"/>
    <n v="0"/>
    <s v="January"/>
  </r>
  <r>
    <x v="9"/>
    <s v="NNF09"/>
    <x v="6"/>
    <x v="26"/>
    <n v="0"/>
    <n v="3624"/>
    <n v="0"/>
    <n v="266"/>
    <n v="0"/>
    <n v="0"/>
    <x v="9"/>
    <x v="3"/>
    <x v="3"/>
    <n v="0"/>
    <n v="3624"/>
    <n v="10"/>
    <n v="0"/>
    <s v="January"/>
  </r>
  <r>
    <x v="9"/>
    <s v="NDJ"/>
    <x v="0"/>
    <x v="0"/>
    <n v="0"/>
    <n v="2236"/>
    <n v="0"/>
    <n v="17"/>
    <n v="0"/>
    <n v="0"/>
    <x v="9"/>
    <x v="3"/>
    <x v="3"/>
    <n v="0"/>
    <n v="2236"/>
    <n v="10"/>
    <n v="0"/>
    <s v="January"/>
  </r>
  <r>
    <x v="9"/>
    <s v="AQM01"/>
    <x v="0"/>
    <x v="198"/>
    <n v="0"/>
    <n v="3162"/>
    <n v="0"/>
    <n v="0"/>
    <n v="0"/>
    <n v="0"/>
    <x v="9"/>
    <x v="3"/>
    <x v="3"/>
    <n v="0"/>
    <n v="3162"/>
    <n v="10"/>
    <n v="0"/>
    <s v="January"/>
  </r>
  <r>
    <x v="9"/>
    <s v="AAH"/>
    <x v="1"/>
    <x v="149"/>
    <n v="0"/>
    <n v="589"/>
    <n v="0"/>
    <n v="1"/>
    <n v="0"/>
    <n v="0"/>
    <x v="9"/>
    <x v="3"/>
    <x v="3"/>
    <n v="0"/>
    <n v="589"/>
    <n v="10"/>
    <n v="0"/>
    <s v="January"/>
  </r>
  <r>
    <x v="9"/>
    <s v="RAJ"/>
    <x v="2"/>
    <x v="32"/>
    <n v="26230"/>
    <n v="7495"/>
    <n v="11399"/>
    <n v="491"/>
    <n v="2637"/>
    <n v="951"/>
    <x v="9"/>
    <x v="3"/>
    <x v="3"/>
    <n v="0.43457872664887531"/>
    <n v="33725"/>
    <n v="10"/>
    <n v="3.6256195196340067E-2"/>
    <s v="January"/>
  </r>
  <r>
    <x v="9"/>
    <s v="Y02615"/>
    <x v="5"/>
    <x v="129"/>
    <n v="0"/>
    <n v="3507"/>
    <n v="0"/>
    <n v="0"/>
    <n v="0"/>
    <n v="0"/>
    <x v="9"/>
    <x v="3"/>
    <x v="3"/>
    <n v="0"/>
    <n v="3507"/>
    <n v="10"/>
    <n v="0"/>
    <s v="January"/>
  </r>
  <r>
    <x v="9"/>
    <s v="R1D"/>
    <x v="5"/>
    <x v="46"/>
    <n v="0"/>
    <n v="2888"/>
    <n v="0"/>
    <n v="5"/>
    <n v="0"/>
    <n v="0"/>
    <x v="9"/>
    <x v="3"/>
    <x v="3"/>
    <n v="0"/>
    <n v="2888"/>
    <n v="10"/>
    <n v="0"/>
    <s v="January"/>
  </r>
  <r>
    <x v="9"/>
    <s v="RWY"/>
    <x v="6"/>
    <x v="138"/>
    <n v="15944"/>
    <n v="0"/>
    <n v="2970"/>
    <n v="0"/>
    <n v="1617"/>
    <n v="145"/>
    <x v="9"/>
    <x v="3"/>
    <x v="3"/>
    <n v="0.18627696939287505"/>
    <n v="15944"/>
    <n v="10"/>
    <n v="9.0943301555444049E-3"/>
    <s v="January"/>
  </r>
  <r>
    <x v="9"/>
    <s v="RDY"/>
    <x v="1"/>
    <x v="145"/>
    <n v="0"/>
    <n v="0"/>
    <n v="0"/>
    <n v="0"/>
    <n v="0"/>
    <n v="0"/>
    <x v="9"/>
    <x v="3"/>
    <x v="3"/>
    <n v="0"/>
    <n v="0"/>
    <n v="10"/>
    <n v="0"/>
    <s v="January"/>
  </r>
  <r>
    <x v="9"/>
    <s v="RTP"/>
    <x v="0"/>
    <x v="136"/>
    <n v="12084"/>
    <n v="0"/>
    <n v="4458"/>
    <n v="0"/>
    <n v="515"/>
    <n v="783"/>
    <x v="9"/>
    <x v="3"/>
    <x v="3"/>
    <n v="0.36891757696127109"/>
    <n v="12084"/>
    <n v="10"/>
    <n v="6.4796425024826215E-2"/>
    <s v="January"/>
  </r>
  <r>
    <x v="9"/>
    <s v="RQX"/>
    <x v="4"/>
    <x v="106"/>
    <n v="11326"/>
    <n v="0"/>
    <n v="2399"/>
    <n v="0"/>
    <n v="322"/>
    <n v="36"/>
    <x v="9"/>
    <x v="3"/>
    <x v="3"/>
    <n v="0.21181352639943493"/>
    <n v="11326"/>
    <n v="10"/>
    <n v="3.1785272823591734E-3"/>
    <s v="January"/>
  </r>
  <r>
    <x v="9"/>
    <s v="R0B"/>
    <x v="6"/>
    <x v="156"/>
    <n v="11310"/>
    <n v="5280"/>
    <n v="5981"/>
    <n v="199"/>
    <n v="1220"/>
    <n v="0"/>
    <x v="9"/>
    <x v="3"/>
    <x v="3"/>
    <n v="0.52882404951370465"/>
    <n v="16590"/>
    <n v="10"/>
    <n v="0"/>
    <s v="January"/>
  </r>
  <r>
    <x v="9"/>
    <s v="NNJ15"/>
    <x v="5"/>
    <x v="61"/>
    <n v="0"/>
    <n v="62"/>
    <n v="0"/>
    <n v="1"/>
    <n v="0"/>
    <n v="0"/>
    <x v="9"/>
    <x v="3"/>
    <x v="3"/>
    <n v="0"/>
    <n v="62"/>
    <n v="10"/>
    <n v="0"/>
    <s v="January"/>
  </r>
  <r>
    <x v="9"/>
    <s v="NNJ14"/>
    <x v="5"/>
    <x v="60"/>
    <n v="0"/>
    <n v="551"/>
    <n v="0"/>
    <n v="2"/>
    <n v="0"/>
    <n v="0"/>
    <x v="9"/>
    <x v="3"/>
    <x v="3"/>
    <n v="0"/>
    <n v="551"/>
    <n v="10"/>
    <n v="0"/>
    <s v="January"/>
  </r>
  <r>
    <x v="9"/>
    <s v="NNJ13"/>
    <x v="5"/>
    <x v="59"/>
    <n v="0"/>
    <n v="59"/>
    <n v="0"/>
    <n v="1"/>
    <n v="0"/>
    <n v="0"/>
    <x v="9"/>
    <x v="3"/>
    <x v="3"/>
    <n v="0"/>
    <n v="59"/>
    <n v="10"/>
    <n v="0"/>
    <s v="January"/>
  </r>
  <r>
    <x v="9"/>
    <s v="NNJ12"/>
    <x v="5"/>
    <x v="58"/>
    <n v="0"/>
    <n v="106"/>
    <n v="0"/>
    <n v="0"/>
    <n v="0"/>
    <n v="0"/>
    <x v="9"/>
    <x v="3"/>
    <x v="3"/>
    <n v="0"/>
    <n v="106"/>
    <n v="10"/>
    <n v="0"/>
    <s v="January"/>
  </r>
  <r>
    <x v="9"/>
    <s v="NNJ0H"/>
    <x v="5"/>
    <x v="57"/>
    <n v="0"/>
    <n v="207"/>
    <n v="0"/>
    <n v="1"/>
    <n v="0"/>
    <n v="0"/>
    <x v="9"/>
    <x v="3"/>
    <x v="3"/>
    <n v="0"/>
    <n v="207"/>
    <n v="10"/>
    <n v="0"/>
    <s v="January"/>
  </r>
  <r>
    <x v="9"/>
    <s v="NNJ07"/>
    <x v="5"/>
    <x v="56"/>
    <n v="0"/>
    <n v="5147"/>
    <n v="0"/>
    <n v="37"/>
    <n v="0"/>
    <n v="0"/>
    <x v="9"/>
    <x v="3"/>
    <x v="3"/>
    <n v="0"/>
    <n v="5147"/>
    <n v="10"/>
    <n v="0"/>
    <s v="January"/>
  </r>
  <r>
    <x v="9"/>
    <s v="NL7"/>
    <x v="5"/>
    <x v="142"/>
    <n v="0"/>
    <n v="3237"/>
    <n v="0"/>
    <n v="0"/>
    <n v="0"/>
    <n v="0"/>
    <x v="9"/>
    <x v="3"/>
    <x v="3"/>
    <n v="0"/>
    <n v="3237"/>
    <n v="10"/>
    <n v="0"/>
    <s v="January"/>
  </r>
  <r>
    <x v="9"/>
    <s v="Y03218"/>
    <x v="4"/>
    <x v="108"/>
    <n v="0"/>
    <n v="897"/>
    <n v="0"/>
    <n v="0"/>
    <n v="0"/>
    <n v="0"/>
    <x v="9"/>
    <x v="3"/>
    <x v="3"/>
    <n v="0"/>
    <n v="897"/>
    <n v="10"/>
    <n v="0"/>
    <s v="January"/>
  </r>
  <r>
    <x v="9"/>
    <s v="Y02676"/>
    <x v="0"/>
    <x v="52"/>
    <n v="0"/>
    <n v="1838"/>
    <n v="0"/>
    <n v="0"/>
    <n v="0"/>
    <n v="0"/>
    <x v="9"/>
    <x v="3"/>
    <x v="3"/>
    <n v="0"/>
    <n v="1838"/>
    <n v="10"/>
    <n v="0"/>
    <s v="January"/>
  </r>
  <r>
    <x v="9"/>
    <s v="RY4"/>
    <x v="2"/>
    <x v="172"/>
    <n v="0"/>
    <n v="1040"/>
    <n v="0"/>
    <n v="7"/>
    <n v="0"/>
    <n v="0"/>
    <x v="9"/>
    <x v="3"/>
    <x v="3"/>
    <n v="0"/>
    <n v="1040"/>
    <n v="10"/>
    <n v="0"/>
    <s v="January"/>
  </r>
  <r>
    <x v="9"/>
    <s v="RW1"/>
    <x v="0"/>
    <x v="137"/>
    <n v="0"/>
    <n v="2858"/>
    <n v="0"/>
    <n v="43"/>
    <n v="0"/>
    <n v="0"/>
    <x v="9"/>
    <x v="3"/>
    <x v="3"/>
    <n v="0"/>
    <n v="2858"/>
    <n v="10"/>
    <n v="0"/>
    <s v="January"/>
  </r>
  <r>
    <x v="9"/>
    <s v="RQW"/>
    <x v="2"/>
    <x v="150"/>
    <n v="8998"/>
    <n v="2423"/>
    <n v="2254"/>
    <n v="0"/>
    <n v="511"/>
    <n v="322"/>
    <x v="9"/>
    <x v="3"/>
    <x v="3"/>
    <n v="0.25050011113580795"/>
    <n v="11421"/>
    <n v="10"/>
    <n v="3.5785730162258278E-2"/>
    <s v="January"/>
  </r>
  <r>
    <x v="9"/>
    <s v="RPC"/>
    <x v="0"/>
    <x v="190"/>
    <n v="0"/>
    <n v="1167"/>
    <n v="0"/>
    <n v="4"/>
    <n v="0"/>
    <n v="0"/>
    <x v="9"/>
    <x v="3"/>
    <x v="3"/>
    <n v="0"/>
    <n v="1167"/>
    <n v="10"/>
    <n v="0"/>
    <s v="January"/>
  </r>
  <r>
    <x v="9"/>
    <s v="RGP"/>
    <x v="2"/>
    <x v="146"/>
    <n v="7247"/>
    <n v="1792"/>
    <n v="2533"/>
    <n v="0"/>
    <n v="577"/>
    <n v="417"/>
    <x v="9"/>
    <x v="3"/>
    <x v="3"/>
    <n v="0.34952394094107908"/>
    <n v="9039"/>
    <n v="10"/>
    <n v="5.7541051469573619E-2"/>
    <s v="January"/>
  </r>
  <r>
    <x v="9"/>
    <s v="RCX"/>
    <x v="2"/>
    <x v="103"/>
    <n v="6576"/>
    <n v="1742"/>
    <n v="2997"/>
    <n v="0"/>
    <n v="585"/>
    <n v="229"/>
    <x v="9"/>
    <x v="3"/>
    <x v="3"/>
    <n v="0.45574817518248173"/>
    <n v="8318"/>
    <n v="10"/>
    <n v="3.4823600973236009E-2"/>
    <s v="January"/>
  </r>
  <r>
    <x v="9"/>
    <s v="RBT"/>
    <x v="3"/>
    <x v="69"/>
    <n v="6966"/>
    <n v="2875"/>
    <n v="3491"/>
    <n v="4"/>
    <n v="417"/>
    <n v="590"/>
    <x v="9"/>
    <x v="3"/>
    <x v="3"/>
    <n v="0.5011484352569624"/>
    <n v="9841"/>
    <n v="10"/>
    <n v="8.4697100200976164E-2"/>
    <s v="January"/>
  </r>
  <r>
    <x v="9"/>
    <s v="NLX"/>
    <x v="1"/>
    <x v="181"/>
    <n v="0"/>
    <n v="7859"/>
    <n v="0"/>
    <n v="116"/>
    <n v="0"/>
    <n v="0"/>
    <x v="9"/>
    <x v="3"/>
    <x v="3"/>
    <n v="0"/>
    <n v="7859"/>
    <n v="10"/>
    <n v="0"/>
    <s v="January"/>
  </r>
  <r>
    <x v="9"/>
    <s v="C82009"/>
    <x v="5"/>
    <x v="179"/>
    <n v="0"/>
    <n v="219"/>
    <n v="0"/>
    <n v="0"/>
    <n v="0"/>
    <n v="0"/>
    <x v="9"/>
    <x v="3"/>
    <x v="3"/>
    <n v="0"/>
    <n v="219"/>
    <n v="10"/>
    <n v="0"/>
    <s v="January"/>
  </r>
  <r>
    <x v="9"/>
    <s v="RV9"/>
    <x v="6"/>
    <x v="148"/>
    <n v="0"/>
    <n v="879"/>
    <n v="0"/>
    <n v="1"/>
    <n v="0"/>
    <n v="0"/>
    <x v="9"/>
    <x v="3"/>
    <x v="3"/>
    <n v="0"/>
    <n v="879"/>
    <n v="10"/>
    <n v="0"/>
    <s v="January"/>
  </r>
  <r>
    <x v="9"/>
    <s v="RNQ"/>
    <x v="5"/>
    <x v="169"/>
    <n v="10704"/>
    <n v="8591"/>
    <n v="4181"/>
    <n v="8"/>
    <n v="614"/>
    <n v="647"/>
    <x v="9"/>
    <x v="3"/>
    <x v="3"/>
    <n v="0.39060164424514199"/>
    <n v="19295"/>
    <n v="10"/>
    <n v="6.0444693572496266E-2"/>
    <s v="January"/>
  </r>
  <r>
    <x v="9"/>
    <s v="RAS"/>
    <x v="4"/>
    <x v="174"/>
    <n v="5428"/>
    <n v="6679"/>
    <n v="2710"/>
    <n v="26"/>
    <n v="622"/>
    <n v="34"/>
    <x v="9"/>
    <x v="3"/>
    <x v="3"/>
    <n v="0.49926308032424466"/>
    <n v="12107"/>
    <n v="10"/>
    <n v="6.263817243920413E-3"/>
    <s v="January"/>
  </r>
  <r>
    <x v="9"/>
    <s v="RJL"/>
    <x v="6"/>
    <x v="164"/>
    <n v="9631"/>
    <n v="7061"/>
    <n v="5647"/>
    <n v="40"/>
    <n v="676"/>
    <n v="1139"/>
    <x v="9"/>
    <x v="3"/>
    <x v="3"/>
    <n v="0.58633579067594221"/>
    <n v="16692"/>
    <n v="10"/>
    <n v="0.11826393936247534"/>
    <s v="January"/>
  </r>
  <r>
    <x v="9"/>
    <s v="REM"/>
    <x v="3"/>
    <x v="5"/>
    <n v="16038"/>
    <n v="7822"/>
    <n v="8285"/>
    <n v="287"/>
    <n v="739"/>
    <n v="1485"/>
    <x v="9"/>
    <x v="3"/>
    <x v="3"/>
    <n v="0.51658560917820173"/>
    <n v="23860"/>
    <n v="10"/>
    <n v="9.2592592592592587E-2"/>
    <s v="January"/>
  </r>
  <r>
    <x v="9"/>
    <s v="RGR"/>
    <x v="2"/>
    <x v="186"/>
    <n v="7780"/>
    <n v="907"/>
    <n v="2804"/>
    <n v="0"/>
    <n v="473"/>
    <n v="622"/>
    <x v="9"/>
    <x v="3"/>
    <x v="3"/>
    <n v="0.36041131105398455"/>
    <n v="8687"/>
    <n v="10"/>
    <n v="7.9948586118251924E-2"/>
    <s v="January"/>
  </r>
  <r>
    <x v="9"/>
    <s v="ARN03"/>
    <x v="6"/>
    <x v="178"/>
    <n v="0"/>
    <n v="2462"/>
    <n v="0"/>
    <n v="9"/>
    <n v="0"/>
    <n v="0"/>
    <x v="9"/>
    <x v="3"/>
    <x v="3"/>
    <n v="0"/>
    <n v="2462"/>
    <n v="10"/>
    <n v="0"/>
    <s v="January"/>
  </r>
  <r>
    <x v="9"/>
    <s v="RYX"/>
    <x v="4"/>
    <x v="51"/>
    <n v="0"/>
    <n v="11622"/>
    <n v="0"/>
    <n v="195"/>
    <n v="0"/>
    <n v="0"/>
    <x v="9"/>
    <x v="3"/>
    <x v="3"/>
    <n v="0"/>
    <n v="11622"/>
    <n v="10"/>
    <n v="0"/>
    <s v="January"/>
  </r>
  <r>
    <x v="9"/>
    <s v="RYJ"/>
    <x v="4"/>
    <x v="91"/>
    <n v="12325"/>
    <n v="6817"/>
    <n v="5303"/>
    <n v="302"/>
    <n v="564"/>
    <n v="0"/>
    <x v="9"/>
    <x v="3"/>
    <x v="3"/>
    <n v="0.43026369168356998"/>
    <n v="19142"/>
    <n v="10"/>
    <n v="0"/>
    <s v="January"/>
  </r>
  <r>
    <x v="9"/>
    <s v="RYG"/>
    <x v="5"/>
    <x v="90"/>
    <n v="0"/>
    <n v="0"/>
    <n v="0"/>
    <n v="0"/>
    <n v="0"/>
    <n v="0"/>
    <x v="9"/>
    <x v="3"/>
    <x v="3"/>
    <n v="0"/>
    <n v="0"/>
    <n v="10"/>
    <n v="0"/>
    <s v="January"/>
  </r>
  <r>
    <x v="9"/>
    <s v="RXF"/>
    <x v="6"/>
    <x v="177"/>
    <n v="16197"/>
    <n v="6201"/>
    <n v="6542"/>
    <n v="266"/>
    <n v="2350"/>
    <n v="1038"/>
    <x v="9"/>
    <x v="3"/>
    <x v="3"/>
    <n v="0.40390195715255911"/>
    <n v="22398"/>
    <n v="10"/>
    <n v="6.4085941841081684E-2"/>
    <s v="January"/>
  </r>
  <r>
    <x v="9"/>
    <s v="RX1"/>
    <x v="5"/>
    <x v="175"/>
    <n v="12595"/>
    <n v="9116"/>
    <n v="7716"/>
    <n v="1611"/>
    <n v="164"/>
    <n v="1027"/>
    <x v="9"/>
    <x v="3"/>
    <x v="3"/>
    <n v="0.61262405716554191"/>
    <n v="21711"/>
    <n v="10"/>
    <n v="8.1540293767368002E-2"/>
    <s v="January"/>
  </r>
  <r>
    <x v="9"/>
    <s v="RWW"/>
    <x v="3"/>
    <x v="83"/>
    <n v="6660"/>
    <n v="2682"/>
    <n v="3450"/>
    <n v="27"/>
    <n v="499"/>
    <n v="1063"/>
    <x v="9"/>
    <x v="3"/>
    <x v="3"/>
    <n v="0.51801801801801806"/>
    <n v="9342"/>
    <n v="10"/>
    <n v="0.1596096096096096"/>
    <s v="January"/>
  </r>
  <r>
    <x v="9"/>
    <s v="RWH"/>
    <x v="2"/>
    <x v="204"/>
    <n v="9586"/>
    <n v="8414"/>
    <n v="5582"/>
    <n v="63"/>
    <n v="698"/>
    <n v="334"/>
    <x v="9"/>
    <x v="3"/>
    <x v="3"/>
    <n v="0.58230753181723349"/>
    <n v="18000"/>
    <n v="10"/>
    <n v="3.4842478614646358E-2"/>
    <s v="January"/>
  </r>
  <r>
    <x v="9"/>
    <s v="RWG"/>
    <x v="2"/>
    <x v="80"/>
    <n v="8781"/>
    <n v="7633"/>
    <n v="3035"/>
    <n v="114"/>
    <n v="913"/>
    <n v="14"/>
    <x v="9"/>
    <x v="3"/>
    <x v="3"/>
    <n v="0.34563261587518507"/>
    <n v="16414"/>
    <n v="10"/>
    <n v="1.5943514406104088E-3"/>
    <s v="January"/>
  </r>
  <r>
    <x v="9"/>
    <s v="RWA"/>
    <x v="6"/>
    <x v="77"/>
    <n v="10124"/>
    <n v="4130"/>
    <n v="5408"/>
    <n v="315"/>
    <n v="798"/>
    <n v="856"/>
    <x v="9"/>
    <x v="3"/>
    <x v="3"/>
    <n v="0.53417621493480838"/>
    <n v="14254"/>
    <n v="10"/>
    <n v="8.4551560647965235E-2"/>
    <s v="January"/>
  </r>
  <r>
    <x v="9"/>
    <s v="RVJ"/>
    <x v="1"/>
    <x v="73"/>
    <n v="9077"/>
    <n v="0"/>
    <n v="3607"/>
    <n v="0"/>
    <n v="523"/>
    <n v="564"/>
    <x v="9"/>
    <x v="3"/>
    <x v="3"/>
    <n v="0.39737798832213284"/>
    <n v="9077"/>
    <n v="10"/>
    <n v="6.2135066651977523E-2"/>
    <s v="January"/>
  </r>
  <r>
    <x v="9"/>
    <s v="RTR"/>
    <x v="6"/>
    <x v="147"/>
    <n v="7582"/>
    <n v="8848"/>
    <n v="4082"/>
    <n v="457"/>
    <n v="587"/>
    <n v="58"/>
    <x v="9"/>
    <x v="3"/>
    <x v="3"/>
    <n v="0.53838037457135324"/>
    <n v="16430"/>
    <n v="10"/>
    <n v="7.6496966499604328E-3"/>
    <s v="January"/>
  </r>
  <r>
    <x v="9"/>
    <s v="RTG"/>
    <x v="5"/>
    <x v="54"/>
    <n v="18570"/>
    <n v="8577"/>
    <n v="9681"/>
    <n v="3"/>
    <n v="1085"/>
    <n v="1544"/>
    <x v="9"/>
    <x v="3"/>
    <x v="3"/>
    <n v="0.52132471728594509"/>
    <n v="27147"/>
    <n v="10"/>
    <n v="8.3144857296715127E-2"/>
    <s v="January"/>
  </r>
  <r>
    <x v="9"/>
    <s v="RTF"/>
    <x v="6"/>
    <x v="99"/>
    <n v="10331"/>
    <n v="12185"/>
    <n v="3062"/>
    <n v="0"/>
    <n v="99"/>
    <n v="0"/>
    <x v="9"/>
    <x v="3"/>
    <x v="3"/>
    <n v="0.29638950730810182"/>
    <n v="22516"/>
    <n v="10"/>
    <n v="0"/>
    <s v="January"/>
  </r>
  <r>
    <x v="9"/>
    <s v="RTD"/>
    <x v="6"/>
    <x v="71"/>
    <n v="11948"/>
    <n v="7137"/>
    <n v="5103"/>
    <n v="135"/>
    <n v="669"/>
    <n v="26"/>
    <x v="9"/>
    <x v="3"/>
    <x v="3"/>
    <n v="0.42710077000334784"/>
    <n v="19085"/>
    <n v="10"/>
    <n v="2.1760964178105121E-3"/>
    <s v="January"/>
  </r>
  <r>
    <x v="9"/>
    <s v="RRK"/>
    <x v="5"/>
    <x v="67"/>
    <n v="33649"/>
    <n v="3187"/>
    <n v="14514"/>
    <n v="33"/>
    <n v="2517"/>
    <n v="2076"/>
    <x v="9"/>
    <x v="3"/>
    <x v="3"/>
    <n v="0.43133525513388216"/>
    <n v="36836"/>
    <n v="10"/>
    <n v="6.169574132960861E-2"/>
    <s v="January"/>
  </r>
  <r>
    <x v="9"/>
    <s v="RR8"/>
    <x v="6"/>
    <x v="20"/>
    <n v="18079"/>
    <n v="10990"/>
    <n v="7513"/>
    <n v="339"/>
    <n v="1129"/>
    <n v="1030"/>
    <x v="9"/>
    <x v="3"/>
    <x v="3"/>
    <n v="0.41556502018916974"/>
    <n v="29069"/>
    <n v="10"/>
    <n v="5.697217766469384E-2"/>
    <s v="January"/>
  </r>
  <r>
    <x v="9"/>
    <s v="RQM"/>
    <x v="4"/>
    <x v="19"/>
    <n v="20360"/>
    <n v="6587"/>
    <n v="6068"/>
    <n v="197"/>
    <n v="1360"/>
    <n v="54"/>
    <x v="9"/>
    <x v="3"/>
    <x v="3"/>
    <n v="0.29803536345776033"/>
    <n v="26947"/>
    <n v="10"/>
    <n v="2.6522593320235754E-3"/>
    <s v="January"/>
  </r>
  <r>
    <x v="9"/>
    <s v="RP5"/>
    <x v="6"/>
    <x v="53"/>
    <n v="13844"/>
    <n v="3975"/>
    <n v="5716"/>
    <n v="2"/>
    <n v="1288"/>
    <n v="339"/>
    <x v="9"/>
    <x v="3"/>
    <x v="3"/>
    <n v="0.41288644900317828"/>
    <n v="17819"/>
    <n v="10"/>
    <n v="2.4487142444380237E-2"/>
    <s v="January"/>
  </r>
  <r>
    <x v="9"/>
    <s v="RN7"/>
    <x v="0"/>
    <x v="14"/>
    <n v="11427"/>
    <n v="3776"/>
    <n v="3042"/>
    <n v="28"/>
    <n v="536"/>
    <n v="502"/>
    <x v="9"/>
    <x v="3"/>
    <x v="3"/>
    <n v="0.26621160409556316"/>
    <n v="15203"/>
    <n v="10"/>
    <n v="4.3931040518071236E-2"/>
    <s v="January"/>
  </r>
  <r>
    <x v="9"/>
    <s v="RGT"/>
    <x v="2"/>
    <x v="95"/>
    <n v="11197"/>
    <n v="5116"/>
    <n v="5218"/>
    <n v="110"/>
    <n v="538"/>
    <n v="729"/>
    <x v="9"/>
    <x v="3"/>
    <x v="3"/>
    <n v="0.46601768330802895"/>
    <n v="16313"/>
    <n v="10"/>
    <n v="6.5106725015629183E-2"/>
    <s v="January"/>
  </r>
  <r>
    <x v="9"/>
    <s v="RN3"/>
    <x v="1"/>
    <x v="167"/>
    <n v="6337"/>
    <n v="5333"/>
    <n v="3548"/>
    <n v="339"/>
    <n v="527"/>
    <n v="463"/>
    <x v="9"/>
    <x v="3"/>
    <x v="3"/>
    <n v="0.55988638156856552"/>
    <n v="11670"/>
    <n v="10"/>
    <n v="7.306296354741991E-2"/>
    <s v="January"/>
  </r>
  <r>
    <x v="9"/>
    <s v="RH5"/>
    <x v="1"/>
    <x v="40"/>
    <n v="11844"/>
    <n v="9157"/>
    <n v="6579"/>
    <n v="309"/>
    <n v="839"/>
    <n v="330"/>
    <x v="9"/>
    <x v="3"/>
    <x v="3"/>
    <n v="0.55547112462006076"/>
    <n v="21001"/>
    <n v="10"/>
    <n v="2.7862208713272545E-2"/>
    <s v="January"/>
  </r>
  <r>
    <x v="9"/>
    <s v="RN5"/>
    <x v="0"/>
    <x v="97"/>
    <n v="10362"/>
    <n v="4004"/>
    <n v="6010"/>
    <n v="279"/>
    <n v="429"/>
    <n v="53"/>
    <x v="9"/>
    <x v="3"/>
    <x v="3"/>
    <n v="0.58000386025863737"/>
    <n v="14366"/>
    <n v="10"/>
    <n v="5.1148426944605287E-3"/>
    <s v="January"/>
  </r>
  <r>
    <x v="9"/>
    <s v="RWD"/>
    <x v="5"/>
    <x v="78"/>
    <n v="17164"/>
    <n v="4565"/>
    <n v="7743"/>
    <n v="357"/>
    <n v="655"/>
    <n v="1595"/>
    <x v="9"/>
    <x v="3"/>
    <x v="3"/>
    <n v="0.45111862036821254"/>
    <n v="21729"/>
    <n v="10"/>
    <n v="9.2927056630156143E-2"/>
    <s v="January"/>
  </r>
  <r>
    <x v="9"/>
    <s v="RA7"/>
    <x v="1"/>
    <x v="158"/>
    <n v="15960"/>
    <n v="0"/>
    <n v="6011"/>
    <n v="0"/>
    <n v="1077"/>
    <n v="793"/>
    <x v="9"/>
    <x v="3"/>
    <x v="3"/>
    <n v="0.37662907268170426"/>
    <n v="15960"/>
    <n v="10"/>
    <n v="4.9686716791979953E-2"/>
    <s v="January"/>
  </r>
  <r>
    <x v="9"/>
    <s v="NQT5F"/>
    <x v="3"/>
    <x v="143"/>
    <n v="0"/>
    <n v="1552"/>
    <n v="0"/>
    <n v="4"/>
    <n v="0"/>
    <n v="0"/>
    <x v="9"/>
    <x v="3"/>
    <x v="3"/>
    <n v="0"/>
    <n v="1552"/>
    <n v="10"/>
    <n v="0"/>
    <s v="January"/>
  </r>
  <r>
    <x v="9"/>
    <s v="AQN04"/>
    <x v="0"/>
    <x v="130"/>
    <n v="0"/>
    <n v="2705"/>
    <n v="0"/>
    <n v="13"/>
    <n v="0"/>
    <n v="0"/>
    <x v="9"/>
    <x v="3"/>
    <x v="3"/>
    <n v="0"/>
    <n v="2705"/>
    <n v="10"/>
    <n v="0"/>
    <s v="January"/>
  </r>
  <r>
    <x v="9"/>
    <s v="RHU"/>
    <x v="0"/>
    <x v="63"/>
    <n v="10780"/>
    <n v="3094"/>
    <n v="4300"/>
    <n v="0"/>
    <n v="719"/>
    <n v="1400"/>
    <x v="9"/>
    <x v="3"/>
    <x v="3"/>
    <n v="0.39888682745825604"/>
    <n v="13874"/>
    <n v="10"/>
    <n v="0.12987012987012986"/>
    <s v="January"/>
  </r>
  <r>
    <x v="9"/>
    <s v="Y02532"/>
    <x v="3"/>
    <x v="141"/>
    <n v="0"/>
    <n v="1700"/>
    <n v="0"/>
    <n v="0"/>
    <n v="0"/>
    <n v="0"/>
    <x v="9"/>
    <x v="3"/>
    <x v="3"/>
    <n v="0"/>
    <n v="1700"/>
    <n v="10"/>
    <n v="0"/>
    <s v="January"/>
  </r>
  <r>
    <x v="9"/>
    <s v="RAL"/>
    <x v="4"/>
    <x v="33"/>
    <n v="27220"/>
    <n v="15730"/>
    <n v="9515"/>
    <n v="1108"/>
    <n v="739"/>
    <n v="2508"/>
    <x v="9"/>
    <x v="3"/>
    <x v="3"/>
    <n v="0.34955914768552537"/>
    <n v="42950"/>
    <n v="10"/>
    <n v="9.2138133725202062E-2"/>
    <s v="January"/>
  </r>
  <r>
    <x v="9"/>
    <s v="RM3"/>
    <x v="3"/>
    <x v="64"/>
    <n v="26583"/>
    <n v="9672"/>
    <n v="10504"/>
    <n v="266"/>
    <n v="893"/>
    <n v="1610"/>
    <x v="9"/>
    <x v="3"/>
    <x v="3"/>
    <n v="0.39513975096866416"/>
    <n v="36255"/>
    <n v="10"/>
    <n v="6.0565022758906066E-2"/>
    <s v="January"/>
  </r>
  <r>
    <x v="9"/>
    <s v="R1K"/>
    <x v="4"/>
    <x v="30"/>
    <n v="13710"/>
    <n v="15810"/>
    <n v="7893"/>
    <n v="624"/>
    <n v="802"/>
    <n v="776"/>
    <x v="9"/>
    <x v="3"/>
    <x v="3"/>
    <n v="0.57571115973741793"/>
    <n v="29520"/>
    <n v="10"/>
    <n v="5.6601021152443469E-2"/>
    <s v="January"/>
  </r>
  <r>
    <x v="9"/>
    <s v="RHW"/>
    <x v="0"/>
    <x v="66"/>
    <n v="11180"/>
    <n v="2623"/>
    <n v="4292"/>
    <n v="0"/>
    <n v="336"/>
    <n v="11"/>
    <x v="9"/>
    <x v="3"/>
    <x v="3"/>
    <n v="0.38389982110912346"/>
    <n v="13803"/>
    <n v="10"/>
    <n v="9.838998211091235E-4"/>
    <s v="January"/>
  </r>
  <r>
    <x v="9"/>
    <s v="RBL"/>
    <x v="3"/>
    <x v="94"/>
    <n v="7867"/>
    <n v="2784"/>
    <n v="4561"/>
    <n v="79"/>
    <n v="412"/>
    <n v="1051"/>
    <x v="9"/>
    <x v="3"/>
    <x v="3"/>
    <n v="0.57976356934028217"/>
    <n v="10651"/>
    <n v="10"/>
    <n v="0.13359603406635312"/>
    <s v="January"/>
  </r>
  <r>
    <x v="9"/>
    <s v="DT301"/>
    <x v="2"/>
    <x v="110"/>
    <n v="0"/>
    <n v="1941"/>
    <n v="0"/>
    <n v="37"/>
    <n v="0"/>
    <n v="0"/>
    <x v="9"/>
    <x v="3"/>
    <x v="3"/>
    <n v="0"/>
    <n v="1941"/>
    <n v="10"/>
    <n v="0"/>
    <s v="January"/>
  </r>
  <r>
    <x v="9"/>
    <s v="RYY"/>
    <x v="0"/>
    <x v="122"/>
    <n v="0"/>
    <n v="6460"/>
    <n v="0"/>
    <n v="38"/>
    <n v="0"/>
    <n v="0"/>
    <x v="9"/>
    <x v="3"/>
    <x v="3"/>
    <n v="0"/>
    <n v="6460"/>
    <n v="10"/>
    <n v="0"/>
    <s v="January"/>
  </r>
  <r>
    <x v="9"/>
    <s v="RTH"/>
    <x v="0"/>
    <x v="100"/>
    <n v="12324"/>
    <n v="3448"/>
    <n v="3953"/>
    <n v="53"/>
    <n v="620"/>
    <n v="23"/>
    <x v="9"/>
    <x v="3"/>
    <x v="3"/>
    <n v="0.32075624797143787"/>
    <n v="15772"/>
    <n v="10"/>
    <n v="1.8662771827328789E-3"/>
    <s v="January"/>
  </r>
  <r>
    <x v="9"/>
    <s v="RPA"/>
    <x v="0"/>
    <x v="191"/>
    <n v="9581"/>
    <n v="5547"/>
    <n v="4097"/>
    <n v="766"/>
    <n v="312"/>
    <n v="869"/>
    <x v="9"/>
    <x v="3"/>
    <x v="3"/>
    <n v="0.42761715896044256"/>
    <n v="15128"/>
    <n v="10"/>
    <n v="9.0700344431687716E-2"/>
    <s v="January"/>
  </r>
  <r>
    <x v="9"/>
    <s v="RKB"/>
    <x v="5"/>
    <x v="11"/>
    <n v="12635"/>
    <n v="5726"/>
    <n v="5477"/>
    <n v="88"/>
    <n v="46"/>
    <n v="8"/>
    <x v="9"/>
    <x v="3"/>
    <x v="3"/>
    <n v="0.43347843292441629"/>
    <n v="18361"/>
    <n v="10"/>
    <n v="6.3316185199841705E-4"/>
    <s v="January"/>
  </r>
  <r>
    <x v="9"/>
    <s v="RJ7"/>
    <x v="4"/>
    <x v="96"/>
    <n v="9068"/>
    <n v="3932"/>
    <n v="3013"/>
    <n v="119"/>
    <n v="432"/>
    <n v="697"/>
    <x v="9"/>
    <x v="3"/>
    <x v="3"/>
    <n v="0.3322673136303485"/>
    <n v="13000"/>
    <n v="10"/>
    <n v="7.6863696515218349E-2"/>
    <s v="January"/>
  </r>
  <r>
    <x v="9"/>
    <s v="C83023"/>
    <x v="5"/>
    <x v="44"/>
    <n v="0"/>
    <n v="561"/>
    <n v="0"/>
    <n v="0"/>
    <n v="0"/>
    <n v="0"/>
    <x v="9"/>
    <x v="3"/>
    <x v="3"/>
    <n v="0"/>
    <n v="561"/>
    <n v="10"/>
    <n v="0"/>
    <s v="January"/>
  </r>
  <r>
    <x v="9"/>
    <s v="RWX"/>
    <x v="0"/>
    <x v="55"/>
    <n v="0"/>
    <n v="1325"/>
    <n v="0"/>
    <n v="14"/>
    <n v="0"/>
    <n v="0"/>
    <x v="9"/>
    <x v="3"/>
    <x v="3"/>
    <n v="0"/>
    <n v="1325"/>
    <n v="10"/>
    <n v="0"/>
    <s v="January"/>
  </r>
  <r>
    <x v="9"/>
    <s v="RVR"/>
    <x v="4"/>
    <x v="74"/>
    <n v="11244"/>
    <n v="2167"/>
    <n v="3440"/>
    <n v="203"/>
    <n v="580"/>
    <n v="913"/>
    <x v="9"/>
    <x v="3"/>
    <x v="3"/>
    <n v="0.30594094628246177"/>
    <n v="13411"/>
    <n v="10"/>
    <n v="8.1198861615083606E-2"/>
    <s v="January"/>
  </r>
  <r>
    <x v="9"/>
    <s v="RQ3"/>
    <x v="5"/>
    <x v="18"/>
    <n v="4501"/>
    <n v="0"/>
    <n v="1009"/>
    <n v="0"/>
    <n v="33"/>
    <n v="4"/>
    <x v="9"/>
    <x v="3"/>
    <x v="3"/>
    <n v="0.22417240613197068"/>
    <n v="4501"/>
    <n v="10"/>
    <n v="8.8869140191068653E-4"/>
    <s v="January"/>
  </r>
  <r>
    <x v="9"/>
    <s v="RM1"/>
    <x v="2"/>
    <x v="75"/>
    <n v="12503"/>
    <n v="7372"/>
    <n v="4255"/>
    <n v="1"/>
    <n v="652"/>
    <n v="555"/>
    <x v="9"/>
    <x v="3"/>
    <x v="3"/>
    <n v="0.34031832360233544"/>
    <n v="19875"/>
    <n v="10"/>
    <n v="4.4389346556826359E-2"/>
    <s v="January"/>
  </r>
  <r>
    <x v="9"/>
    <s v="RDR"/>
    <x v="0"/>
    <x v="3"/>
    <n v="0"/>
    <n v="11207"/>
    <n v="0"/>
    <n v="126"/>
    <n v="0"/>
    <n v="0"/>
    <x v="9"/>
    <x v="3"/>
    <x v="3"/>
    <n v="0"/>
    <n v="11207"/>
    <n v="10"/>
    <n v="0"/>
    <s v="January"/>
  </r>
  <r>
    <x v="9"/>
    <s v="RKE"/>
    <x v="4"/>
    <x v="194"/>
    <n v="9222"/>
    <n v="0"/>
    <n v="2870"/>
    <n v="0"/>
    <n v="179"/>
    <n v="376"/>
    <x v="9"/>
    <x v="3"/>
    <x v="3"/>
    <n v="0.31121231836911734"/>
    <n v="9222"/>
    <n v="10"/>
    <n v="4.0772066796790282E-2"/>
    <s v="January"/>
  </r>
  <r>
    <x v="9"/>
    <s v="RJZ"/>
    <x v="4"/>
    <x v="196"/>
    <n v="16373"/>
    <n v="9168"/>
    <n v="7823"/>
    <n v="637"/>
    <n v="1503"/>
    <n v="1145"/>
    <x v="9"/>
    <x v="3"/>
    <x v="3"/>
    <n v="0.4777988151224577"/>
    <n v="25541"/>
    <n v="10"/>
    <n v="6.9932205460208882E-2"/>
    <s v="January"/>
  </r>
  <r>
    <x v="9"/>
    <s v="RXC"/>
    <x v="0"/>
    <x v="84"/>
    <n v="9503"/>
    <n v="2017"/>
    <n v="4576"/>
    <n v="41"/>
    <n v="225"/>
    <n v="197"/>
    <x v="9"/>
    <x v="3"/>
    <x v="3"/>
    <n v="0.48153214774281805"/>
    <n v="11520"/>
    <n v="10"/>
    <n v="2.0730295696095968E-2"/>
    <s v="January"/>
  </r>
  <r>
    <x v="9"/>
    <s v="RWJ"/>
    <x v="3"/>
    <x v="82"/>
    <n v="8068"/>
    <n v="979"/>
    <n v="3478"/>
    <n v="69"/>
    <n v="655"/>
    <n v="564"/>
    <x v="9"/>
    <x v="3"/>
    <x v="3"/>
    <n v="0.43108577094695094"/>
    <n v="9047"/>
    <n v="10"/>
    <n v="6.9905800694100143E-2"/>
    <s v="January"/>
  </r>
  <r>
    <x v="9"/>
    <s v="RWE"/>
    <x v="5"/>
    <x v="79"/>
    <n v="22688"/>
    <n v="0"/>
    <n v="9253"/>
    <n v="0"/>
    <n v="1467"/>
    <n v="1017"/>
    <x v="9"/>
    <x v="3"/>
    <x v="3"/>
    <n v="0.40783674188998592"/>
    <n v="22688"/>
    <n v="10"/>
    <n v="4.4825458392101551E-2"/>
    <s v="January"/>
  </r>
  <r>
    <x v="9"/>
    <s v="RVW"/>
    <x v="6"/>
    <x v="76"/>
    <n v="5067"/>
    <n v="10971"/>
    <n v="3116"/>
    <n v="31"/>
    <n v="353"/>
    <n v="65"/>
    <x v="9"/>
    <x v="3"/>
    <x v="3"/>
    <n v="0.61495954213538584"/>
    <n v="16038"/>
    <n v="10"/>
    <n v="1.2828103414249063E-2"/>
    <s v="January"/>
  </r>
  <r>
    <x v="9"/>
    <s v="RVV"/>
    <x v="0"/>
    <x v="50"/>
    <n v="13369"/>
    <n v="11794"/>
    <n v="6172"/>
    <n v="364"/>
    <n v="511"/>
    <n v="1208"/>
    <x v="9"/>
    <x v="3"/>
    <x v="3"/>
    <n v="0.4616650460019448"/>
    <n v="25163"/>
    <n v="10"/>
    <n v="9.0358291570050112E-2"/>
    <s v="January"/>
  </r>
  <r>
    <x v="9"/>
    <s v="RTE"/>
    <x v="1"/>
    <x v="23"/>
    <n v="13205"/>
    <n v="0"/>
    <n v="5315"/>
    <n v="0"/>
    <n v="318"/>
    <n v="543"/>
    <x v="9"/>
    <x v="3"/>
    <x v="3"/>
    <n v="0.40249905338886788"/>
    <n v="13205"/>
    <n v="10"/>
    <n v="4.1120787580461948E-2"/>
    <s v="January"/>
  </r>
  <r>
    <x v="9"/>
    <s v="RRF"/>
    <x v="3"/>
    <x v="206"/>
    <n v="7503"/>
    <n v="4746"/>
    <n v="4108"/>
    <n v="99"/>
    <n v="540"/>
    <n v="567"/>
    <x v="9"/>
    <x v="3"/>
    <x v="3"/>
    <n v="0.54751432760229246"/>
    <n v="12249"/>
    <n v="10"/>
    <n v="7.5569772091163528E-2"/>
    <s v="January"/>
  </r>
  <r>
    <x v="9"/>
    <s v="RR7"/>
    <x v="6"/>
    <x v="115"/>
    <n v="5916"/>
    <n v="4193"/>
    <n v="3081"/>
    <n v="38"/>
    <n v="1068"/>
    <n v="12"/>
    <x v="9"/>
    <x v="3"/>
    <x v="3"/>
    <n v="0.52079107505070998"/>
    <n v="10109"/>
    <n v="10"/>
    <n v="2.0283975659229209E-3"/>
    <s v="January"/>
  </r>
  <r>
    <x v="9"/>
    <s v="RNZ"/>
    <x v="1"/>
    <x v="17"/>
    <n v="4691"/>
    <n v="2028"/>
    <n v="2163"/>
    <n v="0"/>
    <n v="434"/>
    <n v="171"/>
    <x v="9"/>
    <x v="3"/>
    <x v="3"/>
    <n v="0.46109571519931786"/>
    <n v="6719"/>
    <n v="10"/>
    <n v="3.6452781922830954E-2"/>
    <s v="January"/>
  </r>
  <r>
    <x v="9"/>
    <s v="RNS"/>
    <x v="5"/>
    <x v="15"/>
    <n v="10676"/>
    <n v="2109"/>
    <n v="4333"/>
    <n v="82"/>
    <n v="407"/>
    <n v="923"/>
    <x v="9"/>
    <x v="3"/>
    <x v="3"/>
    <n v="0.40586361933308357"/>
    <n v="12785"/>
    <n v="10"/>
    <n v="8.6455601348819786E-2"/>
    <s v="January"/>
  </r>
  <r>
    <x v="9"/>
    <s v="RNA"/>
    <x v="5"/>
    <x v="168"/>
    <n v="9849"/>
    <n v="3832"/>
    <n v="3750"/>
    <n v="62"/>
    <n v="2570"/>
    <n v="117"/>
    <x v="9"/>
    <x v="3"/>
    <x v="3"/>
    <n v="0.38074931465123363"/>
    <n v="13681"/>
    <n v="10"/>
    <n v="1.1879378617118489E-2"/>
    <s v="January"/>
  </r>
  <r>
    <x v="9"/>
    <s v="RMP"/>
    <x v="3"/>
    <x v="166"/>
    <n v="8359"/>
    <n v="2894"/>
    <n v="4561"/>
    <n v="119"/>
    <n v="232"/>
    <n v="904"/>
    <x v="9"/>
    <x v="3"/>
    <x v="3"/>
    <n v="0.54563943055389397"/>
    <n v="11253"/>
    <n v="10"/>
    <n v="0.10814690752482355"/>
    <s v="January"/>
  </r>
  <r>
    <x v="9"/>
    <s v="RLT"/>
    <x v="5"/>
    <x v="13"/>
    <n v="7067"/>
    <n v="1614"/>
    <n v="2268"/>
    <n v="24"/>
    <n v="347"/>
    <n v="568"/>
    <x v="9"/>
    <x v="3"/>
    <x v="3"/>
    <n v="0.32092825810103298"/>
    <n v="8681"/>
    <n v="10"/>
    <n v="8.0373567284562047E-2"/>
    <s v="January"/>
  </r>
  <r>
    <x v="9"/>
    <s v="RL4"/>
    <x v="5"/>
    <x v="165"/>
    <n v="11174"/>
    <n v="6458"/>
    <n v="4222"/>
    <n v="259"/>
    <n v="838"/>
    <n v="718"/>
    <x v="9"/>
    <x v="3"/>
    <x v="3"/>
    <n v="0.3778414175765169"/>
    <n v="17632"/>
    <n v="10"/>
    <n v="6.4256309289421873E-2"/>
    <s v="January"/>
  </r>
  <r>
    <x v="9"/>
    <s v="RJR"/>
    <x v="3"/>
    <x v="105"/>
    <n v="5364"/>
    <n v="2417"/>
    <n v="2934"/>
    <n v="417"/>
    <n v="262"/>
    <n v="865"/>
    <x v="9"/>
    <x v="3"/>
    <x v="3"/>
    <n v="0.54697986577181212"/>
    <n v="7781"/>
    <n v="10"/>
    <n v="0.16126025354213275"/>
    <s v="January"/>
  </r>
  <r>
    <x v="9"/>
    <s v="RHQ"/>
    <x v="6"/>
    <x v="42"/>
    <n v="9248"/>
    <n v="6863"/>
    <n v="5409"/>
    <n v="375"/>
    <n v="1527"/>
    <n v="16"/>
    <x v="9"/>
    <x v="3"/>
    <x v="3"/>
    <n v="0.58488321799307963"/>
    <n v="16111"/>
    <n v="10"/>
    <n v="1.7301038062283738E-3"/>
    <s v="January"/>
  </r>
  <r>
    <x v="9"/>
    <s v="RFS"/>
    <x v="5"/>
    <x v="68"/>
    <n v="5497"/>
    <n v="5460"/>
    <n v="4006"/>
    <n v="54"/>
    <n v="767"/>
    <n v="628"/>
    <x v="9"/>
    <x v="3"/>
    <x v="3"/>
    <n v="0.72876114244133161"/>
    <n v="10957"/>
    <n v="10"/>
    <n v="0.11424413316354375"/>
    <s v="January"/>
  </r>
  <r>
    <x v="9"/>
    <s v="RFR"/>
    <x v="6"/>
    <x v="39"/>
    <n v="9772"/>
    <n v="0"/>
    <n v="3420"/>
    <n v="0"/>
    <n v="1099"/>
    <n v="112"/>
    <x v="9"/>
    <x v="3"/>
    <x v="3"/>
    <n v="0.34997953336062221"/>
    <n v="9772"/>
    <n v="10"/>
    <n v="1.1461318051575931E-2"/>
    <s v="January"/>
  </r>
  <r>
    <x v="9"/>
    <s v="RF4"/>
    <x v="4"/>
    <x v="7"/>
    <n v="13676"/>
    <n v="14091"/>
    <n v="6707"/>
    <n v="154"/>
    <n v="540"/>
    <n v="1361"/>
    <x v="9"/>
    <x v="3"/>
    <x v="3"/>
    <n v="0.49042117578239253"/>
    <n v="27767"/>
    <n v="10"/>
    <n v="9.9517402749341913E-2"/>
    <s v="January"/>
  </r>
  <r>
    <x v="9"/>
    <s v="RET"/>
    <x v="3"/>
    <x v="6"/>
    <n v="0"/>
    <n v="0"/>
    <n v="0"/>
    <n v="0"/>
    <n v="0"/>
    <n v="0"/>
    <x v="9"/>
    <x v="3"/>
    <x v="3"/>
    <n v="0"/>
    <n v="0"/>
    <n v="10"/>
    <n v="0"/>
    <s v="January"/>
  </r>
  <r>
    <x v="9"/>
    <s v="REP"/>
    <x v="3"/>
    <x v="38"/>
    <n v="0"/>
    <n v="0"/>
    <n v="0"/>
    <n v="0"/>
    <n v="0"/>
    <n v="0"/>
    <x v="9"/>
    <x v="3"/>
    <x v="3"/>
    <n v="0"/>
    <n v="0"/>
    <n v="10"/>
    <n v="0"/>
    <s v="January"/>
  </r>
  <r>
    <x v="9"/>
    <s v="RXL"/>
    <x v="3"/>
    <x v="86"/>
    <n v="9001"/>
    <n v="9783"/>
    <n v="4500"/>
    <n v="230"/>
    <n v="578"/>
    <n v="650"/>
    <x v="9"/>
    <x v="3"/>
    <x v="3"/>
    <n v="0.49994445061659815"/>
    <n v="18784"/>
    <n v="10"/>
    <n v="7.2214198422397513E-2"/>
    <s v="January"/>
  </r>
  <r>
    <x v="9"/>
    <s v="RK5"/>
    <x v="5"/>
    <x v="10"/>
    <n v="11441"/>
    <n v="5191"/>
    <n v="4631"/>
    <n v="473"/>
    <n v="837"/>
    <n v="689"/>
    <x v="9"/>
    <x v="3"/>
    <x v="3"/>
    <n v="0.40477231011275239"/>
    <n v="16632"/>
    <n v="10"/>
    <n v="6.0222008565684819E-2"/>
    <s v="January"/>
  </r>
  <r>
    <x v="9"/>
    <s v="RXN"/>
    <x v="3"/>
    <x v="65"/>
    <n v="12016"/>
    <n v="3179"/>
    <n v="4833"/>
    <n v="132"/>
    <n v="1163"/>
    <n v="523"/>
    <x v="9"/>
    <x v="3"/>
    <x v="3"/>
    <n v="0.40221371504660453"/>
    <n v="15195"/>
    <n v="10"/>
    <n v="4.352529960053262E-2"/>
    <s v="January"/>
  </r>
  <r>
    <x v="9"/>
    <s v="RXW"/>
    <x v="5"/>
    <x v="88"/>
    <n v="10549"/>
    <n v="2471"/>
    <n v="5992"/>
    <n v="349"/>
    <n v="470"/>
    <n v="1601"/>
    <x v="9"/>
    <x v="3"/>
    <x v="3"/>
    <n v="0.56801592568015924"/>
    <n v="13020"/>
    <n v="10"/>
    <n v="0.15176794008910796"/>
    <s v="January"/>
  </r>
  <r>
    <x v="9"/>
    <s v="RJ6"/>
    <x v="4"/>
    <x v="189"/>
    <n v="13686"/>
    <n v="5047"/>
    <n v="4963"/>
    <n v="0"/>
    <n v="224"/>
    <n v="814"/>
    <x v="9"/>
    <x v="3"/>
    <x v="3"/>
    <n v="0.36263334794680696"/>
    <n v="18733"/>
    <n v="10"/>
    <n v="5.9476837644308049E-2"/>
    <s v="January"/>
  </r>
  <r>
    <x v="9"/>
    <s v="RJ2"/>
    <x v="4"/>
    <x v="8"/>
    <n v="16319"/>
    <n v="16090"/>
    <n v="8960"/>
    <n v="423"/>
    <n v="1147"/>
    <n v="943"/>
    <x v="9"/>
    <x v="3"/>
    <x v="3"/>
    <n v="0.54905325081193701"/>
    <n v="32409"/>
    <n v="10"/>
    <n v="5.7785403517372387E-2"/>
    <s v="January"/>
  </r>
  <r>
    <x v="9"/>
    <s v="RHM"/>
    <x v="0"/>
    <x v="41"/>
    <n v="11380"/>
    <n v="0"/>
    <n v="4182"/>
    <n v="0"/>
    <n v="438"/>
    <n v="11"/>
    <x v="9"/>
    <x v="3"/>
    <x v="3"/>
    <n v="0.36748681898066782"/>
    <n v="11380"/>
    <n v="10"/>
    <n v="9.6660808435852373E-4"/>
    <s v="January"/>
  </r>
  <r>
    <x v="9"/>
    <s v="RGN"/>
    <x v="2"/>
    <x v="185"/>
    <n v="15653"/>
    <n v="4714"/>
    <n v="6612"/>
    <n v="140"/>
    <n v="554"/>
    <n v="1056"/>
    <x v="9"/>
    <x v="3"/>
    <x v="3"/>
    <n v="0.42241103941736408"/>
    <n v="20367"/>
    <n v="10"/>
    <n v="6.7463106113843985E-2"/>
    <s v="January"/>
  </r>
  <r>
    <x v="9"/>
    <s v="RFF"/>
    <x v="6"/>
    <x v="104"/>
    <n v="9365"/>
    <n v="0"/>
    <n v="3429"/>
    <n v="0"/>
    <n v="915"/>
    <n v="19"/>
    <x v="9"/>
    <x v="3"/>
    <x v="3"/>
    <n v="0.36615056059797119"/>
    <n v="9365"/>
    <n v="10"/>
    <n v="2.0288307528029898E-3"/>
    <s v="January"/>
  </r>
  <r>
    <x v="9"/>
    <s v="RD8"/>
    <x v="2"/>
    <x v="36"/>
    <n v="8057"/>
    <n v="5444"/>
    <n v="3997"/>
    <n v="164"/>
    <n v="935"/>
    <n v="0"/>
    <x v="9"/>
    <x v="3"/>
    <x v="3"/>
    <n v="0.49609035621198955"/>
    <n v="13501"/>
    <n v="10"/>
    <n v="0"/>
    <s v="January"/>
  </r>
  <r>
    <x v="9"/>
    <s v="RD1"/>
    <x v="1"/>
    <x v="1"/>
    <n v="8979"/>
    <n v="0"/>
    <n v="4112"/>
    <n v="0"/>
    <n v="1058"/>
    <n v="328"/>
    <x v="9"/>
    <x v="3"/>
    <x v="3"/>
    <n v="0.45795745628689166"/>
    <n v="8979"/>
    <n v="10"/>
    <n v="3.6529680365296802E-2"/>
    <s v="January"/>
  </r>
  <r>
    <x v="9"/>
    <s v="RCF"/>
    <x v="6"/>
    <x v="162"/>
    <n v="6127"/>
    <n v="0"/>
    <n v="2600"/>
    <n v="0"/>
    <n v="576"/>
    <n v="301"/>
    <x v="9"/>
    <x v="3"/>
    <x v="3"/>
    <n v="0.42435123225069366"/>
    <n v="6127"/>
    <n v="10"/>
    <n v="4.9126815733637995E-2"/>
    <s v="January"/>
  </r>
  <r>
    <x v="9"/>
    <s v="RCB"/>
    <x v="6"/>
    <x v="35"/>
    <n v="10943"/>
    <n v="6263"/>
    <n v="6338"/>
    <n v="231"/>
    <n v="795"/>
    <n v="930"/>
    <x v="9"/>
    <x v="3"/>
    <x v="3"/>
    <n v="0.57918303938590876"/>
    <n v="17206"/>
    <n v="10"/>
    <n v="8.4985835694050993E-2"/>
    <s v="January"/>
  </r>
  <r>
    <x v="9"/>
    <s v="RC9"/>
    <x v="2"/>
    <x v="161"/>
    <n v="17269"/>
    <n v="9170"/>
    <n v="6734"/>
    <n v="0"/>
    <n v="82"/>
    <n v="92"/>
    <x v="9"/>
    <x v="3"/>
    <x v="3"/>
    <n v="0.38994730441832187"/>
    <n v="26439"/>
    <n v="10"/>
    <n v="5.3274654004285132E-3"/>
    <s v="January"/>
  </r>
  <r>
    <x v="9"/>
    <s v="RBN"/>
    <x v="3"/>
    <x v="34"/>
    <n v="17418"/>
    <n v="7205"/>
    <n v="6696"/>
    <n v="72"/>
    <n v="410"/>
    <n v="573"/>
    <x v="9"/>
    <x v="3"/>
    <x v="3"/>
    <n v="0.38442990010334138"/>
    <n v="24623"/>
    <n v="10"/>
    <n v="3.2897003100241129E-2"/>
    <s v="January"/>
  </r>
  <r>
    <x v="9"/>
    <s v="RBK"/>
    <x v="5"/>
    <x v="159"/>
    <n v="9620"/>
    <n v="3656"/>
    <n v="3986"/>
    <n v="41"/>
    <n v="1063"/>
    <n v="729"/>
    <x v="9"/>
    <x v="3"/>
    <x v="3"/>
    <n v="0.41434511434511434"/>
    <n v="13276"/>
    <n v="10"/>
    <n v="7.5779625779625784E-2"/>
    <s v="January"/>
  </r>
  <r>
    <x v="9"/>
    <s v="RBD"/>
    <x v="1"/>
    <x v="183"/>
    <n v="4499"/>
    <n v="0"/>
    <n v="1806"/>
    <n v="0"/>
    <n v="229"/>
    <n v="114"/>
    <x v="9"/>
    <x v="3"/>
    <x v="3"/>
    <n v="0.40142253834185376"/>
    <n v="4499"/>
    <n v="10"/>
    <n v="2.5338964214269837E-2"/>
    <s v="January"/>
  </r>
  <r>
    <x v="9"/>
    <s v="RAX"/>
    <x v="4"/>
    <x v="114"/>
    <n v="7010"/>
    <n v="7978"/>
    <n v="4131"/>
    <n v="412"/>
    <n v="176"/>
    <n v="667"/>
    <x v="9"/>
    <x v="3"/>
    <x v="3"/>
    <n v="0.58930099857346652"/>
    <n v="14988"/>
    <n v="10"/>
    <n v="9.5149786019971469E-2"/>
    <s v="January"/>
  </r>
  <r>
    <x v="9"/>
    <s v="RAT"/>
    <x v="4"/>
    <x v="182"/>
    <n v="0"/>
    <n v="1623"/>
    <n v="0"/>
    <n v="40"/>
    <n v="0"/>
    <n v="0"/>
    <x v="9"/>
    <x v="3"/>
    <x v="3"/>
    <n v="0"/>
    <n v="1623"/>
    <n v="10"/>
    <n v="0"/>
    <s v="January"/>
  </r>
  <r>
    <x v="9"/>
    <s v="RA2"/>
    <x v="0"/>
    <x v="203"/>
    <n v="6755"/>
    <n v="1891"/>
    <n v="2764"/>
    <n v="0"/>
    <n v="543"/>
    <n v="136"/>
    <x v="9"/>
    <x v="3"/>
    <x v="3"/>
    <n v="0.40917838638045889"/>
    <n v="8646"/>
    <n v="10"/>
    <n v="2.0133234641006661E-2"/>
    <s v="January"/>
  </r>
  <r>
    <x v="9"/>
    <s v="R1H"/>
    <x v="4"/>
    <x v="93"/>
    <n v="26186"/>
    <n v="17829"/>
    <n v="11785"/>
    <n v="1166"/>
    <n v="1058"/>
    <n v="1352"/>
    <x v="9"/>
    <x v="3"/>
    <x v="3"/>
    <n v="0.45004964484839227"/>
    <n v="44015"/>
    <n v="10"/>
    <n v="5.163064232796151E-2"/>
    <s v="January"/>
  </r>
  <r>
    <x v="9"/>
    <s v="R1F"/>
    <x v="0"/>
    <x v="25"/>
    <n v="4083"/>
    <n v="1414"/>
    <n v="1710"/>
    <n v="102"/>
    <n v="287"/>
    <n v="307"/>
    <x v="9"/>
    <x v="3"/>
    <x v="3"/>
    <n v="0.41880969875091845"/>
    <n v="5497"/>
    <n v="10"/>
    <n v="7.5189811413176585E-2"/>
    <s v="January"/>
  </r>
  <r>
    <x v="9"/>
    <s v="K6K0R"/>
    <x v="4"/>
    <x v="121"/>
    <n v="0"/>
    <n v="2911"/>
    <n v="0"/>
    <n v="13"/>
    <n v="0"/>
    <n v="0"/>
    <x v="9"/>
    <x v="3"/>
    <x v="3"/>
    <n v="0"/>
    <n v="2911"/>
    <n v="10"/>
    <n v="0"/>
    <s v="January"/>
  </r>
  <r>
    <x v="9"/>
    <s v="G0Q0L"/>
    <x v="4"/>
    <x v="120"/>
    <n v="0"/>
    <n v="2520"/>
    <n v="0"/>
    <n v="10"/>
    <n v="0"/>
    <n v="0"/>
    <x v="9"/>
    <x v="3"/>
    <x v="3"/>
    <n v="0"/>
    <n v="2520"/>
    <n v="10"/>
    <n v="0"/>
    <s v="January"/>
  </r>
  <r>
    <x v="9"/>
    <s v="ACH01"/>
    <x v="0"/>
    <x v="119"/>
    <n v="0"/>
    <n v="4990"/>
    <n v="0"/>
    <n v="0"/>
    <n v="0"/>
    <n v="0"/>
    <x v="9"/>
    <x v="3"/>
    <x v="3"/>
    <n v="0"/>
    <n v="4990"/>
    <n v="10"/>
    <n v="0"/>
    <s v="January"/>
  </r>
  <r>
    <x v="9"/>
    <s v="RXP"/>
    <x v="6"/>
    <x v="87"/>
    <n v="12948"/>
    <n v="3631"/>
    <n v="5904"/>
    <n v="0"/>
    <n v="2176"/>
    <n v="45"/>
    <x v="9"/>
    <x v="3"/>
    <x v="3"/>
    <n v="0.45597775718257644"/>
    <n v="16579"/>
    <n v="10"/>
    <n v="3.4754402224281742E-3"/>
    <s v="January"/>
  </r>
  <r>
    <x v="9"/>
    <s v="RY5"/>
    <x v="5"/>
    <x v="151"/>
    <n v="0"/>
    <n v="7660"/>
    <n v="0"/>
    <n v="146"/>
    <n v="0"/>
    <n v="0"/>
    <x v="9"/>
    <x v="3"/>
    <x v="3"/>
    <n v="0"/>
    <n v="7660"/>
    <n v="10"/>
    <n v="0"/>
    <s v="January"/>
  </r>
  <r>
    <x v="10"/>
    <s v="C82038"/>
    <x v="5"/>
    <x v="131"/>
    <n v="0"/>
    <n v="295"/>
    <n v="0"/>
    <n v="0"/>
    <n v="0"/>
    <n v="0"/>
    <x v="10"/>
    <x v="3"/>
    <x v="3"/>
    <n v="0"/>
    <n v="295"/>
    <n v="11"/>
    <n v="0"/>
    <s v="February"/>
  </r>
  <r>
    <x v="10"/>
    <s v="AJN"/>
    <x v="6"/>
    <x v="187"/>
    <n v="0"/>
    <n v="360"/>
    <n v="0"/>
    <n v="0"/>
    <n v="0"/>
    <n v="0"/>
    <x v="10"/>
    <x v="3"/>
    <x v="3"/>
    <n v="0"/>
    <n v="360"/>
    <n v="11"/>
    <n v="0"/>
    <s v="February"/>
  </r>
  <r>
    <x v="10"/>
    <s v="NNJ07"/>
    <x v="5"/>
    <x v="56"/>
    <n v="0"/>
    <n v="4952"/>
    <n v="0"/>
    <n v="30"/>
    <n v="0"/>
    <n v="0"/>
    <x v="10"/>
    <x v="3"/>
    <x v="3"/>
    <n v="0"/>
    <n v="4952"/>
    <n v="11"/>
    <n v="0"/>
    <s v="February"/>
  </r>
  <r>
    <x v="10"/>
    <s v="NNJ0H"/>
    <x v="5"/>
    <x v="57"/>
    <n v="0"/>
    <n v="168"/>
    <n v="0"/>
    <n v="0"/>
    <n v="0"/>
    <n v="0"/>
    <x v="10"/>
    <x v="3"/>
    <x v="3"/>
    <n v="0"/>
    <n v="168"/>
    <n v="11"/>
    <n v="0"/>
    <s v="February"/>
  </r>
  <r>
    <x v="10"/>
    <s v="NNJ12"/>
    <x v="5"/>
    <x v="58"/>
    <n v="0"/>
    <n v="116"/>
    <n v="0"/>
    <n v="0"/>
    <n v="0"/>
    <n v="0"/>
    <x v="10"/>
    <x v="3"/>
    <x v="3"/>
    <n v="0"/>
    <n v="116"/>
    <n v="11"/>
    <n v="0"/>
    <s v="February"/>
  </r>
  <r>
    <x v="10"/>
    <s v="NNJ13"/>
    <x v="5"/>
    <x v="59"/>
    <n v="0"/>
    <n v="40"/>
    <n v="0"/>
    <n v="0"/>
    <n v="0"/>
    <n v="0"/>
    <x v="10"/>
    <x v="3"/>
    <x v="3"/>
    <n v="0"/>
    <n v="40"/>
    <n v="11"/>
    <n v="0"/>
    <s v="February"/>
  </r>
  <r>
    <x v="10"/>
    <s v="NNJ14"/>
    <x v="5"/>
    <x v="60"/>
    <n v="0"/>
    <n v="484"/>
    <n v="0"/>
    <n v="2"/>
    <n v="0"/>
    <n v="0"/>
    <x v="10"/>
    <x v="3"/>
    <x v="3"/>
    <n v="0"/>
    <n v="484"/>
    <n v="11"/>
    <n v="0"/>
    <s v="February"/>
  </r>
  <r>
    <x v="10"/>
    <s v="NNJ15"/>
    <x v="5"/>
    <x v="61"/>
    <n v="0"/>
    <n v="53"/>
    <n v="0"/>
    <n v="0"/>
    <n v="0"/>
    <n v="0"/>
    <x v="10"/>
    <x v="3"/>
    <x v="3"/>
    <n v="0"/>
    <n v="53"/>
    <n v="11"/>
    <n v="0"/>
    <s v="February"/>
  </r>
  <r>
    <x v="10"/>
    <s v="NTPAD"/>
    <x v="0"/>
    <x v="112"/>
    <n v="0"/>
    <n v="4662"/>
    <n v="0"/>
    <n v="243"/>
    <n v="0"/>
    <n v="0"/>
    <x v="10"/>
    <x v="3"/>
    <x v="3"/>
    <n v="0"/>
    <n v="4662"/>
    <n v="11"/>
    <n v="0"/>
    <s v="February"/>
  </r>
  <r>
    <x v="10"/>
    <s v="R0B"/>
    <x v="6"/>
    <x v="156"/>
    <n v="10371"/>
    <n v="5014"/>
    <n v="5314"/>
    <n v="196"/>
    <n v="723"/>
    <n v="1"/>
    <x v="10"/>
    <x v="3"/>
    <x v="3"/>
    <n v="0.51239031915919386"/>
    <n v="15385"/>
    <n v="11"/>
    <n v="9.6422717192170472E-5"/>
    <s v="February"/>
  </r>
  <r>
    <x v="10"/>
    <s v="R1H"/>
    <x v="4"/>
    <x v="93"/>
    <n v="24013"/>
    <n v="15869"/>
    <n v="10119"/>
    <n v="790"/>
    <n v="913"/>
    <n v="1271"/>
    <x v="10"/>
    <x v="3"/>
    <x v="3"/>
    <n v="0.42139674343064176"/>
    <n v="39882"/>
    <n v="11"/>
    <n v="5.2929663099154624E-2"/>
    <s v="February"/>
  </r>
  <r>
    <x v="10"/>
    <s v="RYJ"/>
    <x v="4"/>
    <x v="91"/>
    <n v="11379"/>
    <n v="6043"/>
    <n v="4645"/>
    <n v="245"/>
    <n v="494"/>
    <n v="0"/>
    <x v="10"/>
    <x v="3"/>
    <x v="3"/>
    <n v="0.40820810264522367"/>
    <n v="17422"/>
    <n v="11"/>
    <n v="0"/>
    <s v="February"/>
  </r>
  <r>
    <x v="10"/>
    <s v="RAS"/>
    <x v="4"/>
    <x v="174"/>
    <n v="4633"/>
    <n v="5942"/>
    <n v="1969"/>
    <n v="23"/>
    <n v="520"/>
    <n v="18"/>
    <x v="10"/>
    <x v="3"/>
    <x v="3"/>
    <n v="0.42499460392834015"/>
    <n v="10575"/>
    <n v="11"/>
    <n v="3.8851715950787825E-3"/>
    <s v="February"/>
  </r>
  <r>
    <x v="10"/>
    <s v="RCB"/>
    <x v="6"/>
    <x v="35"/>
    <n v="10322"/>
    <n v="5851"/>
    <n v="5614"/>
    <n v="248"/>
    <n v="760"/>
    <n v="406"/>
    <x v="10"/>
    <x v="3"/>
    <x v="3"/>
    <n v="0.54388684363495443"/>
    <n v="16173"/>
    <n v="11"/>
    <n v="3.9333462507266034E-2"/>
    <s v="February"/>
  </r>
  <r>
    <x v="10"/>
    <s v="RCF"/>
    <x v="6"/>
    <x v="162"/>
    <n v="5277"/>
    <n v="0"/>
    <n v="2307"/>
    <n v="0"/>
    <n v="419"/>
    <n v="262"/>
    <x v="10"/>
    <x v="3"/>
    <x v="3"/>
    <n v="0.43718021603183627"/>
    <n v="5277"/>
    <n v="11"/>
    <n v="4.9649422020087174E-2"/>
    <s v="February"/>
  </r>
  <r>
    <x v="10"/>
    <s v="RD1"/>
    <x v="1"/>
    <x v="1"/>
    <n v="8288"/>
    <n v="0"/>
    <n v="3645"/>
    <n v="0"/>
    <n v="806"/>
    <n v="219"/>
    <x v="10"/>
    <x v="3"/>
    <x v="3"/>
    <n v="0.43979247104247104"/>
    <n v="8288"/>
    <n v="11"/>
    <n v="2.6423745173745173E-2"/>
    <s v="February"/>
  </r>
  <r>
    <x v="10"/>
    <s v="RDE"/>
    <x v="2"/>
    <x v="2"/>
    <n v="10184"/>
    <n v="11887"/>
    <n v="4342"/>
    <n v="999"/>
    <n v="768"/>
    <n v="559"/>
    <x v="10"/>
    <x v="3"/>
    <x v="3"/>
    <n v="0.42635506677140611"/>
    <n v="22071"/>
    <n v="11"/>
    <n v="5.4890023566378635E-2"/>
    <s v="February"/>
  </r>
  <r>
    <x v="10"/>
    <s v="RDR"/>
    <x v="0"/>
    <x v="3"/>
    <n v="0"/>
    <n v="10054"/>
    <n v="0"/>
    <n v="74"/>
    <n v="0"/>
    <n v="0"/>
    <x v="10"/>
    <x v="3"/>
    <x v="3"/>
    <n v="0"/>
    <n v="10054"/>
    <n v="11"/>
    <n v="0"/>
    <s v="February"/>
  </r>
  <r>
    <x v="10"/>
    <s v="REM"/>
    <x v="3"/>
    <x v="5"/>
    <n v="14733"/>
    <n v="7259"/>
    <n v="7314"/>
    <n v="349"/>
    <n v="711"/>
    <n v="1234"/>
    <x v="10"/>
    <x v="3"/>
    <x v="3"/>
    <n v="0.49643657096314397"/>
    <n v="21992"/>
    <n v="11"/>
    <n v="8.37575510758162E-2"/>
    <s v="February"/>
  </r>
  <r>
    <x v="10"/>
    <s v="RET"/>
    <x v="3"/>
    <x v="6"/>
    <n v="0"/>
    <n v="0"/>
    <n v="0"/>
    <n v="0"/>
    <n v="0"/>
    <n v="0"/>
    <x v="10"/>
    <x v="3"/>
    <x v="3"/>
    <n v="0"/>
    <n v="0"/>
    <n v="11"/>
    <n v="0"/>
    <s v="February"/>
  </r>
  <r>
    <x v="10"/>
    <s v="RFF"/>
    <x v="6"/>
    <x v="104"/>
    <n v="8494"/>
    <n v="0"/>
    <n v="2102"/>
    <n v="0"/>
    <n v="372"/>
    <n v="1"/>
    <x v="10"/>
    <x v="3"/>
    <x v="3"/>
    <n v="0.24746880150694608"/>
    <n v="8494"/>
    <n v="11"/>
    <n v="1.1773016246762421E-4"/>
    <s v="February"/>
  </r>
  <r>
    <x v="10"/>
    <s v="RGN"/>
    <x v="2"/>
    <x v="185"/>
    <n v="14103"/>
    <n v="4300"/>
    <n v="5984"/>
    <n v="192"/>
    <n v="501"/>
    <n v="921"/>
    <x v="10"/>
    <x v="3"/>
    <x v="3"/>
    <n v="0.42430688505991632"/>
    <n v="18403"/>
    <n v="11"/>
    <n v="6.5305254201233787E-2"/>
    <s v="February"/>
  </r>
  <r>
    <x v="10"/>
    <s v="RBN"/>
    <x v="3"/>
    <x v="34"/>
    <n v="15685"/>
    <n v="6585"/>
    <n v="6218"/>
    <n v="88"/>
    <n v="389"/>
    <n v="480"/>
    <x v="10"/>
    <x v="3"/>
    <x v="3"/>
    <n v="0.39642970991393051"/>
    <n v="22270"/>
    <n v="11"/>
    <n v="3.0602486452024225E-2"/>
    <s v="February"/>
  </r>
  <r>
    <x v="10"/>
    <s v="RY4"/>
    <x v="2"/>
    <x v="172"/>
    <n v="0"/>
    <n v="1021"/>
    <n v="0"/>
    <n v="10"/>
    <n v="0"/>
    <n v="0"/>
    <x v="10"/>
    <x v="3"/>
    <x v="3"/>
    <n v="0"/>
    <n v="1021"/>
    <n v="11"/>
    <n v="0"/>
    <s v="February"/>
  </r>
  <r>
    <x v="10"/>
    <s v="RXK"/>
    <x v="5"/>
    <x v="176"/>
    <n v="10569"/>
    <n v="7702"/>
    <n v="5128"/>
    <n v="138"/>
    <n v="711"/>
    <n v="448"/>
    <x v="10"/>
    <x v="3"/>
    <x v="3"/>
    <n v="0.48519254423313463"/>
    <n v="18271"/>
    <n v="11"/>
    <n v="4.23881161888542E-2"/>
    <s v="February"/>
  </r>
  <r>
    <x v="10"/>
    <s v="RWX"/>
    <x v="0"/>
    <x v="55"/>
    <n v="0"/>
    <n v="1176"/>
    <n v="0"/>
    <n v="10"/>
    <n v="0"/>
    <n v="0"/>
    <x v="10"/>
    <x v="3"/>
    <x v="3"/>
    <n v="0"/>
    <n v="1176"/>
    <n v="11"/>
    <n v="0"/>
    <s v="February"/>
  </r>
  <r>
    <x v="10"/>
    <s v="R0A"/>
    <x v="3"/>
    <x v="155"/>
    <n v="24273"/>
    <n v="9991"/>
    <n v="9641"/>
    <n v="290"/>
    <n v="3528"/>
    <n v="83"/>
    <x v="10"/>
    <x v="3"/>
    <x v="3"/>
    <n v="0.39719029374201786"/>
    <n v="34264"/>
    <n v="11"/>
    <n v="3.4194372347876242E-3"/>
    <s v="February"/>
  </r>
  <r>
    <x v="10"/>
    <s v="R0D"/>
    <x v="1"/>
    <x v="157"/>
    <n v="13434"/>
    <n v="3334"/>
    <n v="6069"/>
    <n v="0"/>
    <n v="997"/>
    <n v="454"/>
    <x v="10"/>
    <x v="3"/>
    <x v="3"/>
    <n v="0.4517641804376954"/>
    <n v="16768"/>
    <n v="11"/>
    <n v="3.3794848890873905E-2"/>
    <s v="February"/>
  </r>
  <r>
    <x v="10"/>
    <s v="RAJ"/>
    <x v="2"/>
    <x v="32"/>
    <n v="24311"/>
    <n v="7273"/>
    <n v="10563"/>
    <n v="269"/>
    <n v="2196"/>
    <n v="1184"/>
    <x v="10"/>
    <x v="3"/>
    <x v="3"/>
    <n v="0.43449467319320473"/>
    <n v="31584"/>
    <n v="11"/>
    <n v="4.8702233556826131E-2"/>
    <s v="February"/>
  </r>
  <r>
    <x v="10"/>
    <s v="RAX"/>
    <x v="4"/>
    <x v="114"/>
    <n v="6356"/>
    <n v="7221"/>
    <n v="3413"/>
    <n v="263"/>
    <n v="227"/>
    <n v="467"/>
    <x v="10"/>
    <x v="3"/>
    <x v="3"/>
    <n v="0.53697293895531784"/>
    <n v="13577"/>
    <n v="11"/>
    <n v="7.3473882945248578E-2"/>
    <s v="February"/>
  </r>
  <r>
    <x v="10"/>
    <s v="RCX"/>
    <x v="2"/>
    <x v="103"/>
    <n v="6151"/>
    <n v="1807"/>
    <n v="2827"/>
    <n v="0"/>
    <n v="720"/>
    <n v="131"/>
    <x v="10"/>
    <x v="3"/>
    <x v="3"/>
    <n v="0.45960006503007639"/>
    <n v="7958"/>
    <n v="11"/>
    <n v="2.1297350024386277E-2"/>
    <s v="February"/>
  </r>
  <r>
    <x v="10"/>
    <s v="RD8"/>
    <x v="2"/>
    <x v="36"/>
    <n v="7474"/>
    <n v="4949"/>
    <n v="3776"/>
    <n v="126"/>
    <n v="607"/>
    <n v="0"/>
    <x v="10"/>
    <x v="3"/>
    <x v="3"/>
    <n v="0.50521808937650525"/>
    <n v="12423"/>
    <n v="11"/>
    <n v="0"/>
    <s v="February"/>
  </r>
  <r>
    <x v="10"/>
    <s v="REF"/>
    <x v="1"/>
    <x v="4"/>
    <n v="6239"/>
    <n v="9986"/>
    <n v="3619"/>
    <n v="513"/>
    <n v="663"/>
    <n v="529"/>
    <x v="10"/>
    <x v="3"/>
    <x v="3"/>
    <n v="0.58006090719666614"/>
    <n v="16225"/>
    <n v="11"/>
    <n v="8.478922904311588E-2"/>
    <s v="February"/>
  </r>
  <r>
    <x v="10"/>
    <s v="RF4"/>
    <x v="4"/>
    <x v="7"/>
    <n v="12627"/>
    <n v="13122"/>
    <n v="5281"/>
    <n v="155"/>
    <n v="564"/>
    <n v="628"/>
    <x v="10"/>
    <x v="3"/>
    <x v="3"/>
    <n v="0.41823077532272113"/>
    <n v="25749"/>
    <n v="11"/>
    <n v="4.9734695493783163E-2"/>
    <s v="February"/>
  </r>
  <r>
    <x v="10"/>
    <s v="RFR"/>
    <x v="6"/>
    <x v="39"/>
    <n v="8770"/>
    <n v="0"/>
    <n v="2958"/>
    <n v="0"/>
    <n v="903"/>
    <n v="54"/>
    <x v="10"/>
    <x v="3"/>
    <x v="3"/>
    <n v="0.33728620296465223"/>
    <n v="8770"/>
    <n v="11"/>
    <n v="6.1573546180159634E-3"/>
    <s v="February"/>
  </r>
  <r>
    <x v="10"/>
    <s v="RFS"/>
    <x v="5"/>
    <x v="68"/>
    <n v="6796"/>
    <n v="5530"/>
    <n v="3794"/>
    <n v="38"/>
    <n v="558"/>
    <n v="523"/>
    <x v="10"/>
    <x v="3"/>
    <x v="3"/>
    <n v="0.55826957033549152"/>
    <n v="12326"/>
    <n v="11"/>
    <n v="7.6957033549146556E-2"/>
    <s v="February"/>
  </r>
  <r>
    <x v="10"/>
    <s v="RGR"/>
    <x v="2"/>
    <x v="186"/>
    <n v="7170"/>
    <n v="874"/>
    <n v="2577"/>
    <n v="0"/>
    <n v="428"/>
    <n v="546"/>
    <x v="10"/>
    <x v="3"/>
    <x v="3"/>
    <n v="0.35941422594142258"/>
    <n v="8044"/>
    <n v="11"/>
    <n v="7.6150627615062763E-2"/>
    <s v="February"/>
  </r>
  <r>
    <x v="10"/>
    <s v="RHQ"/>
    <x v="6"/>
    <x v="42"/>
    <n v="8037"/>
    <n v="6654"/>
    <n v="4030"/>
    <n v="215"/>
    <n v="935"/>
    <n v="4"/>
    <x v="10"/>
    <x v="3"/>
    <x v="3"/>
    <n v="0.5014308821699639"/>
    <n v="14691"/>
    <n v="11"/>
    <n v="4.9769814607440591E-4"/>
    <s v="February"/>
  </r>
  <r>
    <x v="10"/>
    <s v="RJ1"/>
    <x v="4"/>
    <x v="43"/>
    <n v="9456"/>
    <n v="6214"/>
    <n v="3677"/>
    <n v="115"/>
    <n v="167"/>
    <n v="67"/>
    <x v="10"/>
    <x v="3"/>
    <x v="3"/>
    <n v="0.38885363790186123"/>
    <n v="15670"/>
    <n v="11"/>
    <n v="7.0854483925549914E-3"/>
    <s v="February"/>
  </r>
  <r>
    <x v="10"/>
    <s v="RL1"/>
    <x v="5"/>
    <x v="12"/>
    <n v="0"/>
    <n v="0"/>
    <n v="0"/>
    <n v="0"/>
    <n v="0"/>
    <n v="0"/>
    <x v="10"/>
    <x v="3"/>
    <x v="3"/>
    <n v="0"/>
    <n v="0"/>
    <n v="11"/>
    <n v="0"/>
    <s v="February"/>
  </r>
  <r>
    <x v="10"/>
    <s v="RN3"/>
    <x v="1"/>
    <x v="167"/>
    <n v="5608"/>
    <n v="4955"/>
    <n v="2936"/>
    <n v="322"/>
    <n v="364"/>
    <n v="444"/>
    <x v="10"/>
    <x v="3"/>
    <x v="3"/>
    <n v="0.52353780313837373"/>
    <n v="10563"/>
    <n v="11"/>
    <n v="7.9172610556348069E-2"/>
    <s v="February"/>
  </r>
  <r>
    <x v="10"/>
    <s v="RNA"/>
    <x v="5"/>
    <x v="168"/>
    <n v="8946"/>
    <n v="3879"/>
    <n v="3063"/>
    <n v="62"/>
    <n v="2445"/>
    <n v="178"/>
    <x v="10"/>
    <x v="3"/>
    <x v="3"/>
    <n v="0.34238765928906773"/>
    <n v="12825"/>
    <n v="11"/>
    <n v="1.9897160742231166E-2"/>
    <s v="February"/>
  </r>
  <r>
    <x v="10"/>
    <s v="RNZ"/>
    <x v="1"/>
    <x v="17"/>
    <n v="4191"/>
    <n v="1723"/>
    <n v="1871"/>
    <n v="0"/>
    <n v="395"/>
    <n v="152"/>
    <x v="10"/>
    <x v="3"/>
    <x v="3"/>
    <n v="0.4464328322596039"/>
    <n v="5914"/>
    <n v="11"/>
    <n v="3.6268193748508711E-2"/>
    <s v="February"/>
  </r>
  <r>
    <x v="10"/>
    <s v="RPC"/>
    <x v="0"/>
    <x v="190"/>
    <n v="0"/>
    <n v="1109"/>
    <n v="0"/>
    <n v="13"/>
    <n v="0"/>
    <n v="0"/>
    <x v="10"/>
    <x v="3"/>
    <x v="3"/>
    <n v="0"/>
    <n v="1109"/>
    <n v="11"/>
    <n v="0"/>
    <s v="February"/>
  </r>
  <r>
    <x v="10"/>
    <s v="RQ3"/>
    <x v="5"/>
    <x v="18"/>
    <n v="4440"/>
    <n v="0"/>
    <n v="1021"/>
    <n v="0"/>
    <n v="34"/>
    <n v="1"/>
    <x v="10"/>
    <x v="3"/>
    <x v="3"/>
    <n v="0.22995495495495497"/>
    <n v="4440"/>
    <n v="11"/>
    <n v="2.2522522522522523E-4"/>
    <s v="February"/>
  </r>
  <r>
    <x v="10"/>
    <s v="RTD"/>
    <x v="6"/>
    <x v="71"/>
    <n v="10171"/>
    <n v="8131"/>
    <n v="4926"/>
    <n v="172"/>
    <n v="627"/>
    <n v="63"/>
    <x v="10"/>
    <x v="3"/>
    <x v="3"/>
    <n v="0.48431815947301149"/>
    <n v="18302"/>
    <n v="11"/>
    <n v="6.1940812112869928E-3"/>
    <s v="February"/>
  </r>
  <r>
    <x v="10"/>
    <s v="RTF"/>
    <x v="6"/>
    <x v="99"/>
    <n v="9593"/>
    <n v="11737"/>
    <n v="2664"/>
    <n v="3"/>
    <n v="45"/>
    <n v="0"/>
    <x v="10"/>
    <x v="3"/>
    <x v="3"/>
    <n v="0.27770249139997916"/>
    <n v="21330"/>
    <n v="11"/>
    <n v="0"/>
    <s v="February"/>
  </r>
  <r>
    <x v="10"/>
    <s v="RGT"/>
    <x v="2"/>
    <x v="95"/>
    <n v="10319"/>
    <n v="4758"/>
    <n v="4672"/>
    <n v="88"/>
    <n v="480"/>
    <n v="558"/>
    <x v="10"/>
    <x v="3"/>
    <x v="3"/>
    <n v="0.45275705010175404"/>
    <n v="15077"/>
    <n v="11"/>
    <n v="5.4075007268146139E-2"/>
    <s v="February"/>
  </r>
  <r>
    <x v="10"/>
    <s v="RHM"/>
    <x v="0"/>
    <x v="41"/>
    <n v="9612"/>
    <n v="0"/>
    <n v="2738"/>
    <n v="0"/>
    <n v="155"/>
    <n v="10"/>
    <x v="10"/>
    <x v="3"/>
    <x v="3"/>
    <n v="0.28485226799833541"/>
    <n v="9612"/>
    <n v="11"/>
    <n v="1.0403662089055348E-3"/>
    <s v="February"/>
  </r>
  <r>
    <x v="10"/>
    <s v="RHW"/>
    <x v="0"/>
    <x v="66"/>
    <n v="10031"/>
    <n v="2376"/>
    <n v="3586"/>
    <n v="0"/>
    <n v="783"/>
    <n v="52"/>
    <x v="10"/>
    <x v="3"/>
    <x v="3"/>
    <n v="0.3574917754959625"/>
    <n v="12407"/>
    <n v="11"/>
    <n v="5.1839298175655468E-3"/>
    <s v="February"/>
  </r>
  <r>
    <x v="10"/>
    <s v="RJ2"/>
    <x v="4"/>
    <x v="8"/>
    <n v="14807"/>
    <n v="14963"/>
    <n v="7625"/>
    <n v="234"/>
    <n v="1020"/>
    <n v="703"/>
    <x v="10"/>
    <x v="3"/>
    <x v="3"/>
    <n v="0.51495914094684947"/>
    <n v="29770"/>
    <n v="11"/>
    <n v="4.7477544404673465E-2"/>
    <s v="February"/>
  </r>
  <r>
    <x v="10"/>
    <s v="RWW"/>
    <x v="3"/>
    <x v="83"/>
    <n v="5982"/>
    <n v="2469"/>
    <n v="3167"/>
    <n v="36"/>
    <n v="491"/>
    <n v="825"/>
    <x v="10"/>
    <x v="3"/>
    <x v="3"/>
    <n v="0.5294215981277165"/>
    <n v="8451"/>
    <n v="11"/>
    <n v="0.137913741223671"/>
    <s v="February"/>
  </r>
  <r>
    <x v="10"/>
    <s v="RX1"/>
    <x v="5"/>
    <x v="175"/>
    <n v="11557"/>
    <n v="8456"/>
    <n v="6776"/>
    <n v="1043"/>
    <n v="147"/>
    <n v="1066"/>
    <x v="10"/>
    <x v="3"/>
    <x v="3"/>
    <n v="0.58631132646880679"/>
    <n v="20013"/>
    <n v="11"/>
    <n v="9.2238470191226093E-2"/>
    <s v="February"/>
  </r>
  <r>
    <x v="10"/>
    <s v="RXC"/>
    <x v="0"/>
    <x v="84"/>
    <n v="8832"/>
    <n v="1825"/>
    <n v="3795"/>
    <n v="55"/>
    <n v="190"/>
    <n v="113"/>
    <x v="10"/>
    <x v="3"/>
    <x v="3"/>
    <n v="0.4296875"/>
    <n v="10657"/>
    <n v="11"/>
    <n v="1.2794384057971014E-2"/>
    <s v="February"/>
  </r>
  <r>
    <x v="10"/>
    <s v="RXL"/>
    <x v="3"/>
    <x v="86"/>
    <n v="7953"/>
    <n v="9216"/>
    <n v="3837"/>
    <n v="203"/>
    <n v="357"/>
    <n v="624"/>
    <x v="10"/>
    <x v="3"/>
    <x v="3"/>
    <n v="0.48245944926442852"/>
    <n v="17169"/>
    <n v="11"/>
    <n v="7.8460958129007927E-2"/>
    <s v="February"/>
  </r>
  <r>
    <x v="10"/>
    <s v="RXN"/>
    <x v="3"/>
    <x v="65"/>
    <n v="11011"/>
    <n v="2907"/>
    <n v="4312"/>
    <n v="227"/>
    <n v="919"/>
    <n v="393"/>
    <x v="10"/>
    <x v="3"/>
    <x v="3"/>
    <n v="0.39160839160839161"/>
    <n v="13918"/>
    <n v="11"/>
    <n v="3.5691581146126604E-2"/>
    <s v="February"/>
  </r>
  <r>
    <x v="10"/>
    <s v="RXR"/>
    <x v="3"/>
    <x v="107"/>
    <n v="12044"/>
    <n v="10190"/>
    <n v="4885"/>
    <n v="3"/>
    <n v="301"/>
    <n v="1059"/>
    <x v="10"/>
    <x v="3"/>
    <x v="3"/>
    <n v="0.40559614745931583"/>
    <n v="22234"/>
    <n v="11"/>
    <n v="8.792759880438393E-2"/>
    <s v="February"/>
  </r>
  <r>
    <x v="10"/>
    <s v="RXW"/>
    <x v="5"/>
    <x v="88"/>
    <n v="9920"/>
    <n v="2355"/>
    <n v="5562"/>
    <n v="345"/>
    <n v="475"/>
    <n v="1366"/>
    <x v="10"/>
    <x v="3"/>
    <x v="3"/>
    <n v="0.56068548387096773"/>
    <n v="12275"/>
    <n v="11"/>
    <n v="0.1377016129032258"/>
    <s v="February"/>
  </r>
  <r>
    <x v="10"/>
    <s v="RYG"/>
    <x v="5"/>
    <x v="90"/>
    <n v="0"/>
    <n v="0"/>
    <n v="0"/>
    <n v="0"/>
    <n v="0"/>
    <n v="0"/>
    <x v="10"/>
    <x v="3"/>
    <x v="3"/>
    <n v="0"/>
    <n v="0"/>
    <n v="11"/>
    <n v="0"/>
    <s v="February"/>
  </r>
  <r>
    <x v="10"/>
    <s v="R1K"/>
    <x v="4"/>
    <x v="30"/>
    <n v="12235"/>
    <n v="13616"/>
    <n v="6214"/>
    <n v="223"/>
    <n v="619"/>
    <n v="374"/>
    <x v="10"/>
    <x v="3"/>
    <x v="3"/>
    <n v="0.50788720882713523"/>
    <n v="25851"/>
    <n v="11"/>
    <n v="3.0568042501021658E-2"/>
    <s v="February"/>
  </r>
  <r>
    <x v="10"/>
    <s v="RM3"/>
    <x v="3"/>
    <x v="64"/>
    <n v="23361"/>
    <n v="8354"/>
    <n v="9499"/>
    <n v="324"/>
    <n v="807"/>
    <n v="1246"/>
    <x v="10"/>
    <x v="3"/>
    <x v="3"/>
    <n v="0.40661786738581396"/>
    <n v="31715"/>
    <n v="11"/>
    <n v="5.3336757844270367E-2"/>
    <s v="February"/>
  </r>
  <r>
    <x v="10"/>
    <s v="RRV"/>
    <x v="4"/>
    <x v="171"/>
    <n v="12017"/>
    <n v="0"/>
    <n v="3222"/>
    <n v="0"/>
    <n v="391"/>
    <n v="287"/>
    <x v="10"/>
    <x v="3"/>
    <x v="3"/>
    <n v="0.26812016310227177"/>
    <n v="12017"/>
    <n v="11"/>
    <n v="2.3882832653740534E-2"/>
    <s v="February"/>
  </r>
  <r>
    <x v="10"/>
    <s v="RTH"/>
    <x v="0"/>
    <x v="100"/>
    <n v="10971"/>
    <n v="3223"/>
    <n v="3002"/>
    <n v="50"/>
    <n v="305"/>
    <n v="0"/>
    <x v="10"/>
    <x v="3"/>
    <x v="3"/>
    <n v="0.27363048035730564"/>
    <n v="14194"/>
    <n v="11"/>
    <n v="0"/>
    <s v="February"/>
  </r>
  <r>
    <x v="10"/>
    <s v="RYX"/>
    <x v="4"/>
    <x v="51"/>
    <n v="0"/>
    <n v="10763"/>
    <n v="0"/>
    <n v="153"/>
    <n v="0"/>
    <n v="0"/>
    <x v="10"/>
    <x v="3"/>
    <x v="3"/>
    <n v="0"/>
    <n v="10763"/>
    <n v="11"/>
    <n v="0"/>
    <s v="February"/>
  </r>
  <r>
    <x v="10"/>
    <s v="RHU"/>
    <x v="0"/>
    <x v="63"/>
    <n v="9755"/>
    <n v="2840"/>
    <n v="3810"/>
    <n v="0"/>
    <n v="799"/>
    <n v="1039"/>
    <x v="10"/>
    <x v="3"/>
    <x v="3"/>
    <n v="0.39056893900563816"/>
    <n v="12595"/>
    <n v="11"/>
    <n v="0.10650948231676063"/>
    <s v="February"/>
  </r>
  <r>
    <x v="10"/>
    <s v="DT301"/>
    <x v="2"/>
    <x v="110"/>
    <n v="0"/>
    <n v="1792"/>
    <n v="0"/>
    <n v="110"/>
    <n v="0"/>
    <n v="0"/>
    <x v="10"/>
    <x v="3"/>
    <x v="3"/>
    <n v="0"/>
    <n v="1792"/>
    <n v="11"/>
    <n v="0"/>
    <s v="February"/>
  </r>
  <r>
    <x v="10"/>
    <s v="RA7"/>
    <x v="1"/>
    <x v="158"/>
    <n v="14252"/>
    <n v="0"/>
    <n v="5165"/>
    <n v="0"/>
    <n v="979"/>
    <n v="440"/>
    <x v="10"/>
    <x v="3"/>
    <x v="3"/>
    <n v="0.3624052764524277"/>
    <n v="14252"/>
    <n v="11"/>
    <n v="3.0872859949480774E-2"/>
    <s v="February"/>
  </r>
  <r>
    <x v="10"/>
    <s v="RBL"/>
    <x v="3"/>
    <x v="94"/>
    <n v="6951"/>
    <n v="2546"/>
    <n v="3741"/>
    <n v="67"/>
    <n v="440"/>
    <n v="758"/>
    <x v="10"/>
    <x v="3"/>
    <x v="3"/>
    <n v="0.53819594302977991"/>
    <n v="9497"/>
    <n v="11"/>
    <n v="0.10904905768954107"/>
    <s v="February"/>
  </r>
  <r>
    <x v="10"/>
    <s v="RH5"/>
    <x v="1"/>
    <x v="40"/>
    <n v="10507"/>
    <n v="8517"/>
    <n v="5465"/>
    <n v="220"/>
    <n v="552"/>
    <n v="196"/>
    <x v="10"/>
    <x v="3"/>
    <x v="3"/>
    <n v="0.52012943751784524"/>
    <n v="19024"/>
    <n v="11"/>
    <n v="1.8654230512991338E-2"/>
    <s v="February"/>
  </r>
  <r>
    <x v="10"/>
    <s v="RAL"/>
    <x v="4"/>
    <x v="33"/>
    <n v="24307"/>
    <n v="14208"/>
    <n v="8072"/>
    <n v="871"/>
    <n v="836"/>
    <n v="1870"/>
    <x v="10"/>
    <x v="3"/>
    <x v="3"/>
    <n v="0.33208540749578308"/>
    <n v="38515"/>
    <n v="11"/>
    <n v="7.6932570864360061E-2"/>
    <s v="February"/>
  </r>
  <r>
    <x v="10"/>
    <s v="RJ6"/>
    <x v="4"/>
    <x v="189"/>
    <n v="12080"/>
    <n v="4618"/>
    <n v="4902"/>
    <n v="0"/>
    <n v="214"/>
    <n v="685"/>
    <x v="10"/>
    <x v="3"/>
    <x v="3"/>
    <n v="0.40579470198675499"/>
    <n v="16698"/>
    <n v="11"/>
    <n v="5.6705298013245031E-2"/>
    <s v="February"/>
  </r>
  <r>
    <x v="10"/>
    <s v="RWJ"/>
    <x v="3"/>
    <x v="82"/>
    <n v="7049"/>
    <n v="821"/>
    <n v="2811"/>
    <n v="38"/>
    <n v="528"/>
    <n v="380"/>
    <x v="10"/>
    <x v="3"/>
    <x v="3"/>
    <n v="0.3987799687898993"/>
    <n v="7870"/>
    <n v="11"/>
    <n v="5.3908355795148251E-2"/>
    <s v="February"/>
  </r>
  <r>
    <x v="10"/>
    <s v="NNJ"/>
    <x v="5"/>
    <x v="62"/>
    <n v="0"/>
    <n v="1788"/>
    <n v="0"/>
    <n v="0"/>
    <n v="0"/>
    <n v="0"/>
    <x v="10"/>
    <x v="3"/>
    <x v="3"/>
    <n v="0"/>
    <n v="1788"/>
    <n v="11"/>
    <n v="0"/>
    <s v="February"/>
  </r>
  <r>
    <x v="10"/>
    <s v="RWH"/>
    <x v="2"/>
    <x v="204"/>
    <n v="8724"/>
    <n v="7403"/>
    <n v="4954"/>
    <n v="88"/>
    <n v="501"/>
    <n v="209"/>
    <x v="10"/>
    <x v="3"/>
    <x v="3"/>
    <n v="0.56785878037597437"/>
    <n v="16127"/>
    <n v="11"/>
    <n v="2.39569005043558E-2"/>
    <s v="February"/>
  </r>
  <r>
    <x v="10"/>
    <s v="RWD"/>
    <x v="5"/>
    <x v="78"/>
    <n v="16500"/>
    <n v="4132"/>
    <n v="6701"/>
    <n v="299"/>
    <n v="581"/>
    <n v="1296"/>
    <x v="10"/>
    <x v="3"/>
    <x v="3"/>
    <n v="0.40612121212121211"/>
    <n v="20632"/>
    <n v="11"/>
    <n v="7.8545454545454543E-2"/>
    <s v="February"/>
  </r>
  <r>
    <x v="10"/>
    <s v="RJ7"/>
    <x v="4"/>
    <x v="96"/>
    <n v="8228"/>
    <n v="3579"/>
    <n v="2779"/>
    <n v="124"/>
    <n v="419"/>
    <n v="443"/>
    <x v="10"/>
    <x v="3"/>
    <x v="3"/>
    <n v="0.33774914924647548"/>
    <n v="11807"/>
    <n v="11"/>
    <n v="5.3840544482255712E-2"/>
    <s v="February"/>
  </r>
  <r>
    <x v="10"/>
    <s v="RJN"/>
    <x v="3"/>
    <x v="125"/>
    <n v="3856"/>
    <n v="0"/>
    <n v="2105"/>
    <n v="0"/>
    <n v="218"/>
    <n v="470"/>
    <x v="10"/>
    <x v="3"/>
    <x v="3"/>
    <n v="0.54590248962655596"/>
    <n v="3856"/>
    <n v="11"/>
    <n v="0.12188796680497925"/>
    <s v="February"/>
  </r>
  <r>
    <x v="10"/>
    <s v="RJZ"/>
    <x v="4"/>
    <x v="196"/>
    <n v="14307"/>
    <n v="8138"/>
    <n v="6570"/>
    <n v="632"/>
    <n v="1448"/>
    <n v="833"/>
    <x v="10"/>
    <x v="3"/>
    <x v="3"/>
    <n v="0.45921576850492768"/>
    <n v="22445"/>
    <n v="11"/>
    <n v="5.8223247361431467E-2"/>
    <s v="February"/>
  </r>
  <r>
    <x v="10"/>
    <s v="RK5"/>
    <x v="5"/>
    <x v="10"/>
    <n v="10460"/>
    <n v="4919"/>
    <n v="3976"/>
    <n v="376"/>
    <n v="843"/>
    <n v="365"/>
    <x v="10"/>
    <x v="3"/>
    <x v="3"/>
    <n v="0.38011472275334607"/>
    <n v="15379"/>
    <n v="11"/>
    <n v="3.4894837476099429E-2"/>
    <s v="February"/>
  </r>
  <r>
    <x v="10"/>
    <s v="RKE"/>
    <x v="4"/>
    <x v="194"/>
    <n v="8193"/>
    <n v="0"/>
    <n v="2212"/>
    <n v="0"/>
    <n v="237"/>
    <n v="269"/>
    <x v="10"/>
    <x v="3"/>
    <x v="3"/>
    <n v="0.26998657390455266"/>
    <n v="8193"/>
    <n v="11"/>
    <n v="3.2832906139387281E-2"/>
    <s v="February"/>
  </r>
  <r>
    <x v="10"/>
    <s v="RL4"/>
    <x v="5"/>
    <x v="165"/>
    <n v="10403"/>
    <n v="6123"/>
    <n v="3647"/>
    <n v="145"/>
    <n v="848"/>
    <n v="511"/>
    <x v="10"/>
    <x v="3"/>
    <x v="3"/>
    <n v="0.35057195039892336"/>
    <n v="16526"/>
    <n v="11"/>
    <n v="4.912044602518504E-2"/>
    <s v="February"/>
  </r>
  <r>
    <x v="10"/>
    <s v="RM1"/>
    <x v="2"/>
    <x v="75"/>
    <n v="11506"/>
    <n v="7127"/>
    <n v="3622"/>
    <n v="4"/>
    <n v="648"/>
    <n v="410"/>
    <x v="10"/>
    <x v="3"/>
    <x v="3"/>
    <n v="0.31479228228750217"/>
    <n v="18633"/>
    <n v="11"/>
    <n v="3.5633582478706759E-2"/>
    <s v="February"/>
  </r>
  <r>
    <x v="10"/>
    <s v="RMC"/>
    <x v="3"/>
    <x v="72"/>
    <n v="7382"/>
    <n v="3259"/>
    <n v="3575"/>
    <n v="275"/>
    <n v="363"/>
    <n v="483"/>
    <x v="10"/>
    <x v="3"/>
    <x v="3"/>
    <n v="0.48428610132755351"/>
    <n v="10641"/>
    <n v="11"/>
    <n v="6.5429422920617722E-2"/>
    <s v="February"/>
  </r>
  <r>
    <x v="10"/>
    <s v="RN7"/>
    <x v="0"/>
    <x v="14"/>
    <n v="10902"/>
    <n v="3493"/>
    <n v="2879"/>
    <n v="37"/>
    <n v="612"/>
    <n v="344"/>
    <x v="10"/>
    <x v="3"/>
    <x v="3"/>
    <n v="0.26407998532379379"/>
    <n v="14395"/>
    <n v="11"/>
    <n v="3.1553843331498806E-2"/>
    <s v="February"/>
  </r>
  <r>
    <x v="10"/>
    <s v="RNQ"/>
    <x v="5"/>
    <x v="169"/>
    <n v="9960"/>
    <n v="8182"/>
    <n v="3820"/>
    <n v="7"/>
    <n v="569"/>
    <n v="504"/>
    <x v="10"/>
    <x v="3"/>
    <x v="3"/>
    <n v="0.38353413654618473"/>
    <n v="18142"/>
    <n v="11"/>
    <n v="5.0602409638554217E-2"/>
    <s v="February"/>
  </r>
  <r>
    <x v="10"/>
    <s v="RNS"/>
    <x v="5"/>
    <x v="15"/>
    <n v="9778"/>
    <n v="1775"/>
    <n v="3806"/>
    <n v="15"/>
    <n v="349"/>
    <n v="856"/>
    <x v="10"/>
    <x v="3"/>
    <x v="3"/>
    <n v="0.38924115361014522"/>
    <n v="11553"/>
    <n v="11"/>
    <n v="8.7543464921251785E-2"/>
    <s v="February"/>
  </r>
  <r>
    <x v="10"/>
    <s v="RPA"/>
    <x v="0"/>
    <x v="191"/>
    <n v="8536"/>
    <n v="5282"/>
    <n v="3136"/>
    <n v="851"/>
    <n v="227"/>
    <n v="817"/>
    <x v="10"/>
    <x v="3"/>
    <x v="3"/>
    <n v="0.36738519212746018"/>
    <n v="13818"/>
    <n v="11"/>
    <n v="9.5712277413308344E-2"/>
    <s v="February"/>
  </r>
  <r>
    <x v="10"/>
    <s v="RQM"/>
    <x v="4"/>
    <x v="19"/>
    <n v="18241"/>
    <n v="5785"/>
    <n v="5070"/>
    <n v="234"/>
    <n v="913"/>
    <n v="43"/>
    <x v="10"/>
    <x v="3"/>
    <x v="3"/>
    <n v="0.27794528808727592"/>
    <n v="24026"/>
    <n v="11"/>
    <n v="2.3573269009374486E-3"/>
    <s v="February"/>
  </r>
  <r>
    <x v="10"/>
    <s v="RR8"/>
    <x v="6"/>
    <x v="20"/>
    <n v="16690"/>
    <n v="9963"/>
    <n v="6740"/>
    <n v="254"/>
    <n v="1002"/>
    <n v="884"/>
    <x v="10"/>
    <x v="3"/>
    <x v="3"/>
    <n v="0.40383463151587778"/>
    <n v="26653"/>
    <n v="11"/>
    <n v="5.2965847813061712E-2"/>
    <s v="February"/>
  </r>
  <r>
    <x v="10"/>
    <s v="RRF"/>
    <x v="3"/>
    <x v="206"/>
    <n v="6165"/>
    <n v="5182"/>
    <n v="3757"/>
    <n v="213"/>
    <n v="656"/>
    <n v="520"/>
    <x v="10"/>
    <x v="3"/>
    <x v="3"/>
    <n v="0.6094079480940795"/>
    <n v="11347"/>
    <n v="11"/>
    <n v="8.4347120843471207E-2"/>
    <s v="February"/>
  </r>
  <r>
    <x v="10"/>
    <s v="RTE"/>
    <x v="1"/>
    <x v="23"/>
    <n v="11930"/>
    <n v="0"/>
    <n v="4489"/>
    <n v="0"/>
    <n v="219"/>
    <n v="510"/>
    <x v="10"/>
    <x v="3"/>
    <x v="3"/>
    <n v="0.37627829002514668"/>
    <n v="11930"/>
    <n v="11"/>
    <n v="4.2749371332774518E-2"/>
    <s v="February"/>
  </r>
  <r>
    <x v="10"/>
    <s v="RTR"/>
    <x v="6"/>
    <x v="147"/>
    <n v="7009"/>
    <n v="8090"/>
    <n v="3486"/>
    <n v="319"/>
    <n v="372"/>
    <n v="35"/>
    <x v="10"/>
    <x v="3"/>
    <x v="3"/>
    <n v="0.49736053645313166"/>
    <n v="15099"/>
    <n v="11"/>
    <n v="4.9935796832643745E-3"/>
    <s v="February"/>
  </r>
  <r>
    <x v="10"/>
    <s v="RVJ"/>
    <x v="1"/>
    <x v="73"/>
    <n v="8262"/>
    <n v="0"/>
    <n v="2947"/>
    <n v="0"/>
    <n v="441"/>
    <n v="430"/>
    <x v="10"/>
    <x v="3"/>
    <x v="3"/>
    <n v="0.35669329460179133"/>
    <n v="8262"/>
    <n v="11"/>
    <n v="5.2045509561849432E-2"/>
    <s v="February"/>
  </r>
  <r>
    <x v="10"/>
    <s v="RVR"/>
    <x v="4"/>
    <x v="74"/>
    <n v="10245"/>
    <n v="1883"/>
    <n v="3045"/>
    <n v="101"/>
    <n v="530"/>
    <n v="732"/>
    <x v="10"/>
    <x v="3"/>
    <x v="3"/>
    <n v="0.29721815519765737"/>
    <n v="12128"/>
    <n v="11"/>
    <n v="7.1449487554904836E-2"/>
    <s v="February"/>
  </r>
  <r>
    <x v="10"/>
    <s v="RVV"/>
    <x v="0"/>
    <x v="50"/>
    <n v="12507"/>
    <n v="10837"/>
    <n v="5609"/>
    <n v="251"/>
    <n v="476"/>
    <n v="995"/>
    <x v="10"/>
    <x v="3"/>
    <x v="3"/>
    <n v="0.44846885743983367"/>
    <n v="23344"/>
    <n v="11"/>
    <n v="7.9555448948588792E-2"/>
    <s v="February"/>
  </r>
  <r>
    <x v="10"/>
    <s v="RWA"/>
    <x v="6"/>
    <x v="77"/>
    <n v="8887"/>
    <n v="3896"/>
    <n v="4770"/>
    <n v="310"/>
    <n v="979"/>
    <n v="410"/>
    <x v="10"/>
    <x v="3"/>
    <x v="3"/>
    <n v="0.53673905704962299"/>
    <n v="12783"/>
    <n v="11"/>
    <n v="4.6134803645774727E-2"/>
    <s v="February"/>
  </r>
  <r>
    <x v="10"/>
    <s v="RWG"/>
    <x v="2"/>
    <x v="80"/>
    <n v="7839"/>
    <n v="6667"/>
    <n v="2151"/>
    <n v="103"/>
    <n v="486"/>
    <n v="29"/>
    <x v="10"/>
    <x v="3"/>
    <x v="3"/>
    <n v="0.27439724454649828"/>
    <n v="14506"/>
    <n v="11"/>
    <n v="3.6994514606454904E-3"/>
    <s v="February"/>
  </r>
  <r>
    <x v="10"/>
    <s v="K6K0R"/>
    <x v="4"/>
    <x v="121"/>
    <n v="0"/>
    <n v="2599"/>
    <n v="0"/>
    <n v="11"/>
    <n v="0"/>
    <n v="0"/>
    <x v="10"/>
    <x v="3"/>
    <x v="3"/>
    <n v="0"/>
    <n v="2599"/>
    <n v="11"/>
    <n v="0"/>
    <s v="February"/>
  </r>
  <r>
    <x v="10"/>
    <s v="Y02676"/>
    <x v="0"/>
    <x v="52"/>
    <n v="0"/>
    <n v="1736"/>
    <n v="0"/>
    <n v="0"/>
    <n v="0"/>
    <n v="0"/>
    <x v="10"/>
    <x v="3"/>
    <x v="3"/>
    <n v="0"/>
    <n v="1736"/>
    <n v="11"/>
    <n v="0"/>
    <s v="February"/>
  </r>
  <r>
    <x v="10"/>
    <s v="G0Q0L"/>
    <x v="4"/>
    <x v="120"/>
    <n v="0"/>
    <n v="2696"/>
    <n v="0"/>
    <n v="18"/>
    <n v="0"/>
    <n v="0"/>
    <x v="10"/>
    <x v="3"/>
    <x v="3"/>
    <n v="0"/>
    <n v="2696"/>
    <n v="11"/>
    <n v="0"/>
    <s v="February"/>
  </r>
  <r>
    <x v="10"/>
    <s v="RNN"/>
    <x v="6"/>
    <x v="197"/>
    <n v="8014"/>
    <n v="1548"/>
    <n v="3569"/>
    <n v="59"/>
    <n v="667"/>
    <n v="378"/>
    <x v="10"/>
    <x v="3"/>
    <x v="3"/>
    <n v="0.44534564512103819"/>
    <n v="9562"/>
    <n v="11"/>
    <n v="4.716745695033691E-2"/>
    <s v="February"/>
  </r>
  <r>
    <x v="10"/>
    <s v="ACH01"/>
    <x v="0"/>
    <x v="119"/>
    <n v="0"/>
    <n v="4381"/>
    <n v="0"/>
    <n v="0"/>
    <n v="0"/>
    <n v="0"/>
    <x v="10"/>
    <x v="3"/>
    <x v="3"/>
    <n v="0"/>
    <n v="4381"/>
    <n v="11"/>
    <n v="0"/>
    <s v="February"/>
  </r>
  <r>
    <x v="10"/>
    <s v="NNF09"/>
    <x v="6"/>
    <x v="26"/>
    <n v="0"/>
    <n v="3846"/>
    <n v="0"/>
    <n v="525"/>
    <n v="0"/>
    <n v="0"/>
    <x v="10"/>
    <x v="3"/>
    <x v="3"/>
    <n v="0"/>
    <n v="3846"/>
    <n v="11"/>
    <n v="0"/>
    <s v="February"/>
  </r>
  <r>
    <x v="10"/>
    <s v="NNF16"/>
    <x v="6"/>
    <x v="27"/>
    <n v="0"/>
    <n v="1526"/>
    <n v="0"/>
    <n v="62"/>
    <n v="0"/>
    <n v="0"/>
    <x v="10"/>
    <x v="3"/>
    <x v="3"/>
    <n v="0"/>
    <n v="1526"/>
    <n v="11"/>
    <n v="0"/>
    <s v="February"/>
  </r>
  <r>
    <x v="10"/>
    <s v="NNF94"/>
    <x v="6"/>
    <x v="28"/>
    <n v="0"/>
    <n v="3038"/>
    <n v="0"/>
    <n v="212"/>
    <n v="0"/>
    <n v="0"/>
    <x v="10"/>
    <x v="3"/>
    <x v="3"/>
    <n v="0"/>
    <n v="3038"/>
    <n v="11"/>
    <n v="0"/>
    <s v="February"/>
  </r>
  <r>
    <x v="10"/>
    <s v="NNFA7"/>
    <x v="6"/>
    <x v="29"/>
    <n v="0"/>
    <n v="1790"/>
    <n v="0"/>
    <n v="5"/>
    <n v="0"/>
    <n v="0"/>
    <x v="10"/>
    <x v="3"/>
    <x v="3"/>
    <n v="0"/>
    <n v="1790"/>
    <n v="11"/>
    <n v="0"/>
    <s v="February"/>
  </r>
  <r>
    <x v="10"/>
    <s v="NTP11"/>
    <x v="0"/>
    <x v="154"/>
    <n v="0"/>
    <n v="4608"/>
    <n v="0"/>
    <n v="140"/>
    <n v="0"/>
    <n v="0"/>
    <x v="10"/>
    <x v="3"/>
    <x v="3"/>
    <n v="0"/>
    <n v="4608"/>
    <n v="11"/>
    <n v="0"/>
    <s v="February"/>
  </r>
  <r>
    <x v="10"/>
    <s v="RDU"/>
    <x v="0"/>
    <x v="37"/>
    <n v="20751"/>
    <n v="10394"/>
    <n v="8634"/>
    <n v="261"/>
    <n v="1233"/>
    <n v="713"/>
    <x v="10"/>
    <x v="3"/>
    <x v="3"/>
    <n v="0.41607633367066649"/>
    <n v="31145"/>
    <n v="11"/>
    <n v="3.4359789889643874E-2"/>
    <s v="February"/>
  </r>
  <r>
    <x v="10"/>
    <s v="REP"/>
    <x v="3"/>
    <x v="38"/>
    <n v="0"/>
    <n v="0"/>
    <n v="0"/>
    <n v="0"/>
    <n v="0"/>
    <n v="0"/>
    <x v="10"/>
    <x v="3"/>
    <x v="3"/>
    <n v="0"/>
    <n v="0"/>
    <n v="11"/>
    <n v="0"/>
    <s v="February"/>
  </r>
  <r>
    <x v="10"/>
    <s v="RV9"/>
    <x v="6"/>
    <x v="148"/>
    <n v="0"/>
    <n v="920"/>
    <n v="0"/>
    <n v="1"/>
    <n v="0"/>
    <n v="0"/>
    <x v="10"/>
    <x v="3"/>
    <x v="3"/>
    <n v="0"/>
    <n v="920"/>
    <n v="11"/>
    <n v="0"/>
    <s v="February"/>
  </r>
  <r>
    <x v="10"/>
    <s v="Y02428"/>
    <x v="2"/>
    <x v="140"/>
    <n v="0"/>
    <n v="2711"/>
    <n v="0"/>
    <n v="0"/>
    <n v="0"/>
    <n v="0"/>
    <x v="10"/>
    <x v="3"/>
    <x v="3"/>
    <n v="0"/>
    <n v="2711"/>
    <n v="11"/>
    <n v="0"/>
    <s v="February"/>
  </r>
  <r>
    <x v="10"/>
    <s v="RBS"/>
    <x v="3"/>
    <x v="160"/>
    <n v="5576"/>
    <n v="0"/>
    <n v="1114"/>
    <n v="0"/>
    <n v="0"/>
    <n v="0"/>
    <x v="10"/>
    <x v="3"/>
    <x v="3"/>
    <n v="0.19978479196556673"/>
    <n v="5576"/>
    <n v="11"/>
    <n v="0"/>
    <s v="February"/>
  </r>
  <r>
    <x v="10"/>
    <s v="RNU"/>
    <x v="0"/>
    <x v="16"/>
    <n v="0"/>
    <n v="3490"/>
    <n v="0"/>
    <n v="72"/>
    <n v="0"/>
    <n v="0"/>
    <x v="10"/>
    <x v="3"/>
    <x v="3"/>
    <n v="0"/>
    <n v="3490"/>
    <n v="11"/>
    <n v="0"/>
    <s v="February"/>
  </r>
  <r>
    <x v="10"/>
    <s v="RQX"/>
    <x v="4"/>
    <x v="106"/>
    <n v="10173"/>
    <n v="0"/>
    <n v="1682"/>
    <n v="0"/>
    <n v="174"/>
    <n v="19"/>
    <x v="10"/>
    <x v="3"/>
    <x v="3"/>
    <n v="0.16533962449621548"/>
    <n v="10173"/>
    <n v="11"/>
    <n v="1.8676889806350143E-3"/>
    <s v="February"/>
  </r>
  <r>
    <x v="10"/>
    <s v="RWE"/>
    <x v="5"/>
    <x v="79"/>
    <n v="20546"/>
    <n v="0"/>
    <n v="8190"/>
    <n v="0"/>
    <n v="1192"/>
    <n v="727"/>
    <x v="10"/>
    <x v="3"/>
    <x v="3"/>
    <n v="0.39861773581232357"/>
    <n v="20546"/>
    <n v="11"/>
    <n v="3.5384016353548133E-2"/>
    <s v="February"/>
  </r>
  <r>
    <x v="10"/>
    <s v="8J094"/>
    <x v="5"/>
    <x v="109"/>
    <n v="0"/>
    <n v="0"/>
    <n v="0"/>
    <n v="0"/>
    <n v="0"/>
    <n v="0"/>
    <x v="10"/>
    <x v="3"/>
    <x v="3"/>
    <n v="0"/>
    <n v="0"/>
    <n v="11"/>
    <n v="0"/>
    <s v="February"/>
  </r>
  <r>
    <x v="10"/>
    <s v="NVE43"/>
    <x v="0"/>
    <x v="205"/>
    <n v="0"/>
    <n v="767"/>
    <n v="0"/>
    <n v="0"/>
    <n v="0"/>
    <n v="0"/>
    <x v="10"/>
    <x v="3"/>
    <x v="3"/>
    <n v="0"/>
    <n v="767"/>
    <n v="11"/>
    <n v="0"/>
    <s v="February"/>
  </r>
  <r>
    <x v="10"/>
    <s v="RBD"/>
    <x v="1"/>
    <x v="183"/>
    <n v="3844"/>
    <n v="0"/>
    <n v="1646"/>
    <n v="0"/>
    <n v="183"/>
    <n v="91"/>
    <x v="10"/>
    <x v="3"/>
    <x v="3"/>
    <n v="0.42819979188345475"/>
    <n v="3844"/>
    <n v="11"/>
    <n v="2.3673257023933404E-2"/>
    <s v="February"/>
  </r>
  <r>
    <x v="10"/>
    <s v="RLQ"/>
    <x v="5"/>
    <x v="123"/>
    <n v="5398"/>
    <n v="115"/>
    <n v="2364"/>
    <n v="0"/>
    <n v="456"/>
    <n v="234"/>
    <x v="10"/>
    <x v="3"/>
    <x v="3"/>
    <n v="0.4379399777695443"/>
    <n v="5513"/>
    <n v="11"/>
    <n v="4.3349388662467583E-2"/>
    <s v="February"/>
  </r>
  <r>
    <x v="10"/>
    <s v="RTG"/>
    <x v="5"/>
    <x v="54"/>
    <n v="16670"/>
    <n v="8339"/>
    <n v="8448"/>
    <n v="1"/>
    <n v="1032"/>
    <n v="727"/>
    <x v="10"/>
    <x v="3"/>
    <x v="3"/>
    <n v="0.50677864427114572"/>
    <n v="25009"/>
    <n v="11"/>
    <n v="4.3611277744451109E-2"/>
    <s v="February"/>
  </r>
  <r>
    <x v="10"/>
    <s v="RW4"/>
    <x v="3"/>
    <x v="124"/>
    <n v="0"/>
    <n v="12255"/>
    <n v="0"/>
    <n v="383"/>
    <n v="0"/>
    <n v="0"/>
    <x v="10"/>
    <x v="3"/>
    <x v="3"/>
    <n v="0"/>
    <n v="12255"/>
    <n v="11"/>
    <n v="0"/>
    <s v="February"/>
  </r>
  <r>
    <x v="10"/>
    <s v="RBT"/>
    <x v="3"/>
    <x v="69"/>
    <n v="6395"/>
    <n v="2645"/>
    <n v="3649"/>
    <n v="7"/>
    <n v="354"/>
    <n v="634"/>
    <x v="10"/>
    <x v="3"/>
    <x v="3"/>
    <n v="0.5706020328381548"/>
    <n v="9040"/>
    <n v="11"/>
    <n v="9.9139953088350274E-2"/>
    <s v="February"/>
  </r>
  <r>
    <x v="10"/>
    <s v="RWP"/>
    <x v="5"/>
    <x v="170"/>
    <n v="12297"/>
    <n v="4732"/>
    <n v="5555"/>
    <n v="49"/>
    <n v="786"/>
    <n v="1059"/>
    <x v="10"/>
    <x v="3"/>
    <x v="3"/>
    <n v="0.4517361958201187"/>
    <n v="17029"/>
    <n v="11"/>
    <n v="8.6118565503781414E-2"/>
    <s v="February"/>
  </r>
  <r>
    <x v="10"/>
    <s v="R1D"/>
    <x v="5"/>
    <x v="46"/>
    <n v="0"/>
    <n v="2843"/>
    <n v="0"/>
    <n v="13"/>
    <n v="0"/>
    <n v="0"/>
    <x v="10"/>
    <x v="3"/>
    <x v="3"/>
    <n v="0"/>
    <n v="2843"/>
    <n v="11"/>
    <n v="0"/>
    <s v="February"/>
  </r>
  <r>
    <x v="10"/>
    <s v="NL7"/>
    <x v="5"/>
    <x v="142"/>
    <n v="0"/>
    <n v="2988"/>
    <n v="0"/>
    <n v="0"/>
    <n v="0"/>
    <n v="0"/>
    <x v="10"/>
    <x v="3"/>
    <x v="3"/>
    <n v="0"/>
    <n v="2988"/>
    <n v="11"/>
    <n v="0"/>
    <s v="February"/>
  </r>
  <r>
    <x v="10"/>
    <s v="C83023"/>
    <x v="5"/>
    <x v="44"/>
    <n v="0"/>
    <n v="506"/>
    <n v="0"/>
    <n v="0"/>
    <n v="0"/>
    <n v="0"/>
    <x v="10"/>
    <x v="3"/>
    <x v="3"/>
    <n v="0"/>
    <n v="506"/>
    <n v="11"/>
    <n v="0"/>
    <s v="February"/>
  </r>
  <r>
    <x v="10"/>
    <s v="DJV01"/>
    <x v="0"/>
    <x v="202"/>
    <n v="0"/>
    <n v="2444"/>
    <n v="0"/>
    <n v="0"/>
    <n v="0"/>
    <n v="0"/>
    <x v="10"/>
    <x v="3"/>
    <x v="3"/>
    <n v="0"/>
    <n v="2444"/>
    <n v="11"/>
    <n v="0"/>
    <s v="February"/>
  </r>
  <r>
    <x v="10"/>
    <s v="NDJ"/>
    <x v="0"/>
    <x v="0"/>
    <n v="0"/>
    <n v="2041"/>
    <n v="0"/>
    <n v="4"/>
    <n v="0"/>
    <n v="0"/>
    <x v="10"/>
    <x v="3"/>
    <x v="3"/>
    <n v="0"/>
    <n v="2041"/>
    <n v="11"/>
    <n v="0"/>
    <s v="February"/>
  </r>
  <r>
    <x v="10"/>
    <s v="NQT5F"/>
    <x v="3"/>
    <x v="143"/>
    <n v="0"/>
    <n v="1476"/>
    <n v="0"/>
    <n v="19"/>
    <n v="0"/>
    <n v="0"/>
    <x v="10"/>
    <x v="3"/>
    <x v="3"/>
    <n v="0"/>
    <n v="1476"/>
    <n v="11"/>
    <n v="0"/>
    <s v="February"/>
  </r>
  <r>
    <x v="10"/>
    <s v="NTV0B"/>
    <x v="0"/>
    <x v="127"/>
    <n v="0"/>
    <n v="2156"/>
    <n v="0"/>
    <n v="29"/>
    <n v="0"/>
    <n v="0"/>
    <x v="10"/>
    <x v="3"/>
    <x v="3"/>
    <n v="0"/>
    <n v="2156"/>
    <n v="11"/>
    <n v="0"/>
    <s v="February"/>
  </r>
  <r>
    <x v="10"/>
    <s v="NTV0W"/>
    <x v="0"/>
    <x v="128"/>
    <n v="0"/>
    <n v="2462"/>
    <n v="0"/>
    <n v="46"/>
    <n v="0"/>
    <n v="0"/>
    <x v="10"/>
    <x v="3"/>
    <x v="3"/>
    <n v="0"/>
    <n v="2462"/>
    <n v="11"/>
    <n v="0"/>
    <s v="February"/>
  </r>
  <r>
    <x v="10"/>
    <s v="RA9"/>
    <x v="1"/>
    <x v="113"/>
    <n v="6060"/>
    <n v="2822"/>
    <n v="3014"/>
    <n v="11"/>
    <n v="156"/>
    <n v="74"/>
    <x v="10"/>
    <x v="3"/>
    <x v="3"/>
    <n v="0.49735973597359734"/>
    <n v="8882"/>
    <n v="11"/>
    <n v="1.2211221122112211E-2"/>
    <s v="February"/>
  </r>
  <r>
    <x v="10"/>
    <s v="RBQ"/>
    <x v="3"/>
    <x v="133"/>
    <n v="0"/>
    <n v="0"/>
    <n v="0"/>
    <n v="0"/>
    <n v="0"/>
    <n v="0"/>
    <x v="10"/>
    <x v="3"/>
    <x v="3"/>
    <n v="0"/>
    <n v="0"/>
    <n v="11"/>
    <n v="0"/>
    <s v="February"/>
  </r>
  <r>
    <x v="10"/>
    <s v="RDY"/>
    <x v="1"/>
    <x v="145"/>
    <n v="0"/>
    <n v="0"/>
    <n v="0"/>
    <n v="0"/>
    <n v="0"/>
    <n v="0"/>
    <x v="10"/>
    <x v="3"/>
    <x v="3"/>
    <n v="0"/>
    <n v="0"/>
    <n v="11"/>
    <n v="0"/>
    <s v="February"/>
  </r>
  <r>
    <x v="10"/>
    <s v="RGP"/>
    <x v="2"/>
    <x v="146"/>
    <n v="6735"/>
    <n v="1474"/>
    <n v="2319"/>
    <n v="0"/>
    <n v="497"/>
    <n v="358"/>
    <x v="10"/>
    <x v="3"/>
    <x v="3"/>
    <n v="0.34432071269487752"/>
    <n v="8209"/>
    <n v="11"/>
    <n v="5.3155159613956941E-2"/>
    <s v="February"/>
  </r>
  <r>
    <x v="10"/>
    <s v="RJ8"/>
    <x v="1"/>
    <x v="135"/>
    <n v="0"/>
    <n v="0"/>
    <n v="0"/>
    <n v="0"/>
    <n v="0"/>
    <n v="0"/>
    <x v="10"/>
    <x v="3"/>
    <x v="3"/>
    <n v="0"/>
    <n v="0"/>
    <n v="11"/>
    <n v="0"/>
    <s v="February"/>
  </r>
  <r>
    <x v="10"/>
    <s v="RTX"/>
    <x v="3"/>
    <x v="98"/>
    <n v="7794"/>
    <n v="2343"/>
    <n v="3545"/>
    <n v="81"/>
    <n v="594"/>
    <n v="766"/>
    <x v="10"/>
    <x v="3"/>
    <x v="3"/>
    <n v="0.45483705414421349"/>
    <n v="10137"/>
    <n v="11"/>
    <n v="9.8280728765717223E-2"/>
    <s v="February"/>
  </r>
  <r>
    <x v="10"/>
    <s v="RW1"/>
    <x v="0"/>
    <x v="137"/>
    <n v="0"/>
    <n v="2535"/>
    <n v="0"/>
    <n v="23"/>
    <n v="0"/>
    <n v="0"/>
    <x v="10"/>
    <x v="3"/>
    <x v="3"/>
    <n v="0"/>
    <n v="2535"/>
    <n v="11"/>
    <n v="0"/>
    <s v="February"/>
  </r>
  <r>
    <x v="10"/>
    <s v="RXG"/>
    <x v="6"/>
    <x v="85"/>
    <n v="0"/>
    <n v="0"/>
    <n v="0"/>
    <n v="0"/>
    <n v="0"/>
    <n v="0"/>
    <x v="10"/>
    <x v="3"/>
    <x v="3"/>
    <n v="0"/>
    <n v="0"/>
    <n v="11"/>
    <n v="0"/>
    <s v="February"/>
  </r>
  <r>
    <x v="10"/>
    <s v="RYF"/>
    <x v="1"/>
    <x v="89"/>
    <n v="0"/>
    <n v="1774"/>
    <n v="0"/>
    <n v="22"/>
    <n v="0"/>
    <n v="0"/>
    <x v="10"/>
    <x v="3"/>
    <x v="3"/>
    <n v="0"/>
    <n v="1774"/>
    <n v="11"/>
    <n v="0"/>
    <s v="February"/>
  </r>
  <r>
    <x v="10"/>
    <s v="RYY"/>
    <x v="0"/>
    <x v="122"/>
    <n v="0"/>
    <n v="5722"/>
    <n v="0"/>
    <n v="12"/>
    <n v="0"/>
    <n v="0"/>
    <x v="10"/>
    <x v="3"/>
    <x v="3"/>
    <n v="0"/>
    <n v="5722"/>
    <n v="11"/>
    <n v="0"/>
    <s v="February"/>
  </r>
  <r>
    <x v="10"/>
    <s v="Y02532"/>
    <x v="3"/>
    <x v="141"/>
    <n v="0"/>
    <n v="1499"/>
    <n v="0"/>
    <n v="0"/>
    <n v="0"/>
    <n v="0"/>
    <x v="10"/>
    <x v="3"/>
    <x v="3"/>
    <n v="0"/>
    <n v="1499"/>
    <n v="11"/>
    <n v="0"/>
    <s v="February"/>
  </r>
  <r>
    <x v="10"/>
    <s v="Y02615"/>
    <x v="5"/>
    <x v="129"/>
    <n v="0"/>
    <n v="3764"/>
    <n v="0"/>
    <n v="0"/>
    <n v="0"/>
    <n v="0"/>
    <x v="10"/>
    <x v="3"/>
    <x v="3"/>
    <n v="0"/>
    <n v="3764"/>
    <n v="11"/>
    <n v="0"/>
    <s v="February"/>
  </r>
  <r>
    <x v="10"/>
    <s v="AQM01"/>
    <x v="0"/>
    <x v="198"/>
    <n v="0"/>
    <n v="2780"/>
    <n v="0"/>
    <n v="0"/>
    <n v="0"/>
    <n v="0"/>
    <x v="10"/>
    <x v="3"/>
    <x v="3"/>
    <n v="0"/>
    <n v="2780"/>
    <n v="11"/>
    <n v="0"/>
    <s v="February"/>
  </r>
  <r>
    <x v="10"/>
    <s v="C82009"/>
    <x v="5"/>
    <x v="179"/>
    <n v="0"/>
    <n v="281"/>
    <n v="0"/>
    <n v="0"/>
    <n v="0"/>
    <n v="0"/>
    <x v="10"/>
    <x v="3"/>
    <x v="3"/>
    <n v="0"/>
    <n v="281"/>
    <n v="11"/>
    <n v="0"/>
    <s v="February"/>
  </r>
  <r>
    <x v="10"/>
    <s v="L83087"/>
    <x v="1"/>
    <x v="180"/>
    <n v="0"/>
    <n v="52"/>
    <n v="0"/>
    <n v="0"/>
    <n v="0"/>
    <n v="0"/>
    <x v="10"/>
    <x v="3"/>
    <x v="3"/>
    <n v="0"/>
    <n v="52"/>
    <n v="11"/>
    <n v="0"/>
    <s v="February"/>
  </r>
  <r>
    <x v="10"/>
    <s v="NQTE4"/>
    <x v="5"/>
    <x v="132"/>
    <n v="0"/>
    <n v="2795"/>
    <n v="0"/>
    <n v="0"/>
    <n v="0"/>
    <n v="0"/>
    <x v="10"/>
    <x v="3"/>
    <x v="3"/>
    <n v="0"/>
    <n v="2795"/>
    <n v="11"/>
    <n v="0"/>
    <s v="February"/>
  </r>
  <r>
    <x v="10"/>
    <s v="AAH"/>
    <x v="1"/>
    <x v="149"/>
    <n v="0"/>
    <n v="537"/>
    <n v="0"/>
    <n v="0"/>
    <n v="0"/>
    <n v="0"/>
    <x v="10"/>
    <x v="3"/>
    <x v="3"/>
    <n v="0"/>
    <n v="537"/>
    <n v="11"/>
    <n v="0"/>
    <s v="February"/>
  </r>
  <r>
    <x v="10"/>
    <s v="RWY"/>
    <x v="6"/>
    <x v="138"/>
    <n v="14380"/>
    <n v="0"/>
    <n v="2581"/>
    <n v="0"/>
    <n v="1253"/>
    <n v="154"/>
    <x v="10"/>
    <x v="3"/>
    <x v="3"/>
    <n v="0.17948539638386649"/>
    <n v="14380"/>
    <n v="11"/>
    <n v="1.070931849791377E-2"/>
    <s v="February"/>
  </r>
  <r>
    <x v="10"/>
    <s v="RY5"/>
    <x v="5"/>
    <x v="151"/>
    <n v="0"/>
    <n v="7364"/>
    <n v="0"/>
    <n v="132"/>
    <n v="0"/>
    <n v="0"/>
    <x v="10"/>
    <x v="3"/>
    <x v="3"/>
    <n v="0"/>
    <n v="7364"/>
    <n v="11"/>
    <n v="0"/>
    <s v="February"/>
  </r>
  <r>
    <x v="10"/>
    <s v="ARN03"/>
    <x v="6"/>
    <x v="178"/>
    <n v="0"/>
    <n v="2209"/>
    <n v="0"/>
    <n v="9"/>
    <n v="0"/>
    <n v="0"/>
    <x v="10"/>
    <x v="3"/>
    <x v="3"/>
    <n v="0"/>
    <n v="2209"/>
    <n v="11"/>
    <n v="0"/>
    <s v="February"/>
  </r>
  <r>
    <x v="10"/>
    <s v="NV693"/>
    <x v="3"/>
    <x v="102"/>
    <n v="0"/>
    <n v="772"/>
    <n v="0"/>
    <n v="1"/>
    <n v="0"/>
    <n v="0"/>
    <x v="10"/>
    <x v="3"/>
    <x v="3"/>
    <n v="0"/>
    <n v="772"/>
    <n v="11"/>
    <n v="0"/>
    <s v="February"/>
  </r>
  <r>
    <x v="10"/>
    <s v="R1F"/>
    <x v="0"/>
    <x v="25"/>
    <n v="3551"/>
    <n v="1324"/>
    <n v="1235"/>
    <n v="78"/>
    <n v="211"/>
    <n v="159"/>
    <x v="10"/>
    <x v="3"/>
    <x v="3"/>
    <n v="0.34778935511123626"/>
    <n v="4875"/>
    <n v="11"/>
    <n v="4.4776119402985072E-2"/>
    <s v="February"/>
  </r>
  <r>
    <x v="10"/>
    <s v="RA2"/>
    <x v="0"/>
    <x v="203"/>
    <n v="6229"/>
    <n v="1768"/>
    <n v="2097"/>
    <n v="0"/>
    <n v="326"/>
    <n v="8"/>
    <x v="10"/>
    <x v="3"/>
    <x v="3"/>
    <n v="0.33665114785679884"/>
    <n v="7997"/>
    <n v="11"/>
    <n v="1.2843152994060042E-3"/>
    <s v="February"/>
  </r>
  <r>
    <x v="10"/>
    <s v="RAE"/>
    <x v="6"/>
    <x v="31"/>
    <n v="8619"/>
    <n v="2874"/>
    <n v="1977"/>
    <n v="0"/>
    <n v="572"/>
    <n v="75"/>
    <x v="10"/>
    <x v="3"/>
    <x v="3"/>
    <n v="0.22937695788374521"/>
    <n v="11493"/>
    <n v="11"/>
    <n v="8.7017055342847194E-3"/>
    <s v="February"/>
  </r>
  <r>
    <x v="10"/>
    <s v="RBK"/>
    <x v="5"/>
    <x v="159"/>
    <n v="8964"/>
    <n v="3526"/>
    <n v="3143"/>
    <n v="54"/>
    <n v="1048"/>
    <n v="331"/>
    <x v="10"/>
    <x v="3"/>
    <x v="3"/>
    <n v="0.35062472110664883"/>
    <n v="12490"/>
    <n v="11"/>
    <n v="3.6925479696564033E-2"/>
    <s v="February"/>
  </r>
  <r>
    <x v="10"/>
    <s v="RC9"/>
    <x v="2"/>
    <x v="161"/>
    <n v="15343"/>
    <n v="8106"/>
    <n v="5384"/>
    <n v="0"/>
    <n v="80"/>
    <n v="65"/>
    <x v="10"/>
    <x v="3"/>
    <x v="3"/>
    <n v="0.35090920941145798"/>
    <n v="23449"/>
    <n v="11"/>
    <n v="4.2364596232809752E-3"/>
    <s v="February"/>
  </r>
  <r>
    <x v="10"/>
    <s v="RH8"/>
    <x v="1"/>
    <x v="163"/>
    <n v="11271"/>
    <n v="3705"/>
    <n v="5037"/>
    <n v="14"/>
    <n v="885"/>
    <n v="298"/>
    <x v="10"/>
    <x v="3"/>
    <x v="3"/>
    <n v="0.44689912163960605"/>
    <n v="14976"/>
    <n v="11"/>
    <n v="2.6439535090054121E-2"/>
    <s v="February"/>
  </r>
  <r>
    <x v="10"/>
    <s v="RJR"/>
    <x v="3"/>
    <x v="105"/>
    <n v="4892"/>
    <n v="2263"/>
    <n v="2525"/>
    <n v="351"/>
    <n v="229"/>
    <n v="747"/>
    <x v="10"/>
    <x v="3"/>
    <x v="3"/>
    <n v="0.51614881439084215"/>
    <n v="7155"/>
    <n v="11"/>
    <n v="0.15269828291087489"/>
    <s v="February"/>
  </r>
  <r>
    <x v="10"/>
    <s v="RK9"/>
    <x v="1"/>
    <x v="195"/>
    <n v="7807"/>
    <n v="6932"/>
    <n v="4956"/>
    <n v="143"/>
    <n v="516"/>
    <n v="591"/>
    <x v="10"/>
    <x v="3"/>
    <x v="3"/>
    <n v="0.63481490969642629"/>
    <n v="14739"/>
    <n v="11"/>
    <n v="7.5701293710772388E-2"/>
    <s v="February"/>
  </r>
  <r>
    <x v="10"/>
    <s v="RKB"/>
    <x v="5"/>
    <x v="11"/>
    <n v="11365"/>
    <n v="5403"/>
    <n v="4797"/>
    <n v="87"/>
    <n v="50"/>
    <n v="14"/>
    <x v="10"/>
    <x v="3"/>
    <x v="3"/>
    <n v="0.42208534975802903"/>
    <n v="16768"/>
    <n v="11"/>
    <n v="1.2318521777386713E-3"/>
    <s v="February"/>
  </r>
  <r>
    <x v="10"/>
    <s v="RMP"/>
    <x v="3"/>
    <x v="166"/>
    <n v="7536"/>
    <n v="2572"/>
    <n v="4074"/>
    <n v="49"/>
    <n v="321"/>
    <n v="706"/>
    <x v="10"/>
    <x v="3"/>
    <x v="3"/>
    <n v="0.54060509554140124"/>
    <n v="10108"/>
    <n v="11"/>
    <n v="9.3683651804670906E-2"/>
    <s v="February"/>
  </r>
  <r>
    <x v="10"/>
    <s v="RN5"/>
    <x v="0"/>
    <x v="97"/>
    <n v="9416"/>
    <n v="3936"/>
    <n v="4819"/>
    <n v="136"/>
    <n v="197"/>
    <n v="18"/>
    <x v="10"/>
    <x v="3"/>
    <x v="3"/>
    <n v="0.51178844519966016"/>
    <n v="13352"/>
    <n v="11"/>
    <n v="1.9116397621070519E-3"/>
    <s v="February"/>
  </r>
  <r>
    <x v="10"/>
    <s v="RP6"/>
    <x v="4"/>
    <x v="192"/>
    <n v="0"/>
    <n v="0"/>
    <n v="0"/>
    <n v="0"/>
    <n v="0"/>
    <n v="0"/>
    <x v="10"/>
    <x v="3"/>
    <x v="3"/>
    <n v="0"/>
    <n v="0"/>
    <n v="11"/>
    <n v="0"/>
    <s v="February"/>
  </r>
  <r>
    <x v="10"/>
    <s v="RQW"/>
    <x v="2"/>
    <x v="150"/>
    <n v="7845"/>
    <n v="1890"/>
    <n v="2063"/>
    <n v="0"/>
    <n v="522"/>
    <n v="286"/>
    <x v="10"/>
    <x v="3"/>
    <x v="3"/>
    <n v="0.2629700446144041"/>
    <n v="9735"/>
    <n v="11"/>
    <n v="3.6456341618865518E-2"/>
    <s v="February"/>
  </r>
  <r>
    <x v="10"/>
    <s v="RR7"/>
    <x v="6"/>
    <x v="115"/>
    <n v="5310"/>
    <n v="4073"/>
    <n v="2298"/>
    <n v="38"/>
    <n v="667"/>
    <n v="1"/>
    <x v="10"/>
    <x v="3"/>
    <x v="3"/>
    <n v="0.43276836158192089"/>
    <n v="9383"/>
    <n v="11"/>
    <n v="1.8832391713747646E-4"/>
    <s v="February"/>
  </r>
  <r>
    <x v="10"/>
    <s v="RRK"/>
    <x v="5"/>
    <x v="67"/>
    <n v="30640"/>
    <n v="2868"/>
    <n v="12820"/>
    <n v="40"/>
    <n v="2238"/>
    <n v="1923"/>
    <x v="10"/>
    <x v="3"/>
    <x v="3"/>
    <n v="0.41840731070496084"/>
    <n v="33508"/>
    <n v="11"/>
    <n v="6.2761096605744124E-2"/>
    <s v="February"/>
  </r>
  <r>
    <x v="10"/>
    <s v="RVW"/>
    <x v="6"/>
    <x v="76"/>
    <n v="4547"/>
    <n v="10252"/>
    <n v="2496"/>
    <n v="19"/>
    <n v="209"/>
    <n v="39"/>
    <x v="10"/>
    <x v="3"/>
    <x v="3"/>
    <n v="0.54893336265669668"/>
    <n v="14799"/>
    <n v="11"/>
    <n v="8.5770837915108856E-3"/>
    <s v="February"/>
  </r>
  <r>
    <x v="10"/>
    <s v="RXF"/>
    <x v="6"/>
    <x v="177"/>
    <n v="14874"/>
    <n v="5785"/>
    <n v="5674"/>
    <n v="157"/>
    <n v="2006"/>
    <n v="610"/>
    <x v="10"/>
    <x v="3"/>
    <x v="3"/>
    <n v="0.38147102326206805"/>
    <n v="20659"/>
    <n v="11"/>
    <n v="4.1011160414145487E-2"/>
    <s v="February"/>
  </r>
  <r>
    <x v="10"/>
    <s v="RY7"/>
    <x v="3"/>
    <x v="139"/>
    <n v="0"/>
    <n v="3123"/>
    <n v="0"/>
    <n v="205"/>
    <n v="0"/>
    <n v="0"/>
    <x v="10"/>
    <x v="3"/>
    <x v="3"/>
    <n v="0"/>
    <n v="3123"/>
    <n v="11"/>
    <n v="0"/>
    <s v="February"/>
  </r>
  <r>
    <x v="10"/>
    <s v="RYR"/>
    <x v="0"/>
    <x v="92"/>
    <n v="24026"/>
    <n v="1562"/>
    <n v="10461"/>
    <n v="187"/>
    <n v="894"/>
    <n v="946"/>
    <x v="10"/>
    <x v="3"/>
    <x v="3"/>
    <n v="0.43540331307749935"/>
    <n v="25588"/>
    <n v="11"/>
    <n v="3.9374011487555149E-2"/>
    <s v="February"/>
  </r>
  <r>
    <x v="10"/>
    <s v="AQN04"/>
    <x v="0"/>
    <x v="130"/>
    <n v="0"/>
    <n v="2696"/>
    <n v="0"/>
    <n v="7"/>
    <n v="0"/>
    <n v="0"/>
    <x v="10"/>
    <x v="3"/>
    <x v="3"/>
    <n v="0"/>
    <n v="2696"/>
    <n v="11"/>
    <n v="0"/>
    <s v="February"/>
  </r>
  <r>
    <x v="10"/>
    <s v="RY2"/>
    <x v="3"/>
    <x v="173"/>
    <n v="0"/>
    <n v="2849"/>
    <n v="0"/>
    <n v="39"/>
    <n v="0"/>
    <n v="0"/>
    <x v="10"/>
    <x v="3"/>
    <x v="3"/>
    <n v="0"/>
    <n v="2849"/>
    <n v="11"/>
    <n v="0"/>
    <s v="February"/>
  </r>
  <r>
    <x v="10"/>
    <s v="AD913"/>
    <x v="4"/>
    <x v="70"/>
    <n v="0"/>
    <n v="3098"/>
    <n v="0"/>
    <n v="6"/>
    <n v="0"/>
    <n v="0"/>
    <x v="10"/>
    <x v="3"/>
    <x v="3"/>
    <n v="0"/>
    <n v="3098"/>
    <n v="11"/>
    <n v="0"/>
    <s v="February"/>
  </r>
  <r>
    <x v="10"/>
    <s v="RXP"/>
    <x v="6"/>
    <x v="87"/>
    <n v="11451"/>
    <n v="3338"/>
    <n v="4871"/>
    <n v="0"/>
    <n v="1808"/>
    <n v="18"/>
    <x v="10"/>
    <x v="3"/>
    <x v="3"/>
    <n v="0.42537769627106803"/>
    <n v="14789"/>
    <n v="11"/>
    <n v="1.5719151165837044E-3"/>
    <s v="February"/>
  </r>
  <r>
    <x v="10"/>
    <s v="RY8"/>
    <x v="5"/>
    <x v="152"/>
    <n v="0"/>
    <n v="6582"/>
    <n v="0"/>
    <n v="261"/>
    <n v="0"/>
    <n v="0"/>
    <x v="10"/>
    <x v="3"/>
    <x v="3"/>
    <n v="0"/>
    <n v="6582"/>
    <n v="11"/>
    <n v="0"/>
    <s v="February"/>
  </r>
  <r>
    <x v="10"/>
    <s v="Y03007"/>
    <x v="5"/>
    <x v="118"/>
    <n v="0"/>
    <n v="0"/>
    <n v="0"/>
    <n v="0"/>
    <n v="0"/>
    <n v="0"/>
    <x v="10"/>
    <x v="3"/>
    <x v="3"/>
    <n v="0"/>
    <n v="0"/>
    <n v="11"/>
    <n v="0"/>
    <s v="February"/>
  </r>
  <r>
    <x v="10"/>
    <s v="Y03218"/>
    <x v="4"/>
    <x v="108"/>
    <n v="0"/>
    <n v="780"/>
    <n v="0"/>
    <n v="0"/>
    <n v="0"/>
    <n v="0"/>
    <x v="10"/>
    <x v="3"/>
    <x v="3"/>
    <n v="0"/>
    <n v="780"/>
    <n v="11"/>
    <n v="0"/>
    <s v="February"/>
  </r>
  <r>
    <x v="10"/>
    <s v="G3P9C"/>
    <x v="1"/>
    <x v="199"/>
    <n v="0"/>
    <n v="989"/>
    <n v="0"/>
    <n v="1"/>
    <n v="0"/>
    <n v="0"/>
    <x v="10"/>
    <x v="3"/>
    <x v="3"/>
    <n v="0"/>
    <n v="989"/>
    <n v="11"/>
    <n v="0"/>
    <s v="February"/>
  </r>
  <r>
    <x v="10"/>
    <s v="NLX"/>
    <x v="1"/>
    <x v="181"/>
    <n v="0"/>
    <n v="7064"/>
    <n v="0"/>
    <n v="136"/>
    <n v="0"/>
    <n v="0"/>
    <x v="10"/>
    <x v="3"/>
    <x v="3"/>
    <n v="0"/>
    <n v="7064"/>
    <n v="11"/>
    <n v="0"/>
    <s v="February"/>
  </r>
  <r>
    <x v="10"/>
    <s v="NQT1I"/>
    <x v="1"/>
    <x v="200"/>
    <n v="0"/>
    <n v="1393"/>
    <n v="0"/>
    <n v="29"/>
    <n v="0"/>
    <n v="0"/>
    <x v="10"/>
    <x v="3"/>
    <x v="3"/>
    <n v="0"/>
    <n v="1393"/>
    <n v="11"/>
    <n v="0"/>
    <s v="February"/>
  </r>
  <r>
    <x v="10"/>
    <s v="NQT5H"/>
    <x v="1"/>
    <x v="144"/>
    <n v="0"/>
    <n v="998"/>
    <n v="0"/>
    <n v="10"/>
    <n v="0"/>
    <n v="0"/>
    <x v="10"/>
    <x v="3"/>
    <x v="3"/>
    <n v="0"/>
    <n v="998"/>
    <n v="11"/>
    <n v="0"/>
    <s v="February"/>
  </r>
  <r>
    <x v="10"/>
    <s v="RAN"/>
    <x v="4"/>
    <x v="24"/>
    <n v="0"/>
    <n v="0"/>
    <n v="0"/>
    <n v="0"/>
    <n v="0"/>
    <n v="0"/>
    <x v="10"/>
    <x v="3"/>
    <x v="3"/>
    <n v="0"/>
    <n v="0"/>
    <n v="11"/>
    <n v="0"/>
    <s v="February"/>
  </r>
  <r>
    <x v="10"/>
    <s v="RAT"/>
    <x v="4"/>
    <x v="182"/>
    <n v="0"/>
    <n v="1605"/>
    <n v="0"/>
    <n v="41"/>
    <n v="0"/>
    <n v="0"/>
    <x v="10"/>
    <x v="3"/>
    <x v="3"/>
    <n v="0"/>
    <n v="1605"/>
    <n v="11"/>
    <n v="0"/>
    <s v="February"/>
  </r>
  <r>
    <x v="10"/>
    <s v="RBV"/>
    <x v="3"/>
    <x v="22"/>
    <n v="0"/>
    <n v="0"/>
    <n v="0"/>
    <n v="0"/>
    <n v="0"/>
    <n v="0"/>
    <x v="10"/>
    <x v="3"/>
    <x v="3"/>
    <n v="0"/>
    <n v="0"/>
    <n v="11"/>
    <n v="0"/>
    <s v="February"/>
  </r>
  <r>
    <x v="10"/>
    <s v="RCD"/>
    <x v="6"/>
    <x v="134"/>
    <n v="4569"/>
    <n v="1292"/>
    <n v="1375"/>
    <n v="1"/>
    <n v="254"/>
    <n v="12"/>
    <x v="10"/>
    <x v="3"/>
    <x v="3"/>
    <n v="0.30094112497264169"/>
    <n v="5861"/>
    <n v="11"/>
    <n v="2.6263952724885093E-3"/>
    <s v="February"/>
  </r>
  <r>
    <x v="10"/>
    <s v="RCU"/>
    <x v="6"/>
    <x v="184"/>
    <n v="4002"/>
    <n v="348"/>
    <n v="295"/>
    <n v="0"/>
    <n v="16"/>
    <n v="0"/>
    <x v="10"/>
    <x v="3"/>
    <x v="3"/>
    <n v="7.371314342828586E-2"/>
    <n v="4350"/>
    <n v="11"/>
    <n v="0"/>
    <s v="February"/>
  </r>
  <r>
    <x v="10"/>
    <s v="RJC"/>
    <x v="5"/>
    <x v="188"/>
    <n v="7533"/>
    <n v="328"/>
    <n v="2135"/>
    <n v="0"/>
    <n v="508"/>
    <n v="87"/>
    <x v="10"/>
    <x v="3"/>
    <x v="3"/>
    <n v="0.28341962033718304"/>
    <n v="7861"/>
    <n v="11"/>
    <n v="1.1549183592194345E-2"/>
    <s v="February"/>
  </r>
  <r>
    <x v="10"/>
    <s v="RJE"/>
    <x v="5"/>
    <x v="9"/>
    <n v="13322"/>
    <n v="7425"/>
    <n v="7432"/>
    <n v="74"/>
    <n v="1095"/>
    <n v="927"/>
    <x v="10"/>
    <x v="3"/>
    <x v="3"/>
    <n v="0.55787419306410446"/>
    <n v="20747"/>
    <n v="11"/>
    <n v="6.9584146524545865E-2"/>
    <s v="February"/>
  </r>
  <r>
    <x v="10"/>
    <s v="RJL"/>
    <x v="6"/>
    <x v="164"/>
    <n v="9527"/>
    <n v="5753"/>
    <n v="4382"/>
    <n v="40"/>
    <n v="576"/>
    <n v="874"/>
    <x v="10"/>
    <x v="3"/>
    <x v="3"/>
    <n v="0.45995591476855252"/>
    <n v="15280"/>
    <n v="11"/>
    <n v="9.1739267345439274E-2"/>
    <s v="February"/>
  </r>
  <r>
    <x v="10"/>
    <s v="RLT"/>
    <x v="5"/>
    <x v="13"/>
    <n v="6469"/>
    <n v="1502"/>
    <n v="1578"/>
    <n v="3"/>
    <n v="378"/>
    <n v="269"/>
    <x v="10"/>
    <x v="3"/>
    <x v="3"/>
    <n v="0.24393260163858402"/>
    <n v="7971"/>
    <n v="11"/>
    <n v="4.1582933992889162E-2"/>
    <s v="February"/>
  </r>
  <r>
    <x v="10"/>
    <s v="RP5"/>
    <x v="6"/>
    <x v="53"/>
    <n v="12523"/>
    <n v="3554"/>
    <n v="4722"/>
    <n v="5"/>
    <n v="1169"/>
    <n v="202"/>
    <x v="10"/>
    <x v="3"/>
    <x v="3"/>
    <n v="0.37706619819532061"/>
    <n v="16077"/>
    <n v="11"/>
    <n v="1.6130320210812107E-2"/>
    <s v="February"/>
  </r>
  <r>
    <x v="10"/>
    <s v="RTK"/>
    <x v="0"/>
    <x v="49"/>
    <n v="6942"/>
    <n v="2493"/>
    <n v="3607"/>
    <n v="36"/>
    <n v="446"/>
    <n v="452"/>
    <x v="10"/>
    <x v="3"/>
    <x v="3"/>
    <n v="0.51959089599539032"/>
    <n v="9435"/>
    <n v="11"/>
    <n v="6.5110919043503315E-2"/>
    <s v="February"/>
  </r>
  <r>
    <x v="10"/>
    <s v="RTP"/>
    <x v="0"/>
    <x v="136"/>
    <n v="9234"/>
    <n v="0"/>
    <n v="4051"/>
    <n v="0"/>
    <n v="485"/>
    <n v="593"/>
    <x v="10"/>
    <x v="3"/>
    <x v="3"/>
    <n v="0.43870478665800305"/>
    <n v="9234"/>
    <n v="11"/>
    <n v="6.4219189950184108E-2"/>
    <s v="February"/>
  </r>
  <r>
    <x v="10"/>
    <s v="RTQ"/>
    <x v="1"/>
    <x v="126"/>
    <n v="0"/>
    <n v="7085"/>
    <n v="0"/>
    <n v="103"/>
    <n v="0"/>
    <n v="0"/>
    <x v="10"/>
    <x v="3"/>
    <x v="3"/>
    <n v="0"/>
    <n v="7085"/>
    <n v="11"/>
    <n v="0"/>
    <s v="February"/>
  </r>
  <r>
    <x v="10"/>
    <s v="RWF"/>
    <x v="0"/>
    <x v="193"/>
    <n v="16798"/>
    <n v="1822"/>
    <n v="4094"/>
    <n v="26"/>
    <n v="933"/>
    <n v="373"/>
    <x v="10"/>
    <x v="3"/>
    <x v="3"/>
    <n v="0.24371949041552565"/>
    <n v="18620"/>
    <n v="11"/>
    <n v="2.2205024407667581E-2"/>
    <s v="February"/>
  </r>
  <r>
    <x v="10"/>
    <s v="RXQ"/>
    <x v="0"/>
    <x v="48"/>
    <n v="8435"/>
    <n v="2617"/>
    <n v="3165"/>
    <n v="32"/>
    <n v="158"/>
    <n v="321"/>
    <x v="10"/>
    <x v="3"/>
    <x v="3"/>
    <n v="0.37522228808535862"/>
    <n v="11052"/>
    <n v="11"/>
    <n v="3.8055720213396559E-2"/>
    <s v="February"/>
  </r>
  <r>
    <x v="11"/>
    <s v="RRV"/>
    <x v="4"/>
    <x v="171"/>
    <n v="13996"/>
    <n v="0"/>
    <n v="2783"/>
    <n v="0"/>
    <n v="299"/>
    <n v="66"/>
    <x v="11"/>
    <x v="3"/>
    <x v="0"/>
    <n v="0.1988425264361246"/>
    <n v="13996"/>
    <n v="12"/>
    <n v="4.7156330380108604E-3"/>
    <s v="March"/>
  </r>
  <r>
    <x v="11"/>
    <s v="AQN04"/>
    <x v="0"/>
    <x v="130"/>
    <n v="0"/>
    <n v="3090"/>
    <n v="0"/>
    <n v="30"/>
    <n v="0"/>
    <n v="0"/>
    <x v="11"/>
    <x v="3"/>
    <x v="0"/>
    <n v="0"/>
    <n v="3090"/>
    <n v="12"/>
    <n v="0"/>
    <s v="March"/>
  </r>
  <r>
    <x v="11"/>
    <s v="C82009"/>
    <x v="5"/>
    <x v="179"/>
    <n v="0"/>
    <n v="243"/>
    <n v="0"/>
    <n v="0"/>
    <n v="0"/>
    <n v="0"/>
    <x v="11"/>
    <x v="3"/>
    <x v="0"/>
    <n v="0"/>
    <n v="243"/>
    <n v="12"/>
    <n v="0"/>
    <s v="March"/>
  </r>
  <r>
    <x v="11"/>
    <s v="AQM01"/>
    <x v="0"/>
    <x v="198"/>
    <n v="0"/>
    <n v="3203"/>
    <n v="0"/>
    <n v="0"/>
    <n v="0"/>
    <n v="0"/>
    <x v="11"/>
    <x v="3"/>
    <x v="0"/>
    <n v="0"/>
    <n v="3203"/>
    <n v="12"/>
    <n v="0"/>
    <s v="March"/>
  </r>
  <r>
    <x v="11"/>
    <s v="RVW"/>
    <x v="6"/>
    <x v="76"/>
    <n v="5064"/>
    <n v="12066"/>
    <n v="2339"/>
    <n v="26"/>
    <n v="100"/>
    <n v="1"/>
    <x v="11"/>
    <x v="3"/>
    <x v="0"/>
    <n v="0.46188783570300157"/>
    <n v="17130"/>
    <n v="12"/>
    <n v="1.9747235387045813E-4"/>
    <s v="March"/>
  </r>
  <r>
    <x v="11"/>
    <s v="RJZ"/>
    <x v="4"/>
    <x v="196"/>
    <n v="16182"/>
    <n v="9930"/>
    <n v="6440"/>
    <n v="975"/>
    <n v="1505"/>
    <n v="661"/>
    <x v="11"/>
    <x v="3"/>
    <x v="0"/>
    <n v="0.39797305648251141"/>
    <n v="26112"/>
    <n v="12"/>
    <n v="4.084785564207144E-2"/>
    <s v="March"/>
  </r>
  <r>
    <x v="11"/>
    <s v="RLQ"/>
    <x v="5"/>
    <x v="123"/>
    <n v="6134"/>
    <n v="160"/>
    <n v="2679"/>
    <n v="0"/>
    <n v="497"/>
    <n v="234"/>
    <x v="11"/>
    <x v="3"/>
    <x v="0"/>
    <n v="0.43674600586892731"/>
    <n v="6294"/>
    <n v="12"/>
    <n v="3.8148027388327357E-2"/>
    <s v="March"/>
  </r>
  <r>
    <x v="11"/>
    <s v="C83023"/>
    <x v="5"/>
    <x v="44"/>
    <n v="0"/>
    <n v="512"/>
    <n v="0"/>
    <n v="0"/>
    <n v="0"/>
    <n v="0"/>
    <x v="11"/>
    <x v="3"/>
    <x v="0"/>
    <n v="0"/>
    <n v="512"/>
    <n v="12"/>
    <n v="0"/>
    <s v="March"/>
  </r>
  <r>
    <x v="11"/>
    <s v="RQ3"/>
    <x v="5"/>
    <x v="18"/>
    <n v="5150"/>
    <n v="0"/>
    <n v="1206"/>
    <n v="0"/>
    <n v="29"/>
    <n v="2"/>
    <x v="11"/>
    <x v="3"/>
    <x v="0"/>
    <n v="0.2341747572815534"/>
    <n v="5150"/>
    <n v="12"/>
    <n v="3.8834951456310682E-4"/>
    <s v="March"/>
  </r>
  <r>
    <x v="11"/>
    <s v="NLX"/>
    <x v="1"/>
    <x v="181"/>
    <n v="0"/>
    <n v="9046"/>
    <n v="0"/>
    <n v="300"/>
    <n v="0"/>
    <n v="0"/>
    <x v="11"/>
    <x v="3"/>
    <x v="0"/>
    <n v="0"/>
    <n v="9046"/>
    <n v="12"/>
    <n v="0"/>
    <s v="March"/>
  </r>
  <r>
    <x v="11"/>
    <s v="R1K"/>
    <x v="4"/>
    <x v="30"/>
    <n v="13819"/>
    <n v="15806"/>
    <n v="4596"/>
    <n v="82"/>
    <n v="525"/>
    <n v="408"/>
    <x v="11"/>
    <x v="3"/>
    <x v="0"/>
    <n v="0.33258557059121502"/>
    <n v="29625"/>
    <n v="12"/>
    <n v="2.9524567624285403E-2"/>
    <s v="March"/>
  </r>
  <r>
    <x v="11"/>
    <s v="RA2"/>
    <x v="0"/>
    <x v="203"/>
    <n v="7269"/>
    <n v="2235"/>
    <n v="2396"/>
    <n v="1"/>
    <n v="510"/>
    <n v="15"/>
    <x v="11"/>
    <x v="3"/>
    <x v="0"/>
    <n v="0.329618929701472"/>
    <n v="9504"/>
    <n v="12"/>
    <n v="2.0635575732562937E-3"/>
    <s v="March"/>
  </r>
  <r>
    <x v="11"/>
    <s v="RVV"/>
    <x v="0"/>
    <x v="50"/>
    <n v="15073"/>
    <n v="13260"/>
    <n v="6439"/>
    <n v="836"/>
    <n v="622"/>
    <n v="1037"/>
    <x v="11"/>
    <x v="3"/>
    <x v="0"/>
    <n v="0.4271876865919193"/>
    <n v="28333"/>
    <n v="12"/>
    <n v="6.8798513899024749E-2"/>
    <s v="March"/>
  </r>
  <r>
    <x v="11"/>
    <s v="RBS"/>
    <x v="3"/>
    <x v="160"/>
    <n v="6640"/>
    <n v="0"/>
    <n v="1097"/>
    <n v="0"/>
    <n v="0"/>
    <n v="0"/>
    <x v="11"/>
    <x v="3"/>
    <x v="0"/>
    <n v="0.16521084337349398"/>
    <n v="6640"/>
    <n v="12"/>
    <n v="0"/>
    <s v="March"/>
  </r>
  <r>
    <x v="11"/>
    <s v="RGR"/>
    <x v="2"/>
    <x v="186"/>
    <n v="8114"/>
    <n v="1068"/>
    <n v="2011"/>
    <n v="0"/>
    <n v="470"/>
    <n v="329"/>
    <x v="11"/>
    <x v="3"/>
    <x v="0"/>
    <n v="0.24784323391668719"/>
    <n v="9182"/>
    <n v="12"/>
    <n v="4.0547202366280503E-2"/>
    <s v="March"/>
  </r>
  <r>
    <x v="11"/>
    <s v="RKB"/>
    <x v="5"/>
    <x v="11"/>
    <n v="13287"/>
    <n v="6422"/>
    <n v="5023"/>
    <n v="179"/>
    <n v="49"/>
    <n v="11"/>
    <x v="11"/>
    <x v="3"/>
    <x v="0"/>
    <n v="0.37803868442838867"/>
    <n v="19709"/>
    <n v="12"/>
    <n v="8.27876872130654E-4"/>
    <s v="March"/>
  </r>
  <r>
    <x v="11"/>
    <s v="RTK"/>
    <x v="0"/>
    <x v="49"/>
    <n v="7809"/>
    <n v="2837"/>
    <n v="3374"/>
    <n v="28"/>
    <n v="569"/>
    <n v="311"/>
    <x v="11"/>
    <x v="3"/>
    <x v="0"/>
    <n v="0.43206556537328722"/>
    <n v="10646"/>
    <n v="12"/>
    <n v="3.9825841977205789E-2"/>
    <s v="March"/>
  </r>
  <r>
    <x v="11"/>
    <s v="RV9"/>
    <x v="6"/>
    <x v="148"/>
    <n v="0"/>
    <n v="1229"/>
    <n v="0"/>
    <n v="5"/>
    <n v="0"/>
    <n v="0"/>
    <x v="11"/>
    <x v="3"/>
    <x v="0"/>
    <n v="0"/>
    <n v="1229"/>
    <n v="12"/>
    <n v="0"/>
    <s v="March"/>
  </r>
  <r>
    <x v="11"/>
    <s v="R0A"/>
    <x v="3"/>
    <x v="155"/>
    <n v="26982"/>
    <n v="11549"/>
    <n v="9057"/>
    <n v="258"/>
    <n v="2943"/>
    <n v="53"/>
    <x v="11"/>
    <x v="3"/>
    <x v="0"/>
    <n v="0.3356682232599511"/>
    <n v="38531"/>
    <n v="12"/>
    <n v="1.9642724779482617E-3"/>
    <s v="March"/>
  </r>
  <r>
    <x v="11"/>
    <s v="RAT"/>
    <x v="4"/>
    <x v="182"/>
    <n v="0"/>
    <n v="1896"/>
    <n v="0"/>
    <n v="55"/>
    <n v="0"/>
    <n v="0"/>
    <x v="11"/>
    <x v="3"/>
    <x v="0"/>
    <n v="0"/>
    <n v="1896"/>
    <n v="12"/>
    <n v="0"/>
    <s v="March"/>
  </r>
  <r>
    <x v="11"/>
    <s v="RBN"/>
    <x v="3"/>
    <x v="34"/>
    <n v="18055"/>
    <n v="7402"/>
    <n v="6407"/>
    <n v="48"/>
    <n v="459"/>
    <n v="514"/>
    <x v="11"/>
    <x v="3"/>
    <x v="0"/>
    <n v="0.35486014954306289"/>
    <n v="25457"/>
    <n v="12"/>
    <n v="2.8468568263638881E-2"/>
    <s v="March"/>
  </r>
  <r>
    <x v="11"/>
    <s v="REM"/>
    <x v="3"/>
    <x v="5"/>
    <n v="16352"/>
    <n v="8390"/>
    <n v="7492"/>
    <n v="461"/>
    <n v="923"/>
    <n v="1124"/>
    <x v="11"/>
    <x v="3"/>
    <x v="0"/>
    <n v="0.45817025440313114"/>
    <n v="24742"/>
    <n v="12"/>
    <n v="6.8737769080234837E-2"/>
    <s v="March"/>
  </r>
  <r>
    <x v="11"/>
    <s v="RJC"/>
    <x v="5"/>
    <x v="188"/>
    <n v="8644"/>
    <n v="438"/>
    <n v="1808"/>
    <n v="0"/>
    <n v="423"/>
    <n v="132"/>
    <x v="11"/>
    <x v="3"/>
    <x v="0"/>
    <n v="0.2091624248033318"/>
    <n v="9082"/>
    <n v="12"/>
    <n v="1.5270708005552984E-2"/>
    <s v="March"/>
  </r>
  <r>
    <x v="11"/>
    <s v="RBV"/>
    <x v="3"/>
    <x v="22"/>
    <n v="0"/>
    <n v="0"/>
    <n v="0"/>
    <n v="0"/>
    <n v="0"/>
    <n v="0"/>
    <x v="11"/>
    <x v="3"/>
    <x v="0"/>
    <n v="0"/>
    <n v="0"/>
    <n v="12"/>
    <n v="0"/>
    <s v="March"/>
  </r>
  <r>
    <x v="11"/>
    <s v="RKE"/>
    <x v="4"/>
    <x v="194"/>
    <n v="9319"/>
    <n v="0"/>
    <n v="2376"/>
    <n v="0"/>
    <n v="280"/>
    <n v="237"/>
    <x v="11"/>
    <x v="3"/>
    <x v="0"/>
    <n v="0.25496297886039276"/>
    <n v="9319"/>
    <n v="12"/>
    <n v="2.5431913295417965E-2"/>
    <s v="March"/>
  </r>
  <r>
    <x v="11"/>
    <s v="ARN03"/>
    <x v="6"/>
    <x v="178"/>
    <n v="0"/>
    <n v="2490"/>
    <n v="0"/>
    <n v="9"/>
    <n v="0"/>
    <n v="0"/>
    <x v="11"/>
    <x v="3"/>
    <x v="0"/>
    <n v="0"/>
    <n v="2490"/>
    <n v="12"/>
    <n v="0"/>
    <s v="March"/>
  </r>
  <r>
    <x v="11"/>
    <s v="RYX"/>
    <x v="4"/>
    <x v="51"/>
    <n v="0"/>
    <n v="12658"/>
    <n v="0"/>
    <n v="207"/>
    <n v="0"/>
    <n v="0"/>
    <x v="11"/>
    <x v="3"/>
    <x v="0"/>
    <n v="0"/>
    <n v="12658"/>
    <n v="12"/>
    <n v="0"/>
    <s v="March"/>
  </r>
  <r>
    <x v="11"/>
    <s v="RWH"/>
    <x v="2"/>
    <x v="204"/>
    <n v="9208"/>
    <n v="9068"/>
    <n v="4522"/>
    <n v="97"/>
    <n v="305"/>
    <n v="65"/>
    <x v="11"/>
    <x v="3"/>
    <x v="0"/>
    <n v="0.49109470026064295"/>
    <n v="18276"/>
    <n v="12"/>
    <n v="7.0590790616854911E-3"/>
    <s v="March"/>
  </r>
  <r>
    <x v="11"/>
    <s v="RXP"/>
    <x v="6"/>
    <x v="87"/>
    <n v="13246"/>
    <n v="3934"/>
    <n v="5130"/>
    <n v="0"/>
    <n v="1518"/>
    <n v="10"/>
    <x v="11"/>
    <x v="3"/>
    <x v="0"/>
    <n v="0.38728672806885095"/>
    <n v="17180"/>
    <n v="12"/>
    <n v="7.5494488902310135E-4"/>
    <s v="March"/>
  </r>
  <r>
    <x v="11"/>
    <s v="RXW"/>
    <x v="5"/>
    <x v="88"/>
    <n v="11446"/>
    <n v="2637"/>
    <n v="6281"/>
    <n v="370"/>
    <n v="742"/>
    <n v="1173"/>
    <x v="11"/>
    <x v="3"/>
    <x v="0"/>
    <n v="0.54875065525074262"/>
    <n v="14083"/>
    <n v="12"/>
    <n v="0.10248121614537829"/>
    <s v="March"/>
  </r>
  <r>
    <x v="11"/>
    <s v="R0D"/>
    <x v="1"/>
    <x v="157"/>
    <n v="15604"/>
    <n v="4194"/>
    <n v="6397"/>
    <n v="0"/>
    <n v="923"/>
    <n v="501"/>
    <x v="11"/>
    <x v="3"/>
    <x v="0"/>
    <n v="0.40995898487567289"/>
    <n v="19798"/>
    <n v="12"/>
    <n v="3.2107152012304539E-2"/>
    <s v="March"/>
  </r>
  <r>
    <x v="11"/>
    <s v="RA9"/>
    <x v="1"/>
    <x v="113"/>
    <n v="6842"/>
    <n v="3228"/>
    <n v="3404"/>
    <n v="2"/>
    <n v="150"/>
    <n v="66"/>
    <x v="11"/>
    <x v="3"/>
    <x v="0"/>
    <n v="0.49751534638994444"/>
    <n v="10070"/>
    <n v="12"/>
    <n v="9.6463022508038593E-3"/>
    <s v="March"/>
  </r>
  <r>
    <x v="11"/>
    <s v="RAN"/>
    <x v="4"/>
    <x v="24"/>
    <n v="0"/>
    <n v="0"/>
    <n v="0"/>
    <n v="0"/>
    <n v="0"/>
    <n v="0"/>
    <x v="11"/>
    <x v="3"/>
    <x v="0"/>
    <n v="0"/>
    <n v="0"/>
    <n v="12"/>
    <n v="0"/>
    <s v="March"/>
  </r>
  <r>
    <x v="11"/>
    <s v="RDY"/>
    <x v="1"/>
    <x v="145"/>
    <n v="0"/>
    <n v="0"/>
    <n v="0"/>
    <n v="0"/>
    <n v="0"/>
    <n v="0"/>
    <x v="11"/>
    <x v="3"/>
    <x v="0"/>
    <n v="0"/>
    <n v="0"/>
    <n v="12"/>
    <n v="0"/>
    <s v="March"/>
  </r>
  <r>
    <x v="11"/>
    <s v="RGT"/>
    <x v="2"/>
    <x v="95"/>
    <n v="11693"/>
    <n v="5652"/>
    <n v="4906"/>
    <n v="111"/>
    <n v="558"/>
    <n v="404"/>
    <x v="11"/>
    <x v="3"/>
    <x v="0"/>
    <n v="0.41956726246472248"/>
    <n v="17345"/>
    <n v="12"/>
    <n v="3.4550585820576414E-2"/>
    <s v="March"/>
  </r>
  <r>
    <x v="11"/>
    <s v="RH5"/>
    <x v="1"/>
    <x v="40"/>
    <n v="12117"/>
    <n v="10428"/>
    <n v="5807"/>
    <n v="320"/>
    <n v="372"/>
    <n v="73"/>
    <x v="11"/>
    <x v="3"/>
    <x v="0"/>
    <n v="0.47924403730296278"/>
    <n v="22545"/>
    <n v="12"/>
    <n v="6.0245935462573241E-3"/>
    <s v="March"/>
  </r>
  <r>
    <x v="11"/>
    <s v="RK5"/>
    <x v="5"/>
    <x v="10"/>
    <n v="11782"/>
    <n v="5785"/>
    <n v="3548"/>
    <n v="395"/>
    <n v="728"/>
    <n v="277"/>
    <x v="11"/>
    <x v="3"/>
    <x v="0"/>
    <n v="0.30113732812765237"/>
    <n v="17567"/>
    <n v="12"/>
    <n v="2.3510439653709046E-2"/>
    <s v="March"/>
  </r>
  <r>
    <x v="11"/>
    <s v="RL1"/>
    <x v="5"/>
    <x v="12"/>
    <n v="0"/>
    <n v="0"/>
    <n v="0"/>
    <n v="0"/>
    <n v="0"/>
    <n v="0"/>
    <x v="11"/>
    <x v="3"/>
    <x v="0"/>
    <n v="0"/>
    <n v="0"/>
    <n v="12"/>
    <n v="0"/>
    <s v="March"/>
  </r>
  <r>
    <x v="11"/>
    <s v="RM1"/>
    <x v="2"/>
    <x v="75"/>
    <n v="13490"/>
    <n v="7873"/>
    <n v="3626"/>
    <n v="11"/>
    <n v="603"/>
    <n v="261"/>
    <x v="11"/>
    <x v="3"/>
    <x v="0"/>
    <n v="0.26879169755374349"/>
    <n v="21363"/>
    <n v="12"/>
    <n v="1.9347664936990364E-2"/>
    <s v="March"/>
  </r>
  <r>
    <x v="11"/>
    <s v="RP5"/>
    <x v="6"/>
    <x v="53"/>
    <n v="14337"/>
    <n v="4376"/>
    <n v="4214"/>
    <n v="5"/>
    <n v="1010"/>
    <n v="95"/>
    <x v="11"/>
    <x v="3"/>
    <x v="0"/>
    <n v="0.29392480993234288"/>
    <n v="18713"/>
    <n v="12"/>
    <n v="6.6262118992815788E-3"/>
    <s v="March"/>
  </r>
  <r>
    <x v="11"/>
    <s v="RP6"/>
    <x v="4"/>
    <x v="192"/>
    <n v="0"/>
    <n v="0"/>
    <n v="0"/>
    <n v="0"/>
    <n v="0"/>
    <n v="0"/>
    <x v="11"/>
    <x v="3"/>
    <x v="0"/>
    <n v="0"/>
    <n v="0"/>
    <n v="12"/>
    <n v="0"/>
    <s v="March"/>
  </r>
  <r>
    <x v="11"/>
    <s v="RQM"/>
    <x v="4"/>
    <x v="19"/>
    <n v="20446"/>
    <n v="6841"/>
    <n v="5552"/>
    <n v="310"/>
    <n v="753"/>
    <n v="45"/>
    <x v="11"/>
    <x v="3"/>
    <x v="0"/>
    <n v="0.2715445563924484"/>
    <n v="27287"/>
    <n v="12"/>
    <n v="2.2009194952557955E-3"/>
    <s v="March"/>
  </r>
  <r>
    <x v="11"/>
    <s v="RRF"/>
    <x v="3"/>
    <x v="206"/>
    <n v="6876"/>
    <n v="6628"/>
    <n v="2920"/>
    <n v="44"/>
    <n v="551"/>
    <n v="407"/>
    <x v="11"/>
    <x v="3"/>
    <x v="0"/>
    <n v="0.42466550319953461"/>
    <n v="13504"/>
    <n v="12"/>
    <n v="5.9191390343222801E-2"/>
    <s v="March"/>
  </r>
  <r>
    <x v="11"/>
    <s v="RTF"/>
    <x v="6"/>
    <x v="99"/>
    <n v="11038"/>
    <n v="14245"/>
    <n v="2238"/>
    <n v="1"/>
    <n v="12"/>
    <n v="0"/>
    <x v="11"/>
    <x v="3"/>
    <x v="0"/>
    <n v="0.20275412212357311"/>
    <n v="25283"/>
    <n v="12"/>
    <n v="0"/>
    <s v="March"/>
  </r>
  <r>
    <x v="11"/>
    <s v="RWD"/>
    <x v="5"/>
    <x v="78"/>
    <n v="18625"/>
    <n v="4910"/>
    <n v="5727"/>
    <n v="258"/>
    <n v="757"/>
    <n v="1132"/>
    <x v="11"/>
    <x v="3"/>
    <x v="0"/>
    <n v="0.30748993288590604"/>
    <n v="23535"/>
    <n v="12"/>
    <n v="6.0778523489932887E-2"/>
    <s v="March"/>
  </r>
  <r>
    <x v="11"/>
    <s v="RWW"/>
    <x v="3"/>
    <x v="83"/>
    <n v="7065"/>
    <n v="2935"/>
    <n v="3412"/>
    <n v="22"/>
    <n v="470"/>
    <n v="909"/>
    <x v="11"/>
    <x v="3"/>
    <x v="0"/>
    <n v="0.48294409058740267"/>
    <n v="10000"/>
    <n v="12"/>
    <n v="0.1286624203821656"/>
    <s v="March"/>
  </r>
  <r>
    <x v="11"/>
    <s v="RXK"/>
    <x v="5"/>
    <x v="176"/>
    <n v="11478"/>
    <n v="8388"/>
    <n v="4899"/>
    <n v="42"/>
    <n v="678"/>
    <n v="612"/>
    <x v="11"/>
    <x v="3"/>
    <x v="0"/>
    <n v="0.42681651855723995"/>
    <n v="19866"/>
    <n v="12"/>
    <n v="5.3319393622582333E-2"/>
    <s v="March"/>
  </r>
  <r>
    <x v="11"/>
    <s v="RY4"/>
    <x v="2"/>
    <x v="172"/>
    <n v="0"/>
    <n v="1223"/>
    <n v="0"/>
    <n v="38"/>
    <n v="0"/>
    <n v="0"/>
    <x v="11"/>
    <x v="3"/>
    <x v="0"/>
    <n v="0"/>
    <n v="1223"/>
    <n v="12"/>
    <n v="0"/>
    <s v="March"/>
  </r>
  <r>
    <x v="11"/>
    <s v="RJL"/>
    <x v="6"/>
    <x v="164"/>
    <n v="10855"/>
    <n v="6646"/>
    <n v="4901"/>
    <n v="74"/>
    <n v="734"/>
    <n v="715"/>
    <x v="11"/>
    <x v="3"/>
    <x v="0"/>
    <n v="0.45149700598802395"/>
    <n v="17501"/>
    <n v="12"/>
    <n v="6.5868263473053898E-2"/>
    <s v="March"/>
  </r>
  <r>
    <x v="11"/>
    <s v="RK9"/>
    <x v="1"/>
    <x v="195"/>
    <n v="9053"/>
    <n v="8349"/>
    <n v="5663"/>
    <n v="126"/>
    <n v="693"/>
    <n v="352"/>
    <x v="11"/>
    <x v="3"/>
    <x v="0"/>
    <n v="0.62553849552634488"/>
    <n v="17402"/>
    <n v="12"/>
    <n v="3.8882138517618466E-2"/>
    <s v="March"/>
  </r>
  <r>
    <x v="11"/>
    <s v="RMP"/>
    <x v="3"/>
    <x v="166"/>
    <n v="8602"/>
    <n v="2694"/>
    <n v="3606"/>
    <n v="102"/>
    <n v="400"/>
    <n v="269"/>
    <x v="11"/>
    <x v="3"/>
    <x v="0"/>
    <n v="0.41920483608463149"/>
    <n v="11296"/>
    <n v="12"/>
    <n v="3.1271797256451989E-2"/>
    <s v="March"/>
  </r>
  <r>
    <x v="11"/>
    <s v="RNQ"/>
    <x v="5"/>
    <x v="169"/>
    <n v="11623"/>
    <n v="9434"/>
    <n v="4163"/>
    <n v="7"/>
    <n v="649"/>
    <n v="560"/>
    <x v="11"/>
    <x v="3"/>
    <x v="0"/>
    <n v="0.35816914738019445"/>
    <n v="21057"/>
    <n v="12"/>
    <n v="4.8180332100146259E-2"/>
    <s v="March"/>
  </r>
  <r>
    <x v="11"/>
    <s v="RTH"/>
    <x v="0"/>
    <x v="100"/>
    <n v="12638"/>
    <n v="3437"/>
    <n v="3523"/>
    <n v="43"/>
    <n v="341"/>
    <n v="5"/>
    <x v="11"/>
    <x v="3"/>
    <x v="0"/>
    <n v="0.27876246241493907"/>
    <n v="16075"/>
    <n v="12"/>
    <n v="3.9563222028802023E-4"/>
    <s v="March"/>
  </r>
  <r>
    <x v="11"/>
    <s v="RTP"/>
    <x v="0"/>
    <x v="136"/>
    <n v="10583"/>
    <n v="0"/>
    <n v="4778"/>
    <n v="0"/>
    <n v="597"/>
    <n v="724"/>
    <x v="11"/>
    <x v="3"/>
    <x v="0"/>
    <n v="0.45147878673344044"/>
    <n v="10583"/>
    <n v="12"/>
    <n v="6.8411603515071334E-2"/>
    <s v="March"/>
  </r>
  <r>
    <x v="11"/>
    <s v="RWG"/>
    <x v="2"/>
    <x v="80"/>
    <n v="8750"/>
    <n v="7960"/>
    <n v="1584"/>
    <n v="106"/>
    <n v="656"/>
    <n v="33"/>
    <x v="11"/>
    <x v="3"/>
    <x v="0"/>
    <n v="0.18102857142857143"/>
    <n v="16710"/>
    <n v="12"/>
    <n v="3.7714285714285714E-3"/>
    <s v="March"/>
  </r>
  <r>
    <x v="11"/>
    <s v="RXC"/>
    <x v="0"/>
    <x v="84"/>
    <n v="9990"/>
    <n v="2172"/>
    <n v="3511"/>
    <n v="30"/>
    <n v="212"/>
    <n v="58"/>
    <x v="11"/>
    <x v="3"/>
    <x v="0"/>
    <n v="0.35145145145145146"/>
    <n v="12162"/>
    <n v="12"/>
    <n v="5.8058058058058056E-3"/>
    <s v="March"/>
  </r>
  <r>
    <x v="11"/>
    <s v="RXF"/>
    <x v="6"/>
    <x v="177"/>
    <n v="16635"/>
    <n v="6852"/>
    <n v="5940"/>
    <n v="178"/>
    <n v="2085"/>
    <n v="308"/>
    <x v="11"/>
    <x v="3"/>
    <x v="0"/>
    <n v="0.35707844905320107"/>
    <n v="23487"/>
    <n v="12"/>
    <n v="1.8515178839795612E-2"/>
    <s v="March"/>
  </r>
  <r>
    <x v="11"/>
    <s v="8J094"/>
    <x v="5"/>
    <x v="109"/>
    <n v="0"/>
    <n v="0"/>
    <n v="0"/>
    <n v="0"/>
    <n v="0"/>
    <n v="0"/>
    <x v="11"/>
    <x v="3"/>
    <x v="0"/>
    <n v="0"/>
    <n v="0"/>
    <n v="12"/>
    <n v="0"/>
    <s v="March"/>
  </r>
  <r>
    <x v="11"/>
    <s v="R1H"/>
    <x v="4"/>
    <x v="93"/>
    <n v="26064"/>
    <n v="18544"/>
    <n v="10076"/>
    <n v="919"/>
    <n v="1010"/>
    <n v="1207"/>
    <x v="11"/>
    <x v="3"/>
    <x v="0"/>
    <n v="0.38658686310620011"/>
    <n v="44608"/>
    <n v="12"/>
    <n v="4.6309085328422345E-2"/>
    <s v="March"/>
  </r>
  <r>
    <x v="11"/>
    <s v="RAX"/>
    <x v="4"/>
    <x v="114"/>
    <n v="7582"/>
    <n v="8517"/>
    <n v="3296"/>
    <n v="237"/>
    <n v="373"/>
    <n v="310"/>
    <x v="11"/>
    <x v="3"/>
    <x v="0"/>
    <n v="0.43471379583223424"/>
    <n v="16099"/>
    <n v="12"/>
    <n v="4.0886309680823005E-2"/>
    <s v="March"/>
  </r>
  <r>
    <x v="11"/>
    <s v="RBT"/>
    <x v="3"/>
    <x v="69"/>
    <n v="7509"/>
    <n v="3219"/>
    <n v="3946"/>
    <n v="8"/>
    <n v="402"/>
    <n v="665"/>
    <x v="11"/>
    <x v="3"/>
    <x v="0"/>
    <n v="0.52550273005726467"/>
    <n v="10728"/>
    <n v="12"/>
    <n v="8.8560394193634304E-2"/>
    <s v="March"/>
  </r>
  <r>
    <x v="11"/>
    <s v="RF4"/>
    <x v="4"/>
    <x v="7"/>
    <n v="13844"/>
    <n v="14885"/>
    <n v="6100"/>
    <n v="253"/>
    <n v="609"/>
    <n v="608"/>
    <x v="11"/>
    <x v="3"/>
    <x v="0"/>
    <n v="0.44062409708176825"/>
    <n v="28729"/>
    <n v="12"/>
    <n v="4.3917942791100839E-2"/>
    <s v="March"/>
  </r>
  <r>
    <x v="11"/>
    <s v="RHM"/>
    <x v="0"/>
    <x v="41"/>
    <n v="12105"/>
    <n v="0"/>
    <n v="3601"/>
    <n v="0"/>
    <n v="455"/>
    <n v="11"/>
    <x v="11"/>
    <x v="3"/>
    <x v="0"/>
    <n v="0.29748038000826105"/>
    <n v="12105"/>
    <n v="12"/>
    <n v="9.0871540685667079E-4"/>
    <s v="March"/>
  </r>
  <r>
    <x v="11"/>
    <s v="RJ2"/>
    <x v="4"/>
    <x v="8"/>
    <n v="16974"/>
    <n v="17385"/>
    <n v="8228"/>
    <n v="320"/>
    <n v="1057"/>
    <n v="487"/>
    <x v="11"/>
    <x v="3"/>
    <x v="0"/>
    <n v="0.48474136915282195"/>
    <n v="34359"/>
    <n v="12"/>
    <n v="2.8690939083303876E-2"/>
    <s v="March"/>
  </r>
  <r>
    <x v="11"/>
    <s v="RJ7"/>
    <x v="4"/>
    <x v="96"/>
    <n v="8727"/>
    <n v="4237"/>
    <n v="2697"/>
    <n v="145"/>
    <n v="474"/>
    <n v="476"/>
    <x v="11"/>
    <x v="3"/>
    <x v="0"/>
    <n v="0.30904090752836028"/>
    <n v="12964"/>
    <n v="12"/>
    <n v="5.4543371147015011E-2"/>
    <s v="March"/>
  </r>
  <r>
    <x v="11"/>
    <s v="RR8"/>
    <x v="6"/>
    <x v="20"/>
    <n v="18894"/>
    <n v="11213"/>
    <n v="6521"/>
    <n v="181"/>
    <n v="1518"/>
    <n v="564"/>
    <x v="11"/>
    <x v="3"/>
    <x v="0"/>
    <n v="0.34513602201757171"/>
    <n v="30107"/>
    <n v="12"/>
    <n v="2.9850746268656716E-2"/>
    <s v="March"/>
  </r>
  <r>
    <x v="11"/>
    <s v="RVR"/>
    <x v="4"/>
    <x v="74"/>
    <n v="11779"/>
    <n v="2267"/>
    <n v="3299"/>
    <n v="200"/>
    <n v="602"/>
    <n v="764"/>
    <x v="11"/>
    <x v="3"/>
    <x v="0"/>
    <n v="0.28007470922828764"/>
    <n v="14046"/>
    <n v="12"/>
    <n v="6.4861193649715598E-2"/>
    <s v="March"/>
  </r>
  <r>
    <x v="11"/>
    <s v="RWJ"/>
    <x v="3"/>
    <x v="82"/>
    <n v="8104"/>
    <n v="981"/>
    <n v="3102"/>
    <n v="58"/>
    <n v="592"/>
    <n v="258"/>
    <x v="11"/>
    <x v="3"/>
    <x v="0"/>
    <n v="0.38277393879565647"/>
    <n v="9085"/>
    <n v="12"/>
    <n v="3.1836130306021719E-2"/>
    <s v="March"/>
  </r>
  <r>
    <x v="11"/>
    <s v="RXN"/>
    <x v="3"/>
    <x v="65"/>
    <n v="12102"/>
    <n v="3298"/>
    <n v="4107"/>
    <n v="210"/>
    <n v="1053"/>
    <n v="368"/>
    <x v="11"/>
    <x v="3"/>
    <x v="0"/>
    <n v="0.33936539414972733"/>
    <n v="15400"/>
    <n v="12"/>
    <n v="3.040819699223269E-2"/>
    <s v="March"/>
  </r>
  <r>
    <x v="11"/>
    <s v="Y03007"/>
    <x v="5"/>
    <x v="118"/>
    <n v="0"/>
    <n v="0"/>
    <n v="0"/>
    <n v="0"/>
    <n v="0"/>
    <n v="0"/>
    <x v="11"/>
    <x v="3"/>
    <x v="0"/>
    <n v="0"/>
    <n v="0"/>
    <n v="12"/>
    <n v="0"/>
    <s v="March"/>
  </r>
  <r>
    <x v="11"/>
    <s v="RPA"/>
    <x v="0"/>
    <x v="191"/>
    <n v="9858"/>
    <n v="6484"/>
    <n v="3038"/>
    <n v="1091"/>
    <n v="335"/>
    <n v="671"/>
    <x v="11"/>
    <x v="3"/>
    <x v="0"/>
    <n v="0.3081761006289308"/>
    <n v="16342"/>
    <n v="12"/>
    <n v="6.8066544938121323E-2"/>
    <s v="March"/>
  </r>
  <r>
    <x v="11"/>
    <s v="DT301"/>
    <x v="2"/>
    <x v="110"/>
    <n v="0"/>
    <n v="2144"/>
    <n v="0"/>
    <n v="110"/>
    <n v="0"/>
    <n v="0"/>
    <x v="11"/>
    <x v="3"/>
    <x v="0"/>
    <n v="0"/>
    <n v="2144"/>
    <n v="12"/>
    <n v="0"/>
    <s v="March"/>
  </r>
  <r>
    <x v="11"/>
    <s v="RNA"/>
    <x v="5"/>
    <x v="168"/>
    <n v="10359"/>
    <n v="4254"/>
    <n v="2064"/>
    <n v="159"/>
    <n v="957"/>
    <n v="40"/>
    <x v="11"/>
    <x v="3"/>
    <x v="0"/>
    <n v="0.19924703156675355"/>
    <n v="14613"/>
    <n v="12"/>
    <n v="3.8613765807510377E-3"/>
    <s v="March"/>
  </r>
  <r>
    <x v="11"/>
    <s v="RR7"/>
    <x v="6"/>
    <x v="115"/>
    <n v="6012"/>
    <n v="4693"/>
    <n v="2609"/>
    <n v="56"/>
    <n v="776"/>
    <n v="2"/>
    <x v="11"/>
    <x v="3"/>
    <x v="0"/>
    <n v="0.43396540252827676"/>
    <n v="10705"/>
    <n v="12"/>
    <n v="3.3266799733865603E-4"/>
    <s v="March"/>
  </r>
  <r>
    <x v="11"/>
    <s v="RWE"/>
    <x v="5"/>
    <x v="79"/>
    <n v="23461"/>
    <n v="0"/>
    <n v="8490"/>
    <n v="0"/>
    <n v="1325"/>
    <n v="592"/>
    <x v="11"/>
    <x v="3"/>
    <x v="0"/>
    <n v="0.36187715783640934"/>
    <n v="23461"/>
    <n v="12"/>
    <n v="2.5233366011678957E-2"/>
    <s v="March"/>
  </r>
  <r>
    <x v="11"/>
    <s v="RLT"/>
    <x v="5"/>
    <x v="13"/>
    <n v="7478"/>
    <n v="1767"/>
    <n v="834"/>
    <n v="2"/>
    <n v="159"/>
    <n v="92"/>
    <x v="11"/>
    <x v="3"/>
    <x v="0"/>
    <n v="0.11152714629580102"/>
    <n v="9245"/>
    <n v="12"/>
    <n v="1.2302754747258626E-2"/>
    <s v="March"/>
  </r>
  <r>
    <x v="11"/>
    <s v="RET"/>
    <x v="3"/>
    <x v="6"/>
    <n v="0"/>
    <n v="0"/>
    <n v="0"/>
    <n v="0"/>
    <n v="0"/>
    <n v="0"/>
    <x v="11"/>
    <x v="3"/>
    <x v="0"/>
    <n v="0"/>
    <n v="0"/>
    <n v="12"/>
    <n v="0"/>
    <s v="March"/>
  </r>
  <r>
    <x v="11"/>
    <s v="RNS"/>
    <x v="5"/>
    <x v="15"/>
    <n v="11112"/>
    <n v="2110"/>
    <n v="3453"/>
    <n v="2"/>
    <n v="430"/>
    <n v="767"/>
    <x v="11"/>
    <x v="3"/>
    <x v="0"/>
    <n v="0.31074514038876888"/>
    <n v="13222"/>
    <n v="12"/>
    <n v="6.9024478041756654E-2"/>
    <s v="March"/>
  </r>
  <r>
    <x v="11"/>
    <s v="RTD"/>
    <x v="6"/>
    <x v="71"/>
    <n v="11211"/>
    <n v="9607"/>
    <n v="4662"/>
    <n v="118"/>
    <n v="293"/>
    <n v="11"/>
    <x v="11"/>
    <x v="3"/>
    <x v="0"/>
    <n v="0.41584158415841582"/>
    <n v="20818"/>
    <n v="12"/>
    <n v="9.8117919900098127E-4"/>
    <s v="March"/>
  </r>
  <r>
    <x v="11"/>
    <s v="RTE"/>
    <x v="1"/>
    <x v="23"/>
    <n v="14347"/>
    <n v="0"/>
    <n v="5083"/>
    <n v="0"/>
    <n v="282"/>
    <n v="489"/>
    <x v="11"/>
    <x v="3"/>
    <x v="0"/>
    <n v="0.3542900954903464"/>
    <n v="14347"/>
    <n v="12"/>
    <n v="3.4083780581306199E-2"/>
    <s v="March"/>
  </r>
  <r>
    <x v="11"/>
    <s v="RXQ"/>
    <x v="0"/>
    <x v="48"/>
    <n v="9559"/>
    <n v="3114"/>
    <n v="2991"/>
    <n v="29"/>
    <n v="259"/>
    <n v="249"/>
    <x v="11"/>
    <x v="3"/>
    <x v="0"/>
    <n v="0.31289883879066849"/>
    <n v="12673"/>
    <n v="12"/>
    <n v="2.6048749869233185E-2"/>
    <s v="March"/>
  </r>
  <r>
    <x v="11"/>
    <s v="RY5"/>
    <x v="5"/>
    <x v="151"/>
    <n v="0"/>
    <n v="8730"/>
    <n v="0"/>
    <n v="156"/>
    <n v="0"/>
    <n v="0"/>
    <x v="11"/>
    <x v="3"/>
    <x v="0"/>
    <n v="0"/>
    <n v="8730"/>
    <n v="12"/>
    <n v="0"/>
    <s v="March"/>
  </r>
  <r>
    <x v="11"/>
    <s v="RA7"/>
    <x v="1"/>
    <x v="158"/>
    <n v="16839"/>
    <n v="0"/>
    <n v="6340"/>
    <n v="0"/>
    <n v="1198"/>
    <n v="529"/>
    <x v="11"/>
    <x v="3"/>
    <x v="0"/>
    <n v="0.37650691846309164"/>
    <n v="16839"/>
    <n v="12"/>
    <n v="3.1415167171447232E-2"/>
    <s v="March"/>
  </r>
  <r>
    <x v="11"/>
    <s v="RAL"/>
    <x v="4"/>
    <x v="33"/>
    <n v="27033"/>
    <n v="16624"/>
    <n v="7828"/>
    <n v="728"/>
    <n v="912"/>
    <n v="1771"/>
    <x v="11"/>
    <x v="3"/>
    <x v="0"/>
    <n v="0.28957200458698629"/>
    <n v="43657"/>
    <n v="12"/>
    <n v="6.5512521732697074E-2"/>
    <s v="March"/>
  </r>
  <r>
    <x v="11"/>
    <s v="RCB"/>
    <x v="6"/>
    <x v="35"/>
    <n v="12231"/>
    <n v="7237"/>
    <n v="5296"/>
    <n v="456"/>
    <n v="693"/>
    <n v="237"/>
    <x v="11"/>
    <x v="3"/>
    <x v="0"/>
    <n v="0.43299811953233586"/>
    <n v="19468"/>
    <n v="12"/>
    <n v="1.9376992886926663E-2"/>
    <s v="March"/>
  </r>
  <r>
    <x v="11"/>
    <s v="RD1"/>
    <x v="1"/>
    <x v="1"/>
    <n v="9444"/>
    <n v="0"/>
    <n v="3528"/>
    <n v="0"/>
    <n v="943"/>
    <n v="85"/>
    <x v="11"/>
    <x v="3"/>
    <x v="0"/>
    <n v="0.37357052096569249"/>
    <n v="9444"/>
    <n v="12"/>
    <n v="9.0004235493434982E-3"/>
    <s v="March"/>
  </r>
  <r>
    <x v="11"/>
    <s v="RHU"/>
    <x v="0"/>
    <x v="63"/>
    <n v="11058"/>
    <n v="3469"/>
    <n v="3736"/>
    <n v="2"/>
    <n v="954"/>
    <n v="901"/>
    <x v="11"/>
    <x v="3"/>
    <x v="0"/>
    <n v="0.33785494664496291"/>
    <n v="14527"/>
    <n v="12"/>
    <n v="8.1479471875565201E-2"/>
    <s v="March"/>
  </r>
  <r>
    <x v="11"/>
    <s v="RHW"/>
    <x v="0"/>
    <x v="66"/>
    <n v="11568"/>
    <n v="3067"/>
    <n v="3906"/>
    <n v="0"/>
    <n v="392"/>
    <n v="28"/>
    <x v="11"/>
    <x v="3"/>
    <x v="0"/>
    <n v="0.33765560165975106"/>
    <n v="14635"/>
    <n v="12"/>
    <n v="2.4204702627939143E-3"/>
    <s v="March"/>
  </r>
  <r>
    <x v="11"/>
    <s v="RM3"/>
    <x v="3"/>
    <x v="64"/>
    <n v="27062"/>
    <n v="9249"/>
    <n v="9404"/>
    <n v="179"/>
    <n v="932"/>
    <n v="1124"/>
    <x v="11"/>
    <x v="3"/>
    <x v="0"/>
    <n v="0.34749833715172568"/>
    <n v="36311"/>
    <n v="12"/>
    <n v="4.1534254674451258E-2"/>
    <s v="March"/>
  </r>
  <r>
    <x v="11"/>
    <s v="RN5"/>
    <x v="0"/>
    <x v="97"/>
    <n v="10649"/>
    <n v="4499"/>
    <n v="5251"/>
    <n v="440"/>
    <n v="126"/>
    <n v="13"/>
    <x v="11"/>
    <x v="3"/>
    <x v="0"/>
    <n v="0.49309794346887031"/>
    <n v="15148"/>
    <n v="12"/>
    <n v="1.2207719034651142E-3"/>
    <s v="March"/>
  </r>
  <r>
    <x v="11"/>
    <s v="RWA"/>
    <x v="6"/>
    <x v="77"/>
    <n v="10114"/>
    <n v="4397"/>
    <n v="4985"/>
    <n v="236"/>
    <n v="1054"/>
    <n v="375"/>
    <x v="11"/>
    <x v="3"/>
    <x v="0"/>
    <n v="0.49288115483488232"/>
    <n v="14511"/>
    <n v="12"/>
    <n v="3.7077318568321138E-2"/>
    <s v="March"/>
  </r>
  <r>
    <x v="11"/>
    <s v="RXL"/>
    <x v="3"/>
    <x v="86"/>
    <n v="8417"/>
    <n v="10241"/>
    <n v="3022"/>
    <n v="240"/>
    <n v="518"/>
    <n v="261"/>
    <x v="11"/>
    <x v="3"/>
    <x v="0"/>
    <n v="0.35903528573125815"/>
    <n v="18658"/>
    <n v="12"/>
    <n v="3.1008672923844599E-2"/>
    <s v="March"/>
  </r>
  <r>
    <x v="11"/>
    <s v="RYG"/>
    <x v="5"/>
    <x v="90"/>
    <n v="0"/>
    <n v="0"/>
    <n v="0"/>
    <n v="0"/>
    <n v="0"/>
    <n v="0"/>
    <x v="11"/>
    <x v="3"/>
    <x v="0"/>
    <n v="0"/>
    <n v="0"/>
    <n v="12"/>
    <n v="0"/>
    <s v="March"/>
  </r>
  <r>
    <x v="11"/>
    <s v="R1F"/>
    <x v="0"/>
    <x v="25"/>
    <n v="4228"/>
    <n v="1661"/>
    <n v="1327"/>
    <n v="90"/>
    <n v="270"/>
    <n v="196"/>
    <x v="11"/>
    <x v="3"/>
    <x v="0"/>
    <n v="0.31385998107852414"/>
    <n v="5889"/>
    <n v="12"/>
    <n v="4.6357615894039736E-2"/>
    <s v="March"/>
  </r>
  <r>
    <x v="11"/>
    <s v="RC9"/>
    <x v="2"/>
    <x v="161"/>
    <n v="17712"/>
    <n v="9389"/>
    <n v="5426"/>
    <n v="0"/>
    <n v="80"/>
    <n v="15"/>
    <x v="11"/>
    <x v="3"/>
    <x v="0"/>
    <n v="0.30634598012646791"/>
    <n v="27101"/>
    <n v="12"/>
    <n v="8.468834688346884E-4"/>
    <s v="March"/>
  </r>
  <r>
    <x v="11"/>
    <s v="RCF"/>
    <x v="6"/>
    <x v="162"/>
    <n v="5874"/>
    <n v="0"/>
    <n v="2060"/>
    <n v="0"/>
    <n v="413"/>
    <n v="428"/>
    <x v="11"/>
    <x v="3"/>
    <x v="0"/>
    <n v="0.35069799114742933"/>
    <n v="5874"/>
    <n v="12"/>
    <n v="7.2863466121893095E-2"/>
    <s v="March"/>
  </r>
  <r>
    <x v="11"/>
    <s v="RD8"/>
    <x v="2"/>
    <x v="36"/>
    <n v="8309"/>
    <n v="5506"/>
    <n v="2730"/>
    <n v="93"/>
    <n v="603"/>
    <n v="0"/>
    <x v="11"/>
    <x v="3"/>
    <x v="0"/>
    <n v="0.32855939342881213"/>
    <n v="13815"/>
    <n v="12"/>
    <n v="0"/>
    <s v="March"/>
  </r>
  <r>
    <x v="11"/>
    <s v="RDE"/>
    <x v="2"/>
    <x v="2"/>
    <n v="11646"/>
    <n v="13538"/>
    <n v="5020"/>
    <n v="844"/>
    <n v="883"/>
    <n v="548"/>
    <x v="11"/>
    <x v="3"/>
    <x v="0"/>
    <n v="0.43104928730894726"/>
    <n v="25184"/>
    <n v="12"/>
    <n v="4.7054782758028504E-2"/>
    <s v="March"/>
  </r>
  <r>
    <x v="11"/>
    <s v="RFS"/>
    <x v="5"/>
    <x v="68"/>
    <n v="7179"/>
    <n v="5672"/>
    <n v="3234"/>
    <n v="84"/>
    <n v="534"/>
    <n v="82"/>
    <x v="11"/>
    <x v="3"/>
    <x v="0"/>
    <n v="0.45048056832427913"/>
    <n v="12851"/>
    <n v="12"/>
    <n v="1.1422203649533362E-2"/>
    <s v="March"/>
  </r>
  <r>
    <x v="11"/>
    <s v="RJ6"/>
    <x v="4"/>
    <x v="189"/>
    <n v="13405"/>
    <n v="5222"/>
    <n v="3841"/>
    <n v="0"/>
    <n v="292"/>
    <n v="678"/>
    <x v="11"/>
    <x v="3"/>
    <x v="0"/>
    <n v="0.28653487504662439"/>
    <n v="18627"/>
    <n v="12"/>
    <n v="5.0578142484147708E-2"/>
    <s v="March"/>
  </r>
  <r>
    <x v="11"/>
    <s v="RVJ"/>
    <x v="1"/>
    <x v="73"/>
    <n v="9545"/>
    <n v="0"/>
    <n v="3386"/>
    <n v="0"/>
    <n v="363"/>
    <n v="576"/>
    <x v="11"/>
    <x v="3"/>
    <x v="0"/>
    <n v="0.35474070193818752"/>
    <n v="9545"/>
    <n v="12"/>
    <n v="6.0345730749083289E-2"/>
    <s v="March"/>
  </r>
  <r>
    <x v="11"/>
    <s v="RN7"/>
    <x v="0"/>
    <x v="14"/>
    <n v="12229"/>
    <n v="4068"/>
    <n v="2966"/>
    <n v="4"/>
    <n v="567"/>
    <n v="497"/>
    <x v="11"/>
    <x v="3"/>
    <x v="0"/>
    <n v="0.2425382288003925"/>
    <n v="16297"/>
    <n v="12"/>
    <n v="4.0641099026903264E-2"/>
    <s v="March"/>
  </r>
  <r>
    <x v="11"/>
    <s v="NNF16"/>
    <x v="6"/>
    <x v="27"/>
    <n v="0"/>
    <n v="1610"/>
    <n v="0"/>
    <n v="26"/>
    <n v="0"/>
    <n v="0"/>
    <x v="11"/>
    <x v="3"/>
    <x v="0"/>
    <n v="0"/>
    <n v="1610"/>
    <n v="12"/>
    <n v="0"/>
    <s v="March"/>
  </r>
  <r>
    <x v="11"/>
    <s v="NNF94"/>
    <x v="6"/>
    <x v="28"/>
    <n v="0"/>
    <n v="2708"/>
    <n v="0"/>
    <n v="127"/>
    <n v="0"/>
    <n v="0"/>
    <x v="11"/>
    <x v="3"/>
    <x v="0"/>
    <n v="0"/>
    <n v="2708"/>
    <n v="12"/>
    <n v="0"/>
    <s v="March"/>
  </r>
  <r>
    <x v="11"/>
    <s v="NNFA7"/>
    <x v="6"/>
    <x v="29"/>
    <n v="0"/>
    <n v="1665"/>
    <n v="0"/>
    <n v="34"/>
    <n v="0"/>
    <n v="0"/>
    <x v="11"/>
    <x v="3"/>
    <x v="0"/>
    <n v="0"/>
    <n v="1665"/>
    <n v="12"/>
    <n v="0"/>
    <s v="March"/>
  </r>
  <r>
    <x v="11"/>
    <s v="RGP"/>
    <x v="2"/>
    <x v="146"/>
    <n v="7717"/>
    <n v="1655"/>
    <n v="2678"/>
    <n v="0"/>
    <n v="479"/>
    <n v="427"/>
    <x v="11"/>
    <x v="3"/>
    <x v="0"/>
    <n v="0.34702604639108464"/>
    <n v="9372"/>
    <n v="12"/>
    <n v="5.533238305040819E-2"/>
    <s v="March"/>
  </r>
  <r>
    <x v="11"/>
    <s v="RQX"/>
    <x v="4"/>
    <x v="106"/>
    <n v="11459"/>
    <n v="0"/>
    <n v="1708"/>
    <n v="0"/>
    <n v="200"/>
    <n v="22"/>
    <x v="11"/>
    <x v="3"/>
    <x v="0"/>
    <n v="0.14905314599877825"/>
    <n v="11459"/>
    <n v="12"/>
    <n v="1.9198882974081509E-3"/>
    <s v="March"/>
  </r>
  <r>
    <x v="11"/>
    <s v="RYJ"/>
    <x v="4"/>
    <x v="91"/>
    <n v="12422"/>
    <n v="6883"/>
    <n v="4438"/>
    <n v="258"/>
    <n v="580"/>
    <n v="0"/>
    <x v="11"/>
    <x v="3"/>
    <x v="0"/>
    <n v="0.35726936081146354"/>
    <n v="19305"/>
    <n v="12"/>
    <n v="0"/>
    <s v="March"/>
  </r>
  <r>
    <x v="11"/>
    <s v="NVE43"/>
    <x v="0"/>
    <x v="205"/>
    <n v="0"/>
    <n v="1070"/>
    <n v="0"/>
    <n v="0"/>
    <n v="0"/>
    <n v="0"/>
    <x v="11"/>
    <x v="3"/>
    <x v="0"/>
    <n v="0"/>
    <n v="1070"/>
    <n v="12"/>
    <n v="0"/>
    <s v="March"/>
  </r>
  <r>
    <x v="11"/>
    <s v="RCD"/>
    <x v="6"/>
    <x v="134"/>
    <n v="5284"/>
    <n v="1591"/>
    <n v="1454"/>
    <n v="6"/>
    <n v="288"/>
    <n v="10"/>
    <x v="11"/>
    <x v="3"/>
    <x v="0"/>
    <n v="0.27517032551097653"/>
    <n v="6875"/>
    <n v="12"/>
    <n v="1.8925056775170325E-3"/>
    <s v="March"/>
  </r>
  <r>
    <x v="11"/>
    <s v="RCU"/>
    <x v="6"/>
    <x v="184"/>
    <n v="4720"/>
    <n v="535"/>
    <n v="102"/>
    <n v="1"/>
    <n v="8"/>
    <n v="0"/>
    <x v="11"/>
    <x v="3"/>
    <x v="0"/>
    <n v="2.1610169491525423E-2"/>
    <n v="5255"/>
    <n v="12"/>
    <n v="0"/>
    <s v="March"/>
  </r>
  <r>
    <x v="11"/>
    <s v="NNF09"/>
    <x v="6"/>
    <x v="26"/>
    <n v="0"/>
    <n v="3817"/>
    <n v="0"/>
    <n v="299"/>
    <n v="0"/>
    <n v="0"/>
    <x v="11"/>
    <x v="3"/>
    <x v="0"/>
    <n v="0"/>
    <n v="3817"/>
    <n v="12"/>
    <n v="0"/>
    <s v="March"/>
  </r>
  <r>
    <x v="11"/>
    <s v="RJ1"/>
    <x v="4"/>
    <x v="43"/>
    <n v="10703"/>
    <n v="7039"/>
    <n v="4286"/>
    <n v="258"/>
    <n v="137"/>
    <n v="69"/>
    <x v="11"/>
    <x v="3"/>
    <x v="0"/>
    <n v="0.40044847239091841"/>
    <n v="17742"/>
    <n v="12"/>
    <n v="6.4467906194524902E-3"/>
    <s v="March"/>
  </r>
  <r>
    <x v="11"/>
    <s v="RAE"/>
    <x v="6"/>
    <x v="31"/>
    <n v="9453"/>
    <n v="3238"/>
    <n v="2348"/>
    <n v="1"/>
    <n v="643"/>
    <n v="85"/>
    <x v="11"/>
    <x v="3"/>
    <x v="0"/>
    <n v="0.24838675552734582"/>
    <n v="12691"/>
    <n v="12"/>
    <n v="8.991854437744631E-3"/>
    <s v="March"/>
  </r>
  <r>
    <x v="11"/>
    <s v="RAS"/>
    <x v="4"/>
    <x v="174"/>
    <n v="5375"/>
    <n v="6912"/>
    <n v="2277"/>
    <n v="82"/>
    <n v="393"/>
    <n v="14"/>
    <x v="11"/>
    <x v="3"/>
    <x v="0"/>
    <n v="0.42362790697674418"/>
    <n v="12287"/>
    <n v="12"/>
    <n v="2.6046511627906975E-3"/>
    <s v="March"/>
  </r>
  <r>
    <x v="11"/>
    <s v="RPC"/>
    <x v="0"/>
    <x v="190"/>
    <n v="0"/>
    <n v="1372"/>
    <n v="0"/>
    <n v="18"/>
    <n v="0"/>
    <n v="0"/>
    <x v="11"/>
    <x v="3"/>
    <x v="0"/>
    <n v="0"/>
    <n v="1372"/>
    <n v="12"/>
    <n v="0"/>
    <s v="March"/>
  </r>
  <r>
    <x v="11"/>
    <s v="RW4"/>
    <x v="3"/>
    <x v="124"/>
    <n v="0"/>
    <n v="14145"/>
    <n v="0"/>
    <n v="495"/>
    <n v="0"/>
    <n v="0"/>
    <x v="11"/>
    <x v="3"/>
    <x v="0"/>
    <n v="0"/>
    <n v="14145"/>
    <n v="12"/>
    <n v="0"/>
    <s v="March"/>
  </r>
  <r>
    <x v="11"/>
    <s v="RY8"/>
    <x v="5"/>
    <x v="152"/>
    <n v="0"/>
    <n v="7724"/>
    <n v="0"/>
    <n v="491"/>
    <n v="0"/>
    <n v="0"/>
    <x v="11"/>
    <x v="3"/>
    <x v="0"/>
    <n v="0"/>
    <n v="7724"/>
    <n v="12"/>
    <n v="0"/>
    <s v="March"/>
  </r>
  <r>
    <x v="11"/>
    <s v="ACH01"/>
    <x v="0"/>
    <x v="119"/>
    <n v="0"/>
    <n v="5137"/>
    <n v="0"/>
    <n v="0"/>
    <n v="0"/>
    <n v="0"/>
    <x v="11"/>
    <x v="3"/>
    <x v="0"/>
    <n v="0"/>
    <n v="5137"/>
    <n v="12"/>
    <n v="0"/>
    <s v="March"/>
  </r>
  <r>
    <x v="11"/>
    <s v="AJN"/>
    <x v="6"/>
    <x v="187"/>
    <n v="0"/>
    <n v="435"/>
    <n v="0"/>
    <n v="0"/>
    <n v="0"/>
    <n v="0"/>
    <x v="11"/>
    <x v="3"/>
    <x v="0"/>
    <n v="0"/>
    <n v="435"/>
    <n v="12"/>
    <n v="0"/>
    <s v="March"/>
  </r>
  <r>
    <x v="11"/>
    <s v="NV693"/>
    <x v="3"/>
    <x v="102"/>
    <n v="0"/>
    <n v="951"/>
    <n v="0"/>
    <n v="0"/>
    <n v="0"/>
    <n v="0"/>
    <x v="11"/>
    <x v="3"/>
    <x v="0"/>
    <n v="0"/>
    <n v="951"/>
    <n v="12"/>
    <n v="0"/>
    <s v="March"/>
  </r>
  <r>
    <x v="11"/>
    <s v="RBD"/>
    <x v="1"/>
    <x v="183"/>
    <n v="4613"/>
    <n v="0"/>
    <n v="1791"/>
    <n v="0"/>
    <n v="209"/>
    <n v="92"/>
    <x v="11"/>
    <x v="3"/>
    <x v="0"/>
    <n v="0.38825059614133967"/>
    <n v="4613"/>
    <n v="12"/>
    <n v="1.9943637546065467E-2"/>
    <s v="March"/>
  </r>
  <r>
    <x v="11"/>
    <s v="NTPAD"/>
    <x v="0"/>
    <x v="112"/>
    <n v="0"/>
    <n v="5461"/>
    <n v="0"/>
    <n v="121"/>
    <n v="0"/>
    <n v="0"/>
    <x v="11"/>
    <x v="3"/>
    <x v="0"/>
    <n v="0"/>
    <n v="5461"/>
    <n v="12"/>
    <n v="0"/>
    <s v="March"/>
  </r>
  <r>
    <x v="11"/>
    <s v="L83087"/>
    <x v="1"/>
    <x v="180"/>
    <n v="0"/>
    <n v="86"/>
    <n v="0"/>
    <n v="0"/>
    <n v="0"/>
    <n v="0"/>
    <x v="11"/>
    <x v="3"/>
    <x v="0"/>
    <n v="0"/>
    <n v="86"/>
    <n v="12"/>
    <n v="0"/>
    <s v="March"/>
  </r>
  <r>
    <x v="11"/>
    <s v="Y02676"/>
    <x v="0"/>
    <x v="52"/>
    <n v="0"/>
    <n v="1827"/>
    <n v="0"/>
    <n v="0"/>
    <n v="0"/>
    <n v="0"/>
    <x v="11"/>
    <x v="3"/>
    <x v="0"/>
    <n v="0"/>
    <n v="1827"/>
    <n v="12"/>
    <n v="0"/>
    <s v="March"/>
  </r>
  <r>
    <x v="11"/>
    <s v="RYY"/>
    <x v="0"/>
    <x v="122"/>
    <n v="0"/>
    <n v="7132"/>
    <n v="0"/>
    <n v="62"/>
    <n v="0"/>
    <n v="0"/>
    <x v="11"/>
    <x v="3"/>
    <x v="0"/>
    <n v="0"/>
    <n v="7132"/>
    <n v="12"/>
    <n v="0"/>
    <s v="March"/>
  </r>
  <r>
    <x v="11"/>
    <s v="DJV01"/>
    <x v="0"/>
    <x v="202"/>
    <n v="0"/>
    <n v="2623"/>
    <n v="0"/>
    <n v="0"/>
    <n v="0"/>
    <n v="0"/>
    <x v="11"/>
    <x v="3"/>
    <x v="0"/>
    <n v="0"/>
    <n v="2623"/>
    <n v="12"/>
    <n v="0"/>
    <s v="March"/>
  </r>
  <r>
    <x v="11"/>
    <s v="NDJ"/>
    <x v="0"/>
    <x v="0"/>
    <n v="0"/>
    <n v="2366"/>
    <n v="0"/>
    <n v="25"/>
    <n v="0"/>
    <n v="0"/>
    <x v="11"/>
    <x v="3"/>
    <x v="0"/>
    <n v="0"/>
    <n v="2366"/>
    <n v="12"/>
    <n v="0"/>
    <s v="March"/>
  </r>
  <r>
    <x v="11"/>
    <s v="NQT5F"/>
    <x v="3"/>
    <x v="143"/>
    <n v="0"/>
    <n v="1696"/>
    <n v="0"/>
    <n v="16"/>
    <n v="0"/>
    <n v="0"/>
    <x v="11"/>
    <x v="3"/>
    <x v="0"/>
    <n v="0"/>
    <n v="1696"/>
    <n v="12"/>
    <n v="0"/>
    <s v="March"/>
  </r>
  <r>
    <x v="11"/>
    <s v="NQT5H"/>
    <x v="1"/>
    <x v="144"/>
    <n v="0"/>
    <n v="1400"/>
    <n v="0"/>
    <n v="9"/>
    <n v="0"/>
    <n v="0"/>
    <x v="11"/>
    <x v="3"/>
    <x v="0"/>
    <n v="0"/>
    <n v="1400"/>
    <n v="12"/>
    <n v="0"/>
    <s v="March"/>
  </r>
  <r>
    <x v="11"/>
    <s v="NQTE4"/>
    <x v="5"/>
    <x v="132"/>
    <n v="0"/>
    <n v="3046"/>
    <n v="0"/>
    <n v="0"/>
    <n v="0"/>
    <n v="0"/>
    <x v="11"/>
    <x v="3"/>
    <x v="0"/>
    <n v="0"/>
    <n v="3046"/>
    <n v="12"/>
    <n v="0"/>
    <s v="March"/>
  </r>
  <r>
    <x v="11"/>
    <s v="NTV0B"/>
    <x v="0"/>
    <x v="127"/>
    <n v="0"/>
    <n v="2545"/>
    <n v="0"/>
    <n v="46"/>
    <n v="0"/>
    <n v="0"/>
    <x v="11"/>
    <x v="3"/>
    <x v="0"/>
    <n v="0"/>
    <n v="2545"/>
    <n v="12"/>
    <n v="0"/>
    <s v="March"/>
  </r>
  <r>
    <x v="11"/>
    <s v="NTV0W"/>
    <x v="0"/>
    <x v="128"/>
    <n v="0"/>
    <n v="2883"/>
    <n v="0"/>
    <n v="28"/>
    <n v="0"/>
    <n v="0"/>
    <x v="11"/>
    <x v="3"/>
    <x v="0"/>
    <n v="0"/>
    <n v="2883"/>
    <n v="12"/>
    <n v="0"/>
    <s v="March"/>
  </r>
  <r>
    <x v="11"/>
    <s v="RBQ"/>
    <x v="3"/>
    <x v="133"/>
    <n v="0"/>
    <n v="0"/>
    <n v="0"/>
    <n v="0"/>
    <n v="0"/>
    <n v="0"/>
    <x v="11"/>
    <x v="3"/>
    <x v="0"/>
    <n v="0"/>
    <n v="0"/>
    <n v="12"/>
    <n v="0"/>
    <s v="March"/>
  </r>
  <r>
    <x v="11"/>
    <s v="RW1"/>
    <x v="0"/>
    <x v="137"/>
    <n v="0"/>
    <n v="3154"/>
    <n v="0"/>
    <n v="22"/>
    <n v="0"/>
    <n v="0"/>
    <x v="11"/>
    <x v="3"/>
    <x v="0"/>
    <n v="0"/>
    <n v="3154"/>
    <n v="12"/>
    <n v="0"/>
    <s v="March"/>
  </r>
  <r>
    <x v="11"/>
    <s v="RWF"/>
    <x v="0"/>
    <x v="193"/>
    <n v="19931"/>
    <n v="2009"/>
    <n v="4411"/>
    <n v="8"/>
    <n v="906"/>
    <n v="131"/>
    <x v="11"/>
    <x v="3"/>
    <x v="0"/>
    <n v="0.22131353168431087"/>
    <n v="21940"/>
    <n v="12"/>
    <n v="6.5726757312728912E-3"/>
    <s v="March"/>
  </r>
  <r>
    <x v="11"/>
    <s v="RWY"/>
    <x v="6"/>
    <x v="138"/>
    <n v="16023"/>
    <n v="0"/>
    <n v="1957"/>
    <n v="0"/>
    <n v="808"/>
    <n v="34"/>
    <x v="11"/>
    <x v="3"/>
    <x v="0"/>
    <n v="0.12213692816576172"/>
    <n v="16023"/>
    <n v="12"/>
    <n v="2.1219496973101169E-3"/>
    <s v="March"/>
  </r>
  <r>
    <x v="11"/>
    <s v="RY7"/>
    <x v="3"/>
    <x v="139"/>
    <n v="0"/>
    <n v="3798"/>
    <n v="0"/>
    <n v="154"/>
    <n v="0"/>
    <n v="0"/>
    <x v="11"/>
    <x v="3"/>
    <x v="0"/>
    <n v="0"/>
    <n v="3798"/>
    <n v="12"/>
    <n v="0"/>
    <s v="March"/>
  </r>
  <r>
    <x v="11"/>
    <s v="Y02532"/>
    <x v="3"/>
    <x v="141"/>
    <n v="0"/>
    <n v="1652"/>
    <n v="0"/>
    <n v="0"/>
    <n v="0"/>
    <n v="0"/>
    <x v="11"/>
    <x v="3"/>
    <x v="0"/>
    <n v="0"/>
    <n v="1652"/>
    <n v="12"/>
    <n v="0"/>
    <s v="March"/>
  </r>
  <r>
    <x v="11"/>
    <s v="Y03218"/>
    <x v="4"/>
    <x v="108"/>
    <n v="0"/>
    <n v="1094"/>
    <n v="0"/>
    <n v="0"/>
    <n v="0"/>
    <n v="0"/>
    <x v="11"/>
    <x v="3"/>
    <x v="0"/>
    <n v="0"/>
    <n v="1094"/>
    <n v="12"/>
    <n v="0"/>
    <s v="March"/>
  </r>
  <r>
    <x v="11"/>
    <s v="AAH"/>
    <x v="1"/>
    <x v="149"/>
    <n v="0"/>
    <n v="667"/>
    <n v="0"/>
    <n v="1"/>
    <n v="0"/>
    <n v="0"/>
    <x v="11"/>
    <x v="3"/>
    <x v="0"/>
    <n v="0"/>
    <n v="667"/>
    <n v="12"/>
    <n v="0"/>
    <s v="March"/>
  </r>
  <r>
    <x v="11"/>
    <s v="C82038"/>
    <x v="5"/>
    <x v="131"/>
    <n v="0"/>
    <n v="379"/>
    <n v="0"/>
    <n v="0"/>
    <n v="0"/>
    <n v="0"/>
    <x v="11"/>
    <x v="3"/>
    <x v="0"/>
    <n v="0"/>
    <n v="379"/>
    <n v="12"/>
    <n v="0"/>
    <s v="March"/>
  </r>
  <r>
    <x v="11"/>
    <s v="NL7"/>
    <x v="5"/>
    <x v="142"/>
    <n v="0"/>
    <n v="3415"/>
    <n v="0"/>
    <n v="0"/>
    <n v="0"/>
    <n v="0"/>
    <x v="11"/>
    <x v="3"/>
    <x v="0"/>
    <n v="0"/>
    <n v="3415"/>
    <n v="12"/>
    <n v="0"/>
    <s v="March"/>
  </r>
  <r>
    <x v="11"/>
    <s v="NTP11"/>
    <x v="0"/>
    <x v="154"/>
    <n v="0"/>
    <n v="5451"/>
    <n v="0"/>
    <n v="77"/>
    <n v="0"/>
    <n v="0"/>
    <x v="11"/>
    <x v="3"/>
    <x v="0"/>
    <n v="0"/>
    <n v="5451"/>
    <n v="12"/>
    <n v="0"/>
    <s v="March"/>
  </r>
  <r>
    <x v="11"/>
    <s v="RFF"/>
    <x v="6"/>
    <x v="104"/>
    <n v="9452"/>
    <n v="0"/>
    <n v="1843"/>
    <n v="0"/>
    <n v="283"/>
    <n v="0"/>
    <x v="11"/>
    <x v="3"/>
    <x v="0"/>
    <n v="0.19498518831993228"/>
    <n v="9452"/>
    <n v="12"/>
    <n v="0"/>
    <s v="March"/>
  </r>
  <r>
    <x v="11"/>
    <s v="RNU"/>
    <x v="0"/>
    <x v="16"/>
    <n v="0"/>
    <n v="4189"/>
    <n v="0"/>
    <n v="184"/>
    <n v="0"/>
    <n v="0"/>
    <x v="11"/>
    <x v="3"/>
    <x v="0"/>
    <n v="0"/>
    <n v="4189"/>
    <n v="12"/>
    <n v="0"/>
    <s v="March"/>
  </r>
  <r>
    <x v="11"/>
    <s v="RYF"/>
    <x v="1"/>
    <x v="89"/>
    <n v="0"/>
    <n v="2158"/>
    <n v="0"/>
    <n v="38"/>
    <n v="0"/>
    <n v="0"/>
    <x v="11"/>
    <x v="3"/>
    <x v="0"/>
    <n v="0"/>
    <n v="2158"/>
    <n v="12"/>
    <n v="0"/>
    <s v="March"/>
  </r>
  <r>
    <x v="11"/>
    <s v="RJ8"/>
    <x v="1"/>
    <x v="135"/>
    <n v="0"/>
    <n v="0"/>
    <n v="0"/>
    <n v="0"/>
    <n v="0"/>
    <n v="0"/>
    <x v="11"/>
    <x v="3"/>
    <x v="0"/>
    <n v="0"/>
    <n v="0"/>
    <n v="12"/>
    <n v="0"/>
    <s v="March"/>
  </r>
  <r>
    <x v="11"/>
    <s v="RJE"/>
    <x v="5"/>
    <x v="9"/>
    <n v="15324"/>
    <n v="8614"/>
    <n v="8188"/>
    <n v="118"/>
    <n v="1208"/>
    <n v="820"/>
    <x v="11"/>
    <x v="3"/>
    <x v="0"/>
    <n v="0.53432524145131821"/>
    <n v="23938"/>
    <n v="12"/>
    <n v="5.3510832680762205E-2"/>
    <s v="March"/>
  </r>
  <r>
    <x v="11"/>
    <s v="RNN"/>
    <x v="6"/>
    <x v="197"/>
    <n v="9401"/>
    <n v="1760"/>
    <n v="4075"/>
    <n v="97"/>
    <n v="563"/>
    <n v="346"/>
    <x v="11"/>
    <x v="3"/>
    <x v="0"/>
    <n v="0.43346452505052652"/>
    <n v="11161"/>
    <n v="12"/>
    <n v="3.6804595255823851E-2"/>
    <s v="March"/>
  </r>
  <r>
    <x v="11"/>
    <s v="RQW"/>
    <x v="2"/>
    <x v="150"/>
    <n v="8912"/>
    <n v="2230"/>
    <n v="2370"/>
    <n v="0"/>
    <n v="477"/>
    <n v="177"/>
    <x v="11"/>
    <x v="3"/>
    <x v="0"/>
    <n v="0.26593357271095153"/>
    <n v="11142"/>
    <n v="12"/>
    <n v="1.9860861759425495E-2"/>
    <s v="March"/>
  </r>
  <r>
    <x v="11"/>
    <s v="RWP"/>
    <x v="5"/>
    <x v="170"/>
    <n v="14334"/>
    <n v="6163"/>
    <n v="5805"/>
    <n v="47"/>
    <n v="841"/>
    <n v="835"/>
    <x v="11"/>
    <x v="3"/>
    <x v="0"/>
    <n v="0.4049811636668062"/>
    <n v="20497"/>
    <n v="12"/>
    <n v="5.8253104506767128E-2"/>
    <s v="March"/>
  </r>
  <r>
    <x v="11"/>
    <s v="RWX"/>
    <x v="0"/>
    <x v="55"/>
    <n v="0"/>
    <n v="1461"/>
    <n v="0"/>
    <n v="14"/>
    <n v="0"/>
    <n v="0"/>
    <x v="11"/>
    <x v="3"/>
    <x v="0"/>
    <n v="0"/>
    <n v="1461"/>
    <n v="12"/>
    <n v="0"/>
    <s v="March"/>
  </r>
  <r>
    <x v="11"/>
    <s v="RX1"/>
    <x v="5"/>
    <x v="175"/>
    <n v="13228"/>
    <n v="9850"/>
    <n v="7322"/>
    <n v="1196"/>
    <n v="114"/>
    <n v="1200"/>
    <x v="11"/>
    <x v="3"/>
    <x v="0"/>
    <n v="0.55352283035984273"/>
    <n v="23078"/>
    <n v="12"/>
    <n v="9.071666162685213E-2"/>
    <s v="March"/>
  </r>
  <r>
    <x v="11"/>
    <s v="RXG"/>
    <x v="6"/>
    <x v="85"/>
    <n v="0"/>
    <n v="0"/>
    <n v="0"/>
    <n v="0"/>
    <n v="0"/>
    <n v="0"/>
    <x v="11"/>
    <x v="3"/>
    <x v="0"/>
    <n v="0"/>
    <n v="0"/>
    <n v="12"/>
    <n v="0"/>
    <s v="March"/>
  </r>
  <r>
    <x v="11"/>
    <s v="RY2"/>
    <x v="3"/>
    <x v="173"/>
    <n v="0"/>
    <n v="3320"/>
    <n v="0"/>
    <n v="64"/>
    <n v="0"/>
    <n v="0"/>
    <x v="11"/>
    <x v="3"/>
    <x v="0"/>
    <n v="0"/>
    <n v="3320"/>
    <n v="12"/>
    <n v="0"/>
    <s v="March"/>
  </r>
  <r>
    <x v="11"/>
    <s v="Y02428"/>
    <x v="2"/>
    <x v="140"/>
    <n v="0"/>
    <n v="2867"/>
    <n v="0"/>
    <n v="0"/>
    <n v="0"/>
    <n v="0"/>
    <x v="11"/>
    <x v="3"/>
    <x v="0"/>
    <n v="0"/>
    <n v="2867"/>
    <n v="12"/>
    <n v="0"/>
    <s v="March"/>
  </r>
  <r>
    <x v="11"/>
    <s v="G0Q0L"/>
    <x v="4"/>
    <x v="120"/>
    <n v="0"/>
    <n v="3069"/>
    <n v="0"/>
    <n v="17"/>
    <n v="0"/>
    <n v="0"/>
    <x v="11"/>
    <x v="3"/>
    <x v="0"/>
    <n v="0"/>
    <n v="3069"/>
    <n v="12"/>
    <n v="0"/>
    <s v="March"/>
  </r>
  <r>
    <x v="11"/>
    <s v="G3P9C"/>
    <x v="1"/>
    <x v="199"/>
    <n v="0"/>
    <n v="1340"/>
    <n v="0"/>
    <n v="4"/>
    <n v="0"/>
    <n v="0"/>
    <x v="11"/>
    <x v="3"/>
    <x v="0"/>
    <n v="0"/>
    <n v="1340"/>
    <n v="12"/>
    <n v="0"/>
    <s v="March"/>
  </r>
  <r>
    <x v="11"/>
    <s v="K6K0R"/>
    <x v="4"/>
    <x v="121"/>
    <n v="0"/>
    <n v="2878"/>
    <n v="0"/>
    <n v="21"/>
    <n v="0"/>
    <n v="0"/>
    <x v="11"/>
    <x v="3"/>
    <x v="0"/>
    <n v="0"/>
    <n v="2878"/>
    <n v="12"/>
    <n v="0"/>
    <s v="March"/>
  </r>
  <r>
    <x v="11"/>
    <s v="NQT1I"/>
    <x v="1"/>
    <x v="200"/>
    <n v="0"/>
    <n v="1657"/>
    <n v="0"/>
    <n v="25"/>
    <n v="0"/>
    <n v="0"/>
    <x v="11"/>
    <x v="3"/>
    <x v="0"/>
    <n v="0"/>
    <n v="1657"/>
    <n v="12"/>
    <n v="0"/>
    <s v="March"/>
  </r>
  <r>
    <x v="11"/>
    <s v="RAJ"/>
    <x v="2"/>
    <x v="32"/>
    <n v="28522"/>
    <n v="8415"/>
    <n v="11459"/>
    <n v="343"/>
    <n v="2337"/>
    <n v="793"/>
    <x v="11"/>
    <x v="3"/>
    <x v="0"/>
    <n v="0.40176004487763833"/>
    <n v="36937"/>
    <n v="12"/>
    <n v="2.780309936189608E-2"/>
    <s v="March"/>
  </r>
  <r>
    <x v="11"/>
    <s v="RBK"/>
    <x v="5"/>
    <x v="159"/>
    <n v="9801"/>
    <n v="4476"/>
    <n v="1828"/>
    <n v="91"/>
    <n v="720"/>
    <n v="106"/>
    <x v="11"/>
    <x v="3"/>
    <x v="0"/>
    <n v="0.18651158045097438"/>
    <n v="14277"/>
    <n v="12"/>
    <n v="1.0815222936435057E-2"/>
    <s v="March"/>
  </r>
  <r>
    <x v="11"/>
    <s v="RBL"/>
    <x v="3"/>
    <x v="94"/>
    <n v="8469"/>
    <n v="2937"/>
    <n v="4382"/>
    <n v="75"/>
    <n v="534"/>
    <n v="626"/>
    <x v="11"/>
    <x v="3"/>
    <x v="0"/>
    <n v="0.51741646003070019"/>
    <n v="11406"/>
    <n v="12"/>
    <n v="7.3916637147242892E-2"/>
    <s v="March"/>
  </r>
  <r>
    <x v="11"/>
    <s v="RDR"/>
    <x v="0"/>
    <x v="3"/>
    <n v="0"/>
    <n v="11899"/>
    <n v="0"/>
    <n v="238"/>
    <n v="0"/>
    <n v="0"/>
    <x v="11"/>
    <x v="3"/>
    <x v="0"/>
    <n v="0"/>
    <n v="11899"/>
    <n v="12"/>
    <n v="0"/>
    <s v="March"/>
  </r>
  <r>
    <x v="11"/>
    <s v="RDU"/>
    <x v="0"/>
    <x v="37"/>
    <n v="23737"/>
    <n v="11602"/>
    <n v="7555"/>
    <n v="243"/>
    <n v="1066"/>
    <n v="637"/>
    <x v="11"/>
    <x v="3"/>
    <x v="0"/>
    <n v="0.3182794792939293"/>
    <n v="35339"/>
    <n v="12"/>
    <n v="2.6835741669124152E-2"/>
    <s v="March"/>
  </r>
  <r>
    <x v="11"/>
    <s v="REP"/>
    <x v="3"/>
    <x v="38"/>
    <n v="0"/>
    <n v="0"/>
    <n v="0"/>
    <n v="0"/>
    <n v="0"/>
    <n v="0"/>
    <x v="11"/>
    <x v="3"/>
    <x v="0"/>
    <n v="0"/>
    <n v="0"/>
    <n v="12"/>
    <n v="0"/>
    <s v="March"/>
  </r>
  <r>
    <x v="11"/>
    <s v="RFR"/>
    <x v="6"/>
    <x v="39"/>
    <n v="9778"/>
    <n v="0"/>
    <n v="3026"/>
    <n v="0"/>
    <n v="741"/>
    <n v="40"/>
    <x v="11"/>
    <x v="3"/>
    <x v="0"/>
    <n v="0.30947023931274287"/>
    <n v="9778"/>
    <n v="12"/>
    <n v="4.0908161178155045E-3"/>
    <s v="March"/>
  </r>
  <r>
    <x v="11"/>
    <s v="RH8"/>
    <x v="1"/>
    <x v="163"/>
    <n v="13587"/>
    <n v="4364"/>
    <n v="5264"/>
    <n v="9"/>
    <n v="860"/>
    <n v="172"/>
    <x v="11"/>
    <x v="3"/>
    <x v="0"/>
    <n v="0.38742916022668727"/>
    <n v="17951"/>
    <n v="12"/>
    <n v="1.2659159490689629E-2"/>
    <s v="March"/>
  </r>
  <r>
    <x v="11"/>
    <s v="RHQ"/>
    <x v="6"/>
    <x v="42"/>
    <n v="8916"/>
    <n v="7691"/>
    <n v="4221"/>
    <n v="283"/>
    <n v="895"/>
    <n v="10"/>
    <x v="11"/>
    <x v="3"/>
    <x v="0"/>
    <n v="0.47341857335127863"/>
    <n v="16607"/>
    <n v="12"/>
    <n v="1.1215791834903544E-3"/>
    <s v="March"/>
  </r>
  <r>
    <x v="11"/>
    <s v="RL4"/>
    <x v="5"/>
    <x v="165"/>
    <n v="11409"/>
    <n v="7357"/>
    <n v="4000"/>
    <n v="264"/>
    <n v="829"/>
    <n v="604"/>
    <x v="11"/>
    <x v="3"/>
    <x v="0"/>
    <n v="0.35060040319046365"/>
    <n v="18766"/>
    <n v="12"/>
    <n v="5.2940660881760013E-2"/>
    <s v="March"/>
  </r>
  <r>
    <x v="11"/>
    <s v="RN3"/>
    <x v="1"/>
    <x v="167"/>
    <n v="6241"/>
    <n v="5981"/>
    <n v="3250"/>
    <n v="553"/>
    <n v="539"/>
    <n v="436"/>
    <x v="11"/>
    <x v="3"/>
    <x v="0"/>
    <n v="0.52074987982695076"/>
    <n v="12222"/>
    <n v="12"/>
    <n v="6.9860599262938639E-2"/>
    <s v="March"/>
  </r>
  <r>
    <x v="11"/>
    <s v="RTR"/>
    <x v="6"/>
    <x v="147"/>
    <n v="7762"/>
    <n v="9952"/>
    <n v="3524"/>
    <n v="414"/>
    <n v="305"/>
    <n v="6"/>
    <x v="11"/>
    <x v="3"/>
    <x v="0"/>
    <n v="0.45400669930430304"/>
    <n v="17714"/>
    <n v="12"/>
    <n v="7.7299665034784846E-4"/>
    <s v="March"/>
  </r>
  <r>
    <x v="11"/>
    <s v="RNZ"/>
    <x v="1"/>
    <x v="17"/>
    <n v="4875"/>
    <n v="2070"/>
    <n v="2214"/>
    <n v="0"/>
    <n v="417"/>
    <n v="147"/>
    <x v="11"/>
    <x v="3"/>
    <x v="0"/>
    <n v="0.45415384615384613"/>
    <n v="6945"/>
    <n v="12"/>
    <n v="3.0153846153846153E-2"/>
    <s v="March"/>
  </r>
  <r>
    <x v="11"/>
    <s v="RTG"/>
    <x v="5"/>
    <x v="54"/>
    <n v="20981"/>
    <n v="9855"/>
    <n v="9279"/>
    <n v="3"/>
    <n v="1225"/>
    <n v="455"/>
    <x v="11"/>
    <x v="3"/>
    <x v="0"/>
    <n v="0.44225728039654927"/>
    <n v="30836"/>
    <n v="12"/>
    <n v="2.168628759353701E-2"/>
    <s v="March"/>
  </r>
  <r>
    <x v="11"/>
    <s v="RJR"/>
    <x v="3"/>
    <x v="105"/>
    <n v="5416"/>
    <n v="2673"/>
    <n v="2759"/>
    <n v="397"/>
    <n v="288"/>
    <n v="778"/>
    <x v="11"/>
    <x v="3"/>
    <x v="0"/>
    <n v="0.50941654357459376"/>
    <n v="8089"/>
    <n v="12"/>
    <n v="0.14364844903988183"/>
    <s v="March"/>
  </r>
  <r>
    <x v="11"/>
    <s v="RTQ"/>
    <x v="1"/>
    <x v="126"/>
    <n v="0"/>
    <n v="8390"/>
    <n v="0"/>
    <n v="223"/>
    <n v="0"/>
    <n v="0"/>
    <x v="11"/>
    <x v="3"/>
    <x v="0"/>
    <n v="0"/>
    <n v="8390"/>
    <n v="12"/>
    <n v="0"/>
    <s v="March"/>
  </r>
  <r>
    <x v="11"/>
    <s v="RTX"/>
    <x v="3"/>
    <x v="98"/>
    <n v="8736"/>
    <n v="2678"/>
    <n v="3810"/>
    <n v="120"/>
    <n v="590"/>
    <n v="654"/>
    <x v="11"/>
    <x v="3"/>
    <x v="0"/>
    <n v="0.43612637362637363"/>
    <n v="11414"/>
    <n v="12"/>
    <n v="7.486263736263736E-2"/>
    <s v="March"/>
  </r>
  <r>
    <x v="11"/>
    <s v="RXR"/>
    <x v="3"/>
    <x v="107"/>
    <n v="13923"/>
    <n v="11422"/>
    <n v="4268"/>
    <n v="464"/>
    <n v="529"/>
    <n v="977"/>
    <x v="11"/>
    <x v="3"/>
    <x v="0"/>
    <n v="0.30654313007254186"/>
    <n v="25345"/>
    <n v="12"/>
    <n v="7.0171658406952525E-2"/>
    <s v="March"/>
  </r>
  <r>
    <x v="11"/>
    <s v="RYR"/>
    <x v="0"/>
    <x v="92"/>
    <n v="27989"/>
    <n v="1826"/>
    <n v="11131"/>
    <n v="211"/>
    <n v="834"/>
    <n v="1005"/>
    <x v="11"/>
    <x v="3"/>
    <x v="0"/>
    <n v="0.39769195040908928"/>
    <n v="29815"/>
    <n v="12"/>
    <n v="3.5906963449926756E-2"/>
    <s v="March"/>
  </r>
  <r>
    <x v="11"/>
    <s v="Y02615"/>
    <x v="5"/>
    <x v="129"/>
    <n v="0"/>
    <n v="3836"/>
    <n v="0"/>
    <n v="0"/>
    <n v="0"/>
    <n v="0"/>
    <x v="11"/>
    <x v="3"/>
    <x v="0"/>
    <n v="0"/>
    <n v="3836"/>
    <n v="12"/>
    <n v="0"/>
    <s v="March"/>
  </r>
  <r>
    <x v="11"/>
    <s v="AD913"/>
    <x v="4"/>
    <x v="70"/>
    <n v="0"/>
    <n v="3686"/>
    <n v="0"/>
    <n v="21"/>
    <n v="0"/>
    <n v="0"/>
    <x v="11"/>
    <x v="3"/>
    <x v="0"/>
    <n v="0"/>
    <n v="3686"/>
    <n v="12"/>
    <n v="0"/>
    <s v="March"/>
  </r>
  <r>
    <x v="11"/>
    <s v="NNJ07"/>
    <x v="5"/>
    <x v="56"/>
    <n v="0"/>
    <n v="5538"/>
    <n v="0"/>
    <n v="38"/>
    <n v="0"/>
    <n v="0"/>
    <x v="11"/>
    <x v="3"/>
    <x v="0"/>
    <n v="0"/>
    <n v="5538"/>
    <n v="12"/>
    <n v="0"/>
    <s v="March"/>
  </r>
  <r>
    <x v="11"/>
    <s v="NNJ0H"/>
    <x v="5"/>
    <x v="57"/>
    <n v="0"/>
    <n v="171"/>
    <n v="0"/>
    <n v="0"/>
    <n v="0"/>
    <n v="0"/>
    <x v="11"/>
    <x v="3"/>
    <x v="0"/>
    <n v="0"/>
    <n v="171"/>
    <n v="12"/>
    <n v="0"/>
    <s v="March"/>
  </r>
  <r>
    <x v="11"/>
    <s v="NNJ10"/>
    <x v="5"/>
    <x v="207"/>
    <n v="0"/>
    <n v="57"/>
    <n v="0"/>
    <n v="0"/>
    <n v="0"/>
    <n v="0"/>
    <x v="11"/>
    <x v="3"/>
    <x v="0"/>
    <n v="0"/>
    <n v="57"/>
    <n v="12"/>
    <n v="0"/>
    <s v="March"/>
  </r>
  <r>
    <x v="11"/>
    <s v="NNJ11"/>
    <x v="5"/>
    <x v="208"/>
    <n v="0"/>
    <n v="38"/>
    <n v="0"/>
    <n v="0"/>
    <n v="0"/>
    <n v="0"/>
    <x v="11"/>
    <x v="3"/>
    <x v="0"/>
    <n v="0"/>
    <n v="38"/>
    <n v="12"/>
    <n v="0"/>
    <s v="March"/>
  </r>
  <r>
    <x v="11"/>
    <s v="NNJ12"/>
    <x v="5"/>
    <x v="58"/>
    <n v="0"/>
    <n v="105"/>
    <n v="0"/>
    <n v="0"/>
    <n v="0"/>
    <n v="0"/>
    <x v="11"/>
    <x v="3"/>
    <x v="0"/>
    <n v="0"/>
    <n v="105"/>
    <n v="12"/>
    <n v="0"/>
    <s v="March"/>
  </r>
  <r>
    <x v="11"/>
    <s v="NNJ13"/>
    <x v="5"/>
    <x v="59"/>
    <n v="0"/>
    <n v="52"/>
    <n v="0"/>
    <n v="0"/>
    <n v="0"/>
    <n v="0"/>
    <x v="11"/>
    <x v="3"/>
    <x v="0"/>
    <n v="0"/>
    <n v="52"/>
    <n v="12"/>
    <n v="0"/>
    <s v="March"/>
  </r>
  <r>
    <x v="11"/>
    <s v="NNJ14"/>
    <x v="5"/>
    <x v="60"/>
    <n v="0"/>
    <n v="540"/>
    <n v="0"/>
    <n v="2"/>
    <n v="0"/>
    <n v="0"/>
    <x v="11"/>
    <x v="3"/>
    <x v="0"/>
    <n v="0"/>
    <n v="540"/>
    <n v="12"/>
    <n v="0"/>
    <s v="March"/>
  </r>
  <r>
    <x v="11"/>
    <s v="NNJ15"/>
    <x v="5"/>
    <x v="61"/>
    <n v="0"/>
    <n v="294"/>
    <n v="0"/>
    <n v="0"/>
    <n v="0"/>
    <n v="0"/>
    <x v="11"/>
    <x v="3"/>
    <x v="0"/>
    <n v="0"/>
    <n v="294"/>
    <n v="12"/>
    <n v="0"/>
    <s v="March"/>
  </r>
  <r>
    <x v="11"/>
    <s v="NNJ"/>
    <x v="5"/>
    <x v="62"/>
    <n v="0"/>
    <n v="1999"/>
    <n v="0"/>
    <n v="0"/>
    <n v="0"/>
    <n v="0"/>
    <x v="11"/>
    <x v="3"/>
    <x v="0"/>
    <n v="0"/>
    <n v="1999"/>
    <n v="12"/>
    <n v="0"/>
    <s v="March"/>
  </r>
  <r>
    <x v="11"/>
    <s v="R0B"/>
    <x v="6"/>
    <x v="156"/>
    <n v="11540"/>
    <n v="5982"/>
    <n v="4059"/>
    <n v="134"/>
    <n v="174"/>
    <n v="0"/>
    <x v="11"/>
    <x v="3"/>
    <x v="0"/>
    <n v="0.35173310225303295"/>
    <n v="17522"/>
    <n v="12"/>
    <n v="0"/>
    <s v="March"/>
  </r>
  <r>
    <x v="11"/>
    <s v="R1D"/>
    <x v="5"/>
    <x v="46"/>
    <n v="0"/>
    <n v="3203"/>
    <n v="0"/>
    <n v="12"/>
    <n v="0"/>
    <n v="0"/>
    <x v="11"/>
    <x v="3"/>
    <x v="0"/>
    <n v="0"/>
    <n v="3203"/>
    <n v="12"/>
    <n v="0"/>
    <s v="March"/>
  </r>
  <r>
    <x v="11"/>
    <s v="RCX"/>
    <x v="2"/>
    <x v="103"/>
    <n v="7041"/>
    <n v="2045"/>
    <n v="2973"/>
    <n v="0"/>
    <n v="166"/>
    <n v="108"/>
    <x v="11"/>
    <x v="3"/>
    <x v="0"/>
    <n v="0.42224115892628888"/>
    <n v="9086"/>
    <n v="12"/>
    <n v="1.5338730293992331E-2"/>
    <s v="March"/>
  </r>
  <r>
    <x v="11"/>
    <s v="REF"/>
    <x v="1"/>
    <x v="4"/>
    <n v="6938"/>
    <n v="12626"/>
    <n v="3391"/>
    <n v="601"/>
    <n v="518"/>
    <n v="467"/>
    <x v="11"/>
    <x v="3"/>
    <x v="0"/>
    <n v="0.48875756702219658"/>
    <n v="19564"/>
    <n v="12"/>
    <n v="6.7310464110694732E-2"/>
    <s v="March"/>
  </r>
  <r>
    <x v="11"/>
    <s v="RGN"/>
    <x v="2"/>
    <x v="185"/>
    <n v="15848"/>
    <n v="5117"/>
    <n v="5755"/>
    <n v="180"/>
    <n v="403"/>
    <n v="945"/>
    <x v="11"/>
    <x v="3"/>
    <x v="0"/>
    <n v="0.36313730439172137"/>
    <n v="20965"/>
    <n v="12"/>
    <n v="5.9628975265017668E-2"/>
    <s v="March"/>
  </r>
  <r>
    <x v="11"/>
    <s v="RJN"/>
    <x v="3"/>
    <x v="125"/>
    <n v="4365"/>
    <n v="0"/>
    <n v="2215"/>
    <n v="0"/>
    <n v="246"/>
    <n v="388"/>
    <x v="11"/>
    <x v="3"/>
    <x v="0"/>
    <n v="0.5074455899198167"/>
    <n v="4365"/>
    <n v="12"/>
    <n v="8.8888888888888892E-2"/>
    <s v="March"/>
  </r>
  <r>
    <x v="11"/>
    <s v="RMC"/>
    <x v="3"/>
    <x v="72"/>
    <n v="8619"/>
    <n v="3561"/>
    <n v="3753"/>
    <n v="131"/>
    <n v="581"/>
    <n v="374"/>
    <x v="11"/>
    <x v="3"/>
    <x v="0"/>
    <n v="0.43543334493560737"/>
    <n v="12180"/>
    <n v="12"/>
    <n v="4.3392504930966469E-2"/>
    <s v="March"/>
  </r>
  <r>
    <x v="11"/>
    <s v="RRK"/>
    <x v="5"/>
    <x v="67"/>
    <n v="34602"/>
    <n v="3203"/>
    <n v="13660"/>
    <n v="25"/>
    <n v="2883"/>
    <n v="1511"/>
    <x v="11"/>
    <x v="3"/>
    <x v="0"/>
    <n v="0.39477486850471072"/>
    <n v="37805"/>
    <n v="12"/>
    <n v="4.3667996069591354E-2"/>
    <s v="Marc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5DAB1-C403-4C08-8E5D-385CE8E52D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3:I11" firstHeaderRow="0" firstDataRow="1" firstDataCol="1"/>
  <pivotFields count="18">
    <pivotField showAll="0">
      <items count="14">
        <item x="0"/>
        <item x="1"/>
        <item x="2"/>
        <item x="3"/>
        <item x="4"/>
        <item x="5"/>
        <item x="6"/>
        <item x="7"/>
        <item x="8"/>
        <item x="9"/>
        <item x="10"/>
        <item x="11"/>
        <item h="1" x="12"/>
        <item t="default"/>
      </items>
    </pivotField>
    <pivotField showAll="0"/>
    <pivotField axis="axisRow" sortType="descending">
      <items count="9">
        <item x="2"/>
        <item x="4"/>
        <item x="5"/>
        <item x="6"/>
        <item x="3"/>
        <item x="0"/>
        <item x="1"/>
        <item h="1" x="7"/>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dataField="1" showAll="0"/>
    <pivotField showAll="0"/>
    <pivotField showAll="0"/>
    <pivotField showAll="0">
      <items count="6">
        <item h="1" x="2"/>
        <item h="1" x="0"/>
        <item h="1" x="1"/>
        <item x="3"/>
        <item h="1" x="4"/>
        <item t="default"/>
      </items>
    </pivotField>
    <pivotField showAll="0"/>
    <pivotField dataField="1" showAll="0"/>
    <pivotField showAll="0"/>
    <pivotField showAll="0"/>
    <pivotField dataField="1" dragToRow="0" dragToCol="0" dragToPage="0" showAll="0" defaultSubtotal="0"/>
  </pivotFields>
  <rowFields count="1">
    <field x="2"/>
  </rowFields>
  <rowItems count="8">
    <i>
      <x v="4"/>
    </i>
    <i>
      <x v="2"/>
    </i>
    <i>
      <x v="1"/>
    </i>
    <i>
      <x v="6"/>
    </i>
    <i>
      <x v="5"/>
    </i>
    <i>
      <x/>
    </i>
    <i>
      <x v="3"/>
    </i>
    <i t="grand">
      <x/>
    </i>
  </rowItems>
  <colFields count="1">
    <field x="-2"/>
  </colFields>
  <colItems count="3">
    <i>
      <x/>
    </i>
    <i i="1">
      <x v="1"/>
    </i>
    <i i="2">
      <x v="2"/>
    </i>
  </colItems>
  <dataFields count="3">
    <dataField name="Sum of Wait_12hr_plus" fld="9" baseField="0" baseItem="0"/>
    <dataField name="Sum of Total attendance" fld="14" baseField="0" baseItem="0"/>
    <dataField name="Sum of 12hr_Wait_Rate" fld="17" baseField="0" baseItem="0" numFmtId="9"/>
  </dataFields>
  <formats count="7">
    <format dxfId="19">
      <pivotArea outline="0" collapsedLevelsAreSubtotals="1" fieldPosition="0"/>
    </format>
    <format dxfId="18">
      <pivotArea dataOnly="0" labelOnly="1" outline="0" axis="axisValues"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 dxfId="14">
      <pivotArea dataOnly="0" labelOnly="1" outline="0" fieldPosition="0">
        <references count="1">
          <reference field="4294967294" count="2">
            <x v="0"/>
            <x v="1"/>
          </reference>
        </references>
      </pivotArea>
    </format>
    <format dxfId="13">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C41A9-02F6-47D3-90A7-4A0A04C1E6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8">
    <pivotField axis="axisRow" showAll="0">
      <items count="14">
        <item x="0"/>
        <item x="1"/>
        <item x="2"/>
        <item x="3"/>
        <item x="4"/>
        <item x="5"/>
        <item x="6"/>
        <item x="7"/>
        <item x="8"/>
        <item x="9"/>
        <item x="10"/>
        <item x="11"/>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ragToRow="0" dragToCol="0" dragToPage="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T1_Breach Rate" fld="13" subtotal="average" baseField="0" baseItem="1" numFmtId="9"/>
  </dataFields>
  <formats count="4">
    <format dxfId="23">
      <pivotArea outline="0" collapsedLevelsAreSubtotals="1" fieldPosition="0"/>
    </format>
    <format dxfId="22">
      <pivotArea dataOnly="0" labelOnly="1" outline="0" axis="axisValues" fieldPosition="0"/>
    </format>
    <format dxfId="21">
      <pivotArea outline="0" collapsedLevelsAreSubtotals="1" fieldPosition="0"/>
    </format>
    <format dxfId="20">
      <pivotArea dataOnly="0" labelOnly="1" outline="0" axis="axisValues" fieldPosition="0"/>
    </format>
  </formats>
  <conditionalFormats count="2">
    <conditionalFormat priority="3">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 priority="4">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46258-837F-4863-86E3-9952BCB2119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33:I158" firstHeaderRow="0" firstDataRow="1" firstDataCol="1"/>
  <pivotFields count="30">
    <pivotField showAll="0"/>
    <pivotField showAll="0"/>
    <pivotField showAll="0"/>
    <pivotField axis="axisRow" showAll="0" measureFilter="1">
      <items count="210">
        <item x="162"/>
        <item x="160"/>
        <item x="49"/>
        <item x="127"/>
        <item x="142"/>
        <item x="109"/>
        <item x="120"/>
        <item x="7"/>
        <item x="104"/>
        <item x="93"/>
        <item x="70"/>
        <item x="161"/>
        <item x="55"/>
        <item x="18"/>
        <item x="86"/>
        <item x="72"/>
        <item x="31"/>
        <item x="26"/>
        <item x="173"/>
        <item x="27"/>
        <item x="52"/>
        <item x="48"/>
        <item x="138"/>
        <item x="95"/>
        <item x="51"/>
        <item x="19"/>
        <item x="68"/>
        <item x="200"/>
        <item x="135"/>
        <item x="105"/>
        <item x="87"/>
        <item x="90"/>
        <item x="189"/>
        <item x="14"/>
        <item x="152"/>
        <item x="62"/>
        <item x="53"/>
        <item x="183"/>
        <item x="145"/>
        <item x="81"/>
        <item x="204"/>
        <item x="116"/>
        <item x="125"/>
        <item x="50"/>
        <item x="107"/>
        <item x="28"/>
        <item x="2"/>
        <item x="84"/>
        <item x="207"/>
        <item x="74"/>
        <item x="118"/>
        <item x="198"/>
        <item x="0"/>
        <item x="37"/>
        <item x="115"/>
        <item x="13"/>
        <item x="126"/>
        <item x="23"/>
        <item x="29"/>
        <item x="167"/>
        <item x="43"/>
        <item x="137"/>
        <item x="97"/>
        <item x="121"/>
        <item x="134"/>
        <item x="205"/>
        <item x="202"/>
        <item x="172"/>
        <item x="110"/>
        <item x="106"/>
        <item x="77"/>
        <item x="148"/>
        <item x="91"/>
        <item x="25"/>
        <item x="146"/>
        <item x="122"/>
        <item x="169"/>
        <item x="196"/>
        <item x="114"/>
        <item x="65"/>
        <item x="131"/>
        <item x="20"/>
        <item x="8"/>
        <item x="151"/>
        <item x="133"/>
        <item x="5"/>
        <item x="38"/>
        <item x="57"/>
        <item x="178"/>
        <item x="30"/>
        <item x="56"/>
        <item x="208"/>
        <item x="193"/>
        <item x="155"/>
        <item x="58"/>
        <item x="179"/>
        <item x="191"/>
        <item x="59"/>
        <item x="34"/>
        <item x="124"/>
        <item x="32"/>
        <item x="69"/>
        <item x="177"/>
        <item x="36"/>
        <item x="141"/>
        <item x="192"/>
        <item x="201"/>
        <item x="153"/>
        <item x="75"/>
        <item x="73"/>
        <item x="197"/>
        <item x="182"/>
        <item x="76"/>
        <item x="185"/>
        <item x="15"/>
        <item x="64"/>
        <item x="164"/>
        <item x="99"/>
        <item x="45"/>
        <item x="175"/>
        <item x="60"/>
        <item x="61"/>
        <item x="180"/>
        <item x="16"/>
        <item x="100"/>
        <item x="144"/>
        <item x="130"/>
        <item x="63"/>
        <item x="154"/>
        <item x="112"/>
        <item x="140"/>
        <item x="190"/>
        <item x="101"/>
        <item x="102"/>
        <item x="66"/>
        <item x="4"/>
        <item x="163"/>
        <item x="33"/>
        <item x="24"/>
        <item x="47"/>
        <item x="203"/>
        <item x="1"/>
        <item x="17"/>
        <item x="176"/>
        <item x="184"/>
        <item x="42"/>
        <item x="10"/>
        <item x="46"/>
        <item x="181"/>
        <item x="143"/>
        <item x="44"/>
        <item x="40"/>
        <item x="129"/>
        <item x="147"/>
        <item x="156"/>
        <item x="188"/>
        <item x="85"/>
        <item x="89"/>
        <item x="96"/>
        <item x="111"/>
        <item x="82"/>
        <item x="132"/>
        <item x="136"/>
        <item x="3"/>
        <item x="166"/>
        <item x="149"/>
        <item x="22"/>
        <item x="168"/>
        <item x="174"/>
        <item x="71"/>
        <item x="108"/>
        <item x="150"/>
        <item x="103"/>
        <item x="12"/>
        <item x="39"/>
        <item x="165"/>
        <item x="88"/>
        <item x="6"/>
        <item x="113"/>
        <item x="199"/>
        <item x="78"/>
        <item x="171"/>
        <item x="41"/>
        <item x="67"/>
        <item x="158"/>
        <item x="11"/>
        <item x="157"/>
        <item x="54"/>
        <item x="79"/>
        <item x="98"/>
        <item x="9"/>
        <item x="195"/>
        <item x="92"/>
        <item x="117"/>
        <item x="159"/>
        <item x="83"/>
        <item x="80"/>
        <item x="186"/>
        <item x="119"/>
        <item x="194"/>
        <item x="139"/>
        <item x="94"/>
        <item x="128"/>
        <item x="170"/>
        <item x="187"/>
        <item x="21"/>
        <item x="206"/>
        <item x="123"/>
        <item x="35"/>
        <item t="default"/>
      </items>
    </pivotField>
    <pivotField dataField="1" showAll="0"/>
    <pivotField showAll="0"/>
    <pivotField dataField="1" showAll="0"/>
    <pivotField showAll="0"/>
    <pivotField showAll="0"/>
    <pivotField showAll="0"/>
    <pivotField numFmtId="14" showAll="0">
      <items count="13">
        <item x="0"/>
        <item x="1"/>
        <item x="2"/>
        <item x="3"/>
        <item x="4"/>
        <item x="5"/>
        <item x="6"/>
        <item x="7"/>
        <item x="8"/>
        <item x="9"/>
        <item x="10"/>
        <item x="11"/>
        <item t="default"/>
      </items>
    </pivotField>
    <pivotField showAll="0"/>
    <pivotField showAll="0"/>
    <pivotField numFmtId="10" showAll="0"/>
    <pivotField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125">
    <i>
      <x/>
    </i>
    <i>
      <x v="1"/>
    </i>
    <i>
      <x v="2"/>
    </i>
    <i>
      <x v="7"/>
    </i>
    <i>
      <x v="8"/>
    </i>
    <i>
      <x v="9"/>
    </i>
    <i>
      <x v="11"/>
    </i>
    <i>
      <x v="13"/>
    </i>
    <i>
      <x v="14"/>
    </i>
    <i>
      <x v="15"/>
    </i>
    <i>
      <x v="16"/>
    </i>
    <i>
      <x v="21"/>
    </i>
    <i>
      <x v="22"/>
    </i>
    <i>
      <x v="23"/>
    </i>
    <i>
      <x v="25"/>
    </i>
    <i>
      <x v="26"/>
    </i>
    <i>
      <x v="29"/>
    </i>
    <i>
      <x v="30"/>
    </i>
    <i>
      <x v="32"/>
    </i>
    <i>
      <x v="33"/>
    </i>
    <i>
      <x v="36"/>
    </i>
    <i>
      <x v="37"/>
    </i>
    <i>
      <x v="39"/>
    </i>
    <i>
      <x v="40"/>
    </i>
    <i>
      <x v="42"/>
    </i>
    <i>
      <x v="43"/>
    </i>
    <i>
      <x v="44"/>
    </i>
    <i>
      <x v="46"/>
    </i>
    <i>
      <x v="47"/>
    </i>
    <i>
      <x v="49"/>
    </i>
    <i>
      <x v="53"/>
    </i>
    <i>
      <x v="54"/>
    </i>
    <i>
      <x v="55"/>
    </i>
    <i>
      <x v="57"/>
    </i>
    <i>
      <x v="59"/>
    </i>
    <i>
      <x v="60"/>
    </i>
    <i>
      <x v="62"/>
    </i>
    <i>
      <x v="64"/>
    </i>
    <i>
      <x v="69"/>
    </i>
    <i>
      <x v="70"/>
    </i>
    <i>
      <x v="72"/>
    </i>
    <i>
      <x v="73"/>
    </i>
    <i>
      <x v="74"/>
    </i>
    <i>
      <x v="76"/>
    </i>
    <i>
      <x v="77"/>
    </i>
    <i>
      <x v="78"/>
    </i>
    <i>
      <x v="79"/>
    </i>
    <i>
      <x v="81"/>
    </i>
    <i>
      <x v="82"/>
    </i>
    <i>
      <x v="85"/>
    </i>
    <i>
      <x v="89"/>
    </i>
    <i>
      <x v="92"/>
    </i>
    <i>
      <x v="93"/>
    </i>
    <i>
      <x v="96"/>
    </i>
    <i>
      <x v="98"/>
    </i>
    <i>
      <x v="100"/>
    </i>
    <i>
      <x v="101"/>
    </i>
    <i>
      <x v="102"/>
    </i>
    <i>
      <x v="103"/>
    </i>
    <i>
      <x v="108"/>
    </i>
    <i>
      <x v="109"/>
    </i>
    <i>
      <x v="110"/>
    </i>
    <i>
      <x v="112"/>
    </i>
    <i>
      <x v="113"/>
    </i>
    <i>
      <x v="114"/>
    </i>
    <i>
      <x v="115"/>
    </i>
    <i>
      <x v="116"/>
    </i>
    <i>
      <x v="117"/>
    </i>
    <i>
      <x v="119"/>
    </i>
    <i>
      <x v="124"/>
    </i>
    <i>
      <x v="127"/>
    </i>
    <i>
      <x v="134"/>
    </i>
    <i>
      <x v="135"/>
    </i>
    <i>
      <x v="136"/>
    </i>
    <i>
      <x v="137"/>
    </i>
    <i>
      <x v="139"/>
    </i>
    <i>
      <x v="140"/>
    </i>
    <i>
      <x v="141"/>
    </i>
    <i>
      <x v="142"/>
    </i>
    <i>
      <x v="143"/>
    </i>
    <i>
      <x v="144"/>
    </i>
    <i>
      <x v="145"/>
    </i>
    <i>
      <x v="146"/>
    </i>
    <i>
      <x v="151"/>
    </i>
    <i>
      <x v="153"/>
    </i>
    <i>
      <x v="154"/>
    </i>
    <i>
      <x v="155"/>
    </i>
    <i>
      <x v="158"/>
    </i>
    <i>
      <x v="160"/>
    </i>
    <i>
      <x v="162"/>
    </i>
    <i>
      <x v="164"/>
    </i>
    <i>
      <x v="167"/>
    </i>
    <i>
      <x v="168"/>
    </i>
    <i>
      <x v="169"/>
    </i>
    <i>
      <x v="171"/>
    </i>
    <i>
      <x v="172"/>
    </i>
    <i>
      <x v="174"/>
    </i>
    <i>
      <x v="175"/>
    </i>
    <i>
      <x v="176"/>
    </i>
    <i>
      <x v="178"/>
    </i>
    <i>
      <x v="180"/>
    </i>
    <i>
      <x v="181"/>
    </i>
    <i>
      <x v="182"/>
    </i>
    <i>
      <x v="183"/>
    </i>
    <i>
      <x v="184"/>
    </i>
    <i>
      <x v="185"/>
    </i>
    <i>
      <x v="186"/>
    </i>
    <i>
      <x v="187"/>
    </i>
    <i>
      <x v="188"/>
    </i>
    <i>
      <x v="189"/>
    </i>
    <i>
      <x v="190"/>
    </i>
    <i>
      <x v="191"/>
    </i>
    <i>
      <x v="192"/>
    </i>
    <i>
      <x v="194"/>
    </i>
    <i>
      <x v="195"/>
    </i>
    <i>
      <x v="196"/>
    </i>
    <i>
      <x v="197"/>
    </i>
    <i>
      <x v="199"/>
    </i>
    <i>
      <x v="201"/>
    </i>
    <i>
      <x v="203"/>
    </i>
    <i>
      <x v="205"/>
    </i>
    <i>
      <x v="206"/>
    </i>
    <i>
      <x v="207"/>
    </i>
    <i>
      <x v="208"/>
    </i>
    <i t="grand">
      <x/>
    </i>
  </rowItems>
  <colFields count="1">
    <field x="-2"/>
  </colFields>
  <colItems count="3">
    <i>
      <x/>
    </i>
    <i i="1">
      <x v="1"/>
    </i>
    <i i="2">
      <x v="2"/>
    </i>
  </colItems>
  <dataFields count="3">
    <dataField name="Sum of T1_Attendances" fld="4" baseField="0" baseItem="0"/>
    <dataField name="Sum of T1_Over4hrs" fld="6" baseField="0" baseItem="0"/>
    <dataField name="Sum of Trust_Annual_Breach_Rate" fld="22" baseField="0" baseItem="0" numFmtId="9"/>
  </dataFields>
  <formats count="2">
    <format dxfId="25">
      <pivotArea dataOnly="0" labelOnly="1" outline="0" fieldPosition="0">
        <references count="1">
          <reference field="4294967294" count="1">
            <x v="2"/>
          </reference>
        </references>
      </pivotArea>
    </format>
    <format dxfId="24">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3" type="valueGreaterThan" evalOrder="-1" id="1"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0305EB-EFF4-4A0E-9B97-799D091A713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D34" firstHeaderRow="0" firstDataRow="1" firstDataCol="1"/>
  <pivotFields count="30">
    <pivotField showAll="0"/>
    <pivotField showAll="0"/>
    <pivotField showAll="0"/>
    <pivotField showAll="0"/>
    <pivotField dataField="1" showAll="0"/>
    <pivotField dataField="1" showAll="0"/>
    <pivotField showAll="0"/>
    <pivotField showAll="0"/>
    <pivotField showAll="0"/>
    <pivotField showAll="0"/>
    <pivotField axis="axisRow" numFmtId="14" showAll="0">
      <items count="13">
        <item x="0"/>
        <item x="1"/>
        <item x="2"/>
        <item x="3"/>
        <item x="4"/>
        <item x="5"/>
        <item x="6"/>
        <item x="7"/>
        <item x="8"/>
        <item x="9"/>
        <item x="10"/>
        <item x="11"/>
        <item t="default"/>
      </items>
    </pivotField>
    <pivotField showAll="0"/>
    <pivotField showAll="0"/>
    <pivotField numFmtId="10" showAll="0"/>
    <pivotField showAll="0"/>
    <pivotField showAll="0"/>
    <pivotField numFmtId="10" showAll="0"/>
    <pivotField showAll="0"/>
    <pivotField dragToRow="0" dragToCol="0" dragToPage="0" showAll="0" defaultSubtota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4">
    <field x="21"/>
    <field x="20"/>
    <field x="19"/>
    <field x="10"/>
  </rowFields>
  <rowItems count="3">
    <i>
      <x v="1"/>
    </i>
    <i>
      <x v="2"/>
    </i>
    <i t="grand">
      <x/>
    </i>
  </rowItems>
  <colFields count="1">
    <field x="-2"/>
  </colFields>
  <colItems count="2">
    <i>
      <x/>
    </i>
    <i i="1">
      <x v="1"/>
    </i>
  </colItems>
  <dataFields count="2">
    <dataField name="Sum of T1_Attendances" fld="4" baseField="0" baseItem="0"/>
    <dataField name="Sum of Other_Attendances"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11BEB9-5C7D-45ED-9D64-4EE44DFF632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8" firstHeaderRow="0" firstDataRow="1" firstDataCol="1"/>
  <pivotFields count="30">
    <pivotField showAll="0"/>
    <pivotField showAll="0"/>
    <pivotField showAll="0"/>
    <pivotField showAll="0"/>
    <pivotField showAll="0"/>
    <pivotField showAll="0"/>
    <pivotField showAll="0"/>
    <pivotField showAll="0"/>
    <pivotField showAll="0"/>
    <pivotField dataField="1" showAll="0"/>
    <pivotField numFmtId="14" showAll="0">
      <items count="13">
        <item x="0"/>
        <item x="1"/>
        <item x="2"/>
        <item x="3"/>
        <item x="4"/>
        <item x="5"/>
        <item x="6"/>
        <item x="7"/>
        <item x="8"/>
        <item x="9"/>
        <item x="10"/>
        <item x="11"/>
        <item t="default"/>
      </items>
    </pivotField>
    <pivotField showAll="0"/>
    <pivotField axis="axisRow" showAll="0">
      <items count="5">
        <item x="2"/>
        <item x="0"/>
        <item x="1"/>
        <item x="3"/>
        <item t="default"/>
      </items>
    </pivotField>
    <pivotField numFmtId="10" showAll="0"/>
    <pivotField dataField="1" showAll="0"/>
    <pivotField showAll="0"/>
    <pivotField numFmtId="10"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5">
    <i>
      <x/>
    </i>
    <i>
      <x v="1"/>
    </i>
    <i>
      <x v="2"/>
    </i>
    <i>
      <x v="3"/>
    </i>
    <i t="grand">
      <x/>
    </i>
  </rowItems>
  <colFields count="1">
    <field x="-2"/>
  </colFields>
  <colItems count="3">
    <i>
      <x/>
    </i>
    <i i="1">
      <x v="1"/>
    </i>
    <i i="2">
      <x v="2"/>
    </i>
  </colItems>
  <dataFields count="3">
    <dataField name="Sum of Total attendance" fld="14" baseField="0" baseItem="0"/>
    <dataField name="Sum of Wait_12hr_plus" fld="9" baseField="0" baseItem="0"/>
    <dataField name="Sum of Wait_Rate_%" fld="18" baseField="0" baseItem="0" numFmtId="9"/>
  </dataFields>
  <formats count="1">
    <format dxfId="12">
      <pivotArea outline="0" collapsedLevelsAreSubtotals="1" fieldPosition="0">
        <references count="1">
          <reference field="4294967294" count="1" selected="0">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0EAFA0-5D76-4924-95CA-C4E364ADC11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D46" firstHeaderRow="0" firstDataRow="1" firstDataCol="1"/>
  <pivotFields count="30">
    <pivotField showAll="0"/>
    <pivotField showAll="0"/>
    <pivotField showAll="0"/>
    <pivotField showAll="0"/>
    <pivotField dataField="1" showAll="0"/>
    <pivotField showAll="0"/>
    <pivotField dataField="1" showAll="0"/>
    <pivotField showAll="0"/>
    <pivotField showAll="0"/>
    <pivotField showAll="0"/>
    <pivotField numFmtId="14" showAll="0">
      <items count="13">
        <item x="0"/>
        <item x="1"/>
        <item x="2"/>
        <item x="3"/>
        <item x="4"/>
        <item x="5"/>
        <item x="6"/>
        <item x="7"/>
        <item x="8"/>
        <item x="9"/>
        <item x="10"/>
        <item x="11"/>
        <item t="default"/>
      </items>
    </pivotField>
    <pivotField axis="axisRow" showAll="0">
      <items count="5">
        <item x="0"/>
        <item x="1"/>
        <item x="2"/>
        <item x="3"/>
        <item t="default"/>
      </items>
    </pivotField>
    <pivotField showAll="0"/>
    <pivotField numFmtId="10" showAll="0"/>
    <pivotField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1"/>
  </rowFields>
  <rowItems count="5">
    <i>
      <x/>
    </i>
    <i>
      <x v="1"/>
    </i>
    <i>
      <x v="2"/>
    </i>
    <i>
      <x v="3"/>
    </i>
    <i t="grand">
      <x/>
    </i>
  </rowItems>
  <colFields count="1">
    <field x="-2"/>
  </colFields>
  <colItems count="3">
    <i>
      <x/>
    </i>
    <i i="1">
      <x v="1"/>
    </i>
    <i i="2">
      <x v="2"/>
    </i>
  </colItems>
  <dataFields count="3">
    <dataField name="Sum of T1_Attendances" fld="4" baseField="0" baseItem="0"/>
    <dataField name="Sum of T1_Over4hrs" fld="6" baseField="0" baseItem="0"/>
    <dataField name="Sum of Weighted_Breach_Rate" fld="23" baseField="11"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A045EB-F836-4C6D-9925-C3D4EF02E62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D37" firstHeaderRow="0" firstDataRow="1" firstDataCol="1"/>
  <pivotFields count="30">
    <pivotField showAll="0"/>
    <pivotField showAll="0"/>
    <pivotField showAll="0"/>
    <pivotField showAll="0"/>
    <pivotField dataField="1" showAll="0"/>
    <pivotField showAll="0"/>
    <pivotField dataField="1" showAll="0"/>
    <pivotField showAll="0"/>
    <pivotField showAll="0"/>
    <pivotField dataField="1" showAll="0"/>
    <pivotField numFmtId="14" showAll="0">
      <items count="13">
        <item x="0"/>
        <item x="1"/>
        <item x="2"/>
        <item x="3"/>
        <item x="4"/>
        <item x="5"/>
        <item x="6"/>
        <item x="7"/>
        <item x="8"/>
        <item x="9"/>
        <item x="10"/>
        <item x="11"/>
        <item t="default"/>
      </items>
    </pivotField>
    <pivotField showAll="0"/>
    <pivotField axis="axisRow" showAll="0">
      <items count="5">
        <item x="2"/>
        <item x="0"/>
        <item x="1"/>
        <item x="3"/>
        <item t="default"/>
      </items>
    </pivotField>
    <pivotField numFmtId="10" showAll="0"/>
    <pivotField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5">
    <i>
      <x/>
    </i>
    <i>
      <x v="1"/>
    </i>
    <i>
      <x v="2"/>
    </i>
    <i>
      <x v="3"/>
    </i>
    <i t="grand">
      <x/>
    </i>
  </rowItems>
  <colFields count="1">
    <field x="-2"/>
  </colFields>
  <colItems count="3">
    <i>
      <x/>
    </i>
    <i i="1">
      <x v="1"/>
    </i>
    <i i="2">
      <x v="2"/>
    </i>
  </colItems>
  <dataFields count="3">
    <dataField name="Sum of T1_Attendances" fld="4" baseField="0" baseItem="0"/>
    <dataField name="Sum of T1_Over4hrs" fld="6" baseField="0" baseItem="0"/>
    <dataField name="Sum of Wait_12hr_plu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5D5329D-4289-447B-A981-BACFB606F8E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F28" firstHeaderRow="0" firstDataRow="1" firstDataCol="1"/>
  <pivotFields count="30">
    <pivotField showAll="0"/>
    <pivotField showAll="0"/>
    <pivotField axis="axisRow" showAll="0">
      <items count="8">
        <item x="2"/>
        <item x="4"/>
        <item x="5"/>
        <item x="6"/>
        <item x="3"/>
        <item x="0"/>
        <item x="1"/>
        <item t="default"/>
      </items>
    </pivotField>
    <pivotField showAll="0"/>
    <pivotField dataField="1" showAll="0"/>
    <pivotField showAll="0"/>
    <pivotField dataField="1" showAll="0"/>
    <pivotField showAll="0"/>
    <pivotField showAll="0"/>
    <pivotField dataField="1" showAll="0"/>
    <pivotField numFmtId="14" showAll="0">
      <items count="13">
        <item x="0"/>
        <item x="1"/>
        <item x="2"/>
        <item x="3"/>
        <item x="4"/>
        <item x="5"/>
        <item x="6"/>
        <item x="7"/>
        <item x="8"/>
        <item x="9"/>
        <item x="10"/>
        <item x="11"/>
        <item t="default"/>
      </items>
    </pivotField>
    <pivotField showAll="0"/>
    <pivotField showAll="0"/>
    <pivotField numFmtId="10" showAll="0"/>
    <pivotField dataField="1"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Fields count="1">
    <field x="-2"/>
  </colFields>
  <colItems count="4">
    <i>
      <x/>
    </i>
    <i i="1">
      <x v="1"/>
    </i>
    <i i="2">
      <x v="2"/>
    </i>
    <i i="3">
      <x v="3"/>
    </i>
  </colItems>
  <dataFields count="4">
    <dataField name="Sum of T1_Attendances" fld="4" baseField="0" baseItem="0"/>
    <dataField name="Sum of Total attendance" fld="14" baseField="0" baseItem="0"/>
    <dataField name="Sum of T1_Over4hrs" fld="6" baseField="0" baseItem="0"/>
    <dataField name="Sum of Wait_12hr_plu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1B1B64-BED8-4374-B5C4-75C6E3C7F6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6" firstHeaderRow="0" firstDataRow="1" firstDataCol="1"/>
  <pivotFields count="30">
    <pivotField axis="axisRow" showAll="0" nonAutoSortDefault="1">
      <items count="13">
        <item x="0"/>
        <item x="1"/>
        <item x="2"/>
        <item x="3"/>
        <item x="4"/>
        <item x="5"/>
        <item x="6"/>
        <item x="7"/>
        <item x="8"/>
        <item x="9"/>
        <item x="10"/>
        <item x="11"/>
        <item t="default"/>
      </items>
    </pivotField>
    <pivotField showAll="0"/>
    <pivotField showAll="0"/>
    <pivotField showAll="0"/>
    <pivotField dataField="1" showAll="0"/>
    <pivotField dataField="1" showAll="0"/>
    <pivotField dataField="1" showAll="0"/>
    <pivotField showAll="0"/>
    <pivotField showAll="0"/>
    <pivotField dataField="1" showAll="0"/>
    <pivotField numFmtId="14" showAll="0">
      <items count="13">
        <item x="0"/>
        <item x="1"/>
        <item x="2"/>
        <item x="3"/>
        <item x="4"/>
        <item x="5"/>
        <item x="6"/>
        <item x="7"/>
        <item x="8"/>
        <item x="9"/>
        <item x="10"/>
        <item x="11"/>
        <item t="default"/>
      </items>
    </pivotField>
    <pivotField showAll="0"/>
    <pivotField showAll="0"/>
    <pivotField numFmtId="10" showAll="0"/>
    <pivotField dataField="1"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6">
    <i>
      <x/>
    </i>
    <i i="1">
      <x v="1"/>
    </i>
    <i i="2">
      <x v="2"/>
    </i>
    <i i="3">
      <x v="3"/>
    </i>
    <i i="4">
      <x v="4"/>
    </i>
    <i i="5">
      <x v="5"/>
    </i>
  </colItems>
  <dataFields count="6">
    <dataField name="Sum of T1_Attendances" fld="4" baseField="0" baseItem="0"/>
    <dataField name="Sum of Other_Attendances" fld="5" baseField="0" baseItem="0"/>
    <dataField name="Sum of Total attendance" fld="14" baseField="0" baseItem="0"/>
    <dataField name="Sum of T1_Over4hrs" fld="6" baseField="0" baseItem="0"/>
    <dataField name="Sum of Wait_12hr_plus" fld="9" baseField="0" baseItem="7"/>
    <dataField name="Sum of 12_hr_Rate" fld="24" baseField="0" baseItem="6"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14C7F7-04F4-42C4-A68B-259E8DF7321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0:E175" firstHeaderRow="0" firstDataRow="1" firstDataCol="1"/>
  <pivotFields count="30">
    <pivotField showAll="0"/>
    <pivotField showAll="0"/>
    <pivotField showAll="0"/>
    <pivotField axis="axisRow" showAll="0" measureFilter="1">
      <items count="210">
        <item x="162"/>
        <item x="160"/>
        <item x="49"/>
        <item x="127"/>
        <item x="142"/>
        <item x="109"/>
        <item x="120"/>
        <item x="7"/>
        <item x="104"/>
        <item x="93"/>
        <item x="70"/>
        <item x="161"/>
        <item x="55"/>
        <item x="18"/>
        <item x="86"/>
        <item x="72"/>
        <item x="31"/>
        <item x="26"/>
        <item x="173"/>
        <item x="27"/>
        <item x="52"/>
        <item x="48"/>
        <item x="138"/>
        <item x="95"/>
        <item x="51"/>
        <item x="19"/>
        <item x="68"/>
        <item x="200"/>
        <item x="135"/>
        <item x="105"/>
        <item x="87"/>
        <item x="90"/>
        <item x="189"/>
        <item x="14"/>
        <item x="152"/>
        <item x="62"/>
        <item x="53"/>
        <item x="183"/>
        <item x="145"/>
        <item x="81"/>
        <item x="204"/>
        <item x="116"/>
        <item x="125"/>
        <item x="50"/>
        <item x="107"/>
        <item x="28"/>
        <item x="2"/>
        <item x="84"/>
        <item x="207"/>
        <item x="74"/>
        <item x="118"/>
        <item x="198"/>
        <item x="0"/>
        <item x="37"/>
        <item x="115"/>
        <item x="13"/>
        <item x="126"/>
        <item x="23"/>
        <item x="29"/>
        <item x="167"/>
        <item x="43"/>
        <item x="137"/>
        <item x="97"/>
        <item x="121"/>
        <item x="134"/>
        <item x="205"/>
        <item x="202"/>
        <item x="172"/>
        <item x="110"/>
        <item x="106"/>
        <item x="77"/>
        <item x="148"/>
        <item x="91"/>
        <item x="25"/>
        <item x="146"/>
        <item x="122"/>
        <item x="169"/>
        <item x="196"/>
        <item x="114"/>
        <item x="65"/>
        <item x="131"/>
        <item x="20"/>
        <item x="8"/>
        <item x="151"/>
        <item x="133"/>
        <item x="5"/>
        <item x="38"/>
        <item x="57"/>
        <item x="178"/>
        <item x="30"/>
        <item x="56"/>
        <item x="208"/>
        <item x="193"/>
        <item x="155"/>
        <item x="58"/>
        <item x="179"/>
        <item x="191"/>
        <item x="59"/>
        <item x="34"/>
        <item x="124"/>
        <item x="32"/>
        <item x="69"/>
        <item x="177"/>
        <item x="36"/>
        <item x="141"/>
        <item x="192"/>
        <item x="201"/>
        <item x="153"/>
        <item x="75"/>
        <item x="73"/>
        <item x="197"/>
        <item x="182"/>
        <item x="76"/>
        <item x="185"/>
        <item x="15"/>
        <item x="64"/>
        <item x="164"/>
        <item x="99"/>
        <item x="45"/>
        <item x="175"/>
        <item x="60"/>
        <item x="61"/>
        <item x="180"/>
        <item x="16"/>
        <item x="100"/>
        <item x="144"/>
        <item x="130"/>
        <item x="63"/>
        <item x="154"/>
        <item x="112"/>
        <item x="140"/>
        <item x="190"/>
        <item x="101"/>
        <item x="102"/>
        <item x="66"/>
        <item x="4"/>
        <item x="163"/>
        <item x="33"/>
        <item x="24"/>
        <item x="47"/>
        <item x="203"/>
        <item x="1"/>
        <item x="17"/>
        <item x="176"/>
        <item x="184"/>
        <item x="42"/>
        <item x="10"/>
        <item x="46"/>
        <item x="181"/>
        <item x="143"/>
        <item x="44"/>
        <item x="40"/>
        <item x="129"/>
        <item x="147"/>
        <item x="156"/>
        <item x="188"/>
        <item x="85"/>
        <item x="89"/>
        <item x="96"/>
        <item x="111"/>
        <item x="82"/>
        <item x="132"/>
        <item x="136"/>
        <item x="3"/>
        <item x="166"/>
        <item x="149"/>
        <item x="22"/>
        <item x="168"/>
        <item x="174"/>
        <item x="71"/>
        <item x="108"/>
        <item x="150"/>
        <item x="103"/>
        <item x="12"/>
        <item x="39"/>
        <item x="165"/>
        <item x="88"/>
        <item x="6"/>
        <item x="113"/>
        <item x="199"/>
        <item x="78"/>
        <item x="171"/>
        <item x="41"/>
        <item x="67"/>
        <item x="158"/>
        <item x="11"/>
        <item x="157"/>
        <item x="54"/>
        <item x="79"/>
        <item x="98"/>
        <item x="9"/>
        <item x="195"/>
        <item x="92"/>
        <item x="117"/>
        <item x="159"/>
        <item x="83"/>
        <item x="80"/>
        <item x="186"/>
        <item x="119"/>
        <item x="194"/>
        <item x="139"/>
        <item x="94"/>
        <item x="128"/>
        <item x="170"/>
        <item x="187"/>
        <item x="21"/>
        <item x="206"/>
        <item x="123"/>
        <item x="35"/>
        <item t="default"/>
      </items>
    </pivotField>
    <pivotField dataField="1" showAll="0"/>
    <pivotField showAll="0"/>
    <pivotField dataField="1" showAll="0"/>
    <pivotField showAll="0"/>
    <pivotField showAll="0"/>
    <pivotField showAll="0"/>
    <pivotField numFmtId="14" showAll="0">
      <items count="13">
        <item x="0"/>
        <item x="1"/>
        <item x="2"/>
        <item x="3"/>
        <item x="4"/>
        <item x="5"/>
        <item x="6"/>
        <item x="7"/>
        <item x="8"/>
        <item x="9"/>
        <item x="10"/>
        <item x="11"/>
        <item t="default"/>
      </items>
    </pivotField>
    <pivotField showAll="0"/>
    <pivotField showAll="0"/>
    <pivotField numFmtId="10" showAll="0"/>
    <pivotField showAll="0"/>
    <pivotField showAll="0"/>
    <pivotField numFmtId="10" showAll="0"/>
    <pivotField showAll="0"/>
    <pivotField dragToRow="0" dragToCol="0" dragToPage="0" showAll="0" defaultSubtotal="0"/>
    <pivotField showAll="0" defaultSubtotal="0"/>
    <pivotField showAll="0" defaultSubtotal="0"/>
    <pivotField showAll="0" defaultSubtotal="0">
      <items count="4">
        <item x="0"/>
        <item x="1"/>
        <item x="2"/>
        <item x="3"/>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125">
    <i>
      <x/>
    </i>
    <i>
      <x v="1"/>
    </i>
    <i>
      <x v="2"/>
    </i>
    <i>
      <x v="7"/>
    </i>
    <i>
      <x v="8"/>
    </i>
    <i>
      <x v="9"/>
    </i>
    <i>
      <x v="11"/>
    </i>
    <i>
      <x v="13"/>
    </i>
    <i>
      <x v="14"/>
    </i>
    <i>
      <x v="15"/>
    </i>
    <i>
      <x v="16"/>
    </i>
    <i>
      <x v="21"/>
    </i>
    <i>
      <x v="22"/>
    </i>
    <i>
      <x v="23"/>
    </i>
    <i>
      <x v="25"/>
    </i>
    <i>
      <x v="26"/>
    </i>
    <i>
      <x v="29"/>
    </i>
    <i>
      <x v="30"/>
    </i>
    <i>
      <x v="32"/>
    </i>
    <i>
      <x v="33"/>
    </i>
    <i>
      <x v="36"/>
    </i>
    <i>
      <x v="37"/>
    </i>
    <i>
      <x v="39"/>
    </i>
    <i>
      <x v="40"/>
    </i>
    <i>
      <x v="42"/>
    </i>
    <i>
      <x v="43"/>
    </i>
    <i>
      <x v="44"/>
    </i>
    <i>
      <x v="46"/>
    </i>
    <i>
      <x v="47"/>
    </i>
    <i>
      <x v="49"/>
    </i>
    <i>
      <x v="53"/>
    </i>
    <i>
      <x v="54"/>
    </i>
    <i>
      <x v="55"/>
    </i>
    <i>
      <x v="57"/>
    </i>
    <i>
      <x v="59"/>
    </i>
    <i>
      <x v="60"/>
    </i>
    <i>
      <x v="62"/>
    </i>
    <i>
      <x v="64"/>
    </i>
    <i>
      <x v="69"/>
    </i>
    <i>
      <x v="70"/>
    </i>
    <i>
      <x v="72"/>
    </i>
    <i>
      <x v="73"/>
    </i>
    <i>
      <x v="74"/>
    </i>
    <i>
      <x v="76"/>
    </i>
    <i>
      <x v="77"/>
    </i>
    <i>
      <x v="78"/>
    </i>
    <i>
      <x v="79"/>
    </i>
    <i>
      <x v="81"/>
    </i>
    <i>
      <x v="82"/>
    </i>
    <i>
      <x v="85"/>
    </i>
    <i>
      <x v="89"/>
    </i>
    <i>
      <x v="92"/>
    </i>
    <i>
      <x v="93"/>
    </i>
    <i>
      <x v="96"/>
    </i>
    <i>
      <x v="98"/>
    </i>
    <i>
      <x v="100"/>
    </i>
    <i>
      <x v="101"/>
    </i>
    <i>
      <x v="102"/>
    </i>
    <i>
      <x v="103"/>
    </i>
    <i>
      <x v="108"/>
    </i>
    <i>
      <x v="109"/>
    </i>
    <i>
      <x v="110"/>
    </i>
    <i>
      <x v="112"/>
    </i>
    <i>
      <x v="113"/>
    </i>
    <i>
      <x v="114"/>
    </i>
    <i>
      <x v="115"/>
    </i>
    <i>
      <x v="116"/>
    </i>
    <i>
      <x v="117"/>
    </i>
    <i>
      <x v="119"/>
    </i>
    <i>
      <x v="124"/>
    </i>
    <i>
      <x v="127"/>
    </i>
    <i>
      <x v="134"/>
    </i>
    <i>
      <x v="135"/>
    </i>
    <i>
      <x v="136"/>
    </i>
    <i>
      <x v="137"/>
    </i>
    <i>
      <x v="139"/>
    </i>
    <i>
      <x v="140"/>
    </i>
    <i>
      <x v="141"/>
    </i>
    <i>
      <x v="142"/>
    </i>
    <i>
      <x v="143"/>
    </i>
    <i>
      <x v="144"/>
    </i>
    <i>
      <x v="145"/>
    </i>
    <i>
      <x v="146"/>
    </i>
    <i>
      <x v="151"/>
    </i>
    <i>
      <x v="153"/>
    </i>
    <i>
      <x v="154"/>
    </i>
    <i>
      <x v="155"/>
    </i>
    <i>
      <x v="158"/>
    </i>
    <i>
      <x v="160"/>
    </i>
    <i>
      <x v="162"/>
    </i>
    <i>
      <x v="164"/>
    </i>
    <i>
      <x v="167"/>
    </i>
    <i>
      <x v="168"/>
    </i>
    <i>
      <x v="169"/>
    </i>
    <i>
      <x v="171"/>
    </i>
    <i>
      <x v="172"/>
    </i>
    <i>
      <x v="174"/>
    </i>
    <i>
      <x v="175"/>
    </i>
    <i>
      <x v="176"/>
    </i>
    <i>
      <x v="178"/>
    </i>
    <i>
      <x v="180"/>
    </i>
    <i>
      <x v="181"/>
    </i>
    <i>
      <x v="182"/>
    </i>
    <i>
      <x v="183"/>
    </i>
    <i>
      <x v="184"/>
    </i>
    <i>
      <x v="185"/>
    </i>
    <i>
      <x v="186"/>
    </i>
    <i>
      <x v="187"/>
    </i>
    <i>
      <x v="188"/>
    </i>
    <i>
      <x v="189"/>
    </i>
    <i>
      <x v="190"/>
    </i>
    <i>
      <x v="191"/>
    </i>
    <i>
      <x v="192"/>
    </i>
    <i>
      <x v="194"/>
    </i>
    <i>
      <x v="195"/>
    </i>
    <i>
      <x v="196"/>
    </i>
    <i>
      <x v="197"/>
    </i>
    <i>
      <x v="199"/>
    </i>
    <i>
      <x v="201"/>
    </i>
    <i>
      <x v="203"/>
    </i>
    <i>
      <x v="205"/>
    </i>
    <i>
      <x v="206"/>
    </i>
    <i>
      <x v="207"/>
    </i>
    <i>
      <x v="208"/>
    </i>
    <i t="grand">
      <x/>
    </i>
  </rowItems>
  <colFields count="1">
    <field x="-2"/>
  </colFields>
  <colItems count="3">
    <i>
      <x/>
    </i>
    <i i="1">
      <x v="1"/>
    </i>
    <i i="2">
      <x v="2"/>
    </i>
  </colItems>
  <dataFields count="3">
    <dataField name="Sum of T1_Attendances" fld="4" baseField="0" baseItem="0"/>
    <dataField name="Sum of T1_Over4hrs" fld="6" baseField="0" baseItem="0"/>
    <dataField name="Sum of BreachRate" fld="29" baseField="3" baseItem="3" numFmtId="164"/>
  </dataFields>
  <pivotTableStyleInfo name="PivotStyleLight16" showRowHeaders="1" showColHeaders="1" showRowStripes="0" showColStripes="0" showLastColumn="1"/>
  <filters count="1">
    <filter fld="3" type="valueGreaterThan" evalOrder="-1" id="1" iMeasureFld="0">
      <autoFilter ref="A1">
        <filterColumn colId="0">
          <customFilters>
            <customFilter operator="greaterThan" val="5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A11A661-C368-4391-B30F-1CB6BDC53E5C}" autoFormatId="16" applyNumberFormats="0" applyBorderFormats="0" applyFontFormats="0" applyPatternFormats="0" applyAlignmentFormats="0" applyWidthHeightFormats="0">
  <queryTableRefresh nextId="21" unboundColumnsRight="5">
    <queryTableFields count="18">
      <queryTableField id="1" name="Period" tableColumnId="1"/>
      <queryTableField id="2" name="Org_Code" tableColumnId="2"/>
      <queryTableField id="3" name="Region" tableColumnId="3"/>
      <queryTableField id="4" name="Trust_Name" tableColumnId="4"/>
      <queryTableField id="5" name="T1_Attendances" tableColumnId="5"/>
      <queryTableField id="7" name="Other_Attendances" tableColumnId="7"/>
      <queryTableField id="8" name="T1_Over4hrs" tableColumnId="8"/>
      <queryTableField id="9" name="Others_Over4hrs" tableColumnId="9"/>
      <queryTableField id="10" name="Wait_4to12hr" tableColumnId="10"/>
      <queryTableField id="11" name="Wait_12hr_plus" tableColumnId="11"/>
      <queryTableField id="12" name="Month_Date" tableColumnId="12"/>
      <queryTableField id="14" name="Quarter" tableColumnId="14"/>
      <queryTableField id="15" name="Season" tableColumnId="15"/>
      <queryTableField id="16" dataBound="0" tableColumnId="6"/>
      <queryTableField id="17" dataBound="0" tableColumnId="16"/>
      <queryTableField id="18" dataBound="0" tableColumnId="17"/>
      <queryTableField id="19" dataBound="0" tableColumnId="18"/>
      <queryTableField id="20" dataBound="0" tableColumnId="13"/>
    </queryTableFields>
    <queryTableDeletedFields count="2">
      <deletedField name="A&amp;E attendances Type 2"/>
      <deletedField name="Financial_Yea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08935C9-212E-467F-9C8D-8D4E19D22F1A}" sourceName="Season">
  <pivotTables>
    <pivotTable tabId="2" name="PivotTable2"/>
  </pivotTables>
  <data>
    <tabular pivotCacheId="967487412">
      <items count="5">
        <i x="2"/>
        <i x="0"/>
        <i x="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86A6330-381C-47A4-A5EB-E7B875C13392}" cache="Slicer_Season" caption="Seas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3457A-5579-43BE-8A77-126552DB4152}" name="NHS_A_E" displayName="NHS_A_E" ref="A1:R2386" tableType="queryTable" totalsRowShown="0">
  <autoFilter ref="A1:R2386" xr:uid="{5353457A-5579-43BE-8A77-126552DB4152}"/>
  <tableColumns count="18">
    <tableColumn id="1" xr3:uid="{D3947FAD-7325-4DB2-ADA6-5E70823F461E}" uniqueName="1" name="Period" queryTableFieldId="1" dataDxfId="11"/>
    <tableColumn id="2" xr3:uid="{F74884FB-BAE1-4577-884D-0A6B6D871CBD}" uniqueName="2" name="Org_Code" queryTableFieldId="2" dataDxfId="10"/>
    <tableColumn id="3" xr3:uid="{DF1B570E-624F-44CF-ABC5-7AA154D1CF3D}" uniqueName="3" name="Region" queryTableFieldId="3" dataDxfId="9"/>
    <tableColumn id="4" xr3:uid="{4893BCC4-679B-4972-965B-0DEC152A4AF8}" uniqueName="4" name="Trust_Name" queryTableFieldId="4" dataDxfId="8"/>
    <tableColumn id="5" xr3:uid="{E5A2E0B5-E0F8-424F-9E8B-6CBA81D5557B}" uniqueName="5" name="T1_Attendances" queryTableFieldId="5"/>
    <tableColumn id="7" xr3:uid="{3863FC68-7BEE-40C2-926A-CD28072648F3}" uniqueName="7" name="Other_Attendances" queryTableFieldId="7"/>
    <tableColumn id="8" xr3:uid="{E9C5F55D-FB72-4DC1-9159-948152C6941A}" uniqueName="8" name="T1_Over4hrs" queryTableFieldId="8"/>
    <tableColumn id="9" xr3:uid="{99A3D044-2B27-4899-AD8B-431AFBA11524}" uniqueName="9" name="Others_Over4hrs" queryTableFieldId="9"/>
    <tableColumn id="10" xr3:uid="{72D73697-9F7A-4C87-953E-2590D09C5C4E}" uniqueName="10" name="Wait_4to12hr" queryTableFieldId="10"/>
    <tableColumn id="11" xr3:uid="{3DE4AB36-7A06-4EF4-8A1B-76D38D24A3FD}" uniqueName="11" name="Wait_12hr_plus" queryTableFieldId="11"/>
    <tableColumn id="12" xr3:uid="{0C642806-A9E0-4FDA-A927-B12B19BA3CF3}" uniqueName="12" name="Month_Date" queryTableFieldId="12" dataDxfId="7"/>
    <tableColumn id="14" xr3:uid="{FF7D4138-AC2F-427F-A7CB-7D04819B600E}" uniqueName="14" name="Quarter" queryTableFieldId="14"/>
    <tableColumn id="15" xr3:uid="{AD887146-2B75-4DE7-9B0D-0E3635DAACAB}" uniqueName="15" name="Season" queryTableFieldId="15"/>
    <tableColumn id="6" xr3:uid="{3159E2CF-D63E-4B09-988A-58941BE8B518}" uniqueName="6" name="T1_Breach Rate" queryTableFieldId="16" dataDxfId="6">
      <calculatedColumnFormula>IFERROR(NHS_A_E[[#This Row],[T1_Over4hrs]]/NHS_A_E[[#This Row],[T1_Attendances]], 0)</calculatedColumnFormula>
    </tableColumn>
    <tableColumn id="16" xr3:uid="{0F974C88-E923-43BF-84B1-6931FAD43C56}" uniqueName="16" name="Total attendance" queryTableFieldId="17" dataDxfId="5">
      <calculatedColumnFormula>NHS_A_E[[#This Row],[T1_Attendances]]+NHS_A_E[[#This Row],[Other_Attendances]]</calculatedColumnFormula>
    </tableColumn>
    <tableColumn id="17" xr3:uid="{F64B0597-2DB9-40DB-AD0C-A492A19F2A51}" uniqueName="17" name="Month_Index" queryTableFieldId="18" dataDxfId="4">
      <calculatedColumnFormula>MATCH(LEFT(A2,FIND("-",A2)-1),{"April","May","June","July","August","September","October","November","December","January","February","March"},0)</calculatedColumnFormula>
    </tableColumn>
    <tableColumn id="18" xr3:uid="{DD222DC7-08E2-4E5A-8B75-61B6923B2591}" uniqueName="18" name="Wait_12hr_Rate" queryTableFieldId="19" dataDxfId="3" dataCellStyle="Percent">
      <calculatedColumnFormula>IFERROR(J2/E2,0)</calculatedColumnFormula>
    </tableColumn>
    <tableColumn id="13" xr3:uid="{C4A9E7ED-ECC5-4222-BCBA-9A42E13938ED}" uniqueName="13" name="Month_name" queryTableFieldId="20" dataDxfId="2">
      <calculatedColumnFormula>TEXT(A2, "mmmm")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F2C5-CC24-49DD-836A-8F9FC6E2B496}">
  <dimension ref="A3:I158"/>
  <sheetViews>
    <sheetView topLeftCell="F29" workbookViewId="0">
      <selection activeCell="G38" sqref="G38"/>
    </sheetView>
  </sheetViews>
  <sheetFormatPr defaultRowHeight="14.5" x14ac:dyDescent="0.35"/>
  <cols>
    <col min="1" max="1" width="14.6328125" bestFit="1" customWidth="1"/>
    <col min="2" max="2" width="12.36328125" bestFit="1" customWidth="1"/>
    <col min="3" max="3" width="20.81640625" bestFit="1" customWidth="1"/>
    <col min="4" max="4" width="23.81640625" bestFit="1" customWidth="1"/>
    <col min="6" max="6" width="72.54296875" bestFit="1" customWidth="1"/>
    <col min="7" max="7" width="20.81640625" bestFit="1" customWidth="1"/>
    <col min="8" max="8" width="17.90625" bestFit="1" customWidth="1"/>
    <col min="9" max="9" width="30.36328125" bestFit="1" customWidth="1"/>
  </cols>
  <sheetData>
    <row r="3" spans="1:9" x14ac:dyDescent="0.35">
      <c r="A3" s="4" t="s">
        <v>457</v>
      </c>
      <c r="B3" s="8" t="s">
        <v>459</v>
      </c>
      <c r="C3" t="s">
        <v>460</v>
      </c>
      <c r="F3" s="4" t="s">
        <v>457</v>
      </c>
      <c r="G3" t="s">
        <v>461</v>
      </c>
      <c r="H3" t="s">
        <v>462</v>
      </c>
      <c r="I3" t="s">
        <v>463</v>
      </c>
    </row>
    <row r="4" spans="1:9" x14ac:dyDescent="0.35">
      <c r="A4" s="5" t="s">
        <v>13</v>
      </c>
      <c r="B4" s="8">
        <v>0.24644614088409772</v>
      </c>
      <c r="C4" s="7">
        <f>100%-B4</f>
        <v>0.75355385911590234</v>
      </c>
      <c r="F4" s="5" t="s">
        <v>30</v>
      </c>
      <c r="G4" s="9">
        <v>35784</v>
      </c>
      <c r="H4" s="9">
        <v>896340</v>
      </c>
      <c r="I4" s="8">
        <v>3.9922350893634113E-2</v>
      </c>
    </row>
    <row r="5" spans="1:9" x14ac:dyDescent="0.35">
      <c r="A5" s="5" t="s">
        <v>419</v>
      </c>
      <c r="B5" s="8">
        <v>0.23818083292516745</v>
      </c>
      <c r="C5" s="7">
        <f t="shared" ref="C5:C15" si="0">100%-B5</f>
        <v>0.76181916707483255</v>
      </c>
      <c r="F5" s="5" t="s">
        <v>40</v>
      </c>
      <c r="G5" s="9">
        <v>43571</v>
      </c>
      <c r="H5" s="9">
        <v>1151797</v>
      </c>
      <c r="I5" s="8">
        <v>3.7828714608563838E-2</v>
      </c>
    </row>
    <row r="6" spans="1:9" x14ac:dyDescent="0.35">
      <c r="A6" s="5" t="s">
        <v>426</v>
      </c>
      <c r="B6" s="8">
        <v>0.23457238745815021</v>
      </c>
      <c r="C6" s="7">
        <f t="shared" si="0"/>
        <v>0.76542761254184977</v>
      </c>
      <c r="F6" s="5" t="s">
        <v>35</v>
      </c>
      <c r="G6" s="9">
        <v>29700</v>
      </c>
      <c r="H6" s="9">
        <v>1143746</v>
      </c>
      <c r="I6" s="8">
        <v>2.5967303929368933E-2</v>
      </c>
    </row>
    <row r="7" spans="1:9" x14ac:dyDescent="0.35">
      <c r="A7" s="5" t="s">
        <v>428</v>
      </c>
      <c r="B7" s="8">
        <v>0.22604632788525145</v>
      </c>
      <c r="C7" s="7">
        <f t="shared" si="0"/>
        <v>0.77395367211474853</v>
      </c>
      <c r="F7" s="5" t="s">
        <v>20</v>
      </c>
      <c r="G7" s="9">
        <v>14275</v>
      </c>
      <c r="H7" s="9">
        <v>553597</v>
      </c>
      <c r="I7" s="8">
        <v>2.5785905631714044E-2</v>
      </c>
    </row>
    <row r="8" spans="1:9" x14ac:dyDescent="0.35">
      <c r="A8" s="5" t="s">
        <v>433</v>
      </c>
      <c r="B8" s="8">
        <v>0.23052471160287805</v>
      </c>
      <c r="C8" s="7">
        <f t="shared" si="0"/>
        <v>0.76947528839712198</v>
      </c>
      <c r="F8" s="5" t="s">
        <v>15</v>
      </c>
      <c r="G8" s="9">
        <v>22272</v>
      </c>
      <c r="H8" s="9">
        <v>957630</v>
      </c>
      <c r="I8" s="8">
        <v>2.3257416747595627E-2</v>
      </c>
    </row>
    <row r="9" spans="1:9" x14ac:dyDescent="0.35">
      <c r="A9" s="5" t="s">
        <v>434</v>
      </c>
      <c r="B9" s="8">
        <v>0.23788753207505228</v>
      </c>
      <c r="C9" s="7">
        <f t="shared" si="0"/>
        <v>0.76211246792494769</v>
      </c>
      <c r="F9" s="5" t="s">
        <v>23</v>
      </c>
      <c r="G9" s="9">
        <v>15500</v>
      </c>
      <c r="H9" s="9">
        <v>676495</v>
      </c>
      <c r="I9" s="8">
        <v>2.2912216646094944E-2</v>
      </c>
    </row>
    <row r="10" spans="1:9" x14ac:dyDescent="0.35">
      <c r="A10" s="5" t="s">
        <v>438</v>
      </c>
      <c r="B10" s="8">
        <v>0.25014972528243923</v>
      </c>
      <c r="C10" s="7">
        <f t="shared" si="0"/>
        <v>0.74985027471756083</v>
      </c>
      <c r="F10" s="5" t="s">
        <v>63</v>
      </c>
      <c r="G10" s="9">
        <v>15839</v>
      </c>
      <c r="H10" s="9">
        <v>995294</v>
      </c>
      <c r="I10" s="8">
        <v>1.5913890769963447E-2</v>
      </c>
    </row>
    <row r="11" spans="1:9" x14ac:dyDescent="0.35">
      <c r="A11" s="5" t="s">
        <v>442</v>
      </c>
      <c r="B11" s="8">
        <v>0.24644008069798815</v>
      </c>
      <c r="C11" s="7">
        <f t="shared" si="0"/>
        <v>0.75355991930201183</v>
      </c>
      <c r="F11" s="5" t="s">
        <v>458</v>
      </c>
      <c r="G11" s="9">
        <v>176941</v>
      </c>
      <c r="H11" s="9">
        <v>6374899</v>
      </c>
      <c r="I11" s="8">
        <v>2.7755890720778477E-2</v>
      </c>
    </row>
    <row r="12" spans="1:9" x14ac:dyDescent="0.35">
      <c r="A12" s="5" t="s">
        <v>443</v>
      </c>
      <c r="B12" s="8">
        <v>0.25073620990780732</v>
      </c>
      <c r="C12" s="7">
        <f t="shared" si="0"/>
        <v>0.74926379009219268</v>
      </c>
    </row>
    <row r="13" spans="1:9" x14ac:dyDescent="0.35">
      <c r="A13" s="5" t="s">
        <v>445</v>
      </c>
      <c r="B13" s="8">
        <v>0.26677268159635403</v>
      </c>
      <c r="C13" s="7">
        <f t="shared" si="0"/>
        <v>0.73322731840364597</v>
      </c>
    </row>
    <row r="14" spans="1:9" x14ac:dyDescent="0.35">
      <c r="A14" s="5" t="s">
        <v>448</v>
      </c>
      <c r="B14" s="8">
        <v>0.25309632344177996</v>
      </c>
      <c r="C14" s="7">
        <f t="shared" si="0"/>
        <v>0.74690367655821999</v>
      </c>
    </row>
    <row r="15" spans="1:9" x14ac:dyDescent="0.35">
      <c r="A15" s="5" t="s">
        <v>449</v>
      </c>
      <c r="B15" s="8">
        <v>0.22137508086550781</v>
      </c>
      <c r="C15" s="7">
        <f t="shared" si="0"/>
        <v>0.77862491913449217</v>
      </c>
    </row>
    <row r="16" spans="1:9" x14ac:dyDescent="0.35">
      <c r="A16" s="5" t="s">
        <v>458</v>
      </c>
      <c r="B16" s="8">
        <v>0.2417646271416441</v>
      </c>
    </row>
    <row r="31" spans="2:4" x14ac:dyDescent="0.35">
      <c r="B31" s="4" t="s">
        <v>457</v>
      </c>
      <c r="C31" t="s">
        <v>467</v>
      </c>
      <c r="D31" t="s">
        <v>468</v>
      </c>
    </row>
    <row r="32" spans="2:4" x14ac:dyDescent="0.35">
      <c r="B32" s="5" t="s">
        <v>465</v>
      </c>
      <c r="C32">
        <v>12615592</v>
      </c>
      <c r="D32">
        <v>7266879</v>
      </c>
    </row>
    <row r="33" spans="2:9" x14ac:dyDescent="0.35">
      <c r="B33" s="5" t="s">
        <v>466</v>
      </c>
      <c r="C33">
        <v>4128108</v>
      </c>
      <c r="D33">
        <v>2349961</v>
      </c>
      <c r="F33" s="4" t="s">
        <v>457</v>
      </c>
      <c r="G33" t="s">
        <v>467</v>
      </c>
      <c r="H33" t="s">
        <v>469</v>
      </c>
      <c r="I33" s="7" t="s">
        <v>470</v>
      </c>
    </row>
    <row r="34" spans="2:9" x14ac:dyDescent="0.35">
      <c r="B34" s="5" t="s">
        <v>458</v>
      </c>
      <c r="C34">
        <v>16743700</v>
      </c>
      <c r="D34">
        <v>9616840</v>
      </c>
      <c r="F34" s="5" t="s">
        <v>348</v>
      </c>
      <c r="G34">
        <v>72277</v>
      </c>
      <c r="H34">
        <v>27120</v>
      </c>
      <c r="I34" s="7">
        <v>0.37522310001798637</v>
      </c>
    </row>
    <row r="35" spans="2:9" x14ac:dyDescent="0.35">
      <c r="F35" s="5" t="s">
        <v>344</v>
      </c>
      <c r="G35">
        <v>70785</v>
      </c>
      <c r="H35">
        <v>10471</v>
      </c>
      <c r="I35" s="7">
        <v>0.14792682065409338</v>
      </c>
    </row>
    <row r="36" spans="2:9" x14ac:dyDescent="0.35">
      <c r="F36" s="5" t="s">
        <v>122</v>
      </c>
      <c r="G36">
        <v>88158</v>
      </c>
      <c r="H36">
        <v>43396</v>
      </c>
      <c r="I36" s="7">
        <v>0.49225254656412348</v>
      </c>
    </row>
    <row r="37" spans="2:9" x14ac:dyDescent="0.35">
      <c r="F37" s="5" t="s">
        <v>36</v>
      </c>
      <c r="G37">
        <v>161554</v>
      </c>
      <c r="H37">
        <v>73758</v>
      </c>
      <c r="I37" s="7">
        <v>0.45655322678485211</v>
      </c>
    </row>
    <row r="38" spans="2:9" x14ac:dyDescent="0.35">
      <c r="F38" s="5" t="s">
        <v>232</v>
      </c>
      <c r="G38">
        <v>110603</v>
      </c>
      <c r="H38">
        <v>31793</v>
      </c>
      <c r="I38" s="7">
        <v>0.28745151578166955</v>
      </c>
    </row>
    <row r="39" spans="2:9" x14ac:dyDescent="0.35">
      <c r="F39" s="5" t="s">
        <v>210</v>
      </c>
      <c r="G39">
        <v>305760</v>
      </c>
      <c r="H39">
        <v>134677</v>
      </c>
      <c r="I39" s="7">
        <v>0.44046637885923601</v>
      </c>
    </row>
    <row r="40" spans="2:9" x14ac:dyDescent="0.35">
      <c r="F40" s="5" t="s">
        <v>346</v>
      </c>
      <c r="G40">
        <v>201877</v>
      </c>
      <c r="H40">
        <v>76110</v>
      </c>
      <c r="I40" s="7">
        <v>0.37701174477528399</v>
      </c>
    </row>
    <row r="41" spans="2:9" x14ac:dyDescent="0.35">
      <c r="F41" s="5" t="s">
        <v>59</v>
      </c>
      <c r="G41">
        <v>57390</v>
      </c>
      <c r="H41">
        <v>10923</v>
      </c>
      <c r="I41" s="7">
        <v>0.19032932566649241</v>
      </c>
    </row>
    <row r="42" spans="2:9" x14ac:dyDescent="0.35">
      <c r="F42" s="5" t="s">
        <v>196</v>
      </c>
      <c r="G42">
        <v>106388</v>
      </c>
      <c r="H42">
        <v>49825</v>
      </c>
      <c r="I42" s="7">
        <v>0.46833289468737077</v>
      </c>
    </row>
    <row r="43" spans="2:9" x14ac:dyDescent="0.35">
      <c r="F43" s="5" t="s">
        <v>168</v>
      </c>
      <c r="G43">
        <v>98344</v>
      </c>
      <c r="H43">
        <v>47735</v>
      </c>
      <c r="I43" s="7">
        <v>0.48538802570568618</v>
      </c>
    </row>
    <row r="44" spans="2:9" x14ac:dyDescent="0.35">
      <c r="F44" s="5" t="s">
        <v>86</v>
      </c>
      <c r="G44">
        <v>111776</v>
      </c>
      <c r="H44">
        <v>27482</v>
      </c>
      <c r="I44" s="7">
        <v>0.24586673346693386</v>
      </c>
    </row>
    <row r="45" spans="2:9" x14ac:dyDescent="0.35">
      <c r="F45" s="5" t="s">
        <v>120</v>
      </c>
      <c r="G45">
        <v>120816</v>
      </c>
      <c r="H45">
        <v>41867</v>
      </c>
      <c r="I45" s="7">
        <v>0.34653522712223545</v>
      </c>
    </row>
    <row r="46" spans="2:9" x14ac:dyDescent="0.35">
      <c r="F46" s="5" t="s">
        <v>300</v>
      </c>
      <c r="G46">
        <v>192172</v>
      </c>
      <c r="H46">
        <v>31986</v>
      </c>
      <c r="I46" s="7">
        <v>0.16644464334034095</v>
      </c>
    </row>
    <row r="47" spans="2:9" x14ac:dyDescent="0.35">
      <c r="F47" s="5" t="s">
        <v>214</v>
      </c>
      <c r="G47">
        <v>130671</v>
      </c>
      <c r="H47">
        <v>54957</v>
      </c>
      <c r="I47" s="7">
        <v>0.42057533806276831</v>
      </c>
    </row>
    <row r="48" spans="2:9" x14ac:dyDescent="0.35">
      <c r="F48" s="5" t="s">
        <v>61</v>
      </c>
      <c r="G48">
        <v>237084</v>
      </c>
      <c r="H48">
        <v>66190</v>
      </c>
      <c r="I48" s="7">
        <v>0.27918374921968586</v>
      </c>
    </row>
    <row r="49" spans="6:9" x14ac:dyDescent="0.35">
      <c r="F49" s="5" t="s">
        <v>160</v>
      </c>
      <c r="G49">
        <v>76171</v>
      </c>
      <c r="H49">
        <v>40146</v>
      </c>
      <c r="I49" s="7">
        <v>0.52705097740609941</v>
      </c>
    </row>
    <row r="50" spans="6:9" x14ac:dyDescent="0.35">
      <c r="F50" s="5" t="s">
        <v>234</v>
      </c>
      <c r="G50">
        <v>64462</v>
      </c>
      <c r="H50">
        <v>32505</v>
      </c>
      <c r="I50" s="7">
        <v>0.50425056622506281</v>
      </c>
    </row>
    <row r="51" spans="6:9" x14ac:dyDescent="0.35">
      <c r="F51" s="5" t="s">
        <v>198</v>
      </c>
      <c r="G51">
        <v>154625</v>
      </c>
      <c r="H51">
        <v>62475</v>
      </c>
      <c r="I51" s="7">
        <v>0.40404203718674214</v>
      </c>
    </row>
    <row r="52" spans="6:9" x14ac:dyDescent="0.35">
      <c r="F52" s="5" t="s">
        <v>402</v>
      </c>
      <c r="G52">
        <v>156286</v>
      </c>
      <c r="H52">
        <v>53230</v>
      </c>
      <c r="I52" s="7">
        <v>0.3405935272513213</v>
      </c>
    </row>
    <row r="53" spans="6:9" x14ac:dyDescent="0.35">
      <c r="F53" s="5" t="s">
        <v>51</v>
      </c>
      <c r="G53">
        <v>136640</v>
      </c>
      <c r="H53">
        <v>38124</v>
      </c>
      <c r="I53" s="7">
        <v>0.27901053864168618</v>
      </c>
    </row>
    <row r="54" spans="6:9" x14ac:dyDescent="0.35">
      <c r="F54" s="5" t="s">
        <v>130</v>
      </c>
      <c r="G54">
        <v>166412</v>
      </c>
      <c r="H54">
        <v>59790</v>
      </c>
      <c r="I54" s="7">
        <v>0.35928899358219357</v>
      </c>
    </row>
    <row r="55" spans="6:9" x14ac:dyDescent="0.35">
      <c r="F55" s="5" t="s">
        <v>390</v>
      </c>
      <c r="G55">
        <v>54622</v>
      </c>
      <c r="H55">
        <v>19480</v>
      </c>
      <c r="I55" s="7">
        <v>0.35663285855516091</v>
      </c>
    </row>
    <row r="56" spans="6:9" x14ac:dyDescent="0.35">
      <c r="F56" s="5" t="s">
        <v>186</v>
      </c>
      <c r="G56">
        <v>43314</v>
      </c>
      <c r="H56">
        <v>20202</v>
      </c>
      <c r="I56" s="7">
        <v>0.46640808976312509</v>
      </c>
    </row>
    <row r="57" spans="6:9" x14ac:dyDescent="0.35">
      <c r="F57" s="5" t="s">
        <v>437</v>
      </c>
      <c r="G57">
        <v>64151</v>
      </c>
      <c r="H57">
        <v>33024</v>
      </c>
      <c r="I57" s="7">
        <v>0.51478542813050454</v>
      </c>
    </row>
    <row r="58" spans="6:9" x14ac:dyDescent="0.35">
      <c r="F58" s="5" t="s">
        <v>274</v>
      </c>
      <c r="G58">
        <v>53202</v>
      </c>
      <c r="H58">
        <v>28236</v>
      </c>
      <c r="I58" s="7">
        <v>0.53073192737115149</v>
      </c>
    </row>
    <row r="59" spans="6:9" x14ac:dyDescent="0.35">
      <c r="F59" s="5" t="s">
        <v>124</v>
      </c>
      <c r="G59">
        <v>155660</v>
      </c>
      <c r="H59">
        <v>71738</v>
      </c>
      <c r="I59" s="7">
        <v>0.46086342027495825</v>
      </c>
    </row>
    <row r="60" spans="6:9" x14ac:dyDescent="0.35">
      <c r="F60" s="5" t="s">
        <v>238</v>
      </c>
      <c r="G60">
        <v>163072</v>
      </c>
      <c r="H60">
        <v>55465</v>
      </c>
      <c r="I60" s="7">
        <v>0.34012583398744112</v>
      </c>
    </row>
    <row r="61" spans="6:9" x14ac:dyDescent="0.35">
      <c r="F61" s="5" t="s">
        <v>24</v>
      </c>
      <c r="G61">
        <v>138748</v>
      </c>
      <c r="H61">
        <v>67125</v>
      </c>
      <c r="I61" s="7">
        <v>0.48379075734425003</v>
      </c>
    </row>
    <row r="62" spans="6:9" x14ac:dyDescent="0.35">
      <c r="F62" s="5" t="s">
        <v>192</v>
      </c>
      <c r="G62">
        <v>107317</v>
      </c>
      <c r="H62">
        <v>44124</v>
      </c>
      <c r="I62" s="7">
        <v>0.41115573487891016</v>
      </c>
    </row>
    <row r="63" spans="6:9" x14ac:dyDescent="0.35">
      <c r="F63" s="5" t="s">
        <v>172</v>
      </c>
      <c r="G63">
        <v>132725</v>
      </c>
      <c r="H63">
        <v>41449</v>
      </c>
      <c r="I63" s="7">
        <v>0.31229233377283855</v>
      </c>
    </row>
    <row r="64" spans="6:9" x14ac:dyDescent="0.35">
      <c r="F64" s="5" t="s">
        <v>98</v>
      </c>
      <c r="G64">
        <v>271749</v>
      </c>
      <c r="H64">
        <v>111361</v>
      </c>
      <c r="I64" s="7">
        <v>0.40979359629658252</v>
      </c>
    </row>
    <row r="65" spans="6:9" x14ac:dyDescent="0.35">
      <c r="F65" s="5" t="s">
        <v>254</v>
      </c>
      <c r="G65">
        <v>70789</v>
      </c>
      <c r="H65">
        <v>28361</v>
      </c>
      <c r="I65" s="7">
        <v>0.40064134258147455</v>
      </c>
    </row>
    <row r="66" spans="6:9" x14ac:dyDescent="0.35">
      <c r="F66" s="5" t="s">
        <v>49</v>
      </c>
      <c r="G66">
        <v>83605</v>
      </c>
      <c r="H66">
        <v>24160</v>
      </c>
      <c r="I66" s="7">
        <v>0.28897793194186949</v>
      </c>
    </row>
    <row r="67" spans="6:9" x14ac:dyDescent="0.35">
      <c r="F67" s="5" t="s">
        <v>70</v>
      </c>
      <c r="G67">
        <v>160541</v>
      </c>
      <c r="H67">
        <v>60767</v>
      </c>
      <c r="I67" s="7">
        <v>0.37851389987604411</v>
      </c>
    </row>
    <row r="68" spans="6:9" x14ac:dyDescent="0.35">
      <c r="F68" s="5" t="s">
        <v>358</v>
      </c>
      <c r="G68">
        <v>71163</v>
      </c>
      <c r="H68">
        <v>36450</v>
      </c>
      <c r="I68" s="7">
        <v>0.51220437586948275</v>
      </c>
    </row>
    <row r="69" spans="6:9" x14ac:dyDescent="0.35">
      <c r="F69" s="5" t="s">
        <v>110</v>
      </c>
      <c r="G69">
        <v>122924</v>
      </c>
      <c r="H69">
        <v>43585</v>
      </c>
      <c r="I69" s="7">
        <v>0.35456867658065144</v>
      </c>
    </row>
    <row r="70" spans="6:9" x14ac:dyDescent="0.35">
      <c r="F70" s="5" t="s">
        <v>218</v>
      </c>
      <c r="G70">
        <v>128090</v>
      </c>
      <c r="H70">
        <v>58353</v>
      </c>
      <c r="I70" s="7">
        <v>0.4555624951206183</v>
      </c>
    </row>
    <row r="71" spans="6:9" x14ac:dyDescent="0.35">
      <c r="F71" s="5" t="s">
        <v>292</v>
      </c>
      <c r="G71">
        <v>62153</v>
      </c>
      <c r="H71">
        <v>17853</v>
      </c>
      <c r="I71" s="7">
        <v>0.28724277186941899</v>
      </c>
    </row>
    <row r="72" spans="6:9" x14ac:dyDescent="0.35">
      <c r="F72" s="5" t="s">
        <v>236</v>
      </c>
      <c r="G72">
        <v>132768</v>
      </c>
      <c r="H72">
        <v>24250</v>
      </c>
      <c r="I72" s="7">
        <v>0.18264943359845745</v>
      </c>
    </row>
    <row r="73" spans="6:9" x14ac:dyDescent="0.35">
      <c r="F73" s="5" t="s">
        <v>178</v>
      </c>
      <c r="G73">
        <v>116768</v>
      </c>
      <c r="H73">
        <v>64781</v>
      </c>
      <c r="I73" s="7">
        <v>0.55478384488901067</v>
      </c>
    </row>
    <row r="74" spans="6:9" x14ac:dyDescent="0.35">
      <c r="F74" s="5" t="s">
        <v>206</v>
      </c>
      <c r="G74">
        <v>145309</v>
      </c>
      <c r="H74">
        <v>61011</v>
      </c>
      <c r="I74" s="7">
        <v>0.41987075817740127</v>
      </c>
    </row>
    <row r="75" spans="6:9" x14ac:dyDescent="0.35">
      <c r="F75" s="5" t="s">
        <v>74</v>
      </c>
      <c r="G75">
        <v>50764</v>
      </c>
      <c r="H75">
        <v>19102</v>
      </c>
      <c r="I75" s="7">
        <v>0.37629028445354978</v>
      </c>
    </row>
    <row r="76" spans="6:9" x14ac:dyDescent="0.35">
      <c r="F76" s="5" t="s">
        <v>316</v>
      </c>
      <c r="G76">
        <v>89217</v>
      </c>
      <c r="H76">
        <v>32236</v>
      </c>
      <c r="I76" s="7">
        <v>0.36132127285158661</v>
      </c>
    </row>
    <row r="77" spans="6:9" x14ac:dyDescent="0.35">
      <c r="F77" s="5" t="s">
        <v>362</v>
      </c>
      <c r="G77">
        <v>122553</v>
      </c>
      <c r="H77">
        <v>45586</v>
      </c>
      <c r="I77" s="7">
        <v>0.37196967842484474</v>
      </c>
    </row>
    <row r="78" spans="6:9" x14ac:dyDescent="0.35">
      <c r="F78" s="5" t="s">
        <v>416</v>
      </c>
      <c r="G78">
        <v>186678</v>
      </c>
      <c r="H78">
        <v>80622</v>
      </c>
      <c r="I78" s="7">
        <v>0.43187735030373153</v>
      </c>
    </row>
    <row r="79" spans="6:9" x14ac:dyDescent="0.35">
      <c r="F79" s="5" t="s">
        <v>252</v>
      </c>
      <c r="G79">
        <v>83358</v>
      </c>
      <c r="H79">
        <v>43876</v>
      </c>
      <c r="I79" s="7">
        <v>0.52635619856522464</v>
      </c>
    </row>
    <row r="80" spans="6:9" x14ac:dyDescent="0.35">
      <c r="F80" s="5" t="s">
        <v>154</v>
      </c>
      <c r="G80">
        <v>144196</v>
      </c>
      <c r="H80">
        <v>53752</v>
      </c>
      <c r="I80" s="7">
        <v>0.37277039585009292</v>
      </c>
    </row>
    <row r="81" spans="6:9" x14ac:dyDescent="0.35">
      <c r="F81" s="5" t="s">
        <v>64</v>
      </c>
      <c r="G81">
        <v>213504</v>
      </c>
      <c r="H81">
        <v>83189</v>
      </c>
      <c r="I81" s="7">
        <v>0.38963672811750599</v>
      </c>
    </row>
    <row r="82" spans="6:9" x14ac:dyDescent="0.35">
      <c r="F82" s="5" t="s">
        <v>38</v>
      </c>
      <c r="G82">
        <v>190385</v>
      </c>
      <c r="H82">
        <v>93973</v>
      </c>
      <c r="I82" s="7">
        <v>0.49359455839483152</v>
      </c>
    </row>
    <row r="83" spans="6:9" x14ac:dyDescent="0.35">
      <c r="F83" s="5" t="s">
        <v>31</v>
      </c>
      <c r="G83">
        <v>192474</v>
      </c>
      <c r="H83">
        <v>95050</v>
      </c>
      <c r="I83" s="7">
        <v>0.49383293327930006</v>
      </c>
    </row>
    <row r="84" spans="6:9" x14ac:dyDescent="0.35">
      <c r="F84" s="5" t="s">
        <v>84</v>
      </c>
      <c r="G84">
        <v>164066</v>
      </c>
      <c r="H84">
        <v>78854</v>
      </c>
      <c r="I84" s="7">
        <v>0.48062365145734032</v>
      </c>
    </row>
    <row r="85" spans="6:9" x14ac:dyDescent="0.35">
      <c r="F85" s="5" t="s">
        <v>410</v>
      </c>
      <c r="G85">
        <v>224932</v>
      </c>
      <c r="H85">
        <v>50115</v>
      </c>
      <c r="I85" s="7">
        <v>0.22280066864652429</v>
      </c>
    </row>
    <row r="86" spans="6:9" x14ac:dyDescent="0.35">
      <c r="F86" s="5" t="s">
        <v>334</v>
      </c>
      <c r="G86">
        <v>309660</v>
      </c>
      <c r="H86">
        <v>124916</v>
      </c>
      <c r="I86" s="7">
        <v>0.40339727443002005</v>
      </c>
    </row>
    <row r="87" spans="6:9" x14ac:dyDescent="0.35">
      <c r="F87" s="5" t="s">
        <v>406</v>
      </c>
      <c r="G87">
        <v>114871</v>
      </c>
      <c r="H87">
        <v>40916</v>
      </c>
      <c r="I87" s="7">
        <v>0.35619085757066621</v>
      </c>
    </row>
    <row r="88" spans="6:9" x14ac:dyDescent="0.35">
      <c r="F88" s="5" t="s">
        <v>92</v>
      </c>
      <c r="G88">
        <v>208546</v>
      </c>
      <c r="H88">
        <v>78969</v>
      </c>
      <c r="I88" s="7">
        <v>0.37866465911597441</v>
      </c>
    </row>
    <row r="89" spans="6:9" x14ac:dyDescent="0.35">
      <c r="F89" s="5" t="s">
        <v>88</v>
      </c>
      <c r="G89">
        <v>343747</v>
      </c>
      <c r="H89">
        <v>118279</v>
      </c>
      <c r="I89" s="7">
        <v>0.34408736658065381</v>
      </c>
    </row>
    <row r="90" spans="6:9" x14ac:dyDescent="0.35">
      <c r="F90" s="5" t="s">
        <v>162</v>
      </c>
      <c r="G90">
        <v>84933</v>
      </c>
      <c r="H90">
        <v>47869</v>
      </c>
      <c r="I90" s="7">
        <v>0.56360896235856495</v>
      </c>
    </row>
    <row r="91" spans="6:9" x14ac:dyDescent="0.35">
      <c r="F91" s="5" t="s">
        <v>378</v>
      </c>
      <c r="G91">
        <v>198544</v>
      </c>
      <c r="H91">
        <v>74289</v>
      </c>
      <c r="I91" s="7">
        <v>0.37416894995567734</v>
      </c>
    </row>
    <row r="92" spans="6:9" x14ac:dyDescent="0.35">
      <c r="F92" s="5" t="s">
        <v>96</v>
      </c>
      <c r="G92">
        <v>97109</v>
      </c>
      <c r="H92">
        <v>38798</v>
      </c>
      <c r="I92" s="7">
        <v>0.39953042457444726</v>
      </c>
    </row>
    <row r="93" spans="6:9" x14ac:dyDescent="0.35">
      <c r="F93" s="5" t="s">
        <v>174</v>
      </c>
      <c r="G93">
        <v>152705</v>
      </c>
      <c r="H93">
        <v>46748</v>
      </c>
      <c r="I93" s="7">
        <v>0.306132739595953</v>
      </c>
    </row>
    <row r="94" spans="6:9" x14ac:dyDescent="0.35">
      <c r="F94" s="5" t="s">
        <v>170</v>
      </c>
      <c r="G94">
        <v>110606</v>
      </c>
      <c r="H94">
        <v>40157</v>
      </c>
      <c r="I94" s="7">
        <v>0.36306348661012966</v>
      </c>
    </row>
    <row r="95" spans="6:9" x14ac:dyDescent="0.35">
      <c r="F95" s="5" t="s">
        <v>418</v>
      </c>
      <c r="G95">
        <v>106085</v>
      </c>
      <c r="H95">
        <v>47707</v>
      </c>
      <c r="I95" s="7">
        <v>0.44970542489513127</v>
      </c>
    </row>
    <row r="96" spans="6:9" x14ac:dyDescent="0.35">
      <c r="F96" s="5" t="s">
        <v>176</v>
      </c>
      <c r="G96">
        <v>59209</v>
      </c>
      <c r="H96">
        <v>31552</v>
      </c>
      <c r="I96" s="7">
        <v>0.53289195899272068</v>
      </c>
    </row>
    <row r="97" spans="6:9" x14ac:dyDescent="0.35">
      <c r="F97" s="5" t="s">
        <v>394</v>
      </c>
      <c r="G97">
        <v>179535</v>
      </c>
      <c r="H97">
        <v>69736</v>
      </c>
      <c r="I97" s="7">
        <v>0.3884256551647311</v>
      </c>
    </row>
    <row r="98" spans="6:9" x14ac:dyDescent="0.35">
      <c r="F98" s="5" t="s">
        <v>53</v>
      </c>
      <c r="G98">
        <v>125498</v>
      </c>
      <c r="H98">
        <v>50660</v>
      </c>
      <c r="I98" s="7">
        <v>0.40367177166169976</v>
      </c>
    </row>
    <row r="99" spans="6:9" x14ac:dyDescent="0.35">
      <c r="F99" s="5" t="s">
        <v>152</v>
      </c>
      <c r="G99">
        <v>313494</v>
      </c>
      <c r="H99">
        <v>123579</v>
      </c>
      <c r="I99" s="7">
        <v>0.39419893203697676</v>
      </c>
    </row>
    <row r="100" spans="6:9" x14ac:dyDescent="0.35">
      <c r="F100" s="5" t="s">
        <v>352</v>
      </c>
      <c r="G100">
        <v>114803</v>
      </c>
      <c r="H100">
        <v>59705</v>
      </c>
      <c r="I100" s="7">
        <v>0.52006480666881527</v>
      </c>
    </row>
    <row r="101" spans="6:9" x14ac:dyDescent="0.35">
      <c r="F101" s="5" t="s">
        <v>222</v>
      </c>
      <c r="G101">
        <v>123841</v>
      </c>
      <c r="H101">
        <v>30218</v>
      </c>
      <c r="I101" s="7">
        <v>0.24400642759667637</v>
      </c>
    </row>
    <row r="102" spans="6:9" x14ac:dyDescent="0.35">
      <c r="F102" s="5" t="s">
        <v>374</v>
      </c>
      <c r="G102">
        <v>153351</v>
      </c>
      <c r="H102">
        <v>85127</v>
      </c>
      <c r="I102" s="7">
        <v>0.55511212838520774</v>
      </c>
    </row>
    <row r="103" spans="6:9" x14ac:dyDescent="0.35">
      <c r="F103" s="5" t="s">
        <v>224</v>
      </c>
      <c r="G103">
        <v>147484</v>
      </c>
      <c r="H103">
        <v>44933</v>
      </c>
      <c r="I103" s="7">
        <v>0.30466355672479728</v>
      </c>
    </row>
    <row r="104" spans="6:9" x14ac:dyDescent="0.35">
      <c r="F104" s="5" t="s">
        <v>150</v>
      </c>
      <c r="G104">
        <v>127358</v>
      </c>
      <c r="H104">
        <v>48836</v>
      </c>
      <c r="I104" s="7">
        <v>0.38345451404701708</v>
      </c>
    </row>
    <row r="105" spans="6:9" x14ac:dyDescent="0.35">
      <c r="F105" s="5" t="s">
        <v>156</v>
      </c>
      <c r="G105">
        <v>132716</v>
      </c>
      <c r="H105">
        <v>46822</v>
      </c>
      <c r="I105" s="7">
        <v>0.35279845685523975</v>
      </c>
    </row>
    <row r="106" spans="6:9" x14ac:dyDescent="0.35">
      <c r="F106" s="5" t="s">
        <v>28</v>
      </c>
      <c r="G106">
        <v>82361</v>
      </c>
      <c r="H106">
        <v>40207</v>
      </c>
      <c r="I106" s="7">
        <v>0.48818008523451634</v>
      </c>
    </row>
    <row r="107" spans="6:9" x14ac:dyDescent="0.35">
      <c r="F107" s="5" t="s">
        <v>350</v>
      </c>
      <c r="G107">
        <v>153723</v>
      </c>
      <c r="H107">
        <v>64847</v>
      </c>
      <c r="I107" s="7">
        <v>0.42184318546996868</v>
      </c>
    </row>
    <row r="108" spans="6:9" x14ac:dyDescent="0.35">
      <c r="F108" s="5" t="s">
        <v>90</v>
      </c>
      <c r="G108">
        <v>313776</v>
      </c>
      <c r="H108">
        <v>105321</v>
      </c>
      <c r="I108" s="7">
        <v>0.33565664677986845</v>
      </c>
    </row>
    <row r="109" spans="6:9" x14ac:dyDescent="0.35">
      <c r="F109" s="5" t="s">
        <v>118</v>
      </c>
      <c r="G109">
        <v>33220</v>
      </c>
      <c r="H109">
        <v>10178</v>
      </c>
      <c r="I109" s="7">
        <v>0.30638169777242624</v>
      </c>
    </row>
    <row r="110" spans="6:9" x14ac:dyDescent="0.35">
      <c r="F110" s="5" t="s">
        <v>436</v>
      </c>
      <c r="G110">
        <v>47241</v>
      </c>
      <c r="H110">
        <v>16336</v>
      </c>
      <c r="I110" s="7">
        <v>0.34580131665290742</v>
      </c>
    </row>
    <row r="111" spans="6:9" x14ac:dyDescent="0.35">
      <c r="F111" s="5" t="s">
        <v>21</v>
      </c>
      <c r="G111">
        <v>107136</v>
      </c>
      <c r="H111">
        <v>44929</v>
      </c>
      <c r="I111" s="7">
        <v>0.41936417264038234</v>
      </c>
    </row>
    <row r="112" spans="6:9" x14ac:dyDescent="0.35">
      <c r="F112" s="5" t="s">
        <v>57</v>
      </c>
      <c r="G112">
        <v>56530</v>
      </c>
      <c r="H112">
        <v>23799</v>
      </c>
      <c r="I112" s="7">
        <v>0.42099770033610473</v>
      </c>
    </row>
    <row r="113" spans="6:9" x14ac:dyDescent="0.35">
      <c r="F113" s="5" t="s">
        <v>376</v>
      </c>
      <c r="G113">
        <v>136068</v>
      </c>
      <c r="H113">
        <v>57463</v>
      </c>
      <c r="I113" s="7">
        <v>0.42231090337184352</v>
      </c>
    </row>
    <row r="114" spans="6:9" x14ac:dyDescent="0.35">
      <c r="F114" s="5" t="s">
        <v>392</v>
      </c>
      <c r="G114">
        <v>53216</v>
      </c>
      <c r="H114">
        <v>4049</v>
      </c>
      <c r="I114" s="7">
        <v>7.6086139506915215E-2</v>
      </c>
    </row>
    <row r="115" spans="6:9" x14ac:dyDescent="0.35">
      <c r="F115" s="5" t="s">
        <v>108</v>
      </c>
      <c r="G115">
        <v>106838</v>
      </c>
      <c r="H115">
        <v>54302</v>
      </c>
      <c r="I115" s="7">
        <v>0.50826484958535356</v>
      </c>
    </row>
    <row r="116" spans="6:9" x14ac:dyDescent="0.35">
      <c r="F116" s="5" t="s">
        <v>43</v>
      </c>
      <c r="G116">
        <v>131388</v>
      </c>
      <c r="H116">
        <v>50845</v>
      </c>
      <c r="I116" s="7">
        <v>0.38698359058665938</v>
      </c>
    </row>
    <row r="117" spans="6:9" x14ac:dyDescent="0.35">
      <c r="F117" s="5" t="s">
        <v>104</v>
      </c>
      <c r="G117">
        <v>147892</v>
      </c>
      <c r="H117">
        <v>69701</v>
      </c>
      <c r="I117" s="7">
        <v>0.47129662185919452</v>
      </c>
    </row>
    <row r="118" spans="6:9" x14ac:dyDescent="0.35">
      <c r="F118" s="5" t="s">
        <v>318</v>
      </c>
      <c r="G118">
        <v>89015</v>
      </c>
      <c r="H118">
        <v>44573</v>
      </c>
      <c r="I118" s="7">
        <v>0.50073583103971242</v>
      </c>
    </row>
    <row r="119" spans="6:9" x14ac:dyDescent="0.35">
      <c r="F119" s="5" t="s">
        <v>336</v>
      </c>
      <c r="G119">
        <v>134524</v>
      </c>
      <c r="H119">
        <v>63032</v>
      </c>
      <c r="I119" s="7">
        <v>0.46855579673515507</v>
      </c>
    </row>
    <row r="120" spans="6:9" x14ac:dyDescent="0.35">
      <c r="F120" s="5" t="s">
        <v>400</v>
      </c>
      <c r="G120">
        <v>99705</v>
      </c>
      <c r="H120">
        <v>26397</v>
      </c>
      <c r="I120" s="7">
        <v>0.26475101549571234</v>
      </c>
    </row>
    <row r="121" spans="6:9" x14ac:dyDescent="0.35">
      <c r="F121" s="5" t="s">
        <v>216</v>
      </c>
      <c r="G121">
        <v>103814</v>
      </c>
      <c r="H121">
        <v>30807</v>
      </c>
      <c r="I121" s="7">
        <v>0.29675188317567958</v>
      </c>
    </row>
    <row r="122" spans="6:9" x14ac:dyDescent="0.35">
      <c r="F122" s="5" t="s">
        <v>188</v>
      </c>
      <c r="G122">
        <v>95448</v>
      </c>
      <c r="H122">
        <v>38071</v>
      </c>
      <c r="I122" s="7">
        <v>0.39886639845779903</v>
      </c>
    </row>
    <row r="123" spans="6:9" x14ac:dyDescent="0.35">
      <c r="F123" s="5" t="s">
        <v>296</v>
      </c>
      <c r="G123">
        <v>127380</v>
      </c>
      <c r="H123">
        <v>50172</v>
      </c>
      <c r="I123" s="7">
        <v>0.39387658973151202</v>
      </c>
    </row>
    <row r="124" spans="6:9" x14ac:dyDescent="0.35">
      <c r="F124" s="5" t="s">
        <v>356</v>
      </c>
      <c r="G124">
        <v>101711</v>
      </c>
      <c r="H124">
        <v>50294</v>
      </c>
      <c r="I124" s="7">
        <v>0.49447945649929703</v>
      </c>
    </row>
    <row r="125" spans="6:9" x14ac:dyDescent="0.35">
      <c r="F125" s="5" t="s">
        <v>360</v>
      </c>
      <c r="G125">
        <v>119003</v>
      </c>
      <c r="H125">
        <v>38496</v>
      </c>
      <c r="I125" s="7">
        <v>0.32348764316865963</v>
      </c>
    </row>
    <row r="126" spans="6:9" x14ac:dyDescent="0.35">
      <c r="F126" s="5" t="s">
        <v>372</v>
      </c>
      <c r="G126">
        <v>66118</v>
      </c>
      <c r="H126">
        <v>30871</v>
      </c>
      <c r="I126" s="7">
        <v>0.4669076499591639</v>
      </c>
    </row>
    <row r="127" spans="6:9" x14ac:dyDescent="0.35">
      <c r="F127" s="5" t="s">
        <v>166</v>
      </c>
      <c r="G127">
        <v>146955</v>
      </c>
      <c r="H127">
        <v>57771</v>
      </c>
      <c r="I127" s="7">
        <v>0.39312034296213128</v>
      </c>
    </row>
    <row r="128" spans="6:9" x14ac:dyDescent="0.35">
      <c r="F128" s="5" t="s">
        <v>324</v>
      </c>
      <c r="G128">
        <v>99401</v>
      </c>
      <c r="H128">
        <v>32430</v>
      </c>
      <c r="I128" s="7">
        <v>0.32625426303558314</v>
      </c>
    </row>
    <row r="129" spans="6:9" x14ac:dyDescent="0.35">
      <c r="F129" s="5" t="s">
        <v>230</v>
      </c>
      <c r="G129">
        <v>79663</v>
      </c>
      <c r="H129">
        <v>35202</v>
      </c>
      <c r="I129" s="7">
        <v>0.4418864466565407</v>
      </c>
    </row>
    <row r="130" spans="6:9" x14ac:dyDescent="0.35">
      <c r="F130" s="5" t="s">
        <v>102</v>
      </c>
      <c r="G130">
        <v>111229</v>
      </c>
      <c r="H130">
        <v>34447</v>
      </c>
      <c r="I130" s="7">
        <v>0.30969441422650568</v>
      </c>
    </row>
    <row r="131" spans="6:9" x14ac:dyDescent="0.35">
      <c r="F131" s="5" t="s">
        <v>354</v>
      </c>
      <c r="G131">
        <v>142208</v>
      </c>
      <c r="H131">
        <v>46126</v>
      </c>
      <c r="I131" s="7">
        <v>0.32435587308730873</v>
      </c>
    </row>
    <row r="132" spans="6:9" x14ac:dyDescent="0.35">
      <c r="F132" s="5" t="s">
        <v>200</v>
      </c>
      <c r="G132">
        <v>129655</v>
      </c>
      <c r="H132">
        <v>72004</v>
      </c>
      <c r="I132" s="7">
        <v>0.5553507384983225</v>
      </c>
    </row>
    <row r="133" spans="6:9" x14ac:dyDescent="0.35">
      <c r="F133" s="5" t="s">
        <v>250</v>
      </c>
      <c r="G133">
        <v>79832</v>
      </c>
      <c r="H133">
        <v>35830</v>
      </c>
      <c r="I133" s="7">
        <v>0.448817516785249</v>
      </c>
    </row>
    <row r="134" spans="6:9" x14ac:dyDescent="0.35">
      <c r="F134" s="5" t="s">
        <v>180</v>
      </c>
      <c r="G134">
        <v>204323</v>
      </c>
      <c r="H134">
        <v>81331</v>
      </c>
      <c r="I134" s="7">
        <v>0.39805112493453992</v>
      </c>
    </row>
    <row r="135" spans="6:9" x14ac:dyDescent="0.35">
      <c r="F135" s="5" t="s">
        <v>366</v>
      </c>
      <c r="G135">
        <v>159521</v>
      </c>
      <c r="H135">
        <v>44923</v>
      </c>
      <c r="I135" s="7">
        <v>0.28161182540229812</v>
      </c>
    </row>
    <row r="136" spans="6:9" x14ac:dyDescent="0.35">
      <c r="F136" s="5" t="s">
        <v>106</v>
      </c>
      <c r="G136">
        <v>140531</v>
      </c>
      <c r="H136">
        <v>53611</v>
      </c>
      <c r="I136" s="7">
        <v>0.38148878183461299</v>
      </c>
    </row>
    <row r="137" spans="6:9" x14ac:dyDescent="0.35">
      <c r="F137" s="5" t="s">
        <v>158</v>
      </c>
      <c r="G137">
        <v>414623</v>
      </c>
      <c r="H137">
        <v>168412</v>
      </c>
      <c r="I137" s="7">
        <v>0.40618103674904671</v>
      </c>
    </row>
    <row r="138" spans="6:9" x14ac:dyDescent="0.35">
      <c r="F138" s="5" t="s">
        <v>340</v>
      </c>
      <c r="G138">
        <v>188807</v>
      </c>
      <c r="H138">
        <v>67649</v>
      </c>
      <c r="I138" s="7">
        <v>0.3582970970355972</v>
      </c>
    </row>
    <row r="139" spans="6:9" x14ac:dyDescent="0.35">
      <c r="F139" s="5" t="s">
        <v>45</v>
      </c>
      <c r="G139">
        <v>149153</v>
      </c>
      <c r="H139">
        <v>62008</v>
      </c>
      <c r="I139" s="7">
        <v>0.41573417899740533</v>
      </c>
    </row>
    <row r="140" spans="6:9" x14ac:dyDescent="0.35">
      <c r="F140" s="5" t="s">
        <v>338</v>
      </c>
      <c r="G140">
        <v>173162</v>
      </c>
      <c r="H140">
        <v>71994</v>
      </c>
      <c r="I140" s="7">
        <v>0.41576096372183274</v>
      </c>
    </row>
    <row r="141" spans="6:9" x14ac:dyDescent="0.35">
      <c r="F141" s="5" t="s">
        <v>132</v>
      </c>
      <c r="G141">
        <v>225634</v>
      </c>
      <c r="H141">
        <v>107355</v>
      </c>
      <c r="I141" s="7">
        <v>0.47579265536222376</v>
      </c>
    </row>
    <row r="142" spans="6:9" x14ac:dyDescent="0.35">
      <c r="F142" s="5" t="s">
        <v>182</v>
      </c>
      <c r="G142">
        <v>264994</v>
      </c>
      <c r="H142">
        <v>105620</v>
      </c>
      <c r="I142" s="7">
        <v>0.39857506207687721</v>
      </c>
    </row>
    <row r="143" spans="6:9" x14ac:dyDescent="0.35">
      <c r="F143" s="5" t="s">
        <v>220</v>
      </c>
      <c r="G143">
        <v>108549</v>
      </c>
      <c r="H143">
        <v>42912</v>
      </c>
      <c r="I143" s="7">
        <v>0.39532377083160603</v>
      </c>
    </row>
    <row r="144" spans="6:9" x14ac:dyDescent="0.35">
      <c r="F144" s="5" t="s">
        <v>41</v>
      </c>
      <c r="G144">
        <v>174149</v>
      </c>
      <c r="H144">
        <v>91608</v>
      </c>
      <c r="I144" s="7">
        <v>0.52603230566928316</v>
      </c>
    </row>
    <row r="145" spans="6:9" x14ac:dyDescent="0.35">
      <c r="F145" s="5" t="s">
        <v>414</v>
      </c>
      <c r="G145">
        <v>107510</v>
      </c>
      <c r="H145">
        <v>58793</v>
      </c>
      <c r="I145" s="7">
        <v>0.54686075713887083</v>
      </c>
    </row>
    <row r="146" spans="6:9" x14ac:dyDescent="0.35">
      <c r="F146" s="5" t="s">
        <v>208</v>
      </c>
      <c r="G146">
        <v>321536</v>
      </c>
      <c r="H146">
        <v>124651</v>
      </c>
      <c r="I146" s="7">
        <v>0.38767354199840764</v>
      </c>
    </row>
    <row r="147" spans="6:9" x14ac:dyDescent="0.35">
      <c r="F147" s="5" t="s">
        <v>342</v>
      </c>
      <c r="G147">
        <v>114286</v>
      </c>
      <c r="H147">
        <v>38399</v>
      </c>
      <c r="I147" s="7">
        <v>0.33599041002397495</v>
      </c>
    </row>
    <row r="148" spans="6:9" x14ac:dyDescent="0.35">
      <c r="F148" s="5" t="s">
        <v>190</v>
      </c>
      <c r="G148">
        <v>82707</v>
      </c>
      <c r="H148">
        <v>42544</v>
      </c>
      <c r="I148" s="7">
        <v>0.51439418670729198</v>
      </c>
    </row>
    <row r="149" spans="6:9" x14ac:dyDescent="0.35">
      <c r="F149" s="5" t="s">
        <v>184</v>
      </c>
      <c r="G149">
        <v>100615</v>
      </c>
      <c r="H149">
        <v>29834</v>
      </c>
      <c r="I149" s="7">
        <v>0.29651642399244643</v>
      </c>
    </row>
    <row r="150" spans="6:9" x14ac:dyDescent="0.35">
      <c r="F150" s="5" t="s">
        <v>396</v>
      </c>
      <c r="G150">
        <v>94569</v>
      </c>
      <c r="H150">
        <v>28021</v>
      </c>
      <c r="I150" s="7">
        <v>0.29630217090166966</v>
      </c>
    </row>
    <row r="151" spans="6:9" x14ac:dyDescent="0.35">
      <c r="F151" s="5" t="s">
        <v>412</v>
      </c>
      <c r="G151">
        <v>107773</v>
      </c>
      <c r="H151">
        <v>30575</v>
      </c>
      <c r="I151" s="7">
        <v>0.2836981433197554</v>
      </c>
    </row>
    <row r="152" spans="6:9" x14ac:dyDescent="0.35">
      <c r="F152" s="5" t="s">
        <v>212</v>
      </c>
      <c r="G152">
        <v>94474</v>
      </c>
      <c r="H152">
        <v>50771</v>
      </c>
      <c r="I152" s="7">
        <v>0.53740711730211488</v>
      </c>
    </row>
    <row r="153" spans="6:9" x14ac:dyDescent="0.35">
      <c r="F153" s="5" t="s">
        <v>364</v>
      </c>
      <c r="G153">
        <v>165200</v>
      </c>
      <c r="H153">
        <v>82519</v>
      </c>
      <c r="I153" s="7">
        <v>0.4995096852300242</v>
      </c>
    </row>
    <row r="154" spans="6:9" x14ac:dyDescent="0.35">
      <c r="F154" s="5" t="s">
        <v>66</v>
      </c>
      <c r="G154">
        <v>67550</v>
      </c>
      <c r="H154">
        <v>30653</v>
      </c>
      <c r="I154" s="7">
        <v>0.45378238341968913</v>
      </c>
    </row>
    <row r="155" spans="6:9" x14ac:dyDescent="0.35">
      <c r="F155" s="5" t="s">
        <v>447</v>
      </c>
      <c r="G155">
        <v>20544</v>
      </c>
      <c r="H155">
        <v>10785</v>
      </c>
      <c r="I155" s="7">
        <v>0.52497079439252337</v>
      </c>
    </row>
    <row r="156" spans="6:9" x14ac:dyDescent="0.35">
      <c r="F156" s="5" t="s">
        <v>270</v>
      </c>
      <c r="G156">
        <v>71325</v>
      </c>
      <c r="H156">
        <v>30168</v>
      </c>
      <c r="I156" s="7">
        <v>0.42296529968454261</v>
      </c>
    </row>
    <row r="157" spans="6:9" x14ac:dyDescent="0.35">
      <c r="F157" s="5" t="s">
        <v>94</v>
      </c>
      <c r="G157">
        <v>131972</v>
      </c>
      <c r="H157">
        <v>68086</v>
      </c>
      <c r="I157" s="7">
        <v>0.51591246628072618</v>
      </c>
    </row>
    <row r="158" spans="6:9" x14ac:dyDescent="0.35">
      <c r="F158" s="5" t="s">
        <v>458</v>
      </c>
      <c r="G158">
        <v>16743700</v>
      </c>
      <c r="H158">
        <v>6604228</v>
      </c>
      <c r="I158" s="7">
        <v>0.39443062166665671</v>
      </c>
    </row>
  </sheetData>
  <conditionalFormatting pivot="1" sqref="B4:B15">
    <cfRule type="cellIs" dxfId="1" priority="4" operator="greaterThan">
      <formula>0.24</formula>
    </cfRule>
  </conditionalFormatting>
  <conditionalFormatting pivot="1" sqref="B4:B15">
    <cfRule type="cellIs" dxfId="0" priority="3" operator="lessThan">
      <formula>0.24</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A2989-BD00-4240-926A-4CFFCC6B5986}">
  <dimension ref="A3:E28"/>
  <sheetViews>
    <sheetView topLeftCell="A30" workbookViewId="0">
      <selection activeCell="A3" sqref="A3:D8"/>
    </sheetView>
  </sheetViews>
  <sheetFormatPr defaultRowHeight="14.5" x14ac:dyDescent="0.35"/>
  <cols>
    <col min="1" max="1" width="12.36328125" bestFit="1" customWidth="1"/>
    <col min="2" max="2" width="21.6328125" bestFit="1" customWidth="1"/>
    <col min="3" max="3" width="20.54296875" bestFit="1" customWidth="1"/>
    <col min="4" max="4" width="18.54296875" bestFit="1" customWidth="1"/>
  </cols>
  <sheetData>
    <row r="3" spans="1:5" x14ac:dyDescent="0.35">
      <c r="A3" s="4" t="s">
        <v>457</v>
      </c>
      <c r="B3" t="s">
        <v>462</v>
      </c>
      <c r="C3" t="s">
        <v>461</v>
      </c>
      <c r="D3" t="s">
        <v>464</v>
      </c>
      <c r="E3" s="10">
        <f>(C7 - C4) / C4</f>
        <v>0.1817574652534279</v>
      </c>
    </row>
    <row r="4" spans="1:5" x14ac:dyDescent="0.35">
      <c r="A4" s="5" t="s">
        <v>435</v>
      </c>
      <c r="B4">
        <v>6650171</v>
      </c>
      <c r="C4">
        <v>149727</v>
      </c>
      <c r="D4" s="7">
        <v>2.2514759394908792E-2</v>
      </c>
    </row>
    <row r="5" spans="1:5" x14ac:dyDescent="0.35">
      <c r="A5" s="5" t="s">
        <v>18</v>
      </c>
      <c r="B5">
        <v>6715958</v>
      </c>
      <c r="C5">
        <v>134204</v>
      </c>
      <c r="D5" s="7">
        <v>1.9982852781390236E-2</v>
      </c>
    </row>
    <row r="6" spans="1:5" x14ac:dyDescent="0.35">
      <c r="A6" s="5" t="s">
        <v>427</v>
      </c>
      <c r="B6">
        <v>6619512</v>
      </c>
      <c r="C6">
        <v>110059</v>
      </c>
      <c r="D6" s="7">
        <v>1.6626452221855628E-2</v>
      </c>
    </row>
    <row r="7" spans="1:5" x14ac:dyDescent="0.35">
      <c r="A7" s="5" t="s">
        <v>444</v>
      </c>
      <c r="B7">
        <v>6374899</v>
      </c>
      <c r="C7">
        <v>176941</v>
      </c>
      <c r="D7" s="7">
        <v>2.7755890720778477E-2</v>
      </c>
    </row>
    <row r="8" spans="1:5" x14ac:dyDescent="0.35">
      <c r="A8" s="5" t="s">
        <v>458</v>
      </c>
      <c r="B8">
        <v>26360540</v>
      </c>
      <c r="C8">
        <v>570931</v>
      </c>
      <c r="D8" s="7">
        <v>2.1658547207303036E-2</v>
      </c>
    </row>
    <row r="28" spans="2:2" x14ac:dyDescent="0.35">
      <c r="B28" s="6"/>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6367-72E5-4228-A7F9-510DD879BDD0}">
  <dimension ref="A1:R2386"/>
  <sheetViews>
    <sheetView topLeftCell="A2" workbookViewId="0">
      <selection activeCell="B11" sqref="B11"/>
    </sheetView>
  </sheetViews>
  <sheetFormatPr defaultRowHeight="14.5" x14ac:dyDescent="0.35"/>
  <cols>
    <col min="1" max="1" width="14.6328125" bestFit="1" customWidth="1"/>
    <col min="2" max="2" width="11.36328125" bestFit="1" customWidth="1"/>
    <col min="3" max="3" width="38.36328125" bestFit="1" customWidth="1"/>
    <col min="4" max="4" width="62.453125" customWidth="1"/>
    <col min="5" max="5" width="16.7265625" bestFit="1" customWidth="1"/>
    <col min="6" max="6" width="23.7265625" bestFit="1" customWidth="1"/>
    <col min="7" max="7" width="19.7265625" bestFit="1" customWidth="1"/>
    <col min="8" max="8" width="13.7265625" bestFit="1" customWidth="1"/>
    <col min="9" max="9" width="17.54296875" bestFit="1" customWidth="1"/>
    <col min="10" max="10" width="14.7265625" bestFit="1" customWidth="1"/>
    <col min="11" max="11" width="16.453125" style="1" bestFit="1" customWidth="1"/>
    <col min="12" max="12" width="13.81640625" bestFit="1" customWidth="1"/>
    <col min="13" max="13" width="15.1796875" bestFit="1" customWidth="1"/>
    <col min="14" max="14" width="9.7265625" bestFit="1" customWidth="1"/>
    <col min="15" max="15" width="9" bestFit="1" customWidth="1"/>
    <col min="17" max="17" width="8.7265625" style="3"/>
  </cols>
  <sheetData>
    <row r="1" spans="1:18" x14ac:dyDescent="0.35">
      <c r="A1" t="s">
        <v>0</v>
      </c>
      <c r="B1" t="s">
        <v>1</v>
      </c>
      <c r="C1" t="s">
        <v>2</v>
      </c>
      <c r="D1" t="s">
        <v>3</v>
      </c>
      <c r="E1" t="s">
        <v>4</v>
      </c>
      <c r="F1" t="s">
        <v>5</v>
      </c>
      <c r="G1" t="s">
        <v>6</v>
      </c>
      <c r="H1" t="s">
        <v>7</v>
      </c>
      <c r="I1" t="s">
        <v>8</v>
      </c>
      <c r="J1" t="s">
        <v>9</v>
      </c>
      <c r="K1" s="1" t="s">
        <v>10</v>
      </c>
      <c r="L1" t="s">
        <v>11</v>
      </c>
      <c r="M1" t="s">
        <v>12</v>
      </c>
      <c r="N1" t="s">
        <v>455</v>
      </c>
      <c r="O1" t="s">
        <v>454</v>
      </c>
      <c r="P1" t="s">
        <v>471</v>
      </c>
      <c r="Q1" s="3" t="s">
        <v>456</v>
      </c>
      <c r="R1" t="s">
        <v>472</v>
      </c>
    </row>
    <row r="2" spans="1:18" x14ac:dyDescent="0.35">
      <c r="A2" t="s">
        <v>13</v>
      </c>
      <c r="B2" t="s">
        <v>14</v>
      </c>
      <c r="C2" t="s">
        <v>15</v>
      </c>
      <c r="D2" t="s">
        <v>16</v>
      </c>
      <c r="E2">
        <v>0</v>
      </c>
      <c r="F2">
        <v>2350</v>
      </c>
      <c r="G2">
        <v>0</v>
      </c>
      <c r="H2">
        <v>0</v>
      </c>
      <c r="I2">
        <v>0</v>
      </c>
      <c r="J2">
        <v>0</v>
      </c>
      <c r="K2" s="1">
        <v>45748</v>
      </c>
      <c r="L2" t="s">
        <v>17</v>
      </c>
      <c r="M2" t="s">
        <v>18</v>
      </c>
      <c r="N2" s="2">
        <f>IFERROR(NHS_A_E[[#This Row],[T1_Over4hrs]]/NHS_A_E[[#This Row],[T1_Attendances]], 0)</f>
        <v>0</v>
      </c>
      <c r="O2">
        <f>NHS_A_E[[#This Row],[T1_Attendances]]+NHS_A_E[[#This Row],[Other_Attendances]]</f>
        <v>2350</v>
      </c>
      <c r="P2">
        <f>MATCH(LEFT(A2,FIND("-",A2)-1),{"April","May","June","July","August","September","October","November","December","January","February","March"},0)</f>
        <v>1</v>
      </c>
      <c r="Q2" s="3">
        <f t="shared" ref="Q2:Q65" si="0">IFERROR(J2/E2,0)</f>
        <v>0</v>
      </c>
      <c r="R2" t="str">
        <f t="shared" ref="R2:R65" si="1">TEXT(A2, "mmmm")</f>
        <v>April</v>
      </c>
    </row>
    <row r="3" spans="1:18" x14ac:dyDescent="0.35">
      <c r="A3" t="s">
        <v>13</v>
      </c>
      <c r="B3" t="s">
        <v>19</v>
      </c>
      <c r="C3" t="s">
        <v>20</v>
      </c>
      <c r="D3" t="s">
        <v>21</v>
      </c>
      <c r="E3">
        <v>8660</v>
      </c>
      <c r="F3">
        <v>0</v>
      </c>
      <c r="G3">
        <v>3622</v>
      </c>
      <c r="H3">
        <v>0</v>
      </c>
      <c r="I3">
        <v>778</v>
      </c>
      <c r="J3">
        <v>120</v>
      </c>
      <c r="K3" s="1">
        <v>45748</v>
      </c>
      <c r="L3" t="s">
        <v>17</v>
      </c>
      <c r="M3" t="s">
        <v>18</v>
      </c>
      <c r="N3" s="2">
        <f>IFERROR(NHS_A_E[[#This Row],[T1_Over4hrs]]/NHS_A_E[[#This Row],[T1_Attendances]], 0)</f>
        <v>0.4182448036951501</v>
      </c>
      <c r="O3">
        <f>NHS_A_E[[#This Row],[T1_Attendances]]+NHS_A_E[[#This Row],[Other_Attendances]]</f>
        <v>8660</v>
      </c>
      <c r="P3">
        <f>MATCH(LEFT(A3,FIND("-",A3)-1),{"April","May","June","July","August","September","October","November","December","January","February","March"},0)</f>
        <v>1</v>
      </c>
      <c r="Q3" s="3">
        <f t="shared" si="0"/>
        <v>1.3856812933025405E-2</v>
      </c>
      <c r="R3" t="str">
        <f t="shared" si="1"/>
        <v>April</v>
      </c>
    </row>
    <row r="4" spans="1:18" x14ac:dyDescent="0.35">
      <c r="A4" t="s">
        <v>13</v>
      </c>
      <c r="B4" t="s">
        <v>22</v>
      </c>
      <c r="C4" t="s">
        <v>23</v>
      </c>
      <c r="D4" t="s">
        <v>24</v>
      </c>
      <c r="E4">
        <v>11291</v>
      </c>
      <c r="F4">
        <v>13576</v>
      </c>
      <c r="G4">
        <v>5453</v>
      </c>
      <c r="H4">
        <v>329</v>
      </c>
      <c r="I4">
        <v>1139</v>
      </c>
      <c r="J4">
        <v>589</v>
      </c>
      <c r="K4" s="1">
        <v>45748</v>
      </c>
      <c r="L4" t="s">
        <v>17</v>
      </c>
      <c r="M4" t="s">
        <v>18</v>
      </c>
      <c r="N4" s="2">
        <f>IFERROR(NHS_A_E[[#This Row],[T1_Over4hrs]]/NHS_A_E[[#This Row],[T1_Attendances]], 0)</f>
        <v>0.48295102293862369</v>
      </c>
      <c r="O4">
        <f>NHS_A_E[[#This Row],[T1_Attendances]]+NHS_A_E[[#This Row],[Other_Attendances]]</f>
        <v>24867</v>
      </c>
      <c r="P4">
        <f>MATCH(LEFT(A4,FIND("-",A4)-1),{"April","May","June","July","August","September","October","November","December","January","February","March"},0)</f>
        <v>1</v>
      </c>
      <c r="Q4" s="3">
        <f t="shared" si="0"/>
        <v>5.2165441502081307E-2</v>
      </c>
      <c r="R4" t="str">
        <f t="shared" si="1"/>
        <v>April</v>
      </c>
    </row>
    <row r="5" spans="1:18" x14ac:dyDescent="0.35">
      <c r="A5" t="s">
        <v>13</v>
      </c>
      <c r="B5" t="s">
        <v>25</v>
      </c>
      <c r="C5" t="s">
        <v>15</v>
      </c>
      <c r="D5" t="s">
        <v>26</v>
      </c>
      <c r="E5">
        <v>0</v>
      </c>
      <c r="F5">
        <v>11779</v>
      </c>
      <c r="G5">
        <v>0</v>
      </c>
      <c r="H5">
        <v>132</v>
      </c>
      <c r="I5">
        <v>0</v>
      </c>
      <c r="J5">
        <v>0</v>
      </c>
      <c r="K5" s="1">
        <v>45748</v>
      </c>
      <c r="L5" t="s">
        <v>17</v>
      </c>
      <c r="M5" t="s">
        <v>18</v>
      </c>
      <c r="N5" s="2">
        <f>IFERROR(NHS_A_E[[#This Row],[T1_Over4hrs]]/NHS_A_E[[#This Row],[T1_Attendances]], 0)</f>
        <v>0</v>
      </c>
      <c r="O5">
        <f>NHS_A_E[[#This Row],[T1_Attendances]]+NHS_A_E[[#This Row],[Other_Attendances]]</f>
        <v>11779</v>
      </c>
      <c r="P5">
        <f>MATCH(LEFT(A5,FIND("-",A5)-1),{"April","May","June","July","August","September","October","November","December","January","February","March"},0)</f>
        <v>1</v>
      </c>
      <c r="Q5" s="3">
        <f t="shared" si="0"/>
        <v>0</v>
      </c>
      <c r="R5" t="str">
        <f t="shared" si="1"/>
        <v>April</v>
      </c>
    </row>
    <row r="6" spans="1:18" x14ac:dyDescent="0.35">
      <c r="A6" t="s">
        <v>13</v>
      </c>
      <c r="B6" t="s">
        <v>27</v>
      </c>
      <c r="C6" t="s">
        <v>20</v>
      </c>
      <c r="D6" t="s">
        <v>28</v>
      </c>
      <c r="E6">
        <v>6767</v>
      </c>
      <c r="F6">
        <v>12428</v>
      </c>
      <c r="G6">
        <v>3415</v>
      </c>
      <c r="H6">
        <v>567</v>
      </c>
      <c r="I6">
        <v>777</v>
      </c>
      <c r="J6">
        <v>457</v>
      </c>
      <c r="K6" s="1">
        <v>45748</v>
      </c>
      <c r="L6" t="s">
        <v>17</v>
      </c>
      <c r="M6" t="s">
        <v>18</v>
      </c>
      <c r="N6" s="2">
        <f>IFERROR(NHS_A_E[[#This Row],[T1_Over4hrs]]/NHS_A_E[[#This Row],[T1_Attendances]], 0)</f>
        <v>0.50465494310625092</v>
      </c>
      <c r="O6">
        <f>NHS_A_E[[#This Row],[T1_Attendances]]+NHS_A_E[[#This Row],[Other_Attendances]]</f>
        <v>19195</v>
      </c>
      <c r="P6">
        <f>MATCH(LEFT(A6,FIND("-",A6)-1),{"April","May","June","July","August","September","October","November","December","January","February","March"},0)</f>
        <v>1</v>
      </c>
      <c r="Q6" s="3">
        <f t="shared" si="0"/>
        <v>6.7533619033545142E-2</v>
      </c>
      <c r="R6" t="str">
        <f t="shared" si="1"/>
        <v>April</v>
      </c>
    </row>
    <row r="7" spans="1:18" x14ac:dyDescent="0.35">
      <c r="A7" t="s">
        <v>13</v>
      </c>
      <c r="B7" t="s">
        <v>29</v>
      </c>
      <c r="C7" t="s">
        <v>30</v>
      </c>
      <c r="D7" t="s">
        <v>31</v>
      </c>
      <c r="E7">
        <v>15728</v>
      </c>
      <c r="F7">
        <v>7763</v>
      </c>
      <c r="G7">
        <v>8092</v>
      </c>
      <c r="H7">
        <v>173</v>
      </c>
      <c r="I7">
        <v>1799</v>
      </c>
      <c r="J7">
        <v>818</v>
      </c>
      <c r="K7" s="1">
        <v>45748</v>
      </c>
      <c r="L7" t="s">
        <v>17</v>
      </c>
      <c r="M7" t="s">
        <v>18</v>
      </c>
      <c r="N7" s="2">
        <f>IFERROR(NHS_A_E[[#This Row],[T1_Over4hrs]]/NHS_A_E[[#This Row],[T1_Attendances]], 0)</f>
        <v>0.51449643947100709</v>
      </c>
      <c r="O7">
        <f>NHS_A_E[[#This Row],[T1_Attendances]]+NHS_A_E[[#This Row],[Other_Attendances]]</f>
        <v>23491</v>
      </c>
      <c r="P7">
        <f>MATCH(LEFT(A7,FIND("-",A7)-1),{"April","May","June","July","August","September","October","November","December","January","February","March"},0)</f>
        <v>1</v>
      </c>
      <c r="Q7" s="3">
        <f t="shared" si="0"/>
        <v>5.2009155645981686E-2</v>
      </c>
      <c r="R7" t="str">
        <f t="shared" si="1"/>
        <v>April</v>
      </c>
    </row>
    <row r="8" spans="1:18" x14ac:dyDescent="0.35">
      <c r="A8" t="s">
        <v>13</v>
      </c>
      <c r="B8" t="s">
        <v>32</v>
      </c>
      <c r="C8" t="s">
        <v>30</v>
      </c>
      <c r="D8" t="s">
        <v>33</v>
      </c>
      <c r="E8">
        <v>0</v>
      </c>
      <c r="F8">
        <v>0</v>
      </c>
      <c r="G8">
        <v>0</v>
      </c>
      <c r="H8">
        <v>0</v>
      </c>
      <c r="I8">
        <v>0</v>
      </c>
      <c r="J8">
        <v>0</v>
      </c>
      <c r="K8" s="1">
        <v>45748</v>
      </c>
      <c r="L8" t="s">
        <v>17</v>
      </c>
      <c r="M8" t="s">
        <v>18</v>
      </c>
      <c r="N8" s="2">
        <f>IFERROR(NHS_A_E[[#This Row],[T1_Over4hrs]]/NHS_A_E[[#This Row],[T1_Attendances]], 0)</f>
        <v>0</v>
      </c>
      <c r="O8">
        <f>NHS_A_E[[#This Row],[T1_Attendances]]+NHS_A_E[[#This Row],[Other_Attendances]]</f>
        <v>0</v>
      </c>
      <c r="P8">
        <f>MATCH(LEFT(A8,FIND("-",A8)-1),{"April","May","June","July","August","September","October","November","December","January","February","March"},0)</f>
        <v>1</v>
      </c>
      <c r="Q8" s="3">
        <f t="shared" si="0"/>
        <v>0</v>
      </c>
      <c r="R8" t="str">
        <f t="shared" si="1"/>
        <v>April</v>
      </c>
    </row>
    <row r="9" spans="1:18" x14ac:dyDescent="0.35">
      <c r="A9" t="s">
        <v>13</v>
      </c>
      <c r="B9" t="s">
        <v>34</v>
      </c>
      <c r="C9" t="s">
        <v>35</v>
      </c>
      <c r="D9" t="s">
        <v>36</v>
      </c>
      <c r="E9">
        <v>13402</v>
      </c>
      <c r="F9">
        <v>14066</v>
      </c>
      <c r="G9">
        <v>5899</v>
      </c>
      <c r="H9">
        <v>197</v>
      </c>
      <c r="I9">
        <v>713</v>
      </c>
      <c r="J9">
        <v>795</v>
      </c>
      <c r="K9" s="1">
        <v>45748</v>
      </c>
      <c r="L9" t="s">
        <v>17</v>
      </c>
      <c r="M9" t="s">
        <v>18</v>
      </c>
      <c r="N9" s="2">
        <f>IFERROR(NHS_A_E[[#This Row],[T1_Over4hrs]]/NHS_A_E[[#This Row],[T1_Attendances]], 0)</f>
        <v>0.4401581853454708</v>
      </c>
      <c r="O9">
        <f>NHS_A_E[[#This Row],[T1_Attendances]]+NHS_A_E[[#This Row],[Other_Attendances]]</f>
        <v>27468</v>
      </c>
      <c r="P9">
        <f>MATCH(LEFT(A9,FIND("-",A9)-1),{"April","May","June","July","August","September","October","November","December","January","February","March"},0)</f>
        <v>1</v>
      </c>
      <c r="Q9" s="3">
        <f t="shared" si="0"/>
        <v>5.9319504551559467E-2</v>
      </c>
      <c r="R9" t="str">
        <f t="shared" si="1"/>
        <v>April</v>
      </c>
    </row>
    <row r="10" spans="1:18" x14ac:dyDescent="0.35">
      <c r="A10" t="s">
        <v>13</v>
      </c>
      <c r="B10" t="s">
        <v>37</v>
      </c>
      <c r="C10" t="s">
        <v>35</v>
      </c>
      <c r="D10" t="s">
        <v>38</v>
      </c>
      <c r="E10">
        <v>15481</v>
      </c>
      <c r="F10">
        <v>9128</v>
      </c>
      <c r="G10">
        <v>8235</v>
      </c>
      <c r="H10">
        <v>265</v>
      </c>
      <c r="I10">
        <v>1279</v>
      </c>
      <c r="J10">
        <v>778</v>
      </c>
      <c r="K10" s="1">
        <v>45748</v>
      </c>
      <c r="L10" t="s">
        <v>17</v>
      </c>
      <c r="M10" t="s">
        <v>18</v>
      </c>
      <c r="N10" s="2">
        <f>IFERROR(NHS_A_E[[#This Row],[T1_Over4hrs]]/NHS_A_E[[#This Row],[T1_Attendances]], 0)</f>
        <v>0.53194238098314062</v>
      </c>
      <c r="O10">
        <f>NHS_A_E[[#This Row],[T1_Attendances]]+NHS_A_E[[#This Row],[Other_Attendances]]</f>
        <v>24609</v>
      </c>
      <c r="P10">
        <f>MATCH(LEFT(A10,FIND("-",A10)-1),{"April","May","June","July","August","September","October","November","December","January","February","March"},0)</f>
        <v>1</v>
      </c>
      <c r="Q10" s="3">
        <f t="shared" si="0"/>
        <v>5.0255151476002839E-2</v>
      </c>
      <c r="R10" t="str">
        <f t="shared" si="1"/>
        <v>April</v>
      </c>
    </row>
    <row r="11" spans="1:18" x14ac:dyDescent="0.35">
      <c r="A11" t="s">
        <v>13</v>
      </c>
      <c r="B11" t="s">
        <v>39</v>
      </c>
      <c r="C11" t="s">
        <v>40</v>
      </c>
      <c r="D11" t="s">
        <v>41</v>
      </c>
      <c r="E11">
        <v>13944</v>
      </c>
      <c r="F11">
        <v>8487</v>
      </c>
      <c r="G11">
        <v>7686</v>
      </c>
      <c r="H11">
        <v>239</v>
      </c>
      <c r="I11">
        <v>1119</v>
      </c>
      <c r="J11">
        <v>930</v>
      </c>
      <c r="K11" s="1">
        <v>45748</v>
      </c>
      <c r="L11" t="s">
        <v>17</v>
      </c>
      <c r="M11" t="s">
        <v>18</v>
      </c>
      <c r="N11" s="2">
        <f>IFERROR(NHS_A_E[[#This Row],[T1_Over4hrs]]/NHS_A_E[[#This Row],[T1_Attendances]], 0)</f>
        <v>0.5512048192771084</v>
      </c>
      <c r="O11">
        <f>NHS_A_E[[#This Row],[T1_Attendances]]+NHS_A_E[[#This Row],[Other_Attendances]]</f>
        <v>22431</v>
      </c>
      <c r="P11">
        <f>MATCH(LEFT(A11,FIND("-",A11)-1),{"April","May","June","July","August","September","October","November","December","January","February","March"},0)</f>
        <v>1</v>
      </c>
      <c r="Q11" s="3">
        <f t="shared" si="0"/>
        <v>6.6695352839931152E-2</v>
      </c>
      <c r="R11" t="str">
        <f t="shared" si="1"/>
        <v>April</v>
      </c>
    </row>
    <row r="12" spans="1:18" x14ac:dyDescent="0.35">
      <c r="A12" t="s">
        <v>13</v>
      </c>
      <c r="B12" t="s">
        <v>42</v>
      </c>
      <c r="C12" t="s">
        <v>40</v>
      </c>
      <c r="D12" t="s">
        <v>43</v>
      </c>
      <c r="E12">
        <v>10304</v>
      </c>
      <c r="F12">
        <v>5724</v>
      </c>
      <c r="G12">
        <v>3312</v>
      </c>
      <c r="H12">
        <v>306</v>
      </c>
      <c r="I12">
        <v>476</v>
      </c>
      <c r="J12">
        <v>105</v>
      </c>
      <c r="K12" s="1">
        <v>45748</v>
      </c>
      <c r="L12" t="s">
        <v>17</v>
      </c>
      <c r="M12" t="s">
        <v>18</v>
      </c>
      <c r="N12" s="2">
        <f>IFERROR(NHS_A_E[[#This Row],[T1_Over4hrs]]/NHS_A_E[[#This Row],[T1_Attendances]], 0)</f>
        <v>0.32142857142857145</v>
      </c>
      <c r="O12">
        <f>NHS_A_E[[#This Row],[T1_Attendances]]+NHS_A_E[[#This Row],[Other_Attendances]]</f>
        <v>16028</v>
      </c>
      <c r="P12">
        <f>MATCH(LEFT(A12,FIND("-",A12)-1),{"April","May","June","July","August","September","October","November","December","January","February","March"},0)</f>
        <v>1</v>
      </c>
      <c r="Q12" s="3">
        <f t="shared" si="0"/>
        <v>1.0190217391304348E-2</v>
      </c>
      <c r="R12" t="str">
        <f t="shared" si="1"/>
        <v>April</v>
      </c>
    </row>
    <row r="13" spans="1:18" x14ac:dyDescent="0.35">
      <c r="A13" t="s">
        <v>13</v>
      </c>
      <c r="B13" t="s">
        <v>44</v>
      </c>
      <c r="C13" t="s">
        <v>40</v>
      </c>
      <c r="D13" t="s">
        <v>45</v>
      </c>
      <c r="E13">
        <v>11718</v>
      </c>
      <c r="F13">
        <v>6014</v>
      </c>
      <c r="G13">
        <v>4898</v>
      </c>
      <c r="H13">
        <v>175</v>
      </c>
      <c r="I13">
        <v>70</v>
      </c>
      <c r="J13">
        <v>29</v>
      </c>
      <c r="K13" s="1">
        <v>45748</v>
      </c>
      <c r="L13" t="s">
        <v>17</v>
      </c>
      <c r="M13" t="s">
        <v>18</v>
      </c>
      <c r="N13" s="2">
        <f>IFERROR(NHS_A_E[[#This Row],[T1_Over4hrs]]/NHS_A_E[[#This Row],[T1_Attendances]], 0)</f>
        <v>0.41798941798941797</v>
      </c>
      <c r="O13">
        <f>NHS_A_E[[#This Row],[T1_Attendances]]+NHS_A_E[[#This Row],[Other_Attendances]]</f>
        <v>17732</v>
      </c>
      <c r="P13">
        <f>MATCH(LEFT(A13,FIND("-",A13)-1),{"April","May","June","July","August","September","October","November","December","January","February","March"},0)</f>
        <v>1</v>
      </c>
      <c r="Q13" s="3">
        <f t="shared" si="0"/>
        <v>2.4748250554702169E-3</v>
      </c>
      <c r="R13" t="str">
        <f t="shared" si="1"/>
        <v>April</v>
      </c>
    </row>
    <row r="14" spans="1:18" x14ac:dyDescent="0.35">
      <c r="A14" t="s">
        <v>13</v>
      </c>
      <c r="B14" t="s">
        <v>46</v>
      </c>
      <c r="C14" t="s">
        <v>40</v>
      </c>
      <c r="D14" t="s">
        <v>47</v>
      </c>
      <c r="E14">
        <v>0</v>
      </c>
      <c r="F14">
        <v>0</v>
      </c>
      <c r="G14">
        <v>0</v>
      </c>
      <c r="H14">
        <v>0</v>
      </c>
      <c r="I14">
        <v>0</v>
      </c>
      <c r="J14">
        <v>0</v>
      </c>
      <c r="K14" s="1">
        <v>45748</v>
      </c>
      <c r="L14" t="s">
        <v>17</v>
      </c>
      <c r="M14" t="s">
        <v>18</v>
      </c>
      <c r="N14" s="2">
        <f>IFERROR(NHS_A_E[[#This Row],[T1_Over4hrs]]/NHS_A_E[[#This Row],[T1_Attendances]], 0)</f>
        <v>0</v>
      </c>
      <c r="O14">
        <f>NHS_A_E[[#This Row],[T1_Attendances]]+NHS_A_E[[#This Row],[Other_Attendances]]</f>
        <v>0</v>
      </c>
      <c r="P14">
        <f>MATCH(LEFT(A14,FIND("-",A14)-1),{"April","May","June","July","August","September","October","November","December","January","February","March"},0)</f>
        <v>1</v>
      </c>
      <c r="Q14" s="3">
        <f t="shared" si="0"/>
        <v>0</v>
      </c>
      <c r="R14" t="str">
        <f t="shared" si="1"/>
        <v>April</v>
      </c>
    </row>
    <row r="15" spans="1:18" x14ac:dyDescent="0.35">
      <c r="A15" t="s">
        <v>13</v>
      </c>
      <c r="B15" t="s">
        <v>48</v>
      </c>
      <c r="C15" t="s">
        <v>40</v>
      </c>
      <c r="D15" t="s">
        <v>49</v>
      </c>
      <c r="E15">
        <v>6867</v>
      </c>
      <c r="F15">
        <v>1611</v>
      </c>
      <c r="G15">
        <v>2312</v>
      </c>
      <c r="H15">
        <v>23</v>
      </c>
      <c r="I15">
        <v>401</v>
      </c>
      <c r="J15">
        <v>307</v>
      </c>
      <c r="K15" s="1">
        <v>45748</v>
      </c>
      <c r="L15" t="s">
        <v>17</v>
      </c>
      <c r="M15" t="s">
        <v>18</v>
      </c>
      <c r="N15" s="2">
        <f>IFERROR(NHS_A_E[[#This Row],[T1_Over4hrs]]/NHS_A_E[[#This Row],[T1_Attendances]], 0)</f>
        <v>0.3366826853065385</v>
      </c>
      <c r="O15">
        <f>NHS_A_E[[#This Row],[T1_Attendances]]+NHS_A_E[[#This Row],[Other_Attendances]]</f>
        <v>8478</v>
      </c>
      <c r="P15">
        <f>MATCH(LEFT(A15,FIND("-",A15)-1),{"April","May","June","July","August","September","October","November","December","January","February","March"},0)</f>
        <v>1</v>
      </c>
      <c r="Q15" s="3">
        <f t="shared" si="0"/>
        <v>4.4706567642347456E-2</v>
      </c>
      <c r="R15" t="str">
        <f t="shared" si="1"/>
        <v>April</v>
      </c>
    </row>
    <row r="16" spans="1:18" x14ac:dyDescent="0.35">
      <c r="A16" t="s">
        <v>13</v>
      </c>
      <c r="B16" t="s">
        <v>50</v>
      </c>
      <c r="C16" t="s">
        <v>15</v>
      </c>
      <c r="D16" t="s">
        <v>51</v>
      </c>
      <c r="E16">
        <v>11082</v>
      </c>
      <c r="F16">
        <v>4063</v>
      </c>
      <c r="G16">
        <v>3911</v>
      </c>
      <c r="H16">
        <v>22</v>
      </c>
      <c r="I16">
        <v>458</v>
      </c>
      <c r="J16">
        <v>525</v>
      </c>
      <c r="K16" s="1">
        <v>45748</v>
      </c>
      <c r="L16" t="s">
        <v>17</v>
      </c>
      <c r="M16" t="s">
        <v>18</v>
      </c>
      <c r="N16" s="2">
        <f>IFERROR(NHS_A_E[[#This Row],[T1_Over4hrs]]/NHS_A_E[[#This Row],[T1_Attendances]], 0)</f>
        <v>0.35291463634722975</v>
      </c>
      <c r="O16">
        <f>NHS_A_E[[#This Row],[T1_Attendances]]+NHS_A_E[[#This Row],[Other_Attendances]]</f>
        <v>15145</v>
      </c>
      <c r="P16">
        <f>MATCH(LEFT(A16,FIND("-",A16)-1),{"April","May","June","July","August","September","October","November","December","January","February","March"},0)</f>
        <v>1</v>
      </c>
      <c r="Q16" s="3">
        <f t="shared" si="0"/>
        <v>4.7374120194910663E-2</v>
      </c>
      <c r="R16" t="str">
        <f t="shared" si="1"/>
        <v>April</v>
      </c>
    </row>
    <row r="17" spans="1:18" x14ac:dyDescent="0.35">
      <c r="A17" t="s">
        <v>13</v>
      </c>
      <c r="B17" t="s">
        <v>52</v>
      </c>
      <c r="C17" t="s">
        <v>40</v>
      </c>
      <c r="D17" t="s">
        <v>53</v>
      </c>
      <c r="E17">
        <v>9964</v>
      </c>
      <c r="F17">
        <v>2168</v>
      </c>
      <c r="G17">
        <v>4211</v>
      </c>
      <c r="H17">
        <v>88</v>
      </c>
      <c r="I17">
        <v>712</v>
      </c>
      <c r="J17">
        <v>667</v>
      </c>
      <c r="K17" s="1">
        <v>45748</v>
      </c>
      <c r="L17" t="s">
        <v>17</v>
      </c>
      <c r="M17" t="s">
        <v>18</v>
      </c>
      <c r="N17" s="2">
        <f>IFERROR(NHS_A_E[[#This Row],[T1_Over4hrs]]/NHS_A_E[[#This Row],[T1_Attendances]], 0)</f>
        <v>0.42262143717382578</v>
      </c>
      <c r="O17">
        <f>NHS_A_E[[#This Row],[T1_Attendances]]+NHS_A_E[[#This Row],[Other_Attendances]]</f>
        <v>12132</v>
      </c>
      <c r="P17">
        <f>MATCH(LEFT(A17,FIND("-",A17)-1),{"April","May","June","July","August","September","October","November","December","January","February","March"},0)</f>
        <v>1</v>
      </c>
      <c r="Q17" s="3">
        <f t="shared" si="0"/>
        <v>6.6940987555198714E-2</v>
      </c>
      <c r="R17" t="str">
        <f t="shared" si="1"/>
        <v>April</v>
      </c>
    </row>
    <row r="18" spans="1:18" x14ac:dyDescent="0.35">
      <c r="A18" t="s">
        <v>13</v>
      </c>
      <c r="B18" t="s">
        <v>54</v>
      </c>
      <c r="C18" t="s">
        <v>15</v>
      </c>
      <c r="D18" t="s">
        <v>55</v>
      </c>
      <c r="E18">
        <v>0</v>
      </c>
      <c r="F18">
        <v>4227</v>
      </c>
      <c r="G18">
        <v>0</v>
      </c>
      <c r="H18">
        <v>292</v>
      </c>
      <c r="I18">
        <v>0</v>
      </c>
      <c r="J18">
        <v>0</v>
      </c>
      <c r="K18" s="1">
        <v>45748</v>
      </c>
      <c r="L18" t="s">
        <v>17</v>
      </c>
      <c r="M18" t="s">
        <v>18</v>
      </c>
      <c r="N18" s="2">
        <f>IFERROR(NHS_A_E[[#This Row],[T1_Over4hrs]]/NHS_A_E[[#This Row],[T1_Attendances]], 0)</f>
        <v>0</v>
      </c>
      <c r="O18">
        <f>NHS_A_E[[#This Row],[T1_Attendances]]+NHS_A_E[[#This Row],[Other_Attendances]]</f>
        <v>4227</v>
      </c>
      <c r="P18">
        <f>MATCH(LEFT(A18,FIND("-",A18)-1),{"April","May","June","July","August","September","October","November","December","January","February","March"},0)</f>
        <v>1</v>
      </c>
      <c r="Q18" s="3">
        <f t="shared" si="0"/>
        <v>0</v>
      </c>
      <c r="R18" t="str">
        <f t="shared" si="1"/>
        <v>April</v>
      </c>
    </row>
    <row r="19" spans="1:18" x14ac:dyDescent="0.35">
      <c r="A19" t="s">
        <v>13</v>
      </c>
      <c r="B19" t="s">
        <v>56</v>
      </c>
      <c r="C19" t="s">
        <v>20</v>
      </c>
      <c r="D19" t="s">
        <v>57</v>
      </c>
      <c r="E19">
        <v>4720</v>
      </c>
      <c r="F19">
        <v>1878</v>
      </c>
      <c r="G19">
        <v>2075</v>
      </c>
      <c r="H19">
        <v>0</v>
      </c>
      <c r="I19">
        <v>477</v>
      </c>
      <c r="J19">
        <v>57</v>
      </c>
      <c r="K19" s="1">
        <v>45748</v>
      </c>
      <c r="L19" t="s">
        <v>17</v>
      </c>
      <c r="M19" t="s">
        <v>18</v>
      </c>
      <c r="N19" s="2">
        <f>IFERROR(NHS_A_E[[#This Row],[T1_Over4hrs]]/NHS_A_E[[#This Row],[T1_Attendances]], 0)</f>
        <v>0.4396186440677966</v>
      </c>
      <c r="O19">
        <f>NHS_A_E[[#This Row],[T1_Attendances]]+NHS_A_E[[#This Row],[Other_Attendances]]</f>
        <v>6598</v>
      </c>
      <c r="P19">
        <f>MATCH(LEFT(A19,FIND("-",A19)-1),{"April","May","June","July","August","September","October","November","December","January","February","March"},0)</f>
        <v>1</v>
      </c>
      <c r="Q19" s="3">
        <f t="shared" si="0"/>
        <v>1.2076271186440678E-2</v>
      </c>
      <c r="R19" t="str">
        <f t="shared" si="1"/>
        <v>April</v>
      </c>
    </row>
    <row r="20" spans="1:18" x14ac:dyDescent="0.35">
      <c r="A20" t="s">
        <v>13</v>
      </c>
      <c r="B20" t="s">
        <v>58</v>
      </c>
      <c r="C20" t="s">
        <v>40</v>
      </c>
      <c r="D20" t="s">
        <v>59</v>
      </c>
      <c r="E20">
        <v>4837</v>
      </c>
      <c r="F20">
        <v>0</v>
      </c>
      <c r="G20">
        <v>479</v>
      </c>
      <c r="H20">
        <v>0</v>
      </c>
      <c r="I20">
        <v>1</v>
      </c>
      <c r="J20">
        <v>1</v>
      </c>
      <c r="K20" s="1">
        <v>45748</v>
      </c>
      <c r="L20" t="s">
        <v>17</v>
      </c>
      <c r="M20" t="s">
        <v>18</v>
      </c>
      <c r="N20" s="2">
        <f>IFERROR(NHS_A_E[[#This Row],[T1_Over4hrs]]/NHS_A_E[[#This Row],[T1_Attendances]], 0)</f>
        <v>9.9028323340913785E-2</v>
      </c>
      <c r="O20">
        <f>NHS_A_E[[#This Row],[T1_Attendances]]+NHS_A_E[[#This Row],[Other_Attendances]]</f>
        <v>4837</v>
      </c>
      <c r="P20">
        <f>MATCH(LEFT(A20,FIND("-",A20)-1),{"April","May","June","July","August","September","October","November","December","January","February","March"},0)</f>
        <v>1</v>
      </c>
      <c r="Q20" s="3">
        <f t="shared" si="0"/>
        <v>2.0673971469919371E-4</v>
      </c>
      <c r="R20" t="str">
        <f t="shared" si="1"/>
        <v>April</v>
      </c>
    </row>
    <row r="21" spans="1:18" x14ac:dyDescent="0.35">
      <c r="A21" t="s">
        <v>13</v>
      </c>
      <c r="B21" t="s">
        <v>60</v>
      </c>
      <c r="C21" t="s">
        <v>35</v>
      </c>
      <c r="D21" t="s">
        <v>61</v>
      </c>
      <c r="E21">
        <v>18876</v>
      </c>
      <c r="F21">
        <v>6084</v>
      </c>
      <c r="G21">
        <v>4578</v>
      </c>
      <c r="H21">
        <v>75</v>
      </c>
      <c r="I21">
        <v>572</v>
      </c>
      <c r="J21">
        <v>49</v>
      </c>
      <c r="K21" s="1">
        <v>45748</v>
      </c>
      <c r="L21" t="s">
        <v>17</v>
      </c>
      <c r="M21" t="s">
        <v>18</v>
      </c>
      <c r="N21" s="2">
        <f>IFERROR(NHS_A_E[[#This Row],[T1_Over4hrs]]/NHS_A_E[[#This Row],[T1_Attendances]], 0)</f>
        <v>0.24253019707565163</v>
      </c>
      <c r="O21">
        <f>NHS_A_E[[#This Row],[T1_Attendances]]+NHS_A_E[[#This Row],[Other_Attendances]]</f>
        <v>24960</v>
      </c>
      <c r="P21">
        <f>MATCH(LEFT(A21,FIND("-",A21)-1),{"April","May","June","July","August","September","October","November","December","January","February","March"},0)</f>
        <v>1</v>
      </c>
      <c r="Q21" s="3">
        <f t="shared" si="0"/>
        <v>2.5958889595253231E-3</v>
      </c>
      <c r="R21" t="str">
        <f t="shared" si="1"/>
        <v>April</v>
      </c>
    </row>
    <row r="22" spans="1:18" x14ac:dyDescent="0.35">
      <c r="A22" t="s">
        <v>13</v>
      </c>
      <c r="B22" t="s">
        <v>62</v>
      </c>
      <c r="C22" t="s">
        <v>63</v>
      </c>
      <c r="D22" t="s">
        <v>64</v>
      </c>
      <c r="E22">
        <v>17114</v>
      </c>
      <c r="F22">
        <v>12040</v>
      </c>
      <c r="G22">
        <v>6974</v>
      </c>
      <c r="H22">
        <v>234</v>
      </c>
      <c r="I22">
        <v>1740</v>
      </c>
      <c r="J22">
        <v>275</v>
      </c>
      <c r="K22" s="1">
        <v>45748</v>
      </c>
      <c r="L22" t="s">
        <v>17</v>
      </c>
      <c r="M22" t="s">
        <v>18</v>
      </c>
      <c r="N22" s="2">
        <f>IFERROR(NHS_A_E[[#This Row],[T1_Over4hrs]]/NHS_A_E[[#This Row],[T1_Attendances]], 0)</f>
        <v>0.40750262942620075</v>
      </c>
      <c r="O22">
        <f>NHS_A_E[[#This Row],[T1_Attendances]]+NHS_A_E[[#This Row],[Other_Attendances]]</f>
        <v>29154</v>
      </c>
      <c r="P22">
        <f>MATCH(LEFT(A22,FIND("-",A22)-1),{"April","May","June","July","August","September","October","November","December","January","February","March"},0)</f>
        <v>1</v>
      </c>
      <c r="Q22" s="3">
        <f t="shared" si="0"/>
        <v>1.6068715671380157E-2</v>
      </c>
      <c r="R22" t="str">
        <f t="shared" si="1"/>
        <v>April</v>
      </c>
    </row>
    <row r="23" spans="1:18" x14ac:dyDescent="0.35">
      <c r="A23" t="s">
        <v>13</v>
      </c>
      <c r="B23" t="s">
        <v>65</v>
      </c>
      <c r="C23" t="s">
        <v>30</v>
      </c>
      <c r="D23" t="s">
        <v>66</v>
      </c>
      <c r="E23">
        <v>6430</v>
      </c>
      <c r="F23">
        <v>5708</v>
      </c>
      <c r="G23">
        <v>3394</v>
      </c>
      <c r="H23">
        <v>75</v>
      </c>
      <c r="I23">
        <v>1095</v>
      </c>
      <c r="J23">
        <v>444</v>
      </c>
      <c r="K23" s="1">
        <v>45748</v>
      </c>
      <c r="L23" t="s">
        <v>17</v>
      </c>
      <c r="M23" t="s">
        <v>18</v>
      </c>
      <c r="N23" s="2">
        <f>IFERROR(NHS_A_E[[#This Row],[T1_Over4hrs]]/NHS_A_E[[#This Row],[T1_Attendances]], 0)</f>
        <v>0.5278382581648523</v>
      </c>
      <c r="O23">
        <f>NHS_A_E[[#This Row],[T1_Attendances]]+NHS_A_E[[#This Row],[Other_Attendances]]</f>
        <v>12138</v>
      </c>
      <c r="P23">
        <f>MATCH(LEFT(A23,FIND("-",A23)-1),{"April","May","June","July","August","September","October","November","December","January","February","March"},0)</f>
        <v>1</v>
      </c>
      <c r="Q23" s="3">
        <f t="shared" si="0"/>
        <v>6.9051321928460335E-2</v>
      </c>
      <c r="R23" t="str">
        <f t="shared" si="1"/>
        <v>April</v>
      </c>
    </row>
    <row r="24" spans="1:18" x14ac:dyDescent="0.35">
      <c r="A24" t="s">
        <v>13</v>
      </c>
      <c r="B24" t="s">
        <v>67</v>
      </c>
      <c r="C24" t="s">
        <v>30</v>
      </c>
      <c r="D24" t="s">
        <v>68</v>
      </c>
      <c r="E24">
        <v>0</v>
      </c>
      <c r="F24">
        <v>0</v>
      </c>
      <c r="G24">
        <v>0</v>
      </c>
      <c r="H24">
        <v>0</v>
      </c>
      <c r="I24">
        <v>0</v>
      </c>
      <c r="J24">
        <v>0</v>
      </c>
      <c r="K24" s="1">
        <v>45748</v>
      </c>
      <c r="L24" t="s">
        <v>17</v>
      </c>
      <c r="M24" t="s">
        <v>18</v>
      </c>
      <c r="N24" s="2">
        <f>IFERROR(NHS_A_E[[#This Row],[T1_Over4hrs]]/NHS_A_E[[#This Row],[T1_Attendances]], 0)</f>
        <v>0</v>
      </c>
      <c r="O24">
        <f>NHS_A_E[[#This Row],[T1_Attendances]]+NHS_A_E[[#This Row],[Other_Attendances]]</f>
        <v>0</v>
      </c>
      <c r="P24">
        <f>MATCH(LEFT(A24,FIND("-",A24)-1),{"April","May","June","July","August","September","October","November","December","January","February","March"},0)</f>
        <v>1</v>
      </c>
      <c r="Q24" s="3">
        <f t="shared" si="0"/>
        <v>0</v>
      </c>
      <c r="R24" t="str">
        <f t="shared" si="1"/>
        <v>April</v>
      </c>
    </row>
    <row r="25" spans="1:18" x14ac:dyDescent="0.35">
      <c r="A25" t="s">
        <v>13</v>
      </c>
      <c r="B25" t="s">
        <v>69</v>
      </c>
      <c r="C25" t="s">
        <v>20</v>
      </c>
      <c r="D25" t="s">
        <v>70</v>
      </c>
      <c r="E25">
        <v>13095</v>
      </c>
      <c r="F25">
        <v>0</v>
      </c>
      <c r="G25">
        <v>5171</v>
      </c>
      <c r="H25">
        <v>0</v>
      </c>
      <c r="I25">
        <v>412</v>
      </c>
      <c r="J25">
        <v>461</v>
      </c>
      <c r="K25" s="1">
        <v>45748</v>
      </c>
      <c r="L25" t="s">
        <v>17</v>
      </c>
      <c r="M25" t="s">
        <v>18</v>
      </c>
      <c r="N25" s="2">
        <f>IFERROR(NHS_A_E[[#This Row],[T1_Over4hrs]]/NHS_A_E[[#This Row],[T1_Attendances]], 0)</f>
        <v>0.39488354333715159</v>
      </c>
      <c r="O25">
        <f>NHS_A_E[[#This Row],[T1_Attendances]]+NHS_A_E[[#This Row],[Other_Attendances]]</f>
        <v>13095</v>
      </c>
      <c r="P25">
        <f>MATCH(LEFT(A25,FIND("-",A25)-1),{"April","May","June","July","August","September","October","November","December","January","February","March"},0)</f>
        <v>1</v>
      </c>
      <c r="Q25" s="3">
        <f t="shared" si="0"/>
        <v>3.5204276441389841E-2</v>
      </c>
      <c r="R25" t="str">
        <f t="shared" si="1"/>
        <v>April</v>
      </c>
    </row>
    <row r="26" spans="1:18" x14ac:dyDescent="0.35">
      <c r="A26" t="s">
        <v>13</v>
      </c>
      <c r="B26" t="s">
        <v>71</v>
      </c>
      <c r="C26" t="s">
        <v>35</v>
      </c>
      <c r="D26" t="s">
        <v>72</v>
      </c>
      <c r="E26">
        <v>0</v>
      </c>
      <c r="F26">
        <v>0</v>
      </c>
      <c r="G26">
        <v>0</v>
      </c>
      <c r="H26">
        <v>0</v>
      </c>
      <c r="I26">
        <v>0</v>
      </c>
      <c r="J26">
        <v>0</v>
      </c>
      <c r="K26" s="1">
        <v>45748</v>
      </c>
      <c r="L26" t="s">
        <v>17</v>
      </c>
      <c r="M26" t="s">
        <v>18</v>
      </c>
      <c r="N26" s="2">
        <f>IFERROR(NHS_A_E[[#This Row],[T1_Over4hrs]]/NHS_A_E[[#This Row],[T1_Attendances]], 0)</f>
        <v>0</v>
      </c>
      <c r="O26">
        <f>NHS_A_E[[#This Row],[T1_Attendances]]+NHS_A_E[[#This Row],[Other_Attendances]]</f>
        <v>0</v>
      </c>
      <c r="P26">
        <f>MATCH(LEFT(A26,FIND("-",A26)-1),{"April","May","June","July","August","September","October","November","December","January","February","March"},0)</f>
        <v>1</v>
      </c>
      <c r="Q26" s="3">
        <f t="shared" si="0"/>
        <v>0</v>
      </c>
      <c r="R26" t="str">
        <f t="shared" si="1"/>
        <v>April</v>
      </c>
    </row>
    <row r="27" spans="1:18" x14ac:dyDescent="0.35">
      <c r="A27" t="s">
        <v>13</v>
      </c>
      <c r="B27" t="s">
        <v>73</v>
      </c>
      <c r="C27" t="s">
        <v>15</v>
      </c>
      <c r="D27" t="s">
        <v>74</v>
      </c>
      <c r="E27">
        <v>4279</v>
      </c>
      <c r="F27">
        <v>1558</v>
      </c>
      <c r="G27">
        <v>1845</v>
      </c>
      <c r="H27">
        <v>0</v>
      </c>
      <c r="I27">
        <v>317</v>
      </c>
      <c r="J27">
        <v>132</v>
      </c>
      <c r="K27" s="1">
        <v>45748</v>
      </c>
      <c r="L27" t="s">
        <v>17</v>
      </c>
      <c r="M27" t="s">
        <v>18</v>
      </c>
      <c r="N27" s="2">
        <f>IFERROR(NHS_A_E[[#This Row],[T1_Over4hrs]]/NHS_A_E[[#This Row],[T1_Attendances]], 0)</f>
        <v>0.43117550829633094</v>
      </c>
      <c r="O27">
        <f>NHS_A_E[[#This Row],[T1_Attendances]]+NHS_A_E[[#This Row],[Other_Attendances]]</f>
        <v>5837</v>
      </c>
      <c r="P27">
        <f>MATCH(LEFT(A27,FIND("-",A27)-1),{"April","May","June","July","August","September","October","November","December","January","February","March"},0)</f>
        <v>1</v>
      </c>
      <c r="Q27" s="3">
        <f t="shared" si="0"/>
        <v>3.0848329048843187E-2</v>
      </c>
      <c r="R27" t="str">
        <f t="shared" si="1"/>
        <v>April</v>
      </c>
    </row>
    <row r="28" spans="1:18" x14ac:dyDescent="0.35">
      <c r="A28" t="s">
        <v>13</v>
      </c>
      <c r="B28" t="s">
        <v>75</v>
      </c>
      <c r="C28" t="s">
        <v>63</v>
      </c>
      <c r="D28" t="s">
        <v>76</v>
      </c>
      <c r="E28">
        <v>0</v>
      </c>
      <c r="F28">
        <v>3556</v>
      </c>
      <c r="G28">
        <v>0</v>
      </c>
      <c r="H28">
        <v>584</v>
      </c>
      <c r="I28">
        <v>0</v>
      </c>
      <c r="J28">
        <v>0</v>
      </c>
      <c r="K28" s="1">
        <v>45748</v>
      </c>
      <c r="L28" t="s">
        <v>17</v>
      </c>
      <c r="M28" t="s">
        <v>18</v>
      </c>
      <c r="N28" s="2">
        <f>IFERROR(NHS_A_E[[#This Row],[T1_Over4hrs]]/NHS_A_E[[#This Row],[T1_Attendances]], 0)</f>
        <v>0</v>
      </c>
      <c r="O28">
        <f>NHS_A_E[[#This Row],[T1_Attendances]]+NHS_A_E[[#This Row],[Other_Attendances]]</f>
        <v>3556</v>
      </c>
      <c r="P28">
        <f>MATCH(LEFT(A28,FIND("-",A28)-1),{"April","May","June","July","August","September","October","November","December","January","February","March"},0)</f>
        <v>1</v>
      </c>
      <c r="Q28" s="3">
        <f t="shared" si="0"/>
        <v>0</v>
      </c>
      <c r="R28" t="str">
        <f t="shared" si="1"/>
        <v>April</v>
      </c>
    </row>
    <row r="29" spans="1:18" x14ac:dyDescent="0.35">
      <c r="A29" t="s">
        <v>13</v>
      </c>
      <c r="B29" t="s">
        <v>77</v>
      </c>
      <c r="C29" t="s">
        <v>63</v>
      </c>
      <c r="D29" t="s">
        <v>78</v>
      </c>
      <c r="E29">
        <v>0</v>
      </c>
      <c r="F29">
        <v>1586</v>
      </c>
      <c r="G29">
        <v>0</v>
      </c>
      <c r="H29">
        <v>61</v>
      </c>
      <c r="I29">
        <v>0</v>
      </c>
      <c r="J29">
        <v>0</v>
      </c>
      <c r="K29" s="1">
        <v>45748</v>
      </c>
      <c r="L29" t="s">
        <v>17</v>
      </c>
      <c r="M29" t="s">
        <v>18</v>
      </c>
      <c r="N29" s="2">
        <f>IFERROR(NHS_A_E[[#This Row],[T1_Over4hrs]]/NHS_A_E[[#This Row],[T1_Attendances]], 0)</f>
        <v>0</v>
      </c>
      <c r="O29">
        <f>NHS_A_E[[#This Row],[T1_Attendances]]+NHS_A_E[[#This Row],[Other_Attendances]]</f>
        <v>1586</v>
      </c>
      <c r="P29">
        <f>MATCH(LEFT(A29,FIND("-",A29)-1),{"April","May","June","July","August","September","October","November","December","January","February","March"},0)</f>
        <v>1</v>
      </c>
      <c r="Q29" s="3">
        <f t="shared" si="0"/>
        <v>0</v>
      </c>
      <c r="R29" t="str">
        <f t="shared" si="1"/>
        <v>April</v>
      </c>
    </row>
    <row r="30" spans="1:18" x14ac:dyDescent="0.35">
      <c r="A30" t="s">
        <v>13</v>
      </c>
      <c r="B30" t="s">
        <v>79</v>
      </c>
      <c r="C30" t="s">
        <v>63</v>
      </c>
      <c r="D30" t="s">
        <v>80</v>
      </c>
      <c r="E30">
        <v>0</v>
      </c>
      <c r="F30">
        <v>3043</v>
      </c>
      <c r="G30">
        <v>0</v>
      </c>
      <c r="H30">
        <v>231</v>
      </c>
      <c r="I30">
        <v>0</v>
      </c>
      <c r="J30">
        <v>0</v>
      </c>
      <c r="K30" s="1">
        <v>45748</v>
      </c>
      <c r="L30" t="s">
        <v>17</v>
      </c>
      <c r="M30" t="s">
        <v>18</v>
      </c>
      <c r="N30" s="2">
        <f>IFERROR(NHS_A_E[[#This Row],[T1_Over4hrs]]/NHS_A_E[[#This Row],[T1_Attendances]], 0)</f>
        <v>0</v>
      </c>
      <c r="O30">
        <f>NHS_A_E[[#This Row],[T1_Attendances]]+NHS_A_E[[#This Row],[Other_Attendances]]</f>
        <v>3043</v>
      </c>
      <c r="P30">
        <f>MATCH(LEFT(A30,FIND("-",A30)-1),{"April","May","June","July","August","September","October","November","December","January","February","March"},0)</f>
        <v>1</v>
      </c>
      <c r="Q30" s="3">
        <f t="shared" si="0"/>
        <v>0</v>
      </c>
      <c r="R30" t="str">
        <f t="shared" si="1"/>
        <v>April</v>
      </c>
    </row>
    <row r="31" spans="1:18" x14ac:dyDescent="0.35">
      <c r="A31" t="s">
        <v>13</v>
      </c>
      <c r="B31" t="s">
        <v>81</v>
      </c>
      <c r="C31" t="s">
        <v>63</v>
      </c>
      <c r="D31" t="s">
        <v>82</v>
      </c>
      <c r="E31">
        <v>0</v>
      </c>
      <c r="F31">
        <v>1675</v>
      </c>
      <c r="G31">
        <v>0</v>
      </c>
      <c r="H31">
        <v>7</v>
      </c>
      <c r="I31">
        <v>0</v>
      </c>
      <c r="J31">
        <v>0</v>
      </c>
      <c r="K31" s="1">
        <v>45748</v>
      </c>
      <c r="L31" t="s">
        <v>17</v>
      </c>
      <c r="M31" t="s">
        <v>18</v>
      </c>
      <c r="N31" s="2">
        <f>IFERROR(NHS_A_E[[#This Row],[T1_Over4hrs]]/NHS_A_E[[#This Row],[T1_Attendances]], 0)</f>
        <v>0</v>
      </c>
      <c r="O31">
        <f>NHS_A_E[[#This Row],[T1_Attendances]]+NHS_A_E[[#This Row],[Other_Attendances]]</f>
        <v>1675</v>
      </c>
      <c r="P31">
        <f>MATCH(LEFT(A31,FIND("-",A31)-1),{"April","May","June","July","August","September","October","November","December","January","February","March"},0)</f>
        <v>1</v>
      </c>
      <c r="Q31" s="3">
        <f t="shared" si="0"/>
        <v>0</v>
      </c>
      <c r="R31" t="str">
        <f t="shared" si="1"/>
        <v>April</v>
      </c>
    </row>
    <row r="32" spans="1:18" x14ac:dyDescent="0.35">
      <c r="A32" t="s">
        <v>13</v>
      </c>
      <c r="B32" t="s">
        <v>83</v>
      </c>
      <c r="C32" t="s">
        <v>35</v>
      </c>
      <c r="D32" t="s">
        <v>84</v>
      </c>
      <c r="E32">
        <v>13592</v>
      </c>
      <c r="F32">
        <v>14950</v>
      </c>
      <c r="G32">
        <v>6467</v>
      </c>
      <c r="H32">
        <v>195</v>
      </c>
      <c r="I32">
        <v>666</v>
      </c>
      <c r="J32">
        <v>385</v>
      </c>
      <c r="K32" s="1">
        <v>45748</v>
      </c>
      <c r="L32" t="s">
        <v>17</v>
      </c>
      <c r="M32" t="s">
        <v>18</v>
      </c>
      <c r="N32" s="2">
        <f>IFERROR(NHS_A_E[[#This Row],[T1_Over4hrs]]/NHS_A_E[[#This Row],[T1_Attendances]], 0)</f>
        <v>0.47579458505002942</v>
      </c>
      <c r="O32">
        <f>NHS_A_E[[#This Row],[T1_Attendances]]+NHS_A_E[[#This Row],[Other_Attendances]]</f>
        <v>28542</v>
      </c>
      <c r="P32">
        <f>MATCH(LEFT(A32,FIND("-",A32)-1),{"April","May","June","July","August","September","October","November","December","January","February","March"},0)</f>
        <v>1</v>
      </c>
      <c r="Q32" s="3">
        <f t="shared" si="0"/>
        <v>2.8325485579752795E-2</v>
      </c>
      <c r="R32" t="str">
        <f t="shared" si="1"/>
        <v>April</v>
      </c>
    </row>
    <row r="33" spans="1:18" x14ac:dyDescent="0.35">
      <c r="A33" t="s">
        <v>13</v>
      </c>
      <c r="B33" t="s">
        <v>85</v>
      </c>
      <c r="C33" t="s">
        <v>63</v>
      </c>
      <c r="D33" t="s">
        <v>86</v>
      </c>
      <c r="E33">
        <v>8991</v>
      </c>
      <c r="F33">
        <v>3331</v>
      </c>
      <c r="G33">
        <v>2270</v>
      </c>
      <c r="H33">
        <v>0</v>
      </c>
      <c r="I33">
        <v>648</v>
      </c>
      <c r="J33">
        <v>71</v>
      </c>
      <c r="K33" s="1">
        <v>45748</v>
      </c>
      <c r="L33" t="s">
        <v>17</v>
      </c>
      <c r="M33" t="s">
        <v>18</v>
      </c>
      <c r="N33" s="2">
        <f>IFERROR(NHS_A_E[[#This Row],[T1_Over4hrs]]/NHS_A_E[[#This Row],[T1_Attendances]], 0)</f>
        <v>0.25247469691914137</v>
      </c>
      <c r="O33">
        <f>NHS_A_E[[#This Row],[T1_Attendances]]+NHS_A_E[[#This Row],[Other_Attendances]]</f>
        <v>12322</v>
      </c>
      <c r="P33">
        <f>MATCH(LEFT(A33,FIND("-",A33)-1),{"April","May","June","July","August","September","October","November","December","January","February","March"},0)</f>
        <v>1</v>
      </c>
      <c r="Q33" s="3">
        <f t="shared" si="0"/>
        <v>7.8967856745634519E-3</v>
      </c>
      <c r="R33" t="str">
        <f t="shared" si="1"/>
        <v>April</v>
      </c>
    </row>
    <row r="34" spans="1:18" x14ac:dyDescent="0.35">
      <c r="A34" t="s">
        <v>13</v>
      </c>
      <c r="B34" t="s">
        <v>87</v>
      </c>
      <c r="C34" t="s">
        <v>23</v>
      </c>
      <c r="D34" t="s">
        <v>88</v>
      </c>
      <c r="E34">
        <v>29676</v>
      </c>
      <c r="F34">
        <v>3801</v>
      </c>
      <c r="G34">
        <v>10890</v>
      </c>
      <c r="H34">
        <v>181</v>
      </c>
      <c r="I34">
        <v>2531</v>
      </c>
      <c r="J34">
        <v>640</v>
      </c>
      <c r="K34" s="1">
        <v>45748</v>
      </c>
      <c r="L34" t="s">
        <v>17</v>
      </c>
      <c r="M34" t="s">
        <v>18</v>
      </c>
      <c r="N34" s="2">
        <f>IFERROR(NHS_A_E[[#This Row],[T1_Over4hrs]]/NHS_A_E[[#This Row],[T1_Attendances]], 0)</f>
        <v>0.36696320258794984</v>
      </c>
      <c r="O34">
        <f>NHS_A_E[[#This Row],[T1_Attendances]]+NHS_A_E[[#This Row],[Other_Attendances]]</f>
        <v>33477</v>
      </c>
      <c r="P34">
        <f>MATCH(LEFT(A34,FIND("-",A34)-1),{"April","May","June","July","August","September","October","November","December","January","February","March"},0)</f>
        <v>1</v>
      </c>
      <c r="Q34" s="3">
        <f t="shared" si="0"/>
        <v>2.1566248820595768E-2</v>
      </c>
      <c r="R34" t="str">
        <f t="shared" si="1"/>
        <v>April</v>
      </c>
    </row>
    <row r="35" spans="1:18" x14ac:dyDescent="0.35">
      <c r="A35" t="s">
        <v>13</v>
      </c>
      <c r="B35" t="s">
        <v>89</v>
      </c>
      <c r="C35" t="s">
        <v>35</v>
      </c>
      <c r="D35" t="s">
        <v>90</v>
      </c>
      <c r="E35">
        <v>24636</v>
      </c>
      <c r="F35">
        <v>15931</v>
      </c>
      <c r="G35">
        <v>9696</v>
      </c>
      <c r="H35">
        <v>997</v>
      </c>
      <c r="I35">
        <v>1192</v>
      </c>
      <c r="J35">
        <v>1792</v>
      </c>
      <c r="K35" s="1">
        <v>45748</v>
      </c>
      <c r="L35" t="s">
        <v>17</v>
      </c>
      <c r="M35" t="s">
        <v>18</v>
      </c>
      <c r="N35" s="2">
        <f>IFERROR(NHS_A_E[[#This Row],[T1_Over4hrs]]/NHS_A_E[[#This Row],[T1_Attendances]], 0)</f>
        <v>0.39357038480272771</v>
      </c>
      <c r="O35">
        <f>NHS_A_E[[#This Row],[T1_Attendances]]+NHS_A_E[[#This Row],[Other_Attendances]]</f>
        <v>40567</v>
      </c>
      <c r="P35">
        <f>MATCH(LEFT(A35,FIND("-",A35)-1),{"April","May","June","July","August","September","October","November","December","January","February","March"},0)</f>
        <v>1</v>
      </c>
      <c r="Q35" s="3">
        <f t="shared" si="0"/>
        <v>7.2739081019646046E-2</v>
      </c>
      <c r="R35" t="str">
        <f t="shared" si="1"/>
        <v>April</v>
      </c>
    </row>
    <row r="36" spans="1:18" x14ac:dyDescent="0.35">
      <c r="A36" t="s">
        <v>13</v>
      </c>
      <c r="B36" t="s">
        <v>91</v>
      </c>
      <c r="C36" t="s">
        <v>30</v>
      </c>
      <c r="D36" t="s">
        <v>92</v>
      </c>
      <c r="E36">
        <v>16848</v>
      </c>
      <c r="F36">
        <v>7163</v>
      </c>
      <c r="G36">
        <v>5987</v>
      </c>
      <c r="H36">
        <v>140</v>
      </c>
      <c r="I36">
        <v>490</v>
      </c>
      <c r="J36">
        <v>349</v>
      </c>
      <c r="K36" s="1">
        <v>45748</v>
      </c>
      <c r="L36" t="s">
        <v>17</v>
      </c>
      <c r="M36" t="s">
        <v>18</v>
      </c>
      <c r="N36" s="2">
        <f>IFERROR(NHS_A_E[[#This Row],[T1_Over4hrs]]/NHS_A_E[[#This Row],[T1_Attendances]], 0)</f>
        <v>0.35535375118708451</v>
      </c>
      <c r="O36">
        <f>NHS_A_E[[#This Row],[T1_Attendances]]+NHS_A_E[[#This Row],[Other_Attendances]]</f>
        <v>24011</v>
      </c>
      <c r="P36">
        <f>MATCH(LEFT(A36,FIND("-",A36)-1),{"April","May","June","July","August","September","October","November","December","January","February","March"},0)</f>
        <v>1</v>
      </c>
      <c r="Q36" s="3">
        <f t="shared" si="0"/>
        <v>2.0714624881291548E-2</v>
      </c>
      <c r="R36" t="str">
        <f t="shared" si="1"/>
        <v>April</v>
      </c>
    </row>
    <row r="37" spans="1:18" x14ac:dyDescent="0.35">
      <c r="A37" t="s">
        <v>13</v>
      </c>
      <c r="B37" t="s">
        <v>93</v>
      </c>
      <c r="C37" t="s">
        <v>63</v>
      </c>
      <c r="D37" t="s">
        <v>94</v>
      </c>
      <c r="E37">
        <v>10390</v>
      </c>
      <c r="F37">
        <v>6987</v>
      </c>
      <c r="G37">
        <v>6046</v>
      </c>
      <c r="H37">
        <v>384</v>
      </c>
      <c r="I37">
        <v>852</v>
      </c>
      <c r="J37">
        <v>628</v>
      </c>
      <c r="K37" s="1">
        <v>45748</v>
      </c>
      <c r="L37" t="s">
        <v>17</v>
      </c>
      <c r="M37" t="s">
        <v>18</v>
      </c>
      <c r="N37" s="2">
        <f>IFERROR(NHS_A_E[[#This Row],[T1_Over4hrs]]/NHS_A_E[[#This Row],[T1_Attendances]], 0)</f>
        <v>0.58190567853705488</v>
      </c>
      <c r="O37">
        <f>NHS_A_E[[#This Row],[T1_Attendances]]+NHS_A_E[[#This Row],[Other_Attendances]]</f>
        <v>17377</v>
      </c>
      <c r="P37">
        <f>MATCH(LEFT(A37,FIND("-",A37)-1),{"April","May","June","July","August","September","October","November","December","January","February","March"},0)</f>
        <v>1</v>
      </c>
      <c r="Q37" s="3">
        <f t="shared" si="0"/>
        <v>6.0442733397497596E-2</v>
      </c>
      <c r="R37" t="str">
        <f t="shared" si="1"/>
        <v>April</v>
      </c>
    </row>
    <row r="38" spans="1:18" x14ac:dyDescent="0.35">
      <c r="A38" t="s">
        <v>13</v>
      </c>
      <c r="B38" t="s">
        <v>95</v>
      </c>
      <c r="C38" t="s">
        <v>23</v>
      </c>
      <c r="D38" t="s">
        <v>96</v>
      </c>
      <c r="E38">
        <v>7762</v>
      </c>
      <c r="F38">
        <v>4994</v>
      </c>
      <c r="G38">
        <v>2374</v>
      </c>
      <c r="H38">
        <v>71</v>
      </c>
      <c r="I38">
        <v>478</v>
      </c>
      <c r="J38">
        <v>0</v>
      </c>
      <c r="K38" s="1">
        <v>45748</v>
      </c>
      <c r="L38" t="s">
        <v>17</v>
      </c>
      <c r="M38" t="s">
        <v>18</v>
      </c>
      <c r="N38" s="2">
        <f>IFERROR(NHS_A_E[[#This Row],[T1_Over4hrs]]/NHS_A_E[[#This Row],[T1_Attendances]], 0)</f>
        <v>0.30584900798763204</v>
      </c>
      <c r="O38">
        <f>NHS_A_E[[#This Row],[T1_Attendances]]+NHS_A_E[[#This Row],[Other_Attendances]]</f>
        <v>12756</v>
      </c>
      <c r="P38">
        <f>MATCH(LEFT(A38,FIND("-",A38)-1),{"April","May","June","July","August","September","October","November","December","January","February","March"},0)</f>
        <v>1</v>
      </c>
      <c r="Q38" s="3">
        <f t="shared" si="0"/>
        <v>0</v>
      </c>
      <c r="R38" t="str">
        <f t="shared" si="1"/>
        <v>April</v>
      </c>
    </row>
    <row r="39" spans="1:18" x14ac:dyDescent="0.35">
      <c r="A39" t="s">
        <v>13</v>
      </c>
      <c r="B39" t="s">
        <v>97</v>
      </c>
      <c r="C39" t="s">
        <v>15</v>
      </c>
      <c r="D39" t="s">
        <v>98</v>
      </c>
      <c r="E39">
        <v>21751</v>
      </c>
      <c r="F39">
        <v>11461</v>
      </c>
      <c r="G39">
        <v>9653</v>
      </c>
      <c r="H39">
        <v>300</v>
      </c>
      <c r="I39">
        <v>1563</v>
      </c>
      <c r="J39">
        <v>129</v>
      </c>
      <c r="K39" s="1">
        <v>45748</v>
      </c>
      <c r="L39" t="s">
        <v>17</v>
      </c>
      <c r="M39" t="s">
        <v>18</v>
      </c>
      <c r="N39" s="2">
        <f>IFERROR(NHS_A_E[[#This Row],[T1_Over4hrs]]/NHS_A_E[[#This Row],[T1_Attendances]], 0)</f>
        <v>0.4437956875545952</v>
      </c>
      <c r="O39">
        <f>NHS_A_E[[#This Row],[T1_Attendances]]+NHS_A_E[[#This Row],[Other_Attendances]]</f>
        <v>33212</v>
      </c>
      <c r="P39">
        <f>MATCH(LEFT(A39,FIND("-",A39)-1),{"April","May","June","July","August","September","October","November","December","January","February","March"},0)</f>
        <v>1</v>
      </c>
      <c r="Q39" s="3">
        <f t="shared" si="0"/>
        <v>5.9307618040549863E-3</v>
      </c>
      <c r="R39" t="str">
        <f t="shared" si="1"/>
        <v>April</v>
      </c>
    </row>
    <row r="40" spans="1:18" x14ac:dyDescent="0.35">
      <c r="A40" t="s">
        <v>13</v>
      </c>
      <c r="B40" t="s">
        <v>99</v>
      </c>
      <c r="C40" t="s">
        <v>30</v>
      </c>
      <c r="D40" t="s">
        <v>100</v>
      </c>
      <c r="E40">
        <v>0</v>
      </c>
      <c r="F40">
        <v>0</v>
      </c>
      <c r="G40">
        <v>0</v>
      </c>
      <c r="H40">
        <v>0</v>
      </c>
      <c r="I40">
        <v>0</v>
      </c>
      <c r="J40">
        <v>0</v>
      </c>
      <c r="K40" s="1">
        <v>45748</v>
      </c>
      <c r="L40" t="s">
        <v>17</v>
      </c>
      <c r="M40" t="s">
        <v>18</v>
      </c>
      <c r="N40" s="2">
        <f>IFERROR(NHS_A_E[[#This Row],[T1_Over4hrs]]/NHS_A_E[[#This Row],[T1_Attendances]], 0)</f>
        <v>0</v>
      </c>
      <c r="O40">
        <f>NHS_A_E[[#This Row],[T1_Attendances]]+NHS_A_E[[#This Row],[Other_Attendances]]</f>
        <v>0</v>
      </c>
      <c r="P40">
        <f>MATCH(LEFT(A40,FIND("-",A40)-1),{"April","May","June","July","August","September","October","November","December","January","February","March"},0)</f>
        <v>1</v>
      </c>
      <c r="Q40" s="3">
        <f t="shared" si="0"/>
        <v>0</v>
      </c>
      <c r="R40" t="str">
        <f t="shared" si="1"/>
        <v>April</v>
      </c>
    </row>
    <row r="41" spans="1:18" x14ac:dyDescent="0.35">
      <c r="A41" t="s">
        <v>13</v>
      </c>
      <c r="B41" t="s">
        <v>101</v>
      </c>
      <c r="C41" t="s">
        <v>63</v>
      </c>
      <c r="D41" t="s">
        <v>102</v>
      </c>
      <c r="E41">
        <v>8977</v>
      </c>
      <c r="F41">
        <v>0</v>
      </c>
      <c r="G41">
        <v>2806</v>
      </c>
      <c r="H41">
        <v>0</v>
      </c>
      <c r="I41">
        <v>525</v>
      </c>
      <c r="J41">
        <v>3</v>
      </c>
      <c r="K41" s="1">
        <v>45748</v>
      </c>
      <c r="L41" t="s">
        <v>17</v>
      </c>
      <c r="M41" t="s">
        <v>18</v>
      </c>
      <c r="N41" s="2">
        <f>IFERROR(NHS_A_E[[#This Row],[T1_Over4hrs]]/NHS_A_E[[#This Row],[T1_Attendances]], 0)</f>
        <v>0.3125765846051019</v>
      </c>
      <c r="O41">
        <f>NHS_A_E[[#This Row],[T1_Attendances]]+NHS_A_E[[#This Row],[Other_Attendances]]</f>
        <v>8977</v>
      </c>
      <c r="P41">
        <f>MATCH(LEFT(A41,FIND("-",A41)-1),{"April","May","June","July","August","September","October","November","December","January","February","March"},0)</f>
        <v>1</v>
      </c>
      <c r="Q41" s="3">
        <f t="shared" si="0"/>
        <v>3.3418736771750028E-4</v>
      </c>
      <c r="R41" t="str">
        <f t="shared" si="1"/>
        <v>April</v>
      </c>
    </row>
    <row r="42" spans="1:18" x14ac:dyDescent="0.35">
      <c r="A42" t="s">
        <v>13</v>
      </c>
      <c r="B42" t="s">
        <v>103</v>
      </c>
      <c r="C42" t="s">
        <v>20</v>
      </c>
      <c r="D42" t="s">
        <v>104</v>
      </c>
      <c r="E42">
        <v>12443</v>
      </c>
      <c r="F42">
        <v>9709</v>
      </c>
      <c r="G42">
        <v>6110</v>
      </c>
      <c r="H42">
        <v>246</v>
      </c>
      <c r="I42">
        <v>676</v>
      </c>
      <c r="J42">
        <v>175</v>
      </c>
      <c r="K42" s="1">
        <v>45748</v>
      </c>
      <c r="L42" t="s">
        <v>17</v>
      </c>
      <c r="M42" t="s">
        <v>18</v>
      </c>
      <c r="N42" s="2">
        <f>IFERROR(NHS_A_E[[#This Row],[T1_Over4hrs]]/NHS_A_E[[#This Row],[T1_Attendances]], 0)</f>
        <v>0.49103913847142971</v>
      </c>
      <c r="O42">
        <f>NHS_A_E[[#This Row],[T1_Attendances]]+NHS_A_E[[#This Row],[Other_Attendances]]</f>
        <v>22152</v>
      </c>
      <c r="P42">
        <f>MATCH(LEFT(A42,FIND("-",A42)-1),{"April","May","June","July","August","September","October","November","December","January","February","March"},0)</f>
        <v>1</v>
      </c>
      <c r="Q42" s="3">
        <f t="shared" si="0"/>
        <v>1.4064132443944386E-2</v>
      </c>
      <c r="R42" t="str">
        <f t="shared" si="1"/>
        <v>April</v>
      </c>
    </row>
    <row r="43" spans="1:18" x14ac:dyDescent="0.35">
      <c r="A43" t="s">
        <v>13</v>
      </c>
      <c r="B43" t="s">
        <v>105</v>
      </c>
      <c r="C43" t="s">
        <v>15</v>
      </c>
      <c r="D43" t="s">
        <v>106</v>
      </c>
      <c r="E43">
        <v>11577</v>
      </c>
      <c r="F43">
        <v>0</v>
      </c>
      <c r="G43">
        <v>4553</v>
      </c>
      <c r="H43">
        <v>0</v>
      </c>
      <c r="I43">
        <v>628</v>
      </c>
      <c r="J43">
        <v>10</v>
      </c>
      <c r="K43" s="1">
        <v>45748</v>
      </c>
      <c r="L43" t="s">
        <v>17</v>
      </c>
      <c r="M43" t="s">
        <v>18</v>
      </c>
      <c r="N43" s="2">
        <f>IFERROR(NHS_A_E[[#This Row],[T1_Over4hrs]]/NHS_A_E[[#This Row],[T1_Attendances]], 0)</f>
        <v>0.39327977887190119</v>
      </c>
      <c r="O43">
        <f>NHS_A_E[[#This Row],[T1_Attendances]]+NHS_A_E[[#This Row],[Other_Attendances]]</f>
        <v>11577</v>
      </c>
      <c r="P43">
        <f>MATCH(LEFT(A43,FIND("-",A43)-1),{"April","May","June","July","August","September","October","November","December","January","February","March"},0)</f>
        <v>1</v>
      </c>
      <c r="Q43" s="3">
        <f t="shared" si="0"/>
        <v>8.6378163600241858E-4</v>
      </c>
      <c r="R43" t="str">
        <f t="shared" si="1"/>
        <v>April</v>
      </c>
    </row>
    <row r="44" spans="1:18" x14ac:dyDescent="0.35">
      <c r="A44" t="s">
        <v>13</v>
      </c>
      <c r="B44" t="s">
        <v>107</v>
      </c>
      <c r="C44" t="s">
        <v>63</v>
      </c>
      <c r="D44" t="s">
        <v>108</v>
      </c>
      <c r="E44">
        <v>8806</v>
      </c>
      <c r="F44">
        <v>6881</v>
      </c>
      <c r="G44">
        <v>4677</v>
      </c>
      <c r="H44">
        <v>289</v>
      </c>
      <c r="I44">
        <v>1157</v>
      </c>
      <c r="J44">
        <v>4</v>
      </c>
      <c r="K44" s="1">
        <v>45748</v>
      </c>
      <c r="L44" t="s">
        <v>17</v>
      </c>
      <c r="M44" t="s">
        <v>18</v>
      </c>
      <c r="N44" s="2">
        <f>IFERROR(NHS_A_E[[#This Row],[T1_Over4hrs]]/NHS_A_E[[#This Row],[T1_Attendances]], 0)</f>
        <v>0.53111514876220756</v>
      </c>
      <c r="O44">
        <f>NHS_A_E[[#This Row],[T1_Attendances]]+NHS_A_E[[#This Row],[Other_Attendances]]</f>
        <v>15687</v>
      </c>
      <c r="P44">
        <f>MATCH(LEFT(A44,FIND("-",A44)-1),{"April","May","June","July","August","September","October","November","December","January","February","March"},0)</f>
        <v>1</v>
      </c>
      <c r="Q44" s="3">
        <f t="shared" si="0"/>
        <v>4.5423574835339541E-4</v>
      </c>
      <c r="R44" t="str">
        <f t="shared" si="1"/>
        <v>April</v>
      </c>
    </row>
    <row r="45" spans="1:18" x14ac:dyDescent="0.35">
      <c r="A45" t="s">
        <v>13</v>
      </c>
      <c r="B45" t="s">
        <v>109</v>
      </c>
      <c r="C45" t="s">
        <v>35</v>
      </c>
      <c r="D45" t="s">
        <v>110</v>
      </c>
      <c r="E45">
        <v>9921</v>
      </c>
      <c r="F45">
        <v>6810</v>
      </c>
      <c r="G45">
        <v>3744</v>
      </c>
      <c r="H45">
        <v>182</v>
      </c>
      <c r="I45">
        <v>98</v>
      </c>
      <c r="J45">
        <v>64</v>
      </c>
      <c r="K45" s="1">
        <v>45748</v>
      </c>
      <c r="L45" t="s">
        <v>17</v>
      </c>
      <c r="M45" t="s">
        <v>18</v>
      </c>
      <c r="N45" s="2">
        <f>IFERROR(NHS_A_E[[#This Row],[T1_Over4hrs]]/NHS_A_E[[#This Row],[T1_Attendances]], 0)</f>
        <v>0.37738131236770489</v>
      </c>
      <c r="O45">
        <f>NHS_A_E[[#This Row],[T1_Attendances]]+NHS_A_E[[#This Row],[Other_Attendances]]</f>
        <v>16731</v>
      </c>
      <c r="P45">
        <f>MATCH(LEFT(A45,FIND("-",A45)-1),{"April","May","June","July","August","September","October","November","December","January","February","March"},0)</f>
        <v>1</v>
      </c>
      <c r="Q45" s="3">
        <f t="shared" si="0"/>
        <v>6.4509626045761515E-3</v>
      </c>
      <c r="R45" t="str">
        <f t="shared" si="1"/>
        <v>April</v>
      </c>
    </row>
    <row r="46" spans="1:18" x14ac:dyDescent="0.35">
      <c r="A46" t="s">
        <v>13</v>
      </c>
      <c r="B46" t="s">
        <v>111</v>
      </c>
      <c r="C46" t="s">
        <v>40</v>
      </c>
      <c r="D46" t="s">
        <v>112</v>
      </c>
      <c r="E46">
        <v>0</v>
      </c>
      <c r="F46">
        <v>480</v>
      </c>
      <c r="G46">
        <v>0</v>
      </c>
      <c r="H46">
        <v>0</v>
      </c>
      <c r="I46">
        <v>0</v>
      </c>
      <c r="J46">
        <v>0</v>
      </c>
      <c r="K46" s="1">
        <v>45748</v>
      </c>
      <c r="L46" t="s">
        <v>17</v>
      </c>
      <c r="M46" t="s">
        <v>18</v>
      </c>
      <c r="N46" s="2">
        <f>IFERROR(NHS_A_E[[#This Row],[T1_Over4hrs]]/NHS_A_E[[#This Row],[T1_Attendances]], 0)</f>
        <v>0</v>
      </c>
      <c r="O46">
        <f>NHS_A_E[[#This Row],[T1_Attendances]]+NHS_A_E[[#This Row],[Other_Attendances]]</f>
        <v>480</v>
      </c>
      <c r="P46">
        <f>MATCH(LEFT(A46,FIND("-",A46)-1),{"April","May","June","July","August","September","October","November","December","January","February","March"},0)</f>
        <v>1</v>
      </c>
      <c r="Q46" s="3">
        <f t="shared" si="0"/>
        <v>0</v>
      </c>
      <c r="R46" t="str">
        <f t="shared" si="1"/>
        <v>April</v>
      </c>
    </row>
    <row r="47" spans="1:18" x14ac:dyDescent="0.35">
      <c r="A47" t="s">
        <v>13</v>
      </c>
      <c r="B47" t="s">
        <v>113</v>
      </c>
      <c r="C47" t="s">
        <v>40</v>
      </c>
      <c r="D47" t="s">
        <v>114</v>
      </c>
      <c r="E47">
        <v>0</v>
      </c>
      <c r="F47">
        <v>4992</v>
      </c>
      <c r="G47">
        <v>0</v>
      </c>
      <c r="H47">
        <v>580</v>
      </c>
      <c r="I47">
        <v>0</v>
      </c>
      <c r="J47">
        <v>0</v>
      </c>
      <c r="K47" s="1">
        <v>45748</v>
      </c>
      <c r="L47" t="s">
        <v>17</v>
      </c>
      <c r="M47" t="s">
        <v>18</v>
      </c>
      <c r="N47" s="2">
        <f>IFERROR(NHS_A_E[[#This Row],[T1_Over4hrs]]/NHS_A_E[[#This Row],[T1_Attendances]], 0)</f>
        <v>0</v>
      </c>
      <c r="O47">
        <f>NHS_A_E[[#This Row],[T1_Attendances]]+NHS_A_E[[#This Row],[Other_Attendances]]</f>
        <v>4992</v>
      </c>
      <c r="P47">
        <f>MATCH(LEFT(A47,FIND("-",A47)-1),{"April","May","June","July","August","September","October","November","December","January","February","March"},0)</f>
        <v>1</v>
      </c>
      <c r="Q47" s="3">
        <f t="shared" si="0"/>
        <v>0</v>
      </c>
      <c r="R47" t="str">
        <f t="shared" si="1"/>
        <v>April</v>
      </c>
    </row>
    <row r="48" spans="1:18" x14ac:dyDescent="0.35">
      <c r="A48" t="s">
        <v>13</v>
      </c>
      <c r="B48" t="s">
        <v>115</v>
      </c>
      <c r="C48" t="s">
        <v>40</v>
      </c>
      <c r="D48" t="s">
        <v>116</v>
      </c>
      <c r="E48">
        <v>0</v>
      </c>
      <c r="F48">
        <v>3041</v>
      </c>
      <c r="G48">
        <v>0</v>
      </c>
      <c r="H48">
        <v>5</v>
      </c>
      <c r="I48">
        <v>0</v>
      </c>
      <c r="J48">
        <v>0</v>
      </c>
      <c r="K48" s="1">
        <v>45748</v>
      </c>
      <c r="L48" t="s">
        <v>17</v>
      </c>
      <c r="M48" t="s">
        <v>18</v>
      </c>
      <c r="N48" s="2">
        <f>IFERROR(NHS_A_E[[#This Row],[T1_Over4hrs]]/NHS_A_E[[#This Row],[T1_Attendances]], 0)</f>
        <v>0</v>
      </c>
      <c r="O48">
        <f>NHS_A_E[[#This Row],[T1_Attendances]]+NHS_A_E[[#This Row],[Other_Attendances]]</f>
        <v>3041</v>
      </c>
      <c r="P48">
        <f>MATCH(LEFT(A48,FIND("-",A48)-1),{"April","May","June","July","August","September","October","November","December","January","February","March"},0)</f>
        <v>1</v>
      </c>
      <c r="Q48" s="3">
        <f t="shared" si="0"/>
        <v>0</v>
      </c>
      <c r="R48" t="str">
        <f t="shared" si="1"/>
        <v>April</v>
      </c>
    </row>
    <row r="49" spans="1:18" x14ac:dyDescent="0.35">
      <c r="A49" t="s">
        <v>13</v>
      </c>
      <c r="B49" t="s">
        <v>117</v>
      </c>
      <c r="C49" t="s">
        <v>15</v>
      </c>
      <c r="D49" t="s">
        <v>118</v>
      </c>
      <c r="E49">
        <v>6632</v>
      </c>
      <c r="F49">
        <v>1551</v>
      </c>
      <c r="G49">
        <v>2022</v>
      </c>
      <c r="H49">
        <v>0</v>
      </c>
      <c r="I49">
        <v>261</v>
      </c>
      <c r="J49">
        <v>1</v>
      </c>
      <c r="K49" s="1">
        <v>45748</v>
      </c>
      <c r="L49" t="s">
        <v>17</v>
      </c>
      <c r="M49" t="s">
        <v>18</v>
      </c>
      <c r="N49" s="2">
        <f>IFERROR(NHS_A_E[[#This Row],[T1_Over4hrs]]/NHS_A_E[[#This Row],[T1_Attendances]], 0)</f>
        <v>0.30488540410132692</v>
      </c>
      <c r="O49">
        <f>NHS_A_E[[#This Row],[T1_Attendances]]+NHS_A_E[[#This Row],[Other_Attendances]]</f>
        <v>8183</v>
      </c>
      <c r="P49">
        <f>MATCH(LEFT(A49,FIND("-",A49)-1),{"April","May","June","July","August","September","October","November","December","January","February","March"},0)</f>
        <v>1</v>
      </c>
      <c r="Q49" s="3">
        <f t="shared" si="0"/>
        <v>1.5078407720144752E-4</v>
      </c>
      <c r="R49" t="str">
        <f t="shared" si="1"/>
        <v>April</v>
      </c>
    </row>
    <row r="50" spans="1:18" x14ac:dyDescent="0.35">
      <c r="A50" t="s">
        <v>13</v>
      </c>
      <c r="B50" t="s">
        <v>119</v>
      </c>
      <c r="C50" t="s">
        <v>15</v>
      </c>
      <c r="D50" t="s">
        <v>120</v>
      </c>
      <c r="E50">
        <v>10175</v>
      </c>
      <c r="F50">
        <v>3428</v>
      </c>
      <c r="G50">
        <v>2970</v>
      </c>
      <c r="H50">
        <v>64</v>
      </c>
      <c r="I50">
        <v>245</v>
      </c>
      <c r="J50">
        <v>212</v>
      </c>
      <c r="K50" s="1">
        <v>45748</v>
      </c>
      <c r="L50" t="s">
        <v>17</v>
      </c>
      <c r="M50" t="s">
        <v>18</v>
      </c>
      <c r="N50" s="2">
        <f>IFERROR(NHS_A_E[[#This Row],[T1_Over4hrs]]/NHS_A_E[[#This Row],[T1_Attendances]], 0)</f>
        <v>0.29189189189189191</v>
      </c>
      <c r="O50">
        <f>NHS_A_E[[#This Row],[T1_Attendances]]+NHS_A_E[[#This Row],[Other_Attendances]]</f>
        <v>13603</v>
      </c>
      <c r="P50">
        <f>MATCH(LEFT(A50,FIND("-",A50)-1),{"April","May","June","July","August","September","October","November","December","January","February","March"},0)</f>
        <v>1</v>
      </c>
      <c r="Q50" s="3">
        <f t="shared" si="0"/>
        <v>2.0835380835380835E-2</v>
      </c>
      <c r="R50" t="str">
        <f t="shared" si="1"/>
        <v>April</v>
      </c>
    </row>
    <row r="51" spans="1:18" x14ac:dyDescent="0.35">
      <c r="A51" t="s">
        <v>13</v>
      </c>
      <c r="B51" t="s">
        <v>121</v>
      </c>
      <c r="C51" t="s">
        <v>15</v>
      </c>
      <c r="D51" t="s">
        <v>122</v>
      </c>
      <c r="E51">
        <v>6744</v>
      </c>
      <c r="F51">
        <v>8207</v>
      </c>
      <c r="G51">
        <v>3640</v>
      </c>
      <c r="H51">
        <v>149</v>
      </c>
      <c r="I51">
        <v>548</v>
      </c>
      <c r="J51">
        <v>183</v>
      </c>
      <c r="K51" s="1">
        <v>45748</v>
      </c>
      <c r="L51" t="s">
        <v>17</v>
      </c>
      <c r="M51" t="s">
        <v>18</v>
      </c>
      <c r="N51" s="2">
        <f>IFERROR(NHS_A_E[[#This Row],[T1_Over4hrs]]/NHS_A_E[[#This Row],[T1_Attendances]], 0)</f>
        <v>0.53973902728351131</v>
      </c>
      <c r="O51">
        <f>NHS_A_E[[#This Row],[T1_Attendances]]+NHS_A_E[[#This Row],[Other_Attendances]]</f>
        <v>14951</v>
      </c>
      <c r="P51">
        <f>MATCH(LEFT(A51,FIND("-",A51)-1),{"April","May","June","July","August","September","October","November","December","January","February","March"},0)</f>
        <v>1</v>
      </c>
      <c r="Q51" s="3">
        <f t="shared" si="0"/>
        <v>2.7135231316725978E-2</v>
      </c>
      <c r="R51" t="str">
        <f t="shared" si="1"/>
        <v>April</v>
      </c>
    </row>
    <row r="52" spans="1:18" x14ac:dyDescent="0.35">
      <c r="A52" t="s">
        <v>13</v>
      </c>
      <c r="B52" t="s">
        <v>123</v>
      </c>
      <c r="C52" t="s">
        <v>15</v>
      </c>
      <c r="D52" t="s">
        <v>124</v>
      </c>
      <c r="E52">
        <v>12301</v>
      </c>
      <c r="F52">
        <v>12385</v>
      </c>
      <c r="G52">
        <v>5640</v>
      </c>
      <c r="H52">
        <v>243</v>
      </c>
      <c r="I52">
        <v>449</v>
      </c>
      <c r="J52">
        <v>1256</v>
      </c>
      <c r="K52" s="1">
        <v>45748</v>
      </c>
      <c r="L52" t="s">
        <v>17</v>
      </c>
      <c r="M52" t="s">
        <v>18</v>
      </c>
      <c r="N52" s="2">
        <f>IFERROR(NHS_A_E[[#This Row],[T1_Over4hrs]]/NHS_A_E[[#This Row],[T1_Attendances]], 0)</f>
        <v>0.45849930899926833</v>
      </c>
      <c r="O52">
        <f>NHS_A_E[[#This Row],[T1_Attendances]]+NHS_A_E[[#This Row],[Other_Attendances]]</f>
        <v>24686</v>
      </c>
      <c r="P52">
        <f>MATCH(LEFT(A52,FIND("-",A52)-1),{"April","May","June","July","August","September","October","November","December","January","February","March"},0)</f>
        <v>1</v>
      </c>
      <c r="Q52" s="3">
        <f t="shared" si="0"/>
        <v>0.10210551987643281</v>
      </c>
      <c r="R52" t="str">
        <f t="shared" si="1"/>
        <v>April</v>
      </c>
    </row>
    <row r="53" spans="1:18" x14ac:dyDescent="0.35">
      <c r="A53" t="s">
        <v>13</v>
      </c>
      <c r="B53" t="s">
        <v>125</v>
      </c>
      <c r="C53" t="s">
        <v>35</v>
      </c>
      <c r="D53" t="s">
        <v>126</v>
      </c>
      <c r="E53">
        <v>0</v>
      </c>
      <c r="F53">
        <v>12442</v>
      </c>
      <c r="G53">
        <v>0</v>
      </c>
      <c r="H53">
        <v>375</v>
      </c>
      <c r="I53">
        <v>0</v>
      </c>
      <c r="J53">
        <v>0</v>
      </c>
      <c r="K53" s="1">
        <v>45748</v>
      </c>
      <c r="L53" t="s">
        <v>17</v>
      </c>
      <c r="M53" t="s">
        <v>18</v>
      </c>
      <c r="N53" s="2">
        <f>IFERROR(NHS_A_E[[#This Row],[T1_Over4hrs]]/NHS_A_E[[#This Row],[T1_Attendances]], 0)</f>
        <v>0</v>
      </c>
      <c r="O53">
        <f>NHS_A_E[[#This Row],[T1_Attendances]]+NHS_A_E[[#This Row],[Other_Attendances]]</f>
        <v>12442</v>
      </c>
      <c r="P53">
        <f>MATCH(LEFT(A53,FIND("-",A53)-1),{"April","May","June","July","August","September","October","November","December","January","February","March"},0)</f>
        <v>1</v>
      </c>
      <c r="Q53" s="3">
        <f t="shared" si="0"/>
        <v>0</v>
      </c>
      <c r="R53" t="str">
        <f t="shared" si="1"/>
        <v>April</v>
      </c>
    </row>
    <row r="54" spans="1:18" x14ac:dyDescent="0.35">
      <c r="A54" t="s">
        <v>13</v>
      </c>
      <c r="B54" t="s">
        <v>127</v>
      </c>
      <c r="C54" t="s">
        <v>15</v>
      </c>
      <c r="D54" t="s">
        <v>128</v>
      </c>
      <c r="E54">
        <v>0</v>
      </c>
      <c r="F54">
        <v>2001</v>
      </c>
      <c r="G54">
        <v>0</v>
      </c>
      <c r="H54">
        <v>0</v>
      </c>
      <c r="I54">
        <v>0</v>
      </c>
      <c r="J54">
        <v>0</v>
      </c>
      <c r="K54" s="1">
        <v>45748</v>
      </c>
      <c r="L54" t="s">
        <v>17</v>
      </c>
      <c r="M54" t="s">
        <v>18</v>
      </c>
      <c r="N54" s="2">
        <f>IFERROR(NHS_A_E[[#This Row],[T1_Over4hrs]]/NHS_A_E[[#This Row],[T1_Attendances]], 0)</f>
        <v>0</v>
      </c>
      <c r="O54">
        <f>NHS_A_E[[#This Row],[T1_Attendances]]+NHS_A_E[[#This Row],[Other_Attendances]]</f>
        <v>2001</v>
      </c>
      <c r="P54">
        <f>MATCH(LEFT(A54,FIND("-",A54)-1),{"April","May","June","July","August","September","October","November","December","January","February","March"},0)</f>
        <v>1</v>
      </c>
      <c r="Q54" s="3">
        <f t="shared" si="0"/>
        <v>0</v>
      </c>
      <c r="R54" t="str">
        <f t="shared" si="1"/>
        <v>April</v>
      </c>
    </row>
    <row r="55" spans="1:18" x14ac:dyDescent="0.35">
      <c r="A55" t="s">
        <v>13</v>
      </c>
      <c r="B55" t="s">
        <v>129</v>
      </c>
      <c r="C55" t="s">
        <v>63</v>
      </c>
      <c r="D55" t="s">
        <v>130</v>
      </c>
      <c r="E55">
        <v>13769</v>
      </c>
      <c r="F55">
        <v>4221</v>
      </c>
      <c r="G55">
        <v>4725</v>
      </c>
      <c r="H55">
        <v>33</v>
      </c>
      <c r="I55">
        <v>1050</v>
      </c>
      <c r="J55">
        <v>65</v>
      </c>
      <c r="K55" s="1">
        <v>45748</v>
      </c>
      <c r="L55" t="s">
        <v>17</v>
      </c>
      <c r="M55" t="s">
        <v>18</v>
      </c>
      <c r="N55" s="2">
        <f>IFERROR(NHS_A_E[[#This Row],[T1_Over4hrs]]/NHS_A_E[[#This Row],[T1_Attendances]], 0)</f>
        <v>0.3431621759023894</v>
      </c>
      <c r="O55">
        <f>NHS_A_E[[#This Row],[T1_Attendances]]+NHS_A_E[[#This Row],[Other_Attendances]]</f>
        <v>17990</v>
      </c>
      <c r="P55">
        <f>MATCH(LEFT(A55,FIND("-",A55)-1),{"April","May","June","July","August","September","October","November","December","January","February","March"},0)</f>
        <v>1</v>
      </c>
      <c r="Q55" s="3">
        <f t="shared" si="0"/>
        <v>4.7207495097683202E-3</v>
      </c>
      <c r="R55" t="str">
        <f t="shared" si="1"/>
        <v>April</v>
      </c>
    </row>
    <row r="56" spans="1:18" x14ac:dyDescent="0.35">
      <c r="A56" t="s">
        <v>13</v>
      </c>
      <c r="B56" t="s">
        <v>131</v>
      </c>
      <c r="C56" t="s">
        <v>40</v>
      </c>
      <c r="D56" t="s">
        <v>132</v>
      </c>
      <c r="E56">
        <v>18237</v>
      </c>
      <c r="F56">
        <v>9226</v>
      </c>
      <c r="G56">
        <v>8556</v>
      </c>
      <c r="H56">
        <v>10</v>
      </c>
      <c r="I56">
        <v>1219</v>
      </c>
      <c r="J56">
        <v>386</v>
      </c>
      <c r="K56" s="1">
        <v>45748</v>
      </c>
      <c r="L56" t="s">
        <v>17</v>
      </c>
      <c r="M56" t="s">
        <v>18</v>
      </c>
      <c r="N56" s="2">
        <f>IFERROR(NHS_A_E[[#This Row],[T1_Over4hrs]]/NHS_A_E[[#This Row],[T1_Attendances]], 0)</f>
        <v>0.46915611120250039</v>
      </c>
      <c r="O56">
        <f>NHS_A_E[[#This Row],[T1_Attendances]]+NHS_A_E[[#This Row],[Other_Attendances]]</f>
        <v>27463</v>
      </c>
      <c r="P56">
        <f>MATCH(LEFT(A56,FIND("-",A56)-1),{"April","May","June","July","August","September","October","November","December","January","February","March"},0)</f>
        <v>1</v>
      </c>
      <c r="Q56" s="3">
        <f t="shared" si="0"/>
        <v>2.1165761912595272E-2</v>
      </c>
      <c r="R56" t="str">
        <f t="shared" si="1"/>
        <v>April</v>
      </c>
    </row>
    <row r="57" spans="1:18" x14ac:dyDescent="0.35">
      <c r="A57" t="s">
        <v>13</v>
      </c>
      <c r="B57" t="s">
        <v>133</v>
      </c>
      <c r="C57" t="s">
        <v>15</v>
      </c>
      <c r="D57" t="s">
        <v>134</v>
      </c>
      <c r="E57">
        <v>0</v>
      </c>
      <c r="F57">
        <v>1472</v>
      </c>
      <c r="G57">
        <v>0</v>
      </c>
      <c r="H57">
        <v>10</v>
      </c>
      <c r="I57">
        <v>0</v>
      </c>
      <c r="J57">
        <v>0</v>
      </c>
      <c r="K57" s="1">
        <v>45748</v>
      </c>
      <c r="L57" t="s">
        <v>17</v>
      </c>
      <c r="M57" t="s">
        <v>18</v>
      </c>
      <c r="N57" s="2">
        <f>IFERROR(NHS_A_E[[#This Row],[T1_Over4hrs]]/NHS_A_E[[#This Row],[T1_Attendances]], 0)</f>
        <v>0</v>
      </c>
      <c r="O57">
        <f>NHS_A_E[[#This Row],[T1_Attendances]]+NHS_A_E[[#This Row],[Other_Attendances]]</f>
        <v>1472</v>
      </c>
      <c r="P57">
        <f>MATCH(LEFT(A57,FIND("-",A57)-1),{"April","May","June","July","August","September","October","November","December","January","February","March"},0)</f>
        <v>1</v>
      </c>
      <c r="Q57" s="3">
        <f t="shared" si="0"/>
        <v>0</v>
      </c>
      <c r="R57" t="str">
        <f t="shared" si="1"/>
        <v>April</v>
      </c>
    </row>
    <row r="58" spans="1:18" x14ac:dyDescent="0.35">
      <c r="A58" t="s">
        <v>13</v>
      </c>
      <c r="B58" t="s">
        <v>135</v>
      </c>
      <c r="C58" t="s">
        <v>40</v>
      </c>
      <c r="D58" t="s">
        <v>136</v>
      </c>
      <c r="E58">
        <v>0</v>
      </c>
      <c r="F58">
        <v>5168</v>
      </c>
      <c r="G58">
        <v>0</v>
      </c>
      <c r="H58">
        <v>24</v>
      </c>
      <c r="I58">
        <v>0</v>
      </c>
      <c r="J58">
        <v>0</v>
      </c>
      <c r="K58" s="1">
        <v>45748</v>
      </c>
      <c r="L58" t="s">
        <v>17</v>
      </c>
      <c r="M58" t="s">
        <v>18</v>
      </c>
      <c r="N58" s="2">
        <f>IFERROR(NHS_A_E[[#This Row],[T1_Over4hrs]]/NHS_A_E[[#This Row],[T1_Attendances]], 0)</f>
        <v>0</v>
      </c>
      <c r="O58">
        <f>NHS_A_E[[#This Row],[T1_Attendances]]+NHS_A_E[[#This Row],[Other_Attendances]]</f>
        <v>5168</v>
      </c>
      <c r="P58">
        <f>MATCH(LEFT(A58,FIND("-",A58)-1),{"April","May","June","July","August","September","October","November","December","January","February","March"},0)</f>
        <v>1</v>
      </c>
      <c r="Q58" s="3">
        <f t="shared" si="0"/>
        <v>0</v>
      </c>
      <c r="R58" t="str">
        <f t="shared" si="1"/>
        <v>April</v>
      </c>
    </row>
    <row r="59" spans="1:18" x14ac:dyDescent="0.35">
      <c r="A59" t="s">
        <v>13</v>
      </c>
      <c r="B59" t="s">
        <v>137</v>
      </c>
      <c r="C59" t="s">
        <v>40</v>
      </c>
      <c r="D59" t="s">
        <v>138</v>
      </c>
      <c r="E59">
        <v>0</v>
      </c>
      <c r="F59">
        <v>164</v>
      </c>
      <c r="G59">
        <v>0</v>
      </c>
      <c r="H59">
        <v>0</v>
      </c>
      <c r="I59">
        <v>0</v>
      </c>
      <c r="J59">
        <v>0</v>
      </c>
      <c r="K59" s="1">
        <v>45748</v>
      </c>
      <c r="L59" t="s">
        <v>17</v>
      </c>
      <c r="M59" t="s">
        <v>18</v>
      </c>
      <c r="N59" s="2">
        <f>IFERROR(NHS_A_E[[#This Row],[T1_Over4hrs]]/NHS_A_E[[#This Row],[T1_Attendances]], 0)</f>
        <v>0</v>
      </c>
      <c r="O59">
        <f>NHS_A_E[[#This Row],[T1_Attendances]]+NHS_A_E[[#This Row],[Other_Attendances]]</f>
        <v>164</v>
      </c>
      <c r="P59">
        <f>MATCH(LEFT(A59,FIND("-",A59)-1),{"April","May","June","July","August","September","October","November","December","January","February","March"},0)</f>
        <v>1</v>
      </c>
      <c r="Q59" s="3">
        <f t="shared" si="0"/>
        <v>0</v>
      </c>
      <c r="R59" t="str">
        <f t="shared" si="1"/>
        <v>April</v>
      </c>
    </row>
    <row r="60" spans="1:18" x14ac:dyDescent="0.35">
      <c r="A60" t="s">
        <v>13</v>
      </c>
      <c r="B60" t="s">
        <v>139</v>
      </c>
      <c r="C60" t="s">
        <v>40</v>
      </c>
      <c r="D60" t="s">
        <v>140</v>
      </c>
      <c r="E60">
        <v>0</v>
      </c>
      <c r="F60">
        <v>112</v>
      </c>
      <c r="G60">
        <v>0</v>
      </c>
      <c r="H60">
        <v>0</v>
      </c>
      <c r="I60">
        <v>0</v>
      </c>
      <c r="J60">
        <v>0</v>
      </c>
      <c r="K60" s="1">
        <v>45748</v>
      </c>
      <c r="L60" t="s">
        <v>17</v>
      </c>
      <c r="M60" t="s">
        <v>18</v>
      </c>
      <c r="N60" s="2">
        <f>IFERROR(NHS_A_E[[#This Row],[T1_Over4hrs]]/NHS_A_E[[#This Row],[T1_Attendances]], 0)</f>
        <v>0</v>
      </c>
      <c r="O60">
        <f>NHS_A_E[[#This Row],[T1_Attendances]]+NHS_A_E[[#This Row],[Other_Attendances]]</f>
        <v>112</v>
      </c>
      <c r="P60">
        <f>MATCH(LEFT(A60,FIND("-",A60)-1),{"April","May","June","July","August","September","October","November","December","January","February","March"},0)</f>
        <v>1</v>
      </c>
      <c r="Q60" s="3">
        <f t="shared" si="0"/>
        <v>0</v>
      </c>
      <c r="R60" t="str">
        <f t="shared" si="1"/>
        <v>April</v>
      </c>
    </row>
    <row r="61" spans="1:18" x14ac:dyDescent="0.35">
      <c r="A61" t="s">
        <v>13</v>
      </c>
      <c r="B61" t="s">
        <v>141</v>
      </c>
      <c r="C61" t="s">
        <v>40</v>
      </c>
      <c r="D61" t="s">
        <v>142</v>
      </c>
      <c r="E61">
        <v>0</v>
      </c>
      <c r="F61">
        <v>64</v>
      </c>
      <c r="G61">
        <v>0</v>
      </c>
      <c r="H61">
        <v>0</v>
      </c>
      <c r="I61">
        <v>0</v>
      </c>
      <c r="J61">
        <v>0</v>
      </c>
      <c r="K61" s="1">
        <v>45748</v>
      </c>
      <c r="L61" t="s">
        <v>17</v>
      </c>
      <c r="M61" t="s">
        <v>18</v>
      </c>
      <c r="N61" s="2">
        <f>IFERROR(NHS_A_E[[#This Row],[T1_Over4hrs]]/NHS_A_E[[#This Row],[T1_Attendances]], 0)</f>
        <v>0</v>
      </c>
      <c r="O61">
        <f>NHS_A_E[[#This Row],[T1_Attendances]]+NHS_A_E[[#This Row],[Other_Attendances]]</f>
        <v>64</v>
      </c>
      <c r="P61">
        <f>MATCH(LEFT(A61,FIND("-",A61)-1),{"April","May","June","July","August","September","October","November","December","January","February","March"},0)</f>
        <v>1</v>
      </c>
      <c r="Q61" s="3">
        <f t="shared" si="0"/>
        <v>0</v>
      </c>
      <c r="R61" t="str">
        <f t="shared" si="1"/>
        <v>April</v>
      </c>
    </row>
    <row r="62" spans="1:18" x14ac:dyDescent="0.35">
      <c r="A62" t="s">
        <v>13</v>
      </c>
      <c r="B62" t="s">
        <v>143</v>
      </c>
      <c r="C62" t="s">
        <v>40</v>
      </c>
      <c r="D62" t="s">
        <v>144</v>
      </c>
      <c r="E62">
        <v>0</v>
      </c>
      <c r="F62">
        <v>561</v>
      </c>
      <c r="G62">
        <v>0</v>
      </c>
      <c r="H62">
        <v>0</v>
      </c>
      <c r="I62">
        <v>0</v>
      </c>
      <c r="J62">
        <v>0</v>
      </c>
      <c r="K62" s="1">
        <v>45748</v>
      </c>
      <c r="L62" t="s">
        <v>17</v>
      </c>
      <c r="M62" t="s">
        <v>18</v>
      </c>
      <c r="N62" s="2">
        <f>IFERROR(NHS_A_E[[#This Row],[T1_Over4hrs]]/NHS_A_E[[#This Row],[T1_Attendances]], 0)</f>
        <v>0</v>
      </c>
      <c r="O62">
        <f>NHS_A_E[[#This Row],[T1_Attendances]]+NHS_A_E[[#This Row],[Other_Attendances]]</f>
        <v>561</v>
      </c>
      <c r="P62">
        <f>MATCH(LEFT(A62,FIND("-",A62)-1),{"April","May","June","July","August","September","October","November","December","January","February","March"},0)</f>
        <v>1</v>
      </c>
      <c r="Q62" s="3">
        <f t="shared" si="0"/>
        <v>0</v>
      </c>
      <c r="R62" t="str">
        <f t="shared" si="1"/>
        <v>April</v>
      </c>
    </row>
    <row r="63" spans="1:18" x14ac:dyDescent="0.35">
      <c r="A63" t="s">
        <v>13</v>
      </c>
      <c r="B63" t="s">
        <v>145</v>
      </c>
      <c r="C63" t="s">
        <v>40</v>
      </c>
      <c r="D63" t="s">
        <v>146</v>
      </c>
      <c r="E63">
        <v>0</v>
      </c>
      <c r="F63">
        <v>75</v>
      </c>
      <c r="G63">
        <v>0</v>
      </c>
      <c r="H63">
        <v>0</v>
      </c>
      <c r="I63">
        <v>0</v>
      </c>
      <c r="J63">
        <v>0</v>
      </c>
      <c r="K63" s="1">
        <v>45748</v>
      </c>
      <c r="L63" t="s">
        <v>17</v>
      </c>
      <c r="M63" t="s">
        <v>18</v>
      </c>
      <c r="N63" s="2">
        <f>IFERROR(NHS_A_E[[#This Row],[T1_Over4hrs]]/NHS_A_E[[#This Row],[T1_Attendances]], 0)</f>
        <v>0</v>
      </c>
      <c r="O63">
        <f>NHS_A_E[[#This Row],[T1_Attendances]]+NHS_A_E[[#This Row],[Other_Attendances]]</f>
        <v>75</v>
      </c>
      <c r="P63">
        <f>MATCH(LEFT(A63,FIND("-",A63)-1),{"April","May","June","July","August","September","October","November","December","January","February","March"},0)</f>
        <v>1</v>
      </c>
      <c r="Q63" s="3">
        <f t="shared" si="0"/>
        <v>0</v>
      </c>
      <c r="R63" t="str">
        <f t="shared" si="1"/>
        <v>April</v>
      </c>
    </row>
    <row r="64" spans="1:18" x14ac:dyDescent="0.35">
      <c r="A64" t="s">
        <v>13</v>
      </c>
      <c r="B64" t="s">
        <v>147</v>
      </c>
      <c r="C64" t="s">
        <v>40</v>
      </c>
      <c r="D64" t="s">
        <v>148</v>
      </c>
      <c r="E64">
        <v>0</v>
      </c>
      <c r="F64">
        <v>1994</v>
      </c>
      <c r="G64">
        <v>0</v>
      </c>
      <c r="H64">
        <v>0</v>
      </c>
      <c r="I64">
        <v>0</v>
      </c>
      <c r="J64">
        <v>0</v>
      </c>
      <c r="K64" s="1">
        <v>45748</v>
      </c>
      <c r="L64" t="s">
        <v>17</v>
      </c>
      <c r="M64" t="s">
        <v>18</v>
      </c>
      <c r="N64" s="2">
        <f>IFERROR(NHS_A_E[[#This Row],[T1_Over4hrs]]/NHS_A_E[[#This Row],[T1_Attendances]], 0)</f>
        <v>0</v>
      </c>
      <c r="O64">
        <f>NHS_A_E[[#This Row],[T1_Attendances]]+NHS_A_E[[#This Row],[Other_Attendances]]</f>
        <v>1994</v>
      </c>
      <c r="P64">
        <f>MATCH(LEFT(A64,FIND("-",A64)-1),{"April","May","June","July","August","September","October","November","December","January","February","March"},0)</f>
        <v>1</v>
      </c>
      <c r="Q64" s="3">
        <f t="shared" si="0"/>
        <v>0</v>
      </c>
      <c r="R64" t="str">
        <f t="shared" si="1"/>
        <v>April</v>
      </c>
    </row>
    <row r="65" spans="1:18" x14ac:dyDescent="0.35">
      <c r="A65" t="s">
        <v>13</v>
      </c>
      <c r="B65" t="s">
        <v>149</v>
      </c>
      <c r="C65" t="s">
        <v>15</v>
      </c>
      <c r="D65" t="s">
        <v>150</v>
      </c>
      <c r="E65">
        <v>9902</v>
      </c>
      <c r="F65">
        <v>3041</v>
      </c>
      <c r="G65">
        <v>4250</v>
      </c>
      <c r="H65">
        <v>170</v>
      </c>
      <c r="I65">
        <v>1009</v>
      </c>
      <c r="J65">
        <v>503</v>
      </c>
      <c r="K65" s="1">
        <v>45748</v>
      </c>
      <c r="L65" t="s">
        <v>17</v>
      </c>
      <c r="M65" t="s">
        <v>18</v>
      </c>
      <c r="N65" s="2">
        <f>IFERROR(NHS_A_E[[#This Row],[T1_Over4hrs]]/NHS_A_E[[#This Row],[T1_Attendances]], 0)</f>
        <v>0.42920622096546152</v>
      </c>
      <c r="O65">
        <f>NHS_A_E[[#This Row],[T1_Attendances]]+NHS_A_E[[#This Row],[Other_Attendances]]</f>
        <v>12943</v>
      </c>
      <c r="P65">
        <f>MATCH(LEFT(A65,FIND("-",A65)-1),{"April","May","June","July","August","September","October","November","December","January","February","March"},0)</f>
        <v>1</v>
      </c>
      <c r="Q65" s="3">
        <f t="shared" si="0"/>
        <v>5.0797818622500504E-2</v>
      </c>
      <c r="R65" t="str">
        <f t="shared" si="1"/>
        <v>April</v>
      </c>
    </row>
    <row r="66" spans="1:18" x14ac:dyDescent="0.35">
      <c r="A66" t="s">
        <v>13</v>
      </c>
      <c r="B66" t="s">
        <v>151</v>
      </c>
      <c r="C66" t="s">
        <v>30</v>
      </c>
      <c r="D66" t="s">
        <v>152</v>
      </c>
      <c r="E66">
        <v>25192</v>
      </c>
      <c r="F66">
        <v>8446</v>
      </c>
      <c r="G66">
        <v>10385</v>
      </c>
      <c r="H66">
        <v>403</v>
      </c>
      <c r="I66">
        <v>1013</v>
      </c>
      <c r="J66">
        <v>1222</v>
      </c>
      <c r="K66" s="1">
        <v>45748</v>
      </c>
      <c r="L66" t="s">
        <v>17</v>
      </c>
      <c r="M66" t="s">
        <v>18</v>
      </c>
      <c r="N66" s="2">
        <f>IFERROR(NHS_A_E[[#This Row],[T1_Over4hrs]]/NHS_A_E[[#This Row],[T1_Attendances]], 0)</f>
        <v>0.41223404255319152</v>
      </c>
      <c r="O66">
        <f>NHS_A_E[[#This Row],[T1_Attendances]]+NHS_A_E[[#This Row],[Other_Attendances]]</f>
        <v>33638</v>
      </c>
      <c r="P66">
        <f>MATCH(LEFT(A66,FIND("-",A66)-1),{"April","May","June","July","August","September","October","November","December","January","February","March"},0)</f>
        <v>1</v>
      </c>
      <c r="Q66" s="3">
        <f t="shared" ref="Q66:Q129" si="2">IFERROR(J66/E66,0)</f>
        <v>4.8507462686567165E-2</v>
      </c>
      <c r="R66" t="str">
        <f t="shared" ref="R66:R129" si="3">TEXT(A66, "mmmm")</f>
        <v>April</v>
      </c>
    </row>
    <row r="67" spans="1:18" x14ac:dyDescent="0.35">
      <c r="A67" t="s">
        <v>13</v>
      </c>
      <c r="B67" t="s">
        <v>153</v>
      </c>
      <c r="C67" t="s">
        <v>30</v>
      </c>
      <c r="D67" t="s">
        <v>154</v>
      </c>
      <c r="E67">
        <v>11684</v>
      </c>
      <c r="F67">
        <v>3459</v>
      </c>
      <c r="G67">
        <v>4328</v>
      </c>
      <c r="H67">
        <v>194</v>
      </c>
      <c r="I67">
        <v>948</v>
      </c>
      <c r="J67">
        <v>435</v>
      </c>
      <c r="K67" s="1">
        <v>45748</v>
      </c>
      <c r="L67" t="s">
        <v>17</v>
      </c>
      <c r="M67" t="s">
        <v>18</v>
      </c>
      <c r="N67" s="2">
        <f>IFERROR(NHS_A_E[[#This Row],[T1_Over4hrs]]/NHS_A_E[[#This Row],[T1_Attendances]], 0)</f>
        <v>0.37042108866826429</v>
      </c>
      <c r="O67">
        <f>NHS_A_E[[#This Row],[T1_Attendances]]+NHS_A_E[[#This Row],[Other_Attendances]]</f>
        <v>15143</v>
      </c>
      <c r="P67">
        <f>MATCH(LEFT(A67,FIND("-",A67)-1),{"April","May","June","July","August","September","October","November","December","January","February","March"},0)</f>
        <v>1</v>
      </c>
      <c r="Q67" s="3">
        <f t="shared" si="2"/>
        <v>3.7230400547757614E-2</v>
      </c>
      <c r="R67" t="str">
        <f t="shared" si="3"/>
        <v>April</v>
      </c>
    </row>
    <row r="68" spans="1:18" x14ac:dyDescent="0.35">
      <c r="A68" t="s">
        <v>13</v>
      </c>
      <c r="B68" t="s">
        <v>155</v>
      </c>
      <c r="C68" t="s">
        <v>15</v>
      </c>
      <c r="D68" t="s">
        <v>156</v>
      </c>
      <c r="E68">
        <v>10298</v>
      </c>
      <c r="F68">
        <v>2087</v>
      </c>
      <c r="G68">
        <v>4206</v>
      </c>
      <c r="H68">
        <v>0</v>
      </c>
      <c r="I68">
        <v>672</v>
      </c>
      <c r="J68">
        <v>25</v>
      </c>
      <c r="K68" s="1">
        <v>45748</v>
      </c>
      <c r="L68" t="s">
        <v>17</v>
      </c>
      <c r="M68" t="s">
        <v>18</v>
      </c>
      <c r="N68" s="2">
        <f>IFERROR(NHS_A_E[[#This Row],[T1_Over4hrs]]/NHS_A_E[[#This Row],[T1_Attendances]], 0)</f>
        <v>0.40842882113031659</v>
      </c>
      <c r="O68">
        <f>NHS_A_E[[#This Row],[T1_Attendances]]+NHS_A_E[[#This Row],[Other_Attendances]]</f>
        <v>12385</v>
      </c>
      <c r="P68">
        <f>MATCH(LEFT(A68,FIND("-",A68)-1),{"April","May","June","July","August","September","October","November","December","January","February","March"},0)</f>
        <v>1</v>
      </c>
      <c r="Q68" s="3">
        <f t="shared" si="2"/>
        <v>2.4276558555059234E-3</v>
      </c>
      <c r="R68" t="str">
        <f t="shared" si="3"/>
        <v>April</v>
      </c>
    </row>
    <row r="69" spans="1:18" x14ac:dyDescent="0.35">
      <c r="A69" t="s">
        <v>13</v>
      </c>
      <c r="B69" t="s">
        <v>157</v>
      </c>
      <c r="C69" t="s">
        <v>40</v>
      </c>
      <c r="D69" t="s">
        <v>158</v>
      </c>
      <c r="E69">
        <v>34366</v>
      </c>
      <c r="F69">
        <v>1862</v>
      </c>
      <c r="G69">
        <v>14652</v>
      </c>
      <c r="H69">
        <v>87</v>
      </c>
      <c r="I69">
        <v>2801</v>
      </c>
      <c r="J69">
        <v>2096</v>
      </c>
      <c r="K69" s="1">
        <v>45748</v>
      </c>
      <c r="L69" t="s">
        <v>17</v>
      </c>
      <c r="M69" t="s">
        <v>18</v>
      </c>
      <c r="N69" s="2">
        <f>IFERROR(NHS_A_E[[#This Row],[T1_Over4hrs]]/NHS_A_E[[#This Row],[T1_Attendances]], 0)</f>
        <v>0.42635162660769366</v>
      </c>
      <c r="O69">
        <f>NHS_A_E[[#This Row],[T1_Attendances]]+NHS_A_E[[#This Row],[Other_Attendances]]</f>
        <v>36228</v>
      </c>
      <c r="P69">
        <f>MATCH(LEFT(A69,FIND("-",A69)-1),{"April","May","June","July","August","September","October","November","December","January","February","March"},0)</f>
        <v>1</v>
      </c>
      <c r="Q69" s="3">
        <f t="shared" si="2"/>
        <v>6.0990513879997675E-2</v>
      </c>
      <c r="R69" t="str">
        <f t="shared" si="3"/>
        <v>April</v>
      </c>
    </row>
    <row r="70" spans="1:18" x14ac:dyDescent="0.35">
      <c r="A70" t="s">
        <v>13</v>
      </c>
      <c r="B70" t="s">
        <v>159</v>
      </c>
      <c r="C70" t="s">
        <v>40</v>
      </c>
      <c r="D70" t="s">
        <v>160</v>
      </c>
      <c r="E70">
        <v>6703</v>
      </c>
      <c r="F70">
        <v>6382</v>
      </c>
      <c r="G70">
        <v>3410</v>
      </c>
      <c r="H70">
        <v>376</v>
      </c>
      <c r="I70">
        <v>873</v>
      </c>
      <c r="J70">
        <v>139</v>
      </c>
      <c r="K70" s="1">
        <v>45748</v>
      </c>
      <c r="L70" t="s">
        <v>17</v>
      </c>
      <c r="M70" t="s">
        <v>18</v>
      </c>
      <c r="N70" s="2">
        <f>IFERROR(NHS_A_E[[#This Row],[T1_Over4hrs]]/NHS_A_E[[#This Row],[T1_Attendances]], 0)</f>
        <v>0.50872743547665222</v>
      </c>
      <c r="O70">
        <f>NHS_A_E[[#This Row],[T1_Attendances]]+NHS_A_E[[#This Row],[Other_Attendances]]</f>
        <v>13085</v>
      </c>
      <c r="P70">
        <f>MATCH(LEFT(A70,FIND("-",A70)-1),{"April","May","June","July","August","September","October","November","December","January","February","March"},0)</f>
        <v>1</v>
      </c>
      <c r="Q70" s="3">
        <f t="shared" si="2"/>
        <v>2.0736983440250635E-2</v>
      </c>
      <c r="R70" t="str">
        <f t="shared" si="3"/>
        <v>April</v>
      </c>
    </row>
    <row r="71" spans="1:18" x14ac:dyDescent="0.35">
      <c r="A71" t="s">
        <v>13</v>
      </c>
      <c r="B71" t="s">
        <v>161</v>
      </c>
      <c r="C71" t="s">
        <v>30</v>
      </c>
      <c r="D71" t="s">
        <v>162</v>
      </c>
      <c r="E71">
        <v>6945</v>
      </c>
      <c r="F71">
        <v>2890</v>
      </c>
      <c r="G71">
        <v>4074</v>
      </c>
      <c r="H71">
        <v>53</v>
      </c>
      <c r="I71">
        <v>594</v>
      </c>
      <c r="J71">
        <v>492</v>
      </c>
      <c r="K71" s="1">
        <v>45748</v>
      </c>
      <c r="L71" t="s">
        <v>17</v>
      </c>
      <c r="M71" t="s">
        <v>18</v>
      </c>
      <c r="N71" s="2">
        <f>IFERROR(NHS_A_E[[#This Row],[T1_Over4hrs]]/NHS_A_E[[#This Row],[T1_Attendances]], 0)</f>
        <v>0.58660907127429807</v>
      </c>
      <c r="O71">
        <f>NHS_A_E[[#This Row],[T1_Attendances]]+NHS_A_E[[#This Row],[Other_Attendances]]</f>
        <v>9835</v>
      </c>
      <c r="P71">
        <f>MATCH(LEFT(A71,FIND("-",A71)-1),{"April","May","June","July","August","September","October","November","December","January","February","March"},0)</f>
        <v>1</v>
      </c>
      <c r="Q71" s="3">
        <f t="shared" si="2"/>
        <v>7.0842332613390929E-2</v>
      </c>
      <c r="R71" t="str">
        <f t="shared" si="3"/>
        <v>April</v>
      </c>
    </row>
    <row r="72" spans="1:18" x14ac:dyDescent="0.35">
      <c r="A72" t="s">
        <v>13</v>
      </c>
      <c r="B72" t="s">
        <v>163</v>
      </c>
      <c r="C72" t="s">
        <v>35</v>
      </c>
      <c r="D72" t="s">
        <v>164</v>
      </c>
      <c r="E72">
        <v>0</v>
      </c>
      <c r="F72">
        <v>3736</v>
      </c>
      <c r="G72">
        <v>0</v>
      </c>
      <c r="H72">
        <v>49</v>
      </c>
      <c r="I72">
        <v>0</v>
      </c>
      <c r="J72">
        <v>0</v>
      </c>
      <c r="K72" s="1">
        <v>45748</v>
      </c>
      <c r="L72" t="s">
        <v>17</v>
      </c>
      <c r="M72" t="s">
        <v>18</v>
      </c>
      <c r="N72" s="2">
        <f>IFERROR(NHS_A_E[[#This Row],[T1_Over4hrs]]/NHS_A_E[[#This Row],[T1_Attendances]], 0)</f>
        <v>0</v>
      </c>
      <c r="O72">
        <f>NHS_A_E[[#This Row],[T1_Attendances]]+NHS_A_E[[#This Row],[Other_Attendances]]</f>
        <v>3736</v>
      </c>
      <c r="P72">
        <f>MATCH(LEFT(A72,FIND("-",A72)-1),{"April","May","June","July","August","September","October","November","December","January","February","March"},0)</f>
        <v>1</v>
      </c>
      <c r="Q72" s="3">
        <f t="shared" si="2"/>
        <v>0</v>
      </c>
      <c r="R72" t="str">
        <f t="shared" si="3"/>
        <v>April</v>
      </c>
    </row>
    <row r="73" spans="1:18" x14ac:dyDescent="0.35">
      <c r="A73" t="s">
        <v>13</v>
      </c>
      <c r="B73" t="s">
        <v>165</v>
      </c>
      <c r="C73" t="s">
        <v>63</v>
      </c>
      <c r="D73" t="s">
        <v>166</v>
      </c>
      <c r="E73">
        <v>11926</v>
      </c>
      <c r="F73">
        <v>6352</v>
      </c>
      <c r="G73">
        <v>4751</v>
      </c>
      <c r="H73">
        <v>0</v>
      </c>
      <c r="I73">
        <v>738</v>
      </c>
      <c r="J73">
        <v>85</v>
      </c>
      <c r="K73" s="1">
        <v>45748</v>
      </c>
      <c r="L73" t="s">
        <v>17</v>
      </c>
      <c r="M73" t="s">
        <v>18</v>
      </c>
      <c r="N73" s="2">
        <f>IFERROR(NHS_A_E[[#This Row],[T1_Over4hrs]]/NHS_A_E[[#This Row],[T1_Attendances]], 0)</f>
        <v>0.39837330202917992</v>
      </c>
      <c r="O73">
        <f>NHS_A_E[[#This Row],[T1_Attendances]]+NHS_A_E[[#This Row],[Other_Attendances]]</f>
        <v>18278</v>
      </c>
      <c r="P73">
        <f>MATCH(LEFT(A73,FIND("-",A73)-1),{"April","May","June","July","August","September","October","November","December","January","February","March"},0)</f>
        <v>1</v>
      </c>
      <c r="Q73" s="3">
        <f t="shared" si="2"/>
        <v>7.1272849236961259E-3</v>
      </c>
      <c r="R73" t="str">
        <f t="shared" si="3"/>
        <v>April</v>
      </c>
    </row>
    <row r="74" spans="1:18" x14ac:dyDescent="0.35">
      <c r="A74" t="s">
        <v>13</v>
      </c>
      <c r="B74" t="s">
        <v>167</v>
      </c>
      <c r="C74" t="s">
        <v>30</v>
      </c>
      <c r="D74" t="s">
        <v>168</v>
      </c>
      <c r="E74">
        <v>7889</v>
      </c>
      <c r="F74">
        <v>3897</v>
      </c>
      <c r="G74">
        <v>3771</v>
      </c>
      <c r="H74">
        <v>210</v>
      </c>
      <c r="I74">
        <v>551</v>
      </c>
      <c r="J74">
        <v>488</v>
      </c>
      <c r="K74" s="1">
        <v>45748</v>
      </c>
      <c r="L74" t="s">
        <v>17</v>
      </c>
      <c r="M74" t="s">
        <v>18</v>
      </c>
      <c r="N74" s="2">
        <f>IFERROR(NHS_A_E[[#This Row],[T1_Over4hrs]]/NHS_A_E[[#This Row],[T1_Attendances]], 0)</f>
        <v>0.47800735200912664</v>
      </c>
      <c r="O74">
        <f>NHS_A_E[[#This Row],[T1_Attendances]]+NHS_A_E[[#This Row],[Other_Attendances]]</f>
        <v>11786</v>
      </c>
      <c r="P74">
        <f>MATCH(LEFT(A74,FIND("-",A74)-1),{"April","May","June","July","August","September","October","November","December","January","February","March"},0)</f>
        <v>1</v>
      </c>
      <c r="Q74" s="3">
        <f t="shared" si="2"/>
        <v>6.1858283686145266E-2</v>
      </c>
      <c r="R74" t="str">
        <f t="shared" si="3"/>
        <v>April</v>
      </c>
    </row>
    <row r="75" spans="1:18" x14ac:dyDescent="0.35">
      <c r="A75" t="s">
        <v>13</v>
      </c>
      <c r="B75" t="s">
        <v>169</v>
      </c>
      <c r="C75" t="s">
        <v>20</v>
      </c>
      <c r="D75" t="s">
        <v>170</v>
      </c>
      <c r="E75">
        <v>8866</v>
      </c>
      <c r="F75">
        <v>0</v>
      </c>
      <c r="G75">
        <v>3494</v>
      </c>
      <c r="H75">
        <v>0</v>
      </c>
      <c r="I75">
        <v>606</v>
      </c>
      <c r="J75">
        <v>299</v>
      </c>
      <c r="K75" s="1">
        <v>45748</v>
      </c>
      <c r="L75" t="s">
        <v>17</v>
      </c>
      <c r="M75" t="s">
        <v>18</v>
      </c>
      <c r="N75" s="2">
        <f>IFERROR(NHS_A_E[[#This Row],[T1_Over4hrs]]/NHS_A_E[[#This Row],[T1_Attendances]], 0)</f>
        <v>0.39408978118655535</v>
      </c>
      <c r="O75">
        <f>NHS_A_E[[#This Row],[T1_Attendances]]+NHS_A_E[[#This Row],[Other_Attendances]]</f>
        <v>8866</v>
      </c>
      <c r="P75">
        <f>MATCH(LEFT(A75,FIND("-",A75)-1),{"April","May","June","July","August","September","October","November","December","January","February","March"},0)</f>
        <v>1</v>
      </c>
      <c r="Q75" s="3">
        <f t="shared" si="2"/>
        <v>3.3724340175953077E-2</v>
      </c>
      <c r="R75" t="str">
        <f t="shared" si="3"/>
        <v>April</v>
      </c>
    </row>
    <row r="76" spans="1:18" x14ac:dyDescent="0.35">
      <c r="A76" t="s">
        <v>13</v>
      </c>
      <c r="B76" t="s">
        <v>171</v>
      </c>
      <c r="C76" t="s">
        <v>35</v>
      </c>
      <c r="D76" t="s">
        <v>172</v>
      </c>
      <c r="E76">
        <v>10804</v>
      </c>
      <c r="F76">
        <v>1568</v>
      </c>
      <c r="G76">
        <v>3246</v>
      </c>
      <c r="H76">
        <v>123</v>
      </c>
      <c r="I76">
        <v>266</v>
      </c>
      <c r="J76">
        <v>700</v>
      </c>
      <c r="K76" s="1">
        <v>45748</v>
      </c>
      <c r="L76" t="s">
        <v>17</v>
      </c>
      <c r="M76" t="s">
        <v>18</v>
      </c>
      <c r="N76" s="2">
        <f>IFERROR(NHS_A_E[[#This Row],[T1_Over4hrs]]/NHS_A_E[[#This Row],[T1_Attendances]], 0)</f>
        <v>0.30044427989633471</v>
      </c>
      <c r="O76">
        <f>NHS_A_E[[#This Row],[T1_Attendances]]+NHS_A_E[[#This Row],[Other_Attendances]]</f>
        <v>12372</v>
      </c>
      <c r="P76">
        <f>MATCH(LEFT(A76,FIND("-",A76)-1),{"April","May","June","July","August","September","October","November","December","January","February","March"},0)</f>
        <v>1</v>
      </c>
      <c r="Q76" s="3">
        <f t="shared" si="2"/>
        <v>6.4790818215475748E-2</v>
      </c>
      <c r="R76" t="str">
        <f t="shared" si="3"/>
        <v>April</v>
      </c>
    </row>
    <row r="77" spans="1:18" x14ac:dyDescent="0.35">
      <c r="A77" t="s">
        <v>13</v>
      </c>
      <c r="B77" t="s">
        <v>173</v>
      </c>
      <c r="C77" t="s">
        <v>23</v>
      </c>
      <c r="D77" t="s">
        <v>174</v>
      </c>
      <c r="E77">
        <v>12259</v>
      </c>
      <c r="F77">
        <v>8063</v>
      </c>
      <c r="G77">
        <v>4018</v>
      </c>
      <c r="H77">
        <v>5</v>
      </c>
      <c r="I77">
        <v>994</v>
      </c>
      <c r="J77">
        <v>246</v>
      </c>
      <c r="K77" s="1">
        <v>45748</v>
      </c>
      <c r="L77" t="s">
        <v>17</v>
      </c>
      <c r="M77" t="s">
        <v>18</v>
      </c>
      <c r="N77" s="2">
        <f>IFERROR(NHS_A_E[[#This Row],[T1_Over4hrs]]/NHS_A_E[[#This Row],[T1_Attendances]], 0)</f>
        <v>0.32775919732441472</v>
      </c>
      <c r="O77">
        <f>NHS_A_E[[#This Row],[T1_Attendances]]+NHS_A_E[[#This Row],[Other_Attendances]]</f>
        <v>20322</v>
      </c>
      <c r="P77">
        <f>MATCH(LEFT(A77,FIND("-",A77)-1),{"April","May","June","July","August","September","October","November","December","January","February","March"},0)</f>
        <v>1</v>
      </c>
      <c r="Q77" s="3">
        <f t="shared" si="2"/>
        <v>2.0066889632107024E-2</v>
      </c>
      <c r="R77" t="str">
        <f t="shared" si="3"/>
        <v>April</v>
      </c>
    </row>
    <row r="78" spans="1:18" x14ac:dyDescent="0.35">
      <c r="A78" t="s">
        <v>13</v>
      </c>
      <c r="B78" t="s">
        <v>175</v>
      </c>
      <c r="C78" t="s">
        <v>63</v>
      </c>
      <c r="D78" t="s">
        <v>176</v>
      </c>
      <c r="E78">
        <v>5058</v>
      </c>
      <c r="F78">
        <v>11581</v>
      </c>
      <c r="G78">
        <v>2734</v>
      </c>
      <c r="H78">
        <v>47</v>
      </c>
      <c r="I78">
        <v>196</v>
      </c>
      <c r="J78">
        <v>10</v>
      </c>
      <c r="K78" s="1">
        <v>45748</v>
      </c>
      <c r="L78" t="s">
        <v>17</v>
      </c>
      <c r="M78" t="s">
        <v>18</v>
      </c>
      <c r="N78" s="2">
        <f>IFERROR(NHS_A_E[[#This Row],[T1_Over4hrs]]/NHS_A_E[[#This Row],[T1_Attendances]], 0)</f>
        <v>0.54052985369711348</v>
      </c>
      <c r="O78">
        <f>NHS_A_E[[#This Row],[T1_Attendances]]+NHS_A_E[[#This Row],[Other_Attendances]]</f>
        <v>16639</v>
      </c>
      <c r="P78">
        <f>MATCH(LEFT(A78,FIND("-",A78)-1),{"April","May","June","July","August","September","October","November","December","January","February","March"},0)</f>
        <v>1</v>
      </c>
      <c r="Q78" s="3">
        <f t="shared" si="2"/>
        <v>1.9770660340055358E-3</v>
      </c>
      <c r="R78" t="str">
        <f t="shared" si="3"/>
        <v>April</v>
      </c>
    </row>
    <row r="79" spans="1:18" x14ac:dyDescent="0.35">
      <c r="A79" t="s">
        <v>13</v>
      </c>
      <c r="B79" t="s">
        <v>177</v>
      </c>
      <c r="C79" t="s">
        <v>63</v>
      </c>
      <c r="D79" t="s">
        <v>178</v>
      </c>
      <c r="E79">
        <v>9122</v>
      </c>
      <c r="F79">
        <v>4645</v>
      </c>
      <c r="G79">
        <v>5265</v>
      </c>
      <c r="H79">
        <v>745</v>
      </c>
      <c r="I79">
        <v>1037</v>
      </c>
      <c r="J79">
        <v>506</v>
      </c>
      <c r="K79" s="1">
        <v>45748</v>
      </c>
      <c r="L79" t="s">
        <v>17</v>
      </c>
      <c r="M79" t="s">
        <v>18</v>
      </c>
      <c r="N79" s="2">
        <f>IFERROR(NHS_A_E[[#This Row],[T1_Over4hrs]]/NHS_A_E[[#This Row],[T1_Attendances]], 0)</f>
        <v>0.5771760578820434</v>
      </c>
      <c r="O79">
        <f>NHS_A_E[[#This Row],[T1_Attendances]]+NHS_A_E[[#This Row],[Other_Attendances]]</f>
        <v>13767</v>
      </c>
      <c r="P79">
        <f>MATCH(LEFT(A79,FIND("-",A79)-1),{"April","May","June","July","August","September","October","November","December","January","February","March"},0)</f>
        <v>1</v>
      </c>
      <c r="Q79" s="3">
        <f t="shared" si="2"/>
        <v>5.5470291602718699E-2</v>
      </c>
      <c r="R79" t="str">
        <f t="shared" si="3"/>
        <v>April</v>
      </c>
    </row>
    <row r="80" spans="1:18" x14ac:dyDescent="0.35">
      <c r="A80" t="s">
        <v>13</v>
      </c>
      <c r="B80" t="s">
        <v>179</v>
      </c>
      <c r="C80" t="s">
        <v>40</v>
      </c>
      <c r="D80" t="s">
        <v>180</v>
      </c>
      <c r="E80">
        <v>16201</v>
      </c>
      <c r="F80">
        <v>3803</v>
      </c>
      <c r="G80">
        <v>5913</v>
      </c>
      <c r="H80">
        <v>487</v>
      </c>
      <c r="I80">
        <v>998</v>
      </c>
      <c r="J80">
        <v>969</v>
      </c>
      <c r="K80" s="1">
        <v>45748</v>
      </c>
      <c r="L80" t="s">
        <v>17</v>
      </c>
      <c r="M80" t="s">
        <v>18</v>
      </c>
      <c r="N80" s="2">
        <f>IFERROR(NHS_A_E[[#This Row],[T1_Over4hrs]]/NHS_A_E[[#This Row],[T1_Attendances]], 0)</f>
        <v>0.36497747052651069</v>
      </c>
      <c r="O80">
        <f>NHS_A_E[[#This Row],[T1_Attendances]]+NHS_A_E[[#This Row],[Other_Attendances]]</f>
        <v>20004</v>
      </c>
      <c r="P80">
        <f>MATCH(LEFT(A80,FIND("-",A80)-1),{"April","May","June","July","August","September","October","November","December","January","February","March"},0)</f>
        <v>1</v>
      </c>
      <c r="Q80" s="3">
        <f t="shared" si="2"/>
        <v>5.9811122770199371E-2</v>
      </c>
      <c r="R80" t="str">
        <f t="shared" si="3"/>
        <v>April</v>
      </c>
    </row>
    <row r="81" spans="1:18" x14ac:dyDescent="0.35">
      <c r="A81" t="s">
        <v>13</v>
      </c>
      <c r="B81" t="s">
        <v>181</v>
      </c>
      <c r="C81" t="s">
        <v>40</v>
      </c>
      <c r="D81" t="s">
        <v>182</v>
      </c>
      <c r="E81">
        <v>21293</v>
      </c>
      <c r="F81">
        <v>0</v>
      </c>
      <c r="G81">
        <v>9211</v>
      </c>
      <c r="H81">
        <v>0</v>
      </c>
      <c r="I81">
        <v>1390</v>
      </c>
      <c r="J81">
        <v>724</v>
      </c>
      <c r="K81" s="1">
        <v>45748</v>
      </c>
      <c r="L81" t="s">
        <v>17</v>
      </c>
      <c r="M81" t="s">
        <v>18</v>
      </c>
      <c r="N81" s="2">
        <f>IFERROR(NHS_A_E[[#This Row],[T1_Over4hrs]]/NHS_A_E[[#This Row],[T1_Attendances]], 0)</f>
        <v>0.43258347813835535</v>
      </c>
      <c r="O81">
        <f>NHS_A_E[[#This Row],[T1_Attendances]]+NHS_A_E[[#This Row],[Other_Attendances]]</f>
        <v>21293</v>
      </c>
      <c r="P81">
        <f>MATCH(LEFT(A81,FIND("-",A81)-1),{"April","May","June","July","August","September","October","November","December","January","February","March"},0)</f>
        <v>1</v>
      </c>
      <c r="Q81" s="3">
        <f t="shared" si="2"/>
        <v>3.4001784624054857E-2</v>
      </c>
      <c r="R81" t="str">
        <f t="shared" si="3"/>
        <v>April</v>
      </c>
    </row>
    <row r="82" spans="1:18" x14ac:dyDescent="0.35">
      <c r="A82" t="s">
        <v>13</v>
      </c>
      <c r="B82" t="s">
        <v>183</v>
      </c>
      <c r="C82" t="s">
        <v>23</v>
      </c>
      <c r="D82" t="s">
        <v>184</v>
      </c>
      <c r="E82">
        <v>8283</v>
      </c>
      <c r="F82">
        <v>7118</v>
      </c>
      <c r="G82">
        <v>2522</v>
      </c>
      <c r="H82">
        <v>15</v>
      </c>
      <c r="I82">
        <v>699</v>
      </c>
      <c r="J82">
        <v>30</v>
      </c>
      <c r="K82" s="1">
        <v>45748</v>
      </c>
      <c r="L82" t="s">
        <v>17</v>
      </c>
      <c r="M82" t="s">
        <v>18</v>
      </c>
      <c r="N82" s="2">
        <f>IFERROR(NHS_A_E[[#This Row],[T1_Over4hrs]]/NHS_A_E[[#This Row],[T1_Attendances]], 0)</f>
        <v>0.30447905348303755</v>
      </c>
      <c r="O82">
        <f>NHS_A_E[[#This Row],[T1_Attendances]]+NHS_A_E[[#This Row],[Other_Attendances]]</f>
        <v>15401</v>
      </c>
      <c r="P82">
        <f>MATCH(LEFT(A82,FIND("-",A82)-1),{"April","May","June","July","August","September","October","November","December","January","February","March"},0)</f>
        <v>1</v>
      </c>
      <c r="Q82" s="3">
        <f t="shared" si="2"/>
        <v>3.621876131836291E-3</v>
      </c>
      <c r="R82" t="str">
        <f t="shared" si="3"/>
        <v>April</v>
      </c>
    </row>
    <row r="83" spans="1:18" x14ac:dyDescent="0.35">
      <c r="A83" t="s">
        <v>13</v>
      </c>
      <c r="B83" t="s">
        <v>185</v>
      </c>
      <c r="C83" t="s">
        <v>23</v>
      </c>
      <c r="D83" t="s">
        <v>186</v>
      </c>
      <c r="E83">
        <v>8663</v>
      </c>
      <c r="F83">
        <v>8440</v>
      </c>
      <c r="G83">
        <v>4563</v>
      </c>
      <c r="H83">
        <v>32</v>
      </c>
      <c r="I83">
        <v>127</v>
      </c>
      <c r="J83">
        <v>116</v>
      </c>
      <c r="K83" s="1">
        <v>45748</v>
      </c>
      <c r="L83" t="s">
        <v>17</v>
      </c>
      <c r="M83" t="s">
        <v>18</v>
      </c>
      <c r="N83" s="2">
        <f>IFERROR(NHS_A_E[[#This Row],[T1_Over4hrs]]/NHS_A_E[[#This Row],[T1_Attendances]], 0)</f>
        <v>0.52672284428027238</v>
      </c>
      <c r="O83">
        <f>NHS_A_E[[#This Row],[T1_Attendances]]+NHS_A_E[[#This Row],[Other_Attendances]]</f>
        <v>17103</v>
      </c>
      <c r="P83">
        <f>MATCH(LEFT(A83,FIND("-",A83)-1),{"April","May","June","July","August","September","October","November","December","January","February","March"},0)</f>
        <v>1</v>
      </c>
      <c r="Q83" s="3">
        <f t="shared" si="2"/>
        <v>1.3390280503289853E-2</v>
      </c>
      <c r="R83" t="str">
        <f t="shared" si="3"/>
        <v>April</v>
      </c>
    </row>
    <row r="84" spans="1:18" x14ac:dyDescent="0.35">
      <c r="A84" t="s">
        <v>13</v>
      </c>
      <c r="B84" t="s">
        <v>187</v>
      </c>
      <c r="C84" t="s">
        <v>30</v>
      </c>
      <c r="D84" t="s">
        <v>188</v>
      </c>
      <c r="E84">
        <v>7518</v>
      </c>
      <c r="F84">
        <v>1027</v>
      </c>
      <c r="G84">
        <v>3016</v>
      </c>
      <c r="H84">
        <v>63</v>
      </c>
      <c r="I84">
        <v>645</v>
      </c>
      <c r="J84">
        <v>364</v>
      </c>
      <c r="K84" s="1">
        <v>45748</v>
      </c>
      <c r="L84" t="s">
        <v>17</v>
      </c>
      <c r="M84" t="s">
        <v>18</v>
      </c>
      <c r="N84" s="2">
        <f>IFERROR(NHS_A_E[[#This Row],[T1_Over4hrs]]/NHS_A_E[[#This Row],[T1_Attendances]], 0)</f>
        <v>0.40117052407555198</v>
      </c>
      <c r="O84">
        <f>NHS_A_E[[#This Row],[T1_Attendances]]+NHS_A_E[[#This Row],[Other_Attendances]]</f>
        <v>8545</v>
      </c>
      <c r="P84">
        <f>MATCH(LEFT(A84,FIND("-",A84)-1),{"April","May","June","July","August","September","October","November","December","January","February","March"},0)</f>
        <v>1</v>
      </c>
      <c r="Q84" s="3">
        <f t="shared" si="2"/>
        <v>4.8417132216014895E-2</v>
      </c>
      <c r="R84" t="str">
        <f t="shared" si="3"/>
        <v>April</v>
      </c>
    </row>
    <row r="85" spans="1:18" x14ac:dyDescent="0.35">
      <c r="A85" t="s">
        <v>13</v>
      </c>
      <c r="B85" t="s">
        <v>189</v>
      </c>
      <c r="C85" t="s">
        <v>30</v>
      </c>
      <c r="D85" t="s">
        <v>190</v>
      </c>
      <c r="E85">
        <v>6929</v>
      </c>
      <c r="F85">
        <v>3240</v>
      </c>
      <c r="G85">
        <v>3541</v>
      </c>
      <c r="H85">
        <v>86</v>
      </c>
      <c r="I85">
        <v>762</v>
      </c>
      <c r="J85">
        <v>663</v>
      </c>
      <c r="K85" s="1">
        <v>45748</v>
      </c>
      <c r="L85" t="s">
        <v>17</v>
      </c>
      <c r="M85" t="s">
        <v>18</v>
      </c>
      <c r="N85" s="2">
        <f>IFERROR(NHS_A_E[[#This Row],[T1_Over4hrs]]/NHS_A_E[[#This Row],[T1_Attendances]], 0)</f>
        <v>0.51104055419252414</v>
      </c>
      <c r="O85">
        <f>NHS_A_E[[#This Row],[T1_Attendances]]+NHS_A_E[[#This Row],[Other_Attendances]]</f>
        <v>10169</v>
      </c>
      <c r="P85">
        <f>MATCH(LEFT(A85,FIND("-",A85)-1),{"April","May","June","July","August","September","October","November","December","January","February","March"},0)</f>
        <v>1</v>
      </c>
      <c r="Q85" s="3">
        <f t="shared" si="2"/>
        <v>9.5684803001876179E-2</v>
      </c>
      <c r="R85" t="str">
        <f t="shared" si="3"/>
        <v>April</v>
      </c>
    </row>
    <row r="86" spans="1:18" x14ac:dyDescent="0.35">
      <c r="A86" t="s">
        <v>13</v>
      </c>
      <c r="B86" t="s">
        <v>191</v>
      </c>
      <c r="C86" t="s">
        <v>15</v>
      </c>
      <c r="D86" t="s">
        <v>192</v>
      </c>
      <c r="E86">
        <v>7497</v>
      </c>
      <c r="F86">
        <v>2991</v>
      </c>
      <c r="G86">
        <v>3155</v>
      </c>
      <c r="H86">
        <v>66</v>
      </c>
      <c r="I86">
        <v>191</v>
      </c>
      <c r="J86">
        <v>7</v>
      </c>
      <c r="K86" s="1">
        <v>45748</v>
      </c>
      <c r="L86" t="s">
        <v>17</v>
      </c>
      <c r="M86" t="s">
        <v>18</v>
      </c>
      <c r="N86" s="2">
        <f>IFERROR(NHS_A_E[[#This Row],[T1_Over4hrs]]/NHS_A_E[[#This Row],[T1_Attendances]], 0)</f>
        <v>0.42083500066693347</v>
      </c>
      <c r="O86">
        <f>NHS_A_E[[#This Row],[T1_Attendances]]+NHS_A_E[[#This Row],[Other_Attendances]]</f>
        <v>10488</v>
      </c>
      <c r="P86">
        <f>MATCH(LEFT(A86,FIND("-",A86)-1),{"April","May","June","July","August","September","October","November","December","January","February","March"},0)</f>
        <v>1</v>
      </c>
      <c r="Q86" s="3">
        <f t="shared" si="2"/>
        <v>9.3370681605975728E-4</v>
      </c>
      <c r="R86" t="str">
        <f t="shared" si="3"/>
        <v>April</v>
      </c>
    </row>
    <row r="87" spans="1:18" x14ac:dyDescent="0.35">
      <c r="A87" t="s">
        <v>13</v>
      </c>
      <c r="B87" t="s">
        <v>193</v>
      </c>
      <c r="C87" t="s">
        <v>63</v>
      </c>
      <c r="D87" t="s">
        <v>194</v>
      </c>
      <c r="E87">
        <v>0</v>
      </c>
      <c r="F87">
        <v>0</v>
      </c>
      <c r="G87">
        <v>0</v>
      </c>
      <c r="H87">
        <v>0</v>
      </c>
      <c r="I87">
        <v>0</v>
      </c>
      <c r="J87">
        <v>0</v>
      </c>
      <c r="K87" s="1">
        <v>45748</v>
      </c>
      <c r="L87" t="s">
        <v>17</v>
      </c>
      <c r="M87" t="s">
        <v>18</v>
      </c>
      <c r="N87" s="2">
        <f>IFERROR(NHS_A_E[[#This Row],[T1_Over4hrs]]/NHS_A_E[[#This Row],[T1_Attendances]], 0)</f>
        <v>0</v>
      </c>
      <c r="O87">
        <f>NHS_A_E[[#This Row],[T1_Attendances]]+NHS_A_E[[#This Row],[Other_Attendances]]</f>
        <v>0</v>
      </c>
      <c r="P87">
        <f>MATCH(LEFT(A87,FIND("-",A87)-1),{"April","May","June","July","August","September","October","November","December","January","February","March"},0)</f>
        <v>1</v>
      </c>
      <c r="Q87" s="3">
        <f t="shared" si="2"/>
        <v>0</v>
      </c>
      <c r="R87" t="str">
        <f t="shared" si="3"/>
        <v>April</v>
      </c>
    </row>
    <row r="88" spans="1:18" x14ac:dyDescent="0.35">
      <c r="A88" t="s">
        <v>13</v>
      </c>
      <c r="B88" t="s">
        <v>195</v>
      </c>
      <c r="C88" t="s">
        <v>30</v>
      </c>
      <c r="D88" t="s">
        <v>196</v>
      </c>
      <c r="E88">
        <v>8750</v>
      </c>
      <c r="F88">
        <v>10410</v>
      </c>
      <c r="G88">
        <v>4228</v>
      </c>
      <c r="H88">
        <v>53</v>
      </c>
      <c r="I88">
        <v>473</v>
      </c>
      <c r="J88">
        <v>539</v>
      </c>
      <c r="K88" s="1">
        <v>45748</v>
      </c>
      <c r="L88" t="s">
        <v>17</v>
      </c>
      <c r="M88" t="s">
        <v>18</v>
      </c>
      <c r="N88" s="2">
        <f>IFERROR(NHS_A_E[[#This Row],[T1_Over4hrs]]/NHS_A_E[[#This Row],[T1_Attendances]], 0)</f>
        <v>0.48320000000000002</v>
      </c>
      <c r="O88">
        <f>NHS_A_E[[#This Row],[T1_Attendances]]+NHS_A_E[[#This Row],[Other_Attendances]]</f>
        <v>19160</v>
      </c>
      <c r="P88">
        <f>MATCH(LEFT(A88,FIND("-",A88)-1),{"April","May","June","July","August","September","October","November","December","January","February","March"},0)</f>
        <v>1</v>
      </c>
      <c r="Q88" s="3">
        <f t="shared" si="2"/>
        <v>6.1600000000000002E-2</v>
      </c>
      <c r="R88" t="str">
        <f t="shared" si="3"/>
        <v>April</v>
      </c>
    </row>
    <row r="89" spans="1:18" x14ac:dyDescent="0.35">
      <c r="A89" t="s">
        <v>13</v>
      </c>
      <c r="B89" t="s">
        <v>197</v>
      </c>
      <c r="C89" t="s">
        <v>63</v>
      </c>
      <c r="D89" t="s">
        <v>198</v>
      </c>
      <c r="E89">
        <v>12948</v>
      </c>
      <c r="F89">
        <v>4225</v>
      </c>
      <c r="G89">
        <v>5194</v>
      </c>
      <c r="H89">
        <v>0</v>
      </c>
      <c r="I89">
        <v>1927</v>
      </c>
      <c r="J89">
        <v>12</v>
      </c>
      <c r="K89" s="1">
        <v>45748</v>
      </c>
      <c r="L89" t="s">
        <v>17</v>
      </c>
      <c r="M89" t="s">
        <v>18</v>
      </c>
      <c r="N89" s="2">
        <f>IFERROR(NHS_A_E[[#This Row],[T1_Over4hrs]]/NHS_A_E[[#This Row],[T1_Attendances]], 0)</f>
        <v>0.40114303367315418</v>
      </c>
      <c r="O89">
        <f>NHS_A_E[[#This Row],[T1_Attendances]]+NHS_A_E[[#This Row],[Other_Attendances]]</f>
        <v>17173</v>
      </c>
      <c r="P89">
        <f>MATCH(LEFT(A89,FIND("-",A89)-1),{"April","May","June","July","August","September","October","November","December","January","February","March"},0)</f>
        <v>1</v>
      </c>
      <c r="Q89" s="3">
        <f t="shared" si="2"/>
        <v>9.2678405931417981E-4</v>
      </c>
      <c r="R89" t="str">
        <f t="shared" si="3"/>
        <v>April</v>
      </c>
    </row>
    <row r="90" spans="1:18" x14ac:dyDescent="0.35">
      <c r="A90" t="s">
        <v>13</v>
      </c>
      <c r="B90" t="s">
        <v>199</v>
      </c>
      <c r="C90" t="s">
        <v>40</v>
      </c>
      <c r="D90" t="s">
        <v>200</v>
      </c>
      <c r="E90">
        <v>10930</v>
      </c>
      <c r="F90">
        <v>2321</v>
      </c>
      <c r="G90">
        <v>6438</v>
      </c>
      <c r="H90">
        <v>589</v>
      </c>
      <c r="I90">
        <v>327</v>
      </c>
      <c r="J90">
        <v>1362</v>
      </c>
      <c r="K90" s="1">
        <v>45748</v>
      </c>
      <c r="L90" t="s">
        <v>17</v>
      </c>
      <c r="M90" t="s">
        <v>18</v>
      </c>
      <c r="N90" s="2">
        <f>IFERROR(NHS_A_E[[#This Row],[T1_Over4hrs]]/NHS_A_E[[#This Row],[T1_Attendances]], 0)</f>
        <v>0.58902104300091496</v>
      </c>
      <c r="O90">
        <f>NHS_A_E[[#This Row],[T1_Attendances]]+NHS_A_E[[#This Row],[Other_Attendances]]</f>
        <v>13251</v>
      </c>
      <c r="P90">
        <f>MATCH(LEFT(A90,FIND("-",A90)-1),{"April","May","June","July","August","September","October","November","December","January","February","March"},0)</f>
        <v>1</v>
      </c>
      <c r="Q90" s="3">
        <f t="shared" si="2"/>
        <v>0.12461116193961573</v>
      </c>
      <c r="R90" t="str">
        <f t="shared" si="3"/>
        <v>April</v>
      </c>
    </row>
    <row r="91" spans="1:18" x14ac:dyDescent="0.35">
      <c r="A91" t="s">
        <v>13</v>
      </c>
      <c r="B91" t="s">
        <v>201</v>
      </c>
      <c r="C91" t="s">
        <v>20</v>
      </c>
      <c r="D91" t="s">
        <v>202</v>
      </c>
      <c r="E91">
        <v>0</v>
      </c>
      <c r="F91">
        <v>1900</v>
      </c>
      <c r="G91">
        <v>0</v>
      </c>
      <c r="H91">
        <v>25</v>
      </c>
      <c r="I91">
        <v>0</v>
      </c>
      <c r="J91">
        <v>0</v>
      </c>
      <c r="K91" s="1">
        <v>45748</v>
      </c>
      <c r="L91" t="s">
        <v>17</v>
      </c>
      <c r="M91" t="s">
        <v>18</v>
      </c>
      <c r="N91" s="2">
        <f>IFERROR(NHS_A_E[[#This Row],[T1_Over4hrs]]/NHS_A_E[[#This Row],[T1_Attendances]], 0)</f>
        <v>0</v>
      </c>
      <c r="O91">
        <f>NHS_A_E[[#This Row],[T1_Attendances]]+NHS_A_E[[#This Row],[Other_Attendances]]</f>
        <v>1900</v>
      </c>
      <c r="P91">
        <f>MATCH(LEFT(A91,FIND("-",A91)-1),{"April","May","June","July","August","September","October","November","December","January","February","March"},0)</f>
        <v>1</v>
      </c>
      <c r="Q91" s="3">
        <f t="shared" si="2"/>
        <v>0</v>
      </c>
      <c r="R91" t="str">
        <f t="shared" si="3"/>
        <v>April</v>
      </c>
    </row>
    <row r="92" spans="1:18" x14ac:dyDescent="0.35">
      <c r="A92" t="s">
        <v>13</v>
      </c>
      <c r="B92" t="s">
        <v>203</v>
      </c>
      <c r="C92" t="s">
        <v>40</v>
      </c>
      <c r="D92" t="s">
        <v>204</v>
      </c>
      <c r="E92">
        <v>0</v>
      </c>
      <c r="F92">
        <v>0</v>
      </c>
      <c r="G92">
        <v>0</v>
      </c>
      <c r="H92">
        <v>0</v>
      </c>
      <c r="I92">
        <v>0</v>
      </c>
      <c r="J92">
        <v>0</v>
      </c>
      <c r="K92" s="1">
        <v>45748</v>
      </c>
      <c r="L92" t="s">
        <v>17</v>
      </c>
      <c r="M92" t="s">
        <v>18</v>
      </c>
      <c r="N92" s="2">
        <f>IFERROR(NHS_A_E[[#This Row],[T1_Over4hrs]]/NHS_A_E[[#This Row],[T1_Attendances]], 0)</f>
        <v>0</v>
      </c>
      <c r="O92">
        <f>NHS_A_E[[#This Row],[T1_Attendances]]+NHS_A_E[[#This Row],[Other_Attendances]]</f>
        <v>0</v>
      </c>
      <c r="P92">
        <f>MATCH(LEFT(A92,FIND("-",A92)-1),{"April","May","June","July","August","September","October","November","December","January","February","March"},0)</f>
        <v>1</v>
      </c>
      <c r="Q92" s="3">
        <f t="shared" si="2"/>
        <v>0</v>
      </c>
      <c r="R92" t="str">
        <f t="shared" si="3"/>
        <v>April</v>
      </c>
    </row>
    <row r="93" spans="1:18" x14ac:dyDescent="0.35">
      <c r="A93" t="s">
        <v>13</v>
      </c>
      <c r="B93" t="s">
        <v>205</v>
      </c>
      <c r="C93" t="s">
        <v>35</v>
      </c>
      <c r="D93" t="s">
        <v>206</v>
      </c>
      <c r="E93">
        <v>11832</v>
      </c>
      <c r="F93">
        <v>6919</v>
      </c>
      <c r="G93">
        <v>5046</v>
      </c>
      <c r="H93">
        <v>654</v>
      </c>
      <c r="I93">
        <v>680</v>
      </c>
      <c r="J93">
        <v>390</v>
      </c>
      <c r="K93" s="1">
        <v>45748</v>
      </c>
      <c r="L93" t="s">
        <v>17</v>
      </c>
      <c r="M93" t="s">
        <v>18</v>
      </c>
      <c r="N93" s="2">
        <f>IFERROR(NHS_A_E[[#This Row],[T1_Over4hrs]]/NHS_A_E[[#This Row],[T1_Attendances]], 0)</f>
        <v>0.4264705882352941</v>
      </c>
      <c r="O93">
        <f>NHS_A_E[[#This Row],[T1_Attendances]]+NHS_A_E[[#This Row],[Other_Attendances]]</f>
        <v>18751</v>
      </c>
      <c r="P93">
        <f>MATCH(LEFT(A93,FIND("-",A93)-1),{"April","May","June","July","August","September","October","November","December","January","February","March"},0)</f>
        <v>1</v>
      </c>
      <c r="Q93" s="3">
        <f t="shared" si="2"/>
        <v>3.2961460446247468E-2</v>
      </c>
      <c r="R93" t="str">
        <f t="shared" si="3"/>
        <v>April</v>
      </c>
    </row>
    <row r="94" spans="1:18" x14ac:dyDescent="0.35">
      <c r="A94" t="s">
        <v>13</v>
      </c>
      <c r="B94" t="s">
        <v>207</v>
      </c>
      <c r="C94" t="s">
        <v>15</v>
      </c>
      <c r="D94" t="s">
        <v>208</v>
      </c>
      <c r="E94">
        <v>25328</v>
      </c>
      <c r="F94">
        <v>2041</v>
      </c>
      <c r="G94">
        <v>9316</v>
      </c>
      <c r="H94">
        <v>269</v>
      </c>
      <c r="I94">
        <v>832</v>
      </c>
      <c r="J94">
        <v>723</v>
      </c>
      <c r="K94" s="1">
        <v>45748</v>
      </c>
      <c r="L94" t="s">
        <v>17</v>
      </c>
      <c r="M94" t="s">
        <v>18</v>
      </c>
      <c r="N94" s="2">
        <f>IFERROR(NHS_A_E[[#This Row],[T1_Over4hrs]]/NHS_A_E[[#This Row],[T1_Attendances]], 0)</f>
        <v>0.36781427668982941</v>
      </c>
      <c r="O94">
        <f>NHS_A_E[[#This Row],[T1_Attendances]]+NHS_A_E[[#This Row],[Other_Attendances]]</f>
        <v>27369</v>
      </c>
      <c r="P94">
        <f>MATCH(LEFT(A94,FIND("-",A94)-1),{"April","May","June","July","August","September","October","November","December","January","February","March"},0)</f>
        <v>1</v>
      </c>
      <c r="Q94" s="3">
        <f t="shared" si="2"/>
        <v>2.8545483259633606E-2</v>
      </c>
      <c r="R94" t="str">
        <f t="shared" si="3"/>
        <v>April</v>
      </c>
    </row>
    <row r="95" spans="1:18" x14ac:dyDescent="0.35">
      <c r="A95" t="s">
        <v>13</v>
      </c>
      <c r="B95" t="s">
        <v>209</v>
      </c>
      <c r="C95" t="s">
        <v>35</v>
      </c>
      <c r="D95" t="s">
        <v>210</v>
      </c>
      <c r="E95">
        <v>25265</v>
      </c>
      <c r="F95">
        <v>18255</v>
      </c>
      <c r="G95">
        <v>11668</v>
      </c>
      <c r="H95">
        <v>1609</v>
      </c>
      <c r="I95">
        <v>1215</v>
      </c>
      <c r="J95">
        <v>1148</v>
      </c>
      <c r="K95" s="1">
        <v>45748</v>
      </c>
      <c r="L95" t="s">
        <v>17</v>
      </c>
      <c r="M95" t="s">
        <v>18</v>
      </c>
      <c r="N95" s="2">
        <f>IFERROR(NHS_A_E[[#This Row],[T1_Over4hrs]]/NHS_A_E[[#This Row],[T1_Attendances]], 0)</f>
        <v>0.46182465861864241</v>
      </c>
      <c r="O95">
        <f>NHS_A_E[[#This Row],[T1_Attendances]]+NHS_A_E[[#This Row],[Other_Attendances]]</f>
        <v>43520</v>
      </c>
      <c r="P95">
        <f>MATCH(LEFT(A95,FIND("-",A95)-1),{"April","May","June","July","August","September","October","November","December","January","February","March"},0)</f>
        <v>1</v>
      </c>
      <c r="Q95" s="3">
        <f t="shared" si="2"/>
        <v>4.5438353453394024E-2</v>
      </c>
      <c r="R95" t="str">
        <f t="shared" si="3"/>
        <v>April</v>
      </c>
    </row>
    <row r="96" spans="1:18" x14ac:dyDescent="0.35">
      <c r="A96" t="s">
        <v>13</v>
      </c>
      <c r="B96" t="s">
        <v>211</v>
      </c>
      <c r="C96" t="s">
        <v>30</v>
      </c>
      <c r="D96" t="s">
        <v>212</v>
      </c>
      <c r="E96">
        <v>7388</v>
      </c>
      <c r="F96">
        <v>2994</v>
      </c>
      <c r="G96">
        <v>3758</v>
      </c>
      <c r="H96">
        <v>128</v>
      </c>
      <c r="I96">
        <v>469</v>
      </c>
      <c r="J96">
        <v>783</v>
      </c>
      <c r="K96" s="1">
        <v>45748</v>
      </c>
      <c r="L96" t="s">
        <v>17</v>
      </c>
      <c r="M96" t="s">
        <v>18</v>
      </c>
      <c r="N96" s="2">
        <f>IFERROR(NHS_A_E[[#This Row],[T1_Over4hrs]]/NHS_A_E[[#This Row],[T1_Attendances]], 0)</f>
        <v>0.50866269626421223</v>
      </c>
      <c r="O96">
        <f>NHS_A_E[[#This Row],[T1_Attendances]]+NHS_A_E[[#This Row],[Other_Attendances]]</f>
        <v>10382</v>
      </c>
      <c r="P96">
        <f>MATCH(LEFT(A96,FIND("-",A96)-1),{"April","May","June","July","August","September","October","November","December","January","February","March"},0)</f>
        <v>1</v>
      </c>
      <c r="Q96" s="3">
        <f t="shared" si="2"/>
        <v>0.10598267460747157</v>
      </c>
      <c r="R96" t="str">
        <f t="shared" si="3"/>
        <v>April</v>
      </c>
    </row>
    <row r="97" spans="1:18" x14ac:dyDescent="0.35">
      <c r="A97" t="s">
        <v>13</v>
      </c>
      <c r="B97" t="s">
        <v>213</v>
      </c>
      <c r="C97" t="s">
        <v>23</v>
      </c>
      <c r="D97" t="s">
        <v>214</v>
      </c>
      <c r="E97">
        <v>10171</v>
      </c>
      <c r="F97">
        <v>5676</v>
      </c>
      <c r="G97">
        <v>4127</v>
      </c>
      <c r="H97">
        <v>94</v>
      </c>
      <c r="I97">
        <v>498</v>
      </c>
      <c r="J97">
        <v>242</v>
      </c>
      <c r="K97" s="1">
        <v>45748</v>
      </c>
      <c r="L97" t="s">
        <v>17</v>
      </c>
      <c r="M97" t="s">
        <v>18</v>
      </c>
      <c r="N97" s="2">
        <f>IFERROR(NHS_A_E[[#This Row],[T1_Over4hrs]]/NHS_A_E[[#This Row],[T1_Attendances]], 0)</f>
        <v>0.40576147871399076</v>
      </c>
      <c r="O97">
        <f>NHS_A_E[[#This Row],[T1_Attendances]]+NHS_A_E[[#This Row],[Other_Attendances]]</f>
        <v>15847</v>
      </c>
      <c r="P97">
        <f>MATCH(LEFT(A97,FIND("-",A97)-1),{"April","May","June","July","August","September","October","November","December","January","February","March"},0)</f>
        <v>1</v>
      </c>
      <c r="Q97" s="3">
        <f t="shared" si="2"/>
        <v>2.3793137351292893E-2</v>
      </c>
      <c r="R97" t="str">
        <f t="shared" si="3"/>
        <v>April</v>
      </c>
    </row>
    <row r="98" spans="1:18" x14ac:dyDescent="0.35">
      <c r="A98" t="s">
        <v>13</v>
      </c>
      <c r="B98" t="s">
        <v>215</v>
      </c>
      <c r="C98" t="s">
        <v>35</v>
      </c>
      <c r="D98" t="s">
        <v>216</v>
      </c>
      <c r="E98">
        <v>8495</v>
      </c>
      <c r="F98">
        <v>3443</v>
      </c>
      <c r="G98">
        <v>1972</v>
      </c>
      <c r="H98">
        <v>0</v>
      </c>
      <c r="I98">
        <v>397</v>
      </c>
      <c r="J98">
        <v>834</v>
      </c>
      <c r="K98" s="1">
        <v>45748</v>
      </c>
      <c r="L98" t="s">
        <v>17</v>
      </c>
      <c r="M98" t="s">
        <v>18</v>
      </c>
      <c r="N98" s="2">
        <f>IFERROR(NHS_A_E[[#This Row],[T1_Over4hrs]]/NHS_A_E[[#This Row],[T1_Attendances]], 0)</f>
        <v>0.23213655091230134</v>
      </c>
      <c r="O98">
        <f>NHS_A_E[[#This Row],[T1_Attendances]]+NHS_A_E[[#This Row],[Other_Attendances]]</f>
        <v>11938</v>
      </c>
      <c r="P98">
        <f>MATCH(LEFT(A98,FIND("-",A98)-1),{"April","May","June","July","August","September","October","November","December","January","February","March"},0)</f>
        <v>1</v>
      </c>
      <c r="Q98" s="3">
        <f t="shared" si="2"/>
        <v>9.8175397292525016E-2</v>
      </c>
      <c r="R98" t="str">
        <f t="shared" si="3"/>
        <v>April</v>
      </c>
    </row>
    <row r="99" spans="1:18" x14ac:dyDescent="0.35">
      <c r="A99" t="s">
        <v>13</v>
      </c>
      <c r="B99" t="s">
        <v>217</v>
      </c>
      <c r="C99" t="s">
        <v>15</v>
      </c>
      <c r="D99" t="s">
        <v>218</v>
      </c>
      <c r="E99">
        <v>10837</v>
      </c>
      <c r="F99">
        <v>3296</v>
      </c>
      <c r="G99">
        <v>4897</v>
      </c>
      <c r="H99">
        <v>103</v>
      </c>
      <c r="I99">
        <v>261</v>
      </c>
      <c r="J99">
        <v>54</v>
      </c>
      <c r="K99" s="1">
        <v>45748</v>
      </c>
      <c r="L99" t="s">
        <v>17</v>
      </c>
      <c r="M99" t="s">
        <v>18</v>
      </c>
      <c r="N99" s="2">
        <f>IFERROR(NHS_A_E[[#This Row],[T1_Over4hrs]]/NHS_A_E[[#This Row],[T1_Attendances]], 0)</f>
        <v>0.45187782596659593</v>
      </c>
      <c r="O99">
        <f>NHS_A_E[[#This Row],[T1_Attendances]]+NHS_A_E[[#This Row],[Other_Attendances]]</f>
        <v>14133</v>
      </c>
      <c r="P99">
        <f>MATCH(LEFT(A99,FIND("-",A99)-1),{"April","May","June","July","August","September","October","November","December","January","February","March"},0)</f>
        <v>1</v>
      </c>
      <c r="Q99" s="3">
        <f t="shared" si="2"/>
        <v>4.9829288548491283E-3</v>
      </c>
      <c r="R99" t="str">
        <f t="shared" si="3"/>
        <v>April</v>
      </c>
    </row>
    <row r="100" spans="1:18" x14ac:dyDescent="0.35">
      <c r="A100" t="s">
        <v>13</v>
      </c>
      <c r="B100" t="s">
        <v>219</v>
      </c>
      <c r="C100" t="s">
        <v>30</v>
      </c>
      <c r="D100" t="s">
        <v>220</v>
      </c>
      <c r="E100">
        <v>9021</v>
      </c>
      <c r="F100">
        <v>2983</v>
      </c>
      <c r="G100">
        <v>3380</v>
      </c>
      <c r="H100">
        <v>60</v>
      </c>
      <c r="I100">
        <v>658</v>
      </c>
      <c r="J100">
        <v>443</v>
      </c>
      <c r="K100" s="1">
        <v>45748</v>
      </c>
      <c r="L100" t="s">
        <v>17</v>
      </c>
      <c r="M100" t="s">
        <v>18</v>
      </c>
      <c r="N100" s="2">
        <f>IFERROR(NHS_A_E[[#This Row],[T1_Over4hrs]]/NHS_A_E[[#This Row],[T1_Attendances]], 0)</f>
        <v>0.37468129919077708</v>
      </c>
      <c r="O100">
        <f>NHS_A_E[[#This Row],[T1_Attendances]]+NHS_A_E[[#This Row],[Other_Attendances]]</f>
        <v>12004</v>
      </c>
      <c r="P100">
        <f>MATCH(LEFT(A100,FIND("-",A100)-1),{"April","May","June","July","August","September","October","November","December","January","February","March"},0)</f>
        <v>1</v>
      </c>
      <c r="Q100" s="3">
        <f t="shared" si="2"/>
        <v>4.9107637734175813E-2</v>
      </c>
      <c r="R100" t="str">
        <f t="shared" si="3"/>
        <v>April</v>
      </c>
    </row>
    <row r="101" spans="1:18" x14ac:dyDescent="0.35">
      <c r="A101" t="s">
        <v>13</v>
      </c>
      <c r="B101" t="s">
        <v>221</v>
      </c>
      <c r="C101" t="s">
        <v>63</v>
      </c>
      <c r="D101" t="s">
        <v>222</v>
      </c>
      <c r="E101">
        <v>9960</v>
      </c>
      <c r="F101">
        <v>13376</v>
      </c>
      <c r="G101">
        <v>2557</v>
      </c>
      <c r="H101">
        <v>9</v>
      </c>
      <c r="I101">
        <v>61</v>
      </c>
      <c r="J101">
        <v>0</v>
      </c>
      <c r="K101" s="1">
        <v>45748</v>
      </c>
      <c r="L101" t="s">
        <v>17</v>
      </c>
      <c r="M101" t="s">
        <v>18</v>
      </c>
      <c r="N101" s="2">
        <f>IFERROR(NHS_A_E[[#This Row],[T1_Over4hrs]]/NHS_A_E[[#This Row],[T1_Attendances]], 0)</f>
        <v>0.25672690763052208</v>
      </c>
      <c r="O101">
        <f>NHS_A_E[[#This Row],[T1_Attendances]]+NHS_A_E[[#This Row],[Other_Attendances]]</f>
        <v>23336</v>
      </c>
      <c r="P101">
        <f>MATCH(LEFT(A101,FIND("-",A101)-1),{"April","May","June","July","August","September","October","November","December","January","February","March"},0)</f>
        <v>1</v>
      </c>
      <c r="Q101" s="3">
        <f t="shared" si="2"/>
        <v>0</v>
      </c>
      <c r="R101" t="str">
        <f t="shared" si="3"/>
        <v>April</v>
      </c>
    </row>
    <row r="102" spans="1:18" x14ac:dyDescent="0.35">
      <c r="A102" t="s">
        <v>13</v>
      </c>
      <c r="B102" t="s">
        <v>223</v>
      </c>
      <c r="C102" t="s">
        <v>15</v>
      </c>
      <c r="D102" t="s">
        <v>224</v>
      </c>
      <c r="E102">
        <v>12200</v>
      </c>
      <c r="F102">
        <v>3436</v>
      </c>
      <c r="G102">
        <v>4243</v>
      </c>
      <c r="H102">
        <v>2</v>
      </c>
      <c r="I102">
        <v>650</v>
      </c>
      <c r="J102">
        <v>0</v>
      </c>
      <c r="K102" s="1">
        <v>45748</v>
      </c>
      <c r="L102" t="s">
        <v>17</v>
      </c>
      <c r="M102" t="s">
        <v>18</v>
      </c>
      <c r="N102" s="2">
        <f>IFERROR(NHS_A_E[[#This Row],[T1_Over4hrs]]/NHS_A_E[[#This Row],[T1_Attendances]], 0)</f>
        <v>0.34778688524590162</v>
      </c>
      <c r="O102">
        <f>NHS_A_E[[#This Row],[T1_Attendances]]+NHS_A_E[[#This Row],[Other_Attendances]]</f>
        <v>15636</v>
      </c>
      <c r="P102">
        <f>MATCH(LEFT(A102,FIND("-",A102)-1),{"April","May","June","July","August","September","October","November","December","January","February","March"},0)</f>
        <v>1</v>
      </c>
      <c r="Q102" s="3">
        <f t="shared" si="2"/>
        <v>0</v>
      </c>
      <c r="R102" t="str">
        <f t="shared" si="3"/>
        <v>April</v>
      </c>
    </row>
    <row r="103" spans="1:18" x14ac:dyDescent="0.35">
      <c r="A103" t="s">
        <v>13</v>
      </c>
      <c r="B103" t="s">
        <v>225</v>
      </c>
      <c r="C103" t="s">
        <v>15</v>
      </c>
      <c r="D103" t="s">
        <v>226</v>
      </c>
      <c r="E103">
        <v>0</v>
      </c>
      <c r="F103">
        <v>2244</v>
      </c>
      <c r="G103">
        <v>0</v>
      </c>
      <c r="H103">
        <v>0</v>
      </c>
      <c r="I103">
        <v>0</v>
      </c>
      <c r="J103">
        <v>0</v>
      </c>
      <c r="K103" s="1">
        <v>45748</v>
      </c>
      <c r="L103" t="s">
        <v>17</v>
      </c>
      <c r="M103" t="s">
        <v>18</v>
      </c>
      <c r="N103" s="2">
        <f>IFERROR(NHS_A_E[[#This Row],[T1_Over4hrs]]/NHS_A_E[[#This Row],[T1_Attendances]], 0)</f>
        <v>0</v>
      </c>
      <c r="O103">
        <f>NHS_A_E[[#This Row],[T1_Attendances]]+NHS_A_E[[#This Row],[Other_Attendances]]</f>
        <v>2244</v>
      </c>
      <c r="P103">
        <f>MATCH(LEFT(A103,FIND("-",A103)-1),{"April","May","June","July","August","September","October","November","December","January","February","March"},0)</f>
        <v>1</v>
      </c>
      <c r="Q103" s="3">
        <f t="shared" si="2"/>
        <v>0</v>
      </c>
      <c r="R103" t="str">
        <f t="shared" si="3"/>
        <v>April</v>
      </c>
    </row>
    <row r="104" spans="1:18" x14ac:dyDescent="0.35">
      <c r="A104" t="s">
        <v>13</v>
      </c>
      <c r="B104" t="s">
        <v>227</v>
      </c>
      <c r="C104" t="s">
        <v>30</v>
      </c>
      <c r="D104" t="s">
        <v>228</v>
      </c>
      <c r="E104">
        <v>0</v>
      </c>
      <c r="F104">
        <v>1108</v>
      </c>
      <c r="G104">
        <v>0</v>
      </c>
      <c r="H104">
        <v>0</v>
      </c>
      <c r="I104">
        <v>0</v>
      </c>
      <c r="J104">
        <v>0</v>
      </c>
      <c r="K104" s="1">
        <v>45748</v>
      </c>
      <c r="L104" t="s">
        <v>17</v>
      </c>
      <c r="M104" t="s">
        <v>18</v>
      </c>
      <c r="N104" s="2">
        <f>IFERROR(NHS_A_E[[#This Row],[T1_Over4hrs]]/NHS_A_E[[#This Row],[T1_Attendances]], 0)</f>
        <v>0</v>
      </c>
      <c r="O104">
        <f>NHS_A_E[[#This Row],[T1_Attendances]]+NHS_A_E[[#This Row],[Other_Attendances]]</f>
        <v>1108</v>
      </c>
      <c r="P104">
        <f>MATCH(LEFT(A104,FIND("-",A104)-1),{"April","May","June","July","August","September","October","November","December","January","February","March"},0)</f>
        <v>1</v>
      </c>
      <c r="Q104" s="3">
        <f t="shared" si="2"/>
        <v>0</v>
      </c>
      <c r="R104" t="str">
        <f t="shared" si="3"/>
        <v>April</v>
      </c>
    </row>
    <row r="105" spans="1:18" x14ac:dyDescent="0.35">
      <c r="A105" t="s">
        <v>13</v>
      </c>
      <c r="B105" t="s">
        <v>229</v>
      </c>
      <c r="C105" t="s">
        <v>23</v>
      </c>
      <c r="D105" t="s">
        <v>230</v>
      </c>
      <c r="E105">
        <v>6646</v>
      </c>
      <c r="F105">
        <v>1170</v>
      </c>
      <c r="G105">
        <v>3021</v>
      </c>
      <c r="H105">
        <v>0</v>
      </c>
      <c r="I105">
        <v>772</v>
      </c>
      <c r="J105">
        <v>111</v>
      </c>
      <c r="K105" s="1">
        <v>45748</v>
      </c>
      <c r="L105" t="s">
        <v>17</v>
      </c>
      <c r="M105" t="s">
        <v>18</v>
      </c>
      <c r="N105" s="2">
        <f>IFERROR(NHS_A_E[[#This Row],[T1_Over4hrs]]/NHS_A_E[[#This Row],[T1_Attendances]], 0)</f>
        <v>0.45455913331327114</v>
      </c>
      <c r="O105">
        <f>NHS_A_E[[#This Row],[T1_Attendances]]+NHS_A_E[[#This Row],[Other_Attendances]]</f>
        <v>7816</v>
      </c>
      <c r="P105">
        <f>MATCH(LEFT(A105,FIND("-",A105)-1),{"April","May","June","July","August","September","October","November","December","January","February","March"},0)</f>
        <v>1</v>
      </c>
      <c r="Q105" s="3">
        <f t="shared" si="2"/>
        <v>1.6701775504062592E-2</v>
      </c>
      <c r="R105" t="str">
        <f t="shared" si="3"/>
        <v>April</v>
      </c>
    </row>
    <row r="106" spans="1:18" x14ac:dyDescent="0.35">
      <c r="A106" t="s">
        <v>13</v>
      </c>
      <c r="B106" t="s">
        <v>231</v>
      </c>
      <c r="C106" t="s">
        <v>63</v>
      </c>
      <c r="D106" t="s">
        <v>232</v>
      </c>
      <c r="E106">
        <v>8877</v>
      </c>
      <c r="F106">
        <v>0</v>
      </c>
      <c r="G106">
        <v>2936</v>
      </c>
      <c r="H106">
        <v>0</v>
      </c>
      <c r="I106">
        <v>439</v>
      </c>
      <c r="J106">
        <v>5</v>
      </c>
      <c r="K106" s="1">
        <v>45748</v>
      </c>
      <c r="L106" t="s">
        <v>17</v>
      </c>
      <c r="M106" t="s">
        <v>18</v>
      </c>
      <c r="N106" s="2">
        <f>IFERROR(NHS_A_E[[#This Row],[T1_Over4hrs]]/NHS_A_E[[#This Row],[T1_Attendances]], 0)</f>
        <v>0.33074236791708911</v>
      </c>
      <c r="O106">
        <f>NHS_A_E[[#This Row],[T1_Attendances]]+NHS_A_E[[#This Row],[Other_Attendances]]</f>
        <v>8877</v>
      </c>
      <c r="P106">
        <f>MATCH(LEFT(A106,FIND("-",A106)-1),{"April","May","June","July","August","September","October","November","December","January","February","March"},0)</f>
        <v>1</v>
      </c>
      <c r="Q106" s="3">
        <f t="shared" si="2"/>
        <v>5.6325335135744053E-4</v>
      </c>
      <c r="R106" t="str">
        <f t="shared" si="3"/>
        <v>April</v>
      </c>
    </row>
    <row r="107" spans="1:18" x14ac:dyDescent="0.35">
      <c r="A107" t="s">
        <v>13</v>
      </c>
      <c r="B107" t="s">
        <v>233</v>
      </c>
      <c r="C107" t="s">
        <v>30</v>
      </c>
      <c r="D107" t="s">
        <v>234</v>
      </c>
      <c r="E107">
        <v>5079</v>
      </c>
      <c r="F107">
        <v>2376</v>
      </c>
      <c r="G107">
        <v>2712</v>
      </c>
      <c r="H107">
        <v>262</v>
      </c>
      <c r="I107">
        <v>234</v>
      </c>
      <c r="J107">
        <v>709</v>
      </c>
      <c r="K107" s="1">
        <v>45748</v>
      </c>
      <c r="L107" t="s">
        <v>17</v>
      </c>
      <c r="M107" t="s">
        <v>18</v>
      </c>
      <c r="N107" s="2">
        <f>IFERROR(NHS_A_E[[#This Row],[T1_Over4hrs]]/NHS_A_E[[#This Row],[T1_Attendances]], 0)</f>
        <v>0.53396337861783816</v>
      </c>
      <c r="O107">
        <f>NHS_A_E[[#This Row],[T1_Attendances]]+NHS_A_E[[#This Row],[Other_Attendances]]</f>
        <v>7455</v>
      </c>
      <c r="P107">
        <f>MATCH(LEFT(A107,FIND("-",A107)-1),{"April","May","June","July","August","September","October","November","December","January","February","March"},0)</f>
        <v>1</v>
      </c>
      <c r="Q107" s="3">
        <f t="shared" si="2"/>
        <v>0.13959440834810002</v>
      </c>
      <c r="R107" t="str">
        <f t="shared" si="3"/>
        <v>April</v>
      </c>
    </row>
    <row r="108" spans="1:18" x14ac:dyDescent="0.35">
      <c r="A108" t="s">
        <v>13</v>
      </c>
      <c r="B108" t="s">
        <v>235</v>
      </c>
      <c r="C108" t="s">
        <v>35</v>
      </c>
      <c r="D108" t="s">
        <v>236</v>
      </c>
      <c r="E108">
        <v>10777</v>
      </c>
      <c r="F108">
        <v>0</v>
      </c>
      <c r="G108">
        <v>1940</v>
      </c>
      <c r="H108">
        <v>0</v>
      </c>
      <c r="I108">
        <v>198</v>
      </c>
      <c r="J108">
        <v>24</v>
      </c>
      <c r="K108" s="1">
        <v>45748</v>
      </c>
      <c r="L108" t="s">
        <v>17</v>
      </c>
      <c r="M108" t="s">
        <v>18</v>
      </c>
      <c r="N108" s="2">
        <f>IFERROR(NHS_A_E[[#This Row],[T1_Over4hrs]]/NHS_A_E[[#This Row],[T1_Attendances]], 0)</f>
        <v>0.18001299062818965</v>
      </c>
      <c r="O108">
        <f>NHS_A_E[[#This Row],[T1_Attendances]]+NHS_A_E[[#This Row],[Other_Attendances]]</f>
        <v>10777</v>
      </c>
      <c r="P108">
        <f>MATCH(LEFT(A108,FIND("-",A108)-1),{"April","May","June","July","August","September","October","November","December","January","February","March"},0)</f>
        <v>1</v>
      </c>
      <c r="Q108" s="3">
        <f t="shared" si="2"/>
        <v>2.2269648325136866E-3</v>
      </c>
      <c r="R108" t="str">
        <f t="shared" si="3"/>
        <v>April</v>
      </c>
    </row>
    <row r="109" spans="1:18" x14ac:dyDescent="0.35">
      <c r="A109" t="s">
        <v>13</v>
      </c>
      <c r="B109" t="s">
        <v>237</v>
      </c>
      <c r="C109" t="s">
        <v>30</v>
      </c>
      <c r="D109" t="s">
        <v>238</v>
      </c>
      <c r="E109">
        <v>13049</v>
      </c>
      <c r="F109">
        <v>10635</v>
      </c>
      <c r="G109">
        <v>4198</v>
      </c>
      <c r="H109">
        <v>439</v>
      </c>
      <c r="I109">
        <v>643</v>
      </c>
      <c r="J109">
        <v>814</v>
      </c>
      <c r="K109" s="1">
        <v>45748</v>
      </c>
      <c r="L109" t="s">
        <v>17</v>
      </c>
      <c r="M109" t="s">
        <v>18</v>
      </c>
      <c r="N109" s="2">
        <f>IFERROR(NHS_A_E[[#This Row],[T1_Over4hrs]]/NHS_A_E[[#This Row],[T1_Attendances]], 0)</f>
        <v>0.3217104758985363</v>
      </c>
      <c r="O109">
        <f>NHS_A_E[[#This Row],[T1_Attendances]]+NHS_A_E[[#This Row],[Other_Attendances]]</f>
        <v>23684</v>
      </c>
      <c r="P109">
        <f>MATCH(LEFT(A109,FIND("-",A109)-1),{"April","May","June","July","August","September","October","November","December","January","February","March"},0)</f>
        <v>1</v>
      </c>
      <c r="Q109" s="3">
        <f t="shared" si="2"/>
        <v>6.2380259023679975E-2</v>
      </c>
      <c r="R109" t="str">
        <f t="shared" si="3"/>
        <v>April</v>
      </c>
    </row>
    <row r="110" spans="1:18" x14ac:dyDescent="0.35">
      <c r="A110" t="s">
        <v>13</v>
      </c>
      <c r="B110" t="s">
        <v>239</v>
      </c>
      <c r="C110" t="s">
        <v>35</v>
      </c>
      <c r="D110" t="s">
        <v>240</v>
      </c>
      <c r="E110">
        <v>0</v>
      </c>
      <c r="F110">
        <v>889</v>
      </c>
      <c r="G110">
        <v>0</v>
      </c>
      <c r="H110">
        <v>0</v>
      </c>
      <c r="I110">
        <v>0</v>
      </c>
      <c r="J110">
        <v>0</v>
      </c>
      <c r="K110" s="1">
        <v>45748</v>
      </c>
      <c r="L110" t="s">
        <v>17</v>
      </c>
      <c r="M110" t="s">
        <v>18</v>
      </c>
      <c r="N110" s="2">
        <f>IFERROR(NHS_A_E[[#This Row],[T1_Over4hrs]]/NHS_A_E[[#This Row],[T1_Attendances]], 0)</f>
        <v>0</v>
      </c>
      <c r="O110">
        <f>NHS_A_E[[#This Row],[T1_Attendances]]+NHS_A_E[[#This Row],[Other_Attendances]]</f>
        <v>889</v>
      </c>
      <c r="P110">
        <f>MATCH(LEFT(A110,FIND("-",A110)-1),{"April","May","June","July","August","September","October","November","December","January","February","March"},0)</f>
        <v>1</v>
      </c>
      <c r="Q110" s="3">
        <f t="shared" si="2"/>
        <v>0</v>
      </c>
      <c r="R110" t="str">
        <f t="shared" si="3"/>
        <v>April</v>
      </c>
    </row>
    <row r="111" spans="1:18" x14ac:dyDescent="0.35">
      <c r="A111" t="s">
        <v>13</v>
      </c>
      <c r="B111" t="s">
        <v>241</v>
      </c>
      <c r="C111" t="s">
        <v>40</v>
      </c>
      <c r="D111" t="s">
        <v>242</v>
      </c>
      <c r="E111">
        <v>0</v>
      </c>
      <c r="F111">
        <v>0</v>
      </c>
      <c r="G111">
        <v>0</v>
      </c>
      <c r="H111">
        <v>0</v>
      </c>
      <c r="I111">
        <v>0</v>
      </c>
      <c r="J111">
        <v>0</v>
      </c>
      <c r="K111" s="1">
        <v>45748</v>
      </c>
      <c r="L111" t="s">
        <v>17</v>
      </c>
      <c r="M111" t="s">
        <v>18</v>
      </c>
      <c r="N111" s="2">
        <f>IFERROR(NHS_A_E[[#This Row],[T1_Over4hrs]]/NHS_A_E[[#This Row],[T1_Attendances]], 0)</f>
        <v>0</v>
      </c>
      <c r="O111">
        <f>NHS_A_E[[#This Row],[T1_Attendances]]+NHS_A_E[[#This Row],[Other_Attendances]]</f>
        <v>0</v>
      </c>
      <c r="P111">
        <f>MATCH(LEFT(A111,FIND("-",A111)-1),{"April","May","June","July","August","September","October","November","December","January","February","March"},0)</f>
        <v>1</v>
      </c>
      <c r="Q111" s="3">
        <f t="shared" si="2"/>
        <v>0</v>
      </c>
      <c r="R111" t="str">
        <f t="shared" si="3"/>
        <v>April</v>
      </c>
    </row>
    <row r="112" spans="1:18" x14ac:dyDescent="0.35">
      <c r="A112" t="s">
        <v>13</v>
      </c>
      <c r="B112" t="s">
        <v>243</v>
      </c>
      <c r="C112" t="s">
        <v>23</v>
      </c>
      <c r="D112" t="s">
        <v>244</v>
      </c>
      <c r="E112">
        <v>0</v>
      </c>
      <c r="F112">
        <v>2137</v>
      </c>
      <c r="G112">
        <v>0</v>
      </c>
      <c r="H112">
        <v>83</v>
      </c>
      <c r="I112">
        <v>0</v>
      </c>
      <c r="J112">
        <v>0</v>
      </c>
      <c r="K112" s="1">
        <v>45748</v>
      </c>
      <c r="L112" t="s">
        <v>17</v>
      </c>
      <c r="M112" t="s">
        <v>18</v>
      </c>
      <c r="N112" s="2">
        <f>IFERROR(NHS_A_E[[#This Row],[T1_Over4hrs]]/NHS_A_E[[#This Row],[T1_Attendances]], 0)</f>
        <v>0</v>
      </c>
      <c r="O112">
        <f>NHS_A_E[[#This Row],[T1_Attendances]]+NHS_A_E[[#This Row],[Other_Attendances]]</f>
        <v>2137</v>
      </c>
      <c r="P112">
        <f>MATCH(LEFT(A112,FIND("-",A112)-1),{"April","May","June","July","August","September","October","November","December","January","February","March"},0)</f>
        <v>1</v>
      </c>
      <c r="Q112" s="3">
        <f t="shared" si="2"/>
        <v>0</v>
      </c>
      <c r="R112" t="str">
        <f t="shared" si="3"/>
        <v>April</v>
      </c>
    </row>
    <row r="113" spans="1:18" x14ac:dyDescent="0.35">
      <c r="A113" t="s">
        <v>13</v>
      </c>
      <c r="B113" t="s">
        <v>245</v>
      </c>
      <c r="C113" t="s">
        <v>15</v>
      </c>
      <c r="D113" t="s">
        <v>246</v>
      </c>
      <c r="E113">
        <v>0</v>
      </c>
      <c r="F113">
        <v>1209</v>
      </c>
      <c r="G113">
        <v>0</v>
      </c>
      <c r="H113">
        <v>0</v>
      </c>
      <c r="I113">
        <v>0</v>
      </c>
      <c r="J113">
        <v>0</v>
      </c>
      <c r="K113" s="1">
        <v>45748</v>
      </c>
      <c r="L113" t="s">
        <v>17</v>
      </c>
      <c r="M113" t="s">
        <v>18</v>
      </c>
      <c r="N113" s="2">
        <f>IFERROR(NHS_A_E[[#This Row],[T1_Over4hrs]]/NHS_A_E[[#This Row],[T1_Attendances]], 0)</f>
        <v>0</v>
      </c>
      <c r="O113">
        <f>NHS_A_E[[#This Row],[T1_Attendances]]+NHS_A_E[[#This Row],[Other_Attendances]]</f>
        <v>1209</v>
      </c>
      <c r="P113">
        <f>MATCH(LEFT(A113,FIND("-",A113)-1),{"April","May","June","July","August","September","October","November","December","January","February","March"},0)</f>
        <v>1</v>
      </c>
      <c r="Q113" s="3">
        <f t="shared" si="2"/>
        <v>0</v>
      </c>
      <c r="R113" t="str">
        <f t="shared" si="3"/>
        <v>April</v>
      </c>
    </row>
    <row r="114" spans="1:18" x14ac:dyDescent="0.35">
      <c r="A114" t="s">
        <v>13</v>
      </c>
      <c r="B114" t="s">
        <v>247</v>
      </c>
      <c r="C114" t="s">
        <v>15</v>
      </c>
      <c r="D114" t="s">
        <v>248</v>
      </c>
      <c r="E114">
        <v>0</v>
      </c>
      <c r="F114">
        <v>5249</v>
      </c>
      <c r="G114">
        <v>0</v>
      </c>
      <c r="H114">
        <v>207</v>
      </c>
      <c r="I114">
        <v>0</v>
      </c>
      <c r="J114">
        <v>0</v>
      </c>
      <c r="K114" s="1">
        <v>45748</v>
      </c>
      <c r="L114" t="s">
        <v>17</v>
      </c>
      <c r="M114" t="s">
        <v>18</v>
      </c>
      <c r="N114" s="2">
        <f>IFERROR(NHS_A_E[[#This Row],[T1_Over4hrs]]/NHS_A_E[[#This Row],[T1_Attendances]], 0)</f>
        <v>0</v>
      </c>
      <c r="O114">
        <f>NHS_A_E[[#This Row],[T1_Attendances]]+NHS_A_E[[#This Row],[Other_Attendances]]</f>
        <v>5249</v>
      </c>
      <c r="P114">
        <f>MATCH(LEFT(A114,FIND("-",A114)-1),{"April","May","June","July","August","September","October","November","December","January","February","March"},0)</f>
        <v>1</v>
      </c>
      <c r="Q114" s="3">
        <f t="shared" si="2"/>
        <v>0</v>
      </c>
      <c r="R114" t="str">
        <f t="shared" si="3"/>
        <v>April</v>
      </c>
    </row>
    <row r="115" spans="1:18" x14ac:dyDescent="0.35">
      <c r="A115" t="s">
        <v>13</v>
      </c>
      <c r="B115" t="s">
        <v>249</v>
      </c>
      <c r="C115" t="s">
        <v>20</v>
      </c>
      <c r="D115" t="s">
        <v>250</v>
      </c>
      <c r="E115">
        <v>6336</v>
      </c>
      <c r="F115">
        <v>3247</v>
      </c>
      <c r="G115">
        <v>2613</v>
      </c>
      <c r="H115">
        <v>15</v>
      </c>
      <c r="I115">
        <v>202</v>
      </c>
      <c r="J115">
        <v>23</v>
      </c>
      <c r="K115" s="1">
        <v>45748</v>
      </c>
      <c r="L115" t="s">
        <v>17</v>
      </c>
      <c r="M115" t="s">
        <v>18</v>
      </c>
      <c r="N115" s="2">
        <f>IFERROR(NHS_A_E[[#This Row],[T1_Over4hrs]]/NHS_A_E[[#This Row],[T1_Attendances]], 0)</f>
        <v>0.41240530303030304</v>
      </c>
      <c r="O115">
        <f>NHS_A_E[[#This Row],[T1_Attendances]]+NHS_A_E[[#This Row],[Other_Attendances]]</f>
        <v>9583</v>
      </c>
      <c r="P115">
        <f>MATCH(LEFT(A115,FIND("-",A115)-1),{"April","May","June","July","August","September","October","November","December","January","February","March"},0)</f>
        <v>1</v>
      </c>
      <c r="Q115" s="3">
        <f t="shared" si="2"/>
        <v>3.630050505050505E-3</v>
      </c>
      <c r="R115" t="str">
        <f t="shared" si="3"/>
        <v>April</v>
      </c>
    </row>
    <row r="116" spans="1:18" x14ac:dyDescent="0.35">
      <c r="A116" t="s">
        <v>13</v>
      </c>
      <c r="B116" t="s">
        <v>251</v>
      </c>
      <c r="C116" t="s">
        <v>35</v>
      </c>
      <c r="D116" t="s">
        <v>252</v>
      </c>
      <c r="E116">
        <v>6646</v>
      </c>
      <c r="F116">
        <v>8505</v>
      </c>
      <c r="G116">
        <v>3351</v>
      </c>
      <c r="H116">
        <v>257</v>
      </c>
      <c r="I116">
        <v>135</v>
      </c>
      <c r="J116">
        <v>504</v>
      </c>
      <c r="K116" s="1">
        <v>45748</v>
      </c>
      <c r="L116" t="s">
        <v>17</v>
      </c>
      <c r="M116" t="s">
        <v>18</v>
      </c>
      <c r="N116" s="2">
        <f>IFERROR(NHS_A_E[[#This Row],[T1_Over4hrs]]/NHS_A_E[[#This Row],[T1_Attendances]], 0)</f>
        <v>0.50421306048751124</v>
      </c>
      <c r="O116">
        <f>NHS_A_E[[#This Row],[T1_Attendances]]+NHS_A_E[[#This Row],[Other_Attendances]]</f>
        <v>15151</v>
      </c>
      <c r="P116">
        <f>MATCH(LEFT(A116,FIND("-",A116)-1),{"April","May","June","July","August","September","October","November","December","January","February","March"},0)</f>
        <v>1</v>
      </c>
      <c r="Q116" s="3">
        <f t="shared" si="2"/>
        <v>7.5835088775203133E-2</v>
      </c>
      <c r="R116" t="str">
        <f t="shared" si="3"/>
        <v>April</v>
      </c>
    </row>
    <row r="117" spans="1:18" x14ac:dyDescent="0.35">
      <c r="A117" t="s">
        <v>13</v>
      </c>
      <c r="B117" t="s">
        <v>253</v>
      </c>
      <c r="C117" t="s">
        <v>63</v>
      </c>
      <c r="D117" t="s">
        <v>254</v>
      </c>
      <c r="E117">
        <v>5888</v>
      </c>
      <c r="F117">
        <v>3944</v>
      </c>
      <c r="G117">
        <v>2646</v>
      </c>
      <c r="H117">
        <v>50</v>
      </c>
      <c r="I117">
        <v>796</v>
      </c>
      <c r="J117">
        <v>0</v>
      </c>
      <c r="K117" s="1">
        <v>45748</v>
      </c>
      <c r="L117" t="s">
        <v>17</v>
      </c>
      <c r="M117" t="s">
        <v>18</v>
      </c>
      <c r="N117" s="2">
        <f>IFERROR(NHS_A_E[[#This Row],[T1_Over4hrs]]/NHS_A_E[[#This Row],[T1_Attendances]], 0)</f>
        <v>0.44938858695652173</v>
      </c>
      <c r="O117">
        <f>NHS_A_E[[#This Row],[T1_Attendances]]+NHS_A_E[[#This Row],[Other_Attendances]]</f>
        <v>9832</v>
      </c>
      <c r="P117">
        <f>MATCH(LEFT(A117,FIND("-",A117)-1),{"April","May","June","July","August","September","October","November","December","January","February","March"},0)</f>
        <v>1</v>
      </c>
      <c r="Q117" s="3">
        <f t="shared" si="2"/>
        <v>0</v>
      </c>
      <c r="R117" t="str">
        <f t="shared" si="3"/>
        <v>April</v>
      </c>
    </row>
    <row r="118" spans="1:18" x14ac:dyDescent="0.35">
      <c r="A118" t="s">
        <v>13</v>
      </c>
      <c r="B118" t="s">
        <v>255</v>
      </c>
      <c r="C118" t="s">
        <v>15</v>
      </c>
      <c r="D118" t="s">
        <v>256</v>
      </c>
      <c r="E118">
        <v>0</v>
      </c>
      <c r="F118">
        <v>0</v>
      </c>
      <c r="G118">
        <v>0</v>
      </c>
      <c r="H118">
        <v>0</v>
      </c>
      <c r="I118">
        <v>0</v>
      </c>
      <c r="J118">
        <v>0</v>
      </c>
      <c r="K118" s="1">
        <v>45748</v>
      </c>
      <c r="L118" t="s">
        <v>17</v>
      </c>
      <c r="M118" t="s">
        <v>18</v>
      </c>
      <c r="N118" s="2">
        <f>IFERROR(NHS_A_E[[#This Row],[T1_Over4hrs]]/NHS_A_E[[#This Row],[T1_Attendances]], 0)</f>
        <v>0</v>
      </c>
      <c r="O118">
        <f>NHS_A_E[[#This Row],[T1_Attendances]]+NHS_A_E[[#This Row],[Other_Attendances]]</f>
        <v>0</v>
      </c>
      <c r="P118">
        <f>MATCH(LEFT(A118,FIND("-",A118)-1),{"April","May","June","July","August","September","October","November","December","January","February","March"},0)</f>
        <v>1</v>
      </c>
      <c r="Q118" s="3">
        <f t="shared" si="2"/>
        <v>0</v>
      </c>
      <c r="R118" t="str">
        <f t="shared" si="3"/>
        <v>April</v>
      </c>
    </row>
    <row r="119" spans="1:18" x14ac:dyDescent="0.35">
      <c r="A119" t="s">
        <v>13</v>
      </c>
      <c r="B119" t="s">
        <v>257</v>
      </c>
      <c r="C119" t="s">
        <v>35</v>
      </c>
      <c r="D119" t="s">
        <v>258</v>
      </c>
      <c r="E119">
        <v>0</v>
      </c>
      <c r="F119">
        <v>7961</v>
      </c>
      <c r="G119">
        <v>0</v>
      </c>
      <c r="H119">
        <v>133</v>
      </c>
      <c r="I119">
        <v>0</v>
      </c>
      <c r="J119">
        <v>0</v>
      </c>
      <c r="K119" s="1">
        <v>45748</v>
      </c>
      <c r="L119" t="s">
        <v>17</v>
      </c>
      <c r="M119" t="s">
        <v>18</v>
      </c>
      <c r="N119" s="2">
        <f>IFERROR(NHS_A_E[[#This Row],[T1_Over4hrs]]/NHS_A_E[[#This Row],[T1_Attendances]], 0)</f>
        <v>0</v>
      </c>
      <c r="O119">
        <f>NHS_A_E[[#This Row],[T1_Attendances]]+NHS_A_E[[#This Row],[Other_Attendances]]</f>
        <v>7961</v>
      </c>
      <c r="P119">
        <f>MATCH(LEFT(A119,FIND("-",A119)-1),{"April","May","June","July","August","September","October","November","December","January","February","March"},0)</f>
        <v>1</v>
      </c>
      <c r="Q119" s="3">
        <f t="shared" si="2"/>
        <v>0</v>
      </c>
      <c r="R119" t="str">
        <f t="shared" si="3"/>
        <v>April</v>
      </c>
    </row>
    <row r="120" spans="1:18" x14ac:dyDescent="0.35">
      <c r="A120" t="s">
        <v>13</v>
      </c>
      <c r="B120" t="s">
        <v>259</v>
      </c>
      <c r="C120" t="s">
        <v>40</v>
      </c>
      <c r="D120" t="s">
        <v>260</v>
      </c>
      <c r="E120">
        <v>0</v>
      </c>
      <c r="F120">
        <v>0</v>
      </c>
      <c r="G120">
        <v>0</v>
      </c>
      <c r="H120">
        <v>0</v>
      </c>
      <c r="I120">
        <v>0</v>
      </c>
      <c r="J120">
        <v>0</v>
      </c>
      <c r="K120" s="1">
        <v>45748</v>
      </c>
      <c r="L120" t="s">
        <v>17</v>
      </c>
      <c r="M120" t="s">
        <v>18</v>
      </c>
      <c r="N120" s="2">
        <f>IFERROR(NHS_A_E[[#This Row],[T1_Over4hrs]]/NHS_A_E[[#This Row],[T1_Attendances]], 0)</f>
        <v>0</v>
      </c>
      <c r="O120">
        <f>NHS_A_E[[#This Row],[T1_Attendances]]+NHS_A_E[[#This Row],[Other_Attendances]]</f>
        <v>0</v>
      </c>
      <c r="P120">
        <f>MATCH(LEFT(A120,FIND("-",A120)-1),{"April","May","June","July","August","September","October","November","December","January","February","March"},0)</f>
        <v>1</v>
      </c>
      <c r="Q120" s="3">
        <f t="shared" si="2"/>
        <v>0</v>
      </c>
      <c r="R120" t="str">
        <f t="shared" si="3"/>
        <v>April</v>
      </c>
    </row>
    <row r="121" spans="1:18" x14ac:dyDescent="0.35">
      <c r="A121" t="s">
        <v>13</v>
      </c>
      <c r="B121" t="s">
        <v>261</v>
      </c>
      <c r="C121" t="s">
        <v>15</v>
      </c>
      <c r="D121" t="s">
        <v>262</v>
      </c>
      <c r="E121">
        <v>0</v>
      </c>
      <c r="F121">
        <v>4951</v>
      </c>
      <c r="G121">
        <v>0</v>
      </c>
      <c r="H121">
        <v>0</v>
      </c>
      <c r="I121">
        <v>0</v>
      </c>
      <c r="J121">
        <v>0</v>
      </c>
      <c r="K121" s="1">
        <v>45748</v>
      </c>
      <c r="L121" t="s">
        <v>17</v>
      </c>
      <c r="M121" t="s">
        <v>18</v>
      </c>
      <c r="N121" s="2">
        <f>IFERROR(NHS_A_E[[#This Row],[T1_Over4hrs]]/NHS_A_E[[#This Row],[T1_Attendances]], 0)</f>
        <v>0</v>
      </c>
      <c r="O121">
        <f>NHS_A_E[[#This Row],[T1_Attendances]]+NHS_A_E[[#This Row],[Other_Attendances]]</f>
        <v>4951</v>
      </c>
      <c r="P121">
        <f>MATCH(LEFT(A121,FIND("-",A121)-1),{"April","May","June","July","August","September","October","November","December","January","February","March"},0)</f>
        <v>1</v>
      </c>
      <c r="Q121" s="3">
        <f t="shared" si="2"/>
        <v>0</v>
      </c>
      <c r="R121" t="str">
        <f t="shared" si="3"/>
        <v>April</v>
      </c>
    </row>
    <row r="122" spans="1:18" x14ac:dyDescent="0.35">
      <c r="A122" t="s">
        <v>13</v>
      </c>
      <c r="B122" t="s">
        <v>263</v>
      </c>
      <c r="C122" t="s">
        <v>35</v>
      </c>
      <c r="D122" t="s">
        <v>264</v>
      </c>
      <c r="E122">
        <v>0</v>
      </c>
      <c r="F122">
        <v>2768</v>
      </c>
      <c r="G122">
        <v>0</v>
      </c>
      <c r="H122">
        <v>13</v>
      </c>
      <c r="I122">
        <v>0</v>
      </c>
      <c r="J122">
        <v>0</v>
      </c>
      <c r="K122" s="1">
        <v>45748</v>
      </c>
      <c r="L122" t="s">
        <v>17</v>
      </c>
      <c r="M122" t="s">
        <v>18</v>
      </c>
      <c r="N122" s="2">
        <f>IFERROR(NHS_A_E[[#This Row],[T1_Over4hrs]]/NHS_A_E[[#This Row],[T1_Attendances]], 0)</f>
        <v>0</v>
      </c>
      <c r="O122">
        <f>NHS_A_E[[#This Row],[T1_Attendances]]+NHS_A_E[[#This Row],[Other_Attendances]]</f>
        <v>2768</v>
      </c>
      <c r="P122">
        <f>MATCH(LEFT(A122,FIND("-",A122)-1),{"April","May","June","July","August","September","October","November","December","January","February","March"},0)</f>
        <v>1</v>
      </c>
      <c r="Q122" s="3">
        <f t="shared" si="2"/>
        <v>0</v>
      </c>
      <c r="R122" t="str">
        <f t="shared" si="3"/>
        <v>April</v>
      </c>
    </row>
    <row r="123" spans="1:18" x14ac:dyDescent="0.35">
      <c r="A123" t="s">
        <v>13</v>
      </c>
      <c r="B123" t="s">
        <v>265</v>
      </c>
      <c r="C123" t="s">
        <v>35</v>
      </c>
      <c r="D123" t="s">
        <v>266</v>
      </c>
      <c r="E123">
        <v>0</v>
      </c>
      <c r="F123">
        <v>2491</v>
      </c>
      <c r="G123">
        <v>0</v>
      </c>
      <c r="H123">
        <v>10</v>
      </c>
      <c r="I123">
        <v>0</v>
      </c>
      <c r="J123">
        <v>0</v>
      </c>
      <c r="K123" s="1">
        <v>45748</v>
      </c>
      <c r="L123" t="s">
        <v>17</v>
      </c>
      <c r="M123" t="s">
        <v>18</v>
      </c>
      <c r="N123" s="2">
        <f>IFERROR(NHS_A_E[[#This Row],[T1_Over4hrs]]/NHS_A_E[[#This Row],[T1_Attendances]], 0)</f>
        <v>0</v>
      </c>
      <c r="O123">
        <f>NHS_A_E[[#This Row],[T1_Attendances]]+NHS_A_E[[#This Row],[Other_Attendances]]</f>
        <v>2491</v>
      </c>
      <c r="P123">
        <f>MATCH(LEFT(A123,FIND("-",A123)-1),{"April","May","June","July","August","September","October","November","December","January","February","March"},0)</f>
        <v>1</v>
      </c>
      <c r="Q123" s="3">
        <f t="shared" si="2"/>
        <v>0</v>
      </c>
      <c r="R123" t="str">
        <f t="shared" si="3"/>
        <v>April</v>
      </c>
    </row>
    <row r="124" spans="1:18" x14ac:dyDescent="0.35">
      <c r="A124" t="s">
        <v>13</v>
      </c>
      <c r="B124" t="s">
        <v>267</v>
      </c>
      <c r="C124" t="s">
        <v>15</v>
      </c>
      <c r="D124" t="s">
        <v>268</v>
      </c>
      <c r="E124">
        <v>0</v>
      </c>
      <c r="F124">
        <v>9195</v>
      </c>
      <c r="G124">
        <v>0</v>
      </c>
      <c r="H124">
        <v>31</v>
      </c>
      <c r="I124">
        <v>0</v>
      </c>
      <c r="J124">
        <v>0</v>
      </c>
      <c r="K124" s="1">
        <v>45748</v>
      </c>
      <c r="L124" t="s">
        <v>17</v>
      </c>
      <c r="M124" t="s">
        <v>18</v>
      </c>
      <c r="N124" s="2">
        <f>IFERROR(NHS_A_E[[#This Row],[T1_Over4hrs]]/NHS_A_E[[#This Row],[T1_Attendances]], 0)</f>
        <v>0</v>
      </c>
      <c r="O124">
        <f>NHS_A_E[[#This Row],[T1_Attendances]]+NHS_A_E[[#This Row],[Other_Attendances]]</f>
        <v>9195</v>
      </c>
      <c r="P124">
        <f>MATCH(LEFT(A124,FIND("-",A124)-1),{"April","May","June","July","August","September","October","November","December","January","February","March"},0)</f>
        <v>1</v>
      </c>
      <c r="Q124" s="3">
        <f t="shared" si="2"/>
        <v>0</v>
      </c>
      <c r="R124" t="str">
        <f t="shared" si="3"/>
        <v>April</v>
      </c>
    </row>
    <row r="125" spans="1:18" x14ac:dyDescent="0.35">
      <c r="A125" t="s">
        <v>13</v>
      </c>
      <c r="B125" t="s">
        <v>269</v>
      </c>
      <c r="C125" t="s">
        <v>40</v>
      </c>
      <c r="D125" t="s">
        <v>270</v>
      </c>
      <c r="E125">
        <v>5878</v>
      </c>
      <c r="F125">
        <v>114</v>
      </c>
      <c r="G125">
        <v>3041</v>
      </c>
      <c r="H125">
        <v>0</v>
      </c>
      <c r="I125">
        <v>429</v>
      </c>
      <c r="J125">
        <v>277</v>
      </c>
      <c r="K125" s="1">
        <v>45748</v>
      </c>
      <c r="L125" t="s">
        <v>17</v>
      </c>
      <c r="M125" t="s">
        <v>18</v>
      </c>
      <c r="N125" s="2">
        <f>IFERROR(NHS_A_E[[#This Row],[T1_Over4hrs]]/NHS_A_E[[#This Row],[T1_Attendances]], 0)</f>
        <v>0.51735284110241575</v>
      </c>
      <c r="O125">
        <f>NHS_A_E[[#This Row],[T1_Attendances]]+NHS_A_E[[#This Row],[Other_Attendances]]</f>
        <v>5992</v>
      </c>
      <c r="P125">
        <f>MATCH(LEFT(A125,FIND("-",A125)-1),{"April","May","June","July","August","September","October","November","December","January","February","March"},0)</f>
        <v>1</v>
      </c>
      <c r="Q125" s="3">
        <f t="shared" si="2"/>
        <v>4.712487240558013E-2</v>
      </c>
      <c r="R125" t="str">
        <f t="shared" si="3"/>
        <v>April</v>
      </c>
    </row>
    <row r="126" spans="1:18" x14ac:dyDescent="0.35">
      <c r="A126" t="s">
        <v>13</v>
      </c>
      <c r="B126" t="s">
        <v>271</v>
      </c>
      <c r="C126" t="s">
        <v>30</v>
      </c>
      <c r="D126" t="s">
        <v>272</v>
      </c>
      <c r="E126">
        <v>0</v>
      </c>
      <c r="F126">
        <v>13070</v>
      </c>
      <c r="G126">
        <v>0</v>
      </c>
      <c r="H126">
        <v>194</v>
      </c>
      <c r="I126">
        <v>0</v>
      </c>
      <c r="J126">
        <v>0</v>
      </c>
      <c r="K126" s="1">
        <v>45748</v>
      </c>
      <c r="L126" t="s">
        <v>17</v>
      </c>
      <c r="M126" t="s">
        <v>18</v>
      </c>
      <c r="N126" s="2">
        <f>IFERROR(NHS_A_E[[#This Row],[T1_Over4hrs]]/NHS_A_E[[#This Row],[T1_Attendances]], 0)</f>
        <v>0</v>
      </c>
      <c r="O126">
        <f>NHS_A_E[[#This Row],[T1_Attendances]]+NHS_A_E[[#This Row],[Other_Attendances]]</f>
        <v>13070</v>
      </c>
      <c r="P126">
        <f>MATCH(LEFT(A126,FIND("-",A126)-1),{"April","May","June","July","August","September","October","November","December","January","February","March"},0)</f>
        <v>1</v>
      </c>
      <c r="Q126" s="3">
        <f t="shared" si="2"/>
        <v>0</v>
      </c>
      <c r="R126" t="str">
        <f t="shared" si="3"/>
        <v>April</v>
      </c>
    </row>
    <row r="127" spans="1:18" x14ac:dyDescent="0.35">
      <c r="A127" t="s">
        <v>13</v>
      </c>
      <c r="B127" t="s">
        <v>273</v>
      </c>
      <c r="C127" t="s">
        <v>30</v>
      </c>
      <c r="D127" t="s">
        <v>274</v>
      </c>
      <c r="E127">
        <v>4406</v>
      </c>
      <c r="F127">
        <v>0</v>
      </c>
      <c r="G127">
        <v>2314</v>
      </c>
      <c r="H127">
        <v>0</v>
      </c>
      <c r="I127">
        <v>163</v>
      </c>
      <c r="J127">
        <v>278</v>
      </c>
      <c r="K127" s="1">
        <v>45748</v>
      </c>
      <c r="L127" t="s">
        <v>17</v>
      </c>
      <c r="M127" t="s">
        <v>18</v>
      </c>
      <c r="N127" s="2">
        <f>IFERROR(NHS_A_E[[#This Row],[T1_Over4hrs]]/NHS_A_E[[#This Row],[T1_Attendances]], 0)</f>
        <v>0.52519291874716301</v>
      </c>
      <c r="O127">
        <f>NHS_A_E[[#This Row],[T1_Attendances]]+NHS_A_E[[#This Row],[Other_Attendances]]</f>
        <v>4406</v>
      </c>
      <c r="P127">
        <f>MATCH(LEFT(A127,FIND("-",A127)-1),{"April","May","June","July","August","September","October","November","December","January","February","March"},0)</f>
        <v>1</v>
      </c>
      <c r="Q127" s="3">
        <f t="shared" si="2"/>
        <v>6.3095778483885617E-2</v>
      </c>
      <c r="R127" t="str">
        <f t="shared" si="3"/>
        <v>April</v>
      </c>
    </row>
    <row r="128" spans="1:18" x14ac:dyDescent="0.35">
      <c r="A128" t="s">
        <v>13</v>
      </c>
      <c r="B128" t="s">
        <v>275</v>
      </c>
      <c r="C128" t="s">
        <v>20</v>
      </c>
      <c r="D128" t="s">
        <v>276</v>
      </c>
      <c r="E128">
        <v>0</v>
      </c>
      <c r="F128">
        <v>8409</v>
      </c>
      <c r="G128">
        <v>0</v>
      </c>
      <c r="H128">
        <v>170</v>
      </c>
      <c r="I128">
        <v>0</v>
      </c>
      <c r="J128">
        <v>0</v>
      </c>
      <c r="K128" s="1">
        <v>45748</v>
      </c>
      <c r="L128" t="s">
        <v>17</v>
      </c>
      <c r="M128" t="s">
        <v>18</v>
      </c>
      <c r="N128" s="2">
        <f>IFERROR(NHS_A_E[[#This Row],[T1_Over4hrs]]/NHS_A_E[[#This Row],[T1_Attendances]], 0)</f>
        <v>0</v>
      </c>
      <c r="O128">
        <f>NHS_A_E[[#This Row],[T1_Attendances]]+NHS_A_E[[#This Row],[Other_Attendances]]</f>
        <v>8409</v>
      </c>
      <c r="P128">
        <f>MATCH(LEFT(A128,FIND("-",A128)-1),{"April","May","June","July","August","September","October","November","December","January","February","March"},0)</f>
        <v>1</v>
      </c>
      <c r="Q128" s="3">
        <f t="shared" si="2"/>
        <v>0</v>
      </c>
      <c r="R128" t="str">
        <f t="shared" si="3"/>
        <v>April</v>
      </c>
    </row>
    <row r="129" spans="1:18" x14ac:dyDescent="0.35">
      <c r="A129" t="s">
        <v>13</v>
      </c>
      <c r="B129" t="s">
        <v>277</v>
      </c>
      <c r="C129" t="s">
        <v>15</v>
      </c>
      <c r="D129" t="s">
        <v>278</v>
      </c>
      <c r="E129">
        <v>0</v>
      </c>
      <c r="F129">
        <v>2333</v>
      </c>
      <c r="G129">
        <v>0</v>
      </c>
      <c r="H129">
        <v>49</v>
      </c>
      <c r="I129">
        <v>0</v>
      </c>
      <c r="J129">
        <v>0</v>
      </c>
      <c r="K129" s="1">
        <v>45748</v>
      </c>
      <c r="L129" t="s">
        <v>17</v>
      </c>
      <c r="M129" t="s">
        <v>18</v>
      </c>
      <c r="N129" s="2">
        <f>IFERROR(NHS_A_E[[#This Row],[T1_Over4hrs]]/NHS_A_E[[#This Row],[T1_Attendances]], 0)</f>
        <v>0</v>
      </c>
      <c r="O129">
        <f>NHS_A_E[[#This Row],[T1_Attendances]]+NHS_A_E[[#This Row],[Other_Attendances]]</f>
        <v>2333</v>
      </c>
      <c r="P129">
        <f>MATCH(LEFT(A129,FIND("-",A129)-1),{"April","May","June","July","August","September","October","November","December","January","February","March"},0)</f>
        <v>1</v>
      </c>
      <c r="Q129" s="3">
        <f t="shared" si="2"/>
        <v>0</v>
      </c>
      <c r="R129" t="str">
        <f t="shared" si="3"/>
        <v>April</v>
      </c>
    </row>
    <row r="130" spans="1:18" x14ac:dyDescent="0.35">
      <c r="A130" t="s">
        <v>13</v>
      </c>
      <c r="B130" t="s">
        <v>279</v>
      </c>
      <c r="C130" t="s">
        <v>15</v>
      </c>
      <c r="D130" t="s">
        <v>280</v>
      </c>
      <c r="E130">
        <v>0</v>
      </c>
      <c r="F130">
        <v>2528</v>
      </c>
      <c r="G130">
        <v>0</v>
      </c>
      <c r="H130">
        <v>58</v>
      </c>
      <c r="I130">
        <v>0</v>
      </c>
      <c r="J130">
        <v>0</v>
      </c>
      <c r="K130" s="1">
        <v>45748</v>
      </c>
      <c r="L130" t="s">
        <v>17</v>
      </c>
      <c r="M130" t="s">
        <v>18</v>
      </c>
      <c r="N130" s="2">
        <f>IFERROR(NHS_A_E[[#This Row],[T1_Over4hrs]]/NHS_A_E[[#This Row],[T1_Attendances]], 0)</f>
        <v>0</v>
      </c>
      <c r="O130">
        <f>NHS_A_E[[#This Row],[T1_Attendances]]+NHS_A_E[[#This Row],[Other_Attendances]]</f>
        <v>2528</v>
      </c>
      <c r="P130">
        <f>MATCH(LEFT(A130,FIND("-",A130)-1),{"April","May","June","July","August","September","October","November","December","January","February","March"},0)</f>
        <v>1</v>
      </c>
      <c r="Q130" s="3">
        <f t="shared" ref="Q130:Q193" si="4">IFERROR(J130/E130,0)</f>
        <v>0</v>
      </c>
      <c r="R130" t="str">
        <f t="shared" ref="R130:R193" si="5">TEXT(A130, "mmmm")</f>
        <v>April</v>
      </c>
    </row>
    <row r="131" spans="1:18" x14ac:dyDescent="0.35">
      <c r="A131" t="s">
        <v>13</v>
      </c>
      <c r="B131" t="s">
        <v>281</v>
      </c>
      <c r="C131" t="s">
        <v>40</v>
      </c>
      <c r="D131" t="s">
        <v>282</v>
      </c>
      <c r="E131">
        <v>0</v>
      </c>
      <c r="F131">
        <v>6628</v>
      </c>
      <c r="G131">
        <v>0</v>
      </c>
      <c r="H131">
        <v>0</v>
      </c>
      <c r="I131">
        <v>0</v>
      </c>
      <c r="J131">
        <v>0</v>
      </c>
      <c r="K131" s="1">
        <v>45748</v>
      </c>
      <c r="L131" t="s">
        <v>17</v>
      </c>
      <c r="M131" t="s">
        <v>18</v>
      </c>
      <c r="N131" s="2">
        <f>IFERROR(NHS_A_E[[#This Row],[T1_Over4hrs]]/NHS_A_E[[#This Row],[T1_Attendances]], 0)</f>
        <v>0</v>
      </c>
      <c r="O131">
        <f>NHS_A_E[[#This Row],[T1_Attendances]]+NHS_A_E[[#This Row],[Other_Attendances]]</f>
        <v>6628</v>
      </c>
      <c r="P131">
        <f>MATCH(LEFT(A131,FIND("-",A131)-1),{"April","May","June","July","August","September","October","November","December","January","February","March"},0)</f>
        <v>1</v>
      </c>
      <c r="Q131" s="3">
        <f t="shared" si="4"/>
        <v>0</v>
      </c>
      <c r="R131" t="str">
        <f t="shared" si="5"/>
        <v>April</v>
      </c>
    </row>
    <row r="132" spans="1:18" x14ac:dyDescent="0.35">
      <c r="A132" t="s">
        <v>13</v>
      </c>
      <c r="B132" t="s">
        <v>283</v>
      </c>
      <c r="C132" t="s">
        <v>15</v>
      </c>
      <c r="D132" t="s">
        <v>284</v>
      </c>
      <c r="E132">
        <v>0</v>
      </c>
      <c r="F132">
        <v>3297</v>
      </c>
      <c r="G132">
        <v>0</v>
      </c>
      <c r="H132">
        <v>42</v>
      </c>
      <c r="I132">
        <v>0</v>
      </c>
      <c r="J132">
        <v>0</v>
      </c>
      <c r="K132" s="1">
        <v>45748</v>
      </c>
      <c r="L132" t="s">
        <v>17</v>
      </c>
      <c r="M132" t="s">
        <v>18</v>
      </c>
      <c r="N132" s="2">
        <f>IFERROR(NHS_A_E[[#This Row],[T1_Over4hrs]]/NHS_A_E[[#This Row],[T1_Attendances]], 0)</f>
        <v>0</v>
      </c>
      <c r="O132">
        <f>NHS_A_E[[#This Row],[T1_Attendances]]+NHS_A_E[[#This Row],[Other_Attendances]]</f>
        <v>3297</v>
      </c>
      <c r="P132">
        <f>MATCH(LEFT(A132,FIND("-",A132)-1),{"April","May","June","July","August","September","October","November","December","January","February","March"},0)</f>
        <v>1</v>
      </c>
      <c r="Q132" s="3">
        <f t="shared" si="4"/>
        <v>0</v>
      </c>
      <c r="R132" t="str">
        <f t="shared" si="5"/>
        <v>April</v>
      </c>
    </row>
    <row r="133" spans="1:18" x14ac:dyDescent="0.35">
      <c r="A133" t="s">
        <v>13</v>
      </c>
      <c r="B133" t="s">
        <v>285</v>
      </c>
      <c r="C133" t="s">
        <v>40</v>
      </c>
      <c r="D133" t="s">
        <v>286</v>
      </c>
      <c r="E133">
        <v>0</v>
      </c>
      <c r="F133">
        <v>338</v>
      </c>
      <c r="G133">
        <v>0</v>
      </c>
      <c r="H133">
        <v>0</v>
      </c>
      <c r="I133">
        <v>0</v>
      </c>
      <c r="J133">
        <v>0</v>
      </c>
      <c r="K133" s="1">
        <v>45748</v>
      </c>
      <c r="L133" t="s">
        <v>17</v>
      </c>
      <c r="M133" t="s">
        <v>18</v>
      </c>
      <c r="N133" s="2">
        <f>IFERROR(NHS_A_E[[#This Row],[T1_Over4hrs]]/NHS_A_E[[#This Row],[T1_Attendances]], 0)</f>
        <v>0</v>
      </c>
      <c r="O133">
        <f>NHS_A_E[[#This Row],[T1_Attendances]]+NHS_A_E[[#This Row],[Other_Attendances]]</f>
        <v>338</v>
      </c>
      <c r="P133">
        <f>MATCH(LEFT(A133,FIND("-",A133)-1),{"April","May","June","July","August","September","October","November","December","January","February","March"},0)</f>
        <v>1</v>
      </c>
      <c r="Q133" s="3">
        <f t="shared" si="4"/>
        <v>0</v>
      </c>
      <c r="R133" t="str">
        <f t="shared" si="5"/>
        <v>April</v>
      </c>
    </row>
    <row r="134" spans="1:18" x14ac:dyDescent="0.35">
      <c r="A134" t="s">
        <v>13</v>
      </c>
      <c r="B134" t="s">
        <v>287</v>
      </c>
      <c r="C134" t="s">
        <v>40</v>
      </c>
      <c r="D134" t="s">
        <v>288</v>
      </c>
      <c r="E134">
        <v>0</v>
      </c>
      <c r="F134">
        <v>3055</v>
      </c>
      <c r="G134">
        <v>0</v>
      </c>
      <c r="H134">
        <v>0</v>
      </c>
      <c r="I134">
        <v>0</v>
      </c>
      <c r="J134">
        <v>0</v>
      </c>
      <c r="K134" s="1">
        <v>45748</v>
      </c>
      <c r="L134" t="s">
        <v>17</v>
      </c>
      <c r="M134" t="s">
        <v>18</v>
      </c>
      <c r="N134" s="2">
        <f>IFERROR(NHS_A_E[[#This Row],[T1_Over4hrs]]/NHS_A_E[[#This Row],[T1_Attendances]], 0)</f>
        <v>0</v>
      </c>
      <c r="O134">
        <f>NHS_A_E[[#This Row],[T1_Attendances]]+NHS_A_E[[#This Row],[Other_Attendances]]</f>
        <v>3055</v>
      </c>
      <c r="P134">
        <f>MATCH(LEFT(A134,FIND("-",A134)-1),{"April","May","June","July","August","September","October","November","December","January","February","March"},0)</f>
        <v>1</v>
      </c>
      <c r="Q134" s="3">
        <f t="shared" si="4"/>
        <v>0</v>
      </c>
      <c r="R134" t="str">
        <f t="shared" si="5"/>
        <v>April</v>
      </c>
    </row>
    <row r="135" spans="1:18" x14ac:dyDescent="0.35">
      <c r="A135" t="s">
        <v>13</v>
      </c>
      <c r="B135" t="s">
        <v>289</v>
      </c>
      <c r="C135" t="s">
        <v>30</v>
      </c>
      <c r="D135" t="s">
        <v>290</v>
      </c>
      <c r="E135">
        <v>0</v>
      </c>
      <c r="F135">
        <v>0</v>
      </c>
      <c r="G135">
        <v>0</v>
      </c>
      <c r="H135">
        <v>0</v>
      </c>
      <c r="I135">
        <v>0</v>
      </c>
      <c r="J135">
        <v>0</v>
      </c>
      <c r="K135" s="1">
        <v>45748</v>
      </c>
      <c r="L135" t="s">
        <v>17</v>
      </c>
      <c r="M135" t="s">
        <v>18</v>
      </c>
      <c r="N135" s="2">
        <f>IFERROR(NHS_A_E[[#This Row],[T1_Over4hrs]]/NHS_A_E[[#This Row],[T1_Attendances]], 0)</f>
        <v>0</v>
      </c>
      <c r="O135">
        <f>NHS_A_E[[#This Row],[T1_Attendances]]+NHS_A_E[[#This Row],[Other_Attendances]]</f>
        <v>0</v>
      </c>
      <c r="P135">
        <f>MATCH(LEFT(A135,FIND("-",A135)-1),{"April","May","June","July","August","September","October","November","December","January","February","March"},0)</f>
        <v>1</v>
      </c>
      <c r="Q135" s="3">
        <f t="shared" si="4"/>
        <v>0</v>
      </c>
      <c r="R135" t="str">
        <f t="shared" si="5"/>
        <v>April</v>
      </c>
    </row>
    <row r="136" spans="1:18" x14ac:dyDescent="0.35">
      <c r="A136" t="s">
        <v>13</v>
      </c>
      <c r="B136" t="s">
        <v>291</v>
      </c>
      <c r="C136" t="s">
        <v>63</v>
      </c>
      <c r="D136" t="s">
        <v>292</v>
      </c>
      <c r="E136">
        <v>4918</v>
      </c>
      <c r="F136">
        <v>969</v>
      </c>
      <c r="G136">
        <v>1081</v>
      </c>
      <c r="H136">
        <v>1</v>
      </c>
      <c r="I136">
        <v>185</v>
      </c>
      <c r="J136">
        <v>2</v>
      </c>
      <c r="K136" s="1">
        <v>45748</v>
      </c>
      <c r="L136" t="s">
        <v>17</v>
      </c>
      <c r="M136" t="s">
        <v>18</v>
      </c>
      <c r="N136" s="2">
        <f>IFERROR(NHS_A_E[[#This Row],[T1_Over4hrs]]/NHS_A_E[[#This Row],[T1_Attendances]], 0)</f>
        <v>0.21980479869865799</v>
      </c>
      <c r="O136">
        <f>NHS_A_E[[#This Row],[T1_Attendances]]+NHS_A_E[[#This Row],[Other_Attendances]]</f>
        <v>5887</v>
      </c>
      <c r="P136">
        <f>MATCH(LEFT(A136,FIND("-",A136)-1),{"April","May","June","July","August","September","October","November","December","January","February","March"},0)</f>
        <v>1</v>
      </c>
      <c r="Q136" s="3">
        <f t="shared" si="4"/>
        <v>4.0666937779585197E-4</v>
      </c>
      <c r="R136" t="str">
        <f t="shared" si="5"/>
        <v>April</v>
      </c>
    </row>
    <row r="137" spans="1:18" x14ac:dyDescent="0.35">
      <c r="A137" t="s">
        <v>13</v>
      </c>
      <c r="B137" t="s">
        <v>293</v>
      </c>
      <c r="C137" t="s">
        <v>20</v>
      </c>
      <c r="D137" t="s">
        <v>294</v>
      </c>
      <c r="E137">
        <v>0</v>
      </c>
      <c r="F137">
        <v>0</v>
      </c>
      <c r="G137">
        <v>0</v>
      </c>
      <c r="H137">
        <v>0</v>
      </c>
      <c r="I137">
        <v>0</v>
      </c>
      <c r="J137">
        <v>0</v>
      </c>
      <c r="K137" s="1">
        <v>45748</v>
      </c>
      <c r="L137" t="s">
        <v>17</v>
      </c>
      <c r="M137" t="s">
        <v>18</v>
      </c>
      <c r="N137" s="2">
        <f>IFERROR(NHS_A_E[[#This Row],[T1_Over4hrs]]/NHS_A_E[[#This Row],[T1_Attendances]], 0)</f>
        <v>0</v>
      </c>
      <c r="O137">
        <f>NHS_A_E[[#This Row],[T1_Attendances]]+NHS_A_E[[#This Row],[Other_Attendances]]</f>
        <v>0</v>
      </c>
      <c r="P137">
        <f>MATCH(LEFT(A137,FIND("-",A137)-1),{"April","May","June","July","August","September","October","November","December","January","February","March"},0)</f>
        <v>1</v>
      </c>
      <c r="Q137" s="3">
        <f t="shared" si="4"/>
        <v>0</v>
      </c>
      <c r="R137" t="str">
        <f t="shared" si="5"/>
        <v>April</v>
      </c>
    </row>
    <row r="138" spans="1:18" x14ac:dyDescent="0.35">
      <c r="A138" t="s">
        <v>13</v>
      </c>
      <c r="B138" t="s">
        <v>295</v>
      </c>
      <c r="C138" t="s">
        <v>15</v>
      </c>
      <c r="D138" t="s">
        <v>296</v>
      </c>
      <c r="E138">
        <v>10067</v>
      </c>
      <c r="F138">
        <v>0</v>
      </c>
      <c r="G138">
        <v>3783</v>
      </c>
      <c r="H138">
        <v>0</v>
      </c>
      <c r="I138">
        <v>507</v>
      </c>
      <c r="J138">
        <v>609</v>
      </c>
      <c r="K138" s="1">
        <v>45748</v>
      </c>
      <c r="L138" t="s">
        <v>17</v>
      </c>
      <c r="M138" t="s">
        <v>18</v>
      </c>
      <c r="N138" s="2">
        <f>IFERROR(NHS_A_E[[#This Row],[T1_Over4hrs]]/NHS_A_E[[#This Row],[T1_Attendances]], 0)</f>
        <v>0.37578225886560046</v>
      </c>
      <c r="O138">
        <f>NHS_A_E[[#This Row],[T1_Attendances]]+NHS_A_E[[#This Row],[Other_Attendances]]</f>
        <v>10067</v>
      </c>
      <c r="P138">
        <f>MATCH(LEFT(A138,FIND("-",A138)-1),{"April","May","June","July","August","September","October","November","December","January","February","March"},0)</f>
        <v>1</v>
      </c>
      <c r="Q138" s="3">
        <f t="shared" si="4"/>
        <v>6.0494685606436872E-2</v>
      </c>
      <c r="R138" t="str">
        <f t="shared" si="5"/>
        <v>April</v>
      </c>
    </row>
    <row r="139" spans="1:18" x14ac:dyDescent="0.35">
      <c r="A139" t="s">
        <v>13</v>
      </c>
      <c r="B139" t="s">
        <v>297</v>
      </c>
      <c r="C139" t="s">
        <v>15</v>
      </c>
      <c r="D139" t="s">
        <v>298</v>
      </c>
      <c r="E139">
        <v>0</v>
      </c>
      <c r="F139">
        <v>2866</v>
      </c>
      <c r="G139">
        <v>0</v>
      </c>
      <c r="H139">
        <v>70</v>
      </c>
      <c r="I139">
        <v>0</v>
      </c>
      <c r="J139">
        <v>0</v>
      </c>
      <c r="K139" s="1">
        <v>45748</v>
      </c>
      <c r="L139" t="s">
        <v>17</v>
      </c>
      <c r="M139" t="s">
        <v>18</v>
      </c>
      <c r="N139" s="2">
        <f>IFERROR(NHS_A_E[[#This Row],[T1_Over4hrs]]/NHS_A_E[[#This Row],[T1_Attendances]], 0)</f>
        <v>0</v>
      </c>
      <c r="O139">
        <f>NHS_A_E[[#This Row],[T1_Attendances]]+NHS_A_E[[#This Row],[Other_Attendances]]</f>
        <v>2866</v>
      </c>
      <c r="P139">
        <f>MATCH(LEFT(A139,FIND("-",A139)-1),{"April","May","June","July","August","September","October","November","December","January","February","March"},0)</f>
        <v>1</v>
      </c>
      <c r="Q139" s="3">
        <f t="shared" si="4"/>
        <v>0</v>
      </c>
      <c r="R139" t="str">
        <f t="shared" si="5"/>
        <v>April</v>
      </c>
    </row>
    <row r="140" spans="1:18" x14ac:dyDescent="0.35">
      <c r="A140" t="s">
        <v>13</v>
      </c>
      <c r="B140" t="s">
        <v>299</v>
      </c>
      <c r="C140" t="s">
        <v>63</v>
      </c>
      <c r="D140" t="s">
        <v>300</v>
      </c>
      <c r="E140">
        <v>15871</v>
      </c>
      <c r="F140">
        <v>0</v>
      </c>
      <c r="G140">
        <v>2746</v>
      </c>
      <c r="H140">
        <v>0</v>
      </c>
      <c r="I140">
        <v>944</v>
      </c>
      <c r="J140">
        <v>24</v>
      </c>
      <c r="K140" s="1">
        <v>45748</v>
      </c>
      <c r="L140" t="s">
        <v>17</v>
      </c>
      <c r="M140" t="s">
        <v>18</v>
      </c>
      <c r="N140" s="2">
        <f>IFERROR(NHS_A_E[[#This Row],[T1_Over4hrs]]/NHS_A_E[[#This Row],[T1_Attendances]], 0)</f>
        <v>0.17301997353663914</v>
      </c>
      <c r="O140">
        <f>NHS_A_E[[#This Row],[T1_Attendances]]+NHS_A_E[[#This Row],[Other_Attendances]]</f>
        <v>15871</v>
      </c>
      <c r="P140">
        <f>MATCH(LEFT(A140,FIND("-",A140)-1),{"April","May","June","July","August","September","October","November","December","January","February","March"},0)</f>
        <v>1</v>
      </c>
      <c r="Q140" s="3">
        <f t="shared" si="4"/>
        <v>1.5121920483901455E-3</v>
      </c>
      <c r="R140" t="str">
        <f t="shared" si="5"/>
        <v>April</v>
      </c>
    </row>
    <row r="141" spans="1:18" x14ac:dyDescent="0.35">
      <c r="A141" t="s">
        <v>13</v>
      </c>
      <c r="B141" t="s">
        <v>301</v>
      </c>
      <c r="C141" t="s">
        <v>30</v>
      </c>
      <c r="D141" t="s">
        <v>302</v>
      </c>
      <c r="E141">
        <v>0</v>
      </c>
      <c r="F141">
        <v>4134</v>
      </c>
      <c r="G141">
        <v>0</v>
      </c>
      <c r="H141">
        <v>265</v>
      </c>
      <c r="I141">
        <v>0</v>
      </c>
      <c r="J141">
        <v>0</v>
      </c>
      <c r="K141" s="1">
        <v>45748</v>
      </c>
      <c r="L141" t="s">
        <v>17</v>
      </c>
      <c r="M141" t="s">
        <v>18</v>
      </c>
      <c r="N141" s="2">
        <f>IFERROR(NHS_A_E[[#This Row],[T1_Over4hrs]]/NHS_A_E[[#This Row],[T1_Attendances]], 0)</f>
        <v>0</v>
      </c>
      <c r="O141">
        <f>NHS_A_E[[#This Row],[T1_Attendances]]+NHS_A_E[[#This Row],[Other_Attendances]]</f>
        <v>4134</v>
      </c>
      <c r="P141">
        <f>MATCH(LEFT(A141,FIND("-",A141)-1),{"April","May","June","July","August","September","October","November","December","January","February","March"},0)</f>
        <v>1</v>
      </c>
      <c r="Q141" s="3">
        <f t="shared" si="4"/>
        <v>0</v>
      </c>
      <c r="R141" t="str">
        <f t="shared" si="5"/>
        <v>April</v>
      </c>
    </row>
    <row r="142" spans="1:18" x14ac:dyDescent="0.35">
      <c r="A142" t="s">
        <v>13</v>
      </c>
      <c r="B142" t="s">
        <v>303</v>
      </c>
      <c r="C142" t="s">
        <v>23</v>
      </c>
      <c r="D142" t="s">
        <v>304</v>
      </c>
      <c r="E142">
        <v>0</v>
      </c>
      <c r="F142">
        <v>2729</v>
      </c>
      <c r="G142">
        <v>0</v>
      </c>
      <c r="H142">
        <v>0</v>
      </c>
      <c r="I142">
        <v>0</v>
      </c>
      <c r="J142">
        <v>0</v>
      </c>
      <c r="K142" s="1">
        <v>45748</v>
      </c>
      <c r="L142" t="s">
        <v>17</v>
      </c>
      <c r="M142" t="s">
        <v>18</v>
      </c>
      <c r="N142" s="2">
        <f>IFERROR(NHS_A_E[[#This Row],[T1_Over4hrs]]/NHS_A_E[[#This Row],[T1_Attendances]], 0)</f>
        <v>0</v>
      </c>
      <c r="O142">
        <f>NHS_A_E[[#This Row],[T1_Attendances]]+NHS_A_E[[#This Row],[Other_Attendances]]</f>
        <v>2729</v>
      </c>
      <c r="P142">
        <f>MATCH(LEFT(A142,FIND("-",A142)-1),{"April","May","June","July","August","September","October","November","December","January","February","March"},0)</f>
        <v>1</v>
      </c>
      <c r="Q142" s="3">
        <f t="shared" si="4"/>
        <v>0</v>
      </c>
      <c r="R142" t="str">
        <f t="shared" si="5"/>
        <v>April</v>
      </c>
    </row>
    <row r="143" spans="1:18" x14ac:dyDescent="0.35">
      <c r="A143" t="s">
        <v>13</v>
      </c>
      <c r="B143" t="s">
        <v>305</v>
      </c>
      <c r="C143" t="s">
        <v>30</v>
      </c>
      <c r="D143" t="s">
        <v>306</v>
      </c>
      <c r="E143">
        <v>0</v>
      </c>
      <c r="F143">
        <v>1583</v>
      </c>
      <c r="G143">
        <v>0</v>
      </c>
      <c r="H143">
        <v>0</v>
      </c>
      <c r="I143">
        <v>0</v>
      </c>
      <c r="J143">
        <v>0</v>
      </c>
      <c r="K143" s="1">
        <v>45748</v>
      </c>
      <c r="L143" t="s">
        <v>17</v>
      </c>
      <c r="M143" t="s">
        <v>18</v>
      </c>
      <c r="N143" s="2">
        <f>IFERROR(NHS_A_E[[#This Row],[T1_Over4hrs]]/NHS_A_E[[#This Row],[T1_Attendances]], 0)</f>
        <v>0</v>
      </c>
      <c r="O143">
        <f>NHS_A_E[[#This Row],[T1_Attendances]]+NHS_A_E[[#This Row],[Other_Attendances]]</f>
        <v>1583</v>
      </c>
      <c r="P143">
        <f>MATCH(LEFT(A143,FIND("-",A143)-1),{"April","May","June","July","August","September","October","November","December","January","February","March"},0)</f>
        <v>1</v>
      </c>
      <c r="Q143" s="3">
        <f t="shared" si="4"/>
        <v>0</v>
      </c>
      <c r="R143" t="str">
        <f t="shared" si="5"/>
        <v>April</v>
      </c>
    </row>
    <row r="144" spans="1:18" x14ac:dyDescent="0.35">
      <c r="A144" t="s">
        <v>13</v>
      </c>
      <c r="B144" t="s">
        <v>307</v>
      </c>
      <c r="C144" t="s">
        <v>40</v>
      </c>
      <c r="D144" t="s">
        <v>308</v>
      </c>
      <c r="E144">
        <v>0</v>
      </c>
      <c r="F144">
        <v>3148</v>
      </c>
      <c r="G144">
        <v>0</v>
      </c>
      <c r="H144">
        <v>0</v>
      </c>
      <c r="I144">
        <v>0</v>
      </c>
      <c r="J144">
        <v>0</v>
      </c>
      <c r="K144" s="1">
        <v>45748</v>
      </c>
      <c r="L144" t="s">
        <v>17</v>
      </c>
      <c r="M144" t="s">
        <v>18</v>
      </c>
      <c r="N144" s="2">
        <f>IFERROR(NHS_A_E[[#This Row],[T1_Over4hrs]]/NHS_A_E[[#This Row],[T1_Attendances]], 0)</f>
        <v>0</v>
      </c>
      <c r="O144">
        <f>NHS_A_E[[#This Row],[T1_Attendances]]+NHS_A_E[[#This Row],[Other_Attendances]]</f>
        <v>3148</v>
      </c>
      <c r="P144">
        <f>MATCH(LEFT(A144,FIND("-",A144)-1),{"April","May","June","July","August","September","October","November","December","January","February","March"},0)</f>
        <v>1</v>
      </c>
      <c r="Q144" s="3">
        <f t="shared" si="4"/>
        <v>0</v>
      </c>
      <c r="R144" t="str">
        <f t="shared" si="5"/>
        <v>April</v>
      </c>
    </row>
    <row r="145" spans="1:18" x14ac:dyDescent="0.35">
      <c r="A145" t="s">
        <v>13</v>
      </c>
      <c r="B145" t="s">
        <v>309</v>
      </c>
      <c r="C145" t="s">
        <v>30</v>
      </c>
      <c r="D145" t="s">
        <v>310</v>
      </c>
      <c r="E145">
        <v>0</v>
      </c>
      <c r="F145">
        <v>1730</v>
      </c>
      <c r="G145">
        <v>0</v>
      </c>
      <c r="H145">
        <v>6</v>
      </c>
      <c r="I145">
        <v>0</v>
      </c>
      <c r="J145">
        <v>0</v>
      </c>
      <c r="K145" s="1">
        <v>45748</v>
      </c>
      <c r="L145" t="s">
        <v>17</v>
      </c>
      <c r="M145" t="s">
        <v>18</v>
      </c>
      <c r="N145" s="2">
        <f>IFERROR(NHS_A_E[[#This Row],[T1_Over4hrs]]/NHS_A_E[[#This Row],[T1_Attendances]], 0)</f>
        <v>0</v>
      </c>
      <c r="O145">
        <f>NHS_A_E[[#This Row],[T1_Attendances]]+NHS_A_E[[#This Row],[Other_Attendances]]</f>
        <v>1730</v>
      </c>
      <c r="P145">
        <f>MATCH(LEFT(A145,FIND("-",A145)-1),{"April","May","June","July","August","September","October","November","December","January","February","March"},0)</f>
        <v>1</v>
      </c>
      <c r="Q145" s="3">
        <f t="shared" si="4"/>
        <v>0</v>
      </c>
      <c r="R145" t="str">
        <f t="shared" si="5"/>
        <v>April</v>
      </c>
    </row>
    <row r="146" spans="1:18" x14ac:dyDescent="0.35">
      <c r="A146" t="s">
        <v>13</v>
      </c>
      <c r="B146" t="s">
        <v>311</v>
      </c>
      <c r="C146" t="s">
        <v>20</v>
      </c>
      <c r="D146" t="s">
        <v>312</v>
      </c>
      <c r="E146">
        <v>0</v>
      </c>
      <c r="F146">
        <v>913</v>
      </c>
      <c r="G146">
        <v>0</v>
      </c>
      <c r="H146">
        <v>5</v>
      </c>
      <c r="I146">
        <v>0</v>
      </c>
      <c r="J146">
        <v>0</v>
      </c>
      <c r="K146" s="1">
        <v>45748</v>
      </c>
      <c r="L146" t="s">
        <v>17</v>
      </c>
      <c r="M146" t="s">
        <v>18</v>
      </c>
      <c r="N146" s="2">
        <f>IFERROR(NHS_A_E[[#This Row],[T1_Over4hrs]]/NHS_A_E[[#This Row],[T1_Attendances]], 0)</f>
        <v>0</v>
      </c>
      <c r="O146">
        <f>NHS_A_E[[#This Row],[T1_Attendances]]+NHS_A_E[[#This Row],[Other_Attendances]]</f>
        <v>913</v>
      </c>
      <c r="P146">
        <f>MATCH(LEFT(A146,FIND("-",A146)-1),{"April","May","June","July","August","September","October","November","December","January","February","March"},0)</f>
        <v>1</v>
      </c>
      <c r="Q146" s="3">
        <f t="shared" si="4"/>
        <v>0</v>
      </c>
      <c r="R146" t="str">
        <f t="shared" si="5"/>
        <v>April</v>
      </c>
    </row>
    <row r="147" spans="1:18" x14ac:dyDescent="0.35">
      <c r="A147" t="s">
        <v>13</v>
      </c>
      <c r="B147" t="s">
        <v>313</v>
      </c>
      <c r="C147" t="s">
        <v>20</v>
      </c>
      <c r="D147" t="s">
        <v>314</v>
      </c>
      <c r="E147">
        <v>0</v>
      </c>
      <c r="F147">
        <v>0</v>
      </c>
      <c r="G147">
        <v>0</v>
      </c>
      <c r="H147">
        <v>0</v>
      </c>
      <c r="I147">
        <v>0</v>
      </c>
      <c r="J147">
        <v>0</v>
      </c>
      <c r="K147" s="1">
        <v>45748</v>
      </c>
      <c r="L147" t="s">
        <v>17</v>
      </c>
      <c r="M147" t="s">
        <v>18</v>
      </c>
      <c r="N147" s="2">
        <f>IFERROR(NHS_A_E[[#This Row],[T1_Over4hrs]]/NHS_A_E[[#This Row],[T1_Attendances]], 0)</f>
        <v>0</v>
      </c>
      <c r="O147">
        <f>NHS_A_E[[#This Row],[T1_Attendances]]+NHS_A_E[[#This Row],[Other_Attendances]]</f>
        <v>0</v>
      </c>
      <c r="P147">
        <f>MATCH(LEFT(A147,FIND("-",A147)-1),{"April","May","June","July","August","September","October","November","December","January","February","March"},0)</f>
        <v>1</v>
      </c>
      <c r="Q147" s="3">
        <f t="shared" si="4"/>
        <v>0</v>
      </c>
      <c r="R147" t="str">
        <f t="shared" si="5"/>
        <v>April</v>
      </c>
    </row>
    <row r="148" spans="1:18" x14ac:dyDescent="0.35">
      <c r="A148" t="s">
        <v>13</v>
      </c>
      <c r="B148" t="s">
        <v>315</v>
      </c>
      <c r="C148" t="s">
        <v>23</v>
      </c>
      <c r="D148" t="s">
        <v>316</v>
      </c>
      <c r="E148">
        <v>7431</v>
      </c>
      <c r="F148">
        <v>1387</v>
      </c>
      <c r="G148">
        <v>3244</v>
      </c>
      <c r="H148">
        <v>0</v>
      </c>
      <c r="I148">
        <v>615</v>
      </c>
      <c r="J148">
        <v>344</v>
      </c>
      <c r="K148" s="1">
        <v>45748</v>
      </c>
      <c r="L148" t="s">
        <v>17</v>
      </c>
      <c r="M148" t="s">
        <v>18</v>
      </c>
      <c r="N148" s="2">
        <f>IFERROR(NHS_A_E[[#This Row],[T1_Over4hrs]]/NHS_A_E[[#This Row],[T1_Attendances]], 0)</f>
        <v>0.43654958955726014</v>
      </c>
      <c r="O148">
        <f>NHS_A_E[[#This Row],[T1_Attendances]]+NHS_A_E[[#This Row],[Other_Attendances]]</f>
        <v>8818</v>
      </c>
      <c r="P148">
        <f>MATCH(LEFT(A148,FIND("-",A148)-1),{"April","May","June","July","August","September","October","November","December","January","February","March"},0)</f>
        <v>1</v>
      </c>
      <c r="Q148" s="3">
        <f t="shared" si="4"/>
        <v>4.629255820212623E-2</v>
      </c>
      <c r="R148" t="str">
        <f t="shared" si="5"/>
        <v>April</v>
      </c>
    </row>
    <row r="149" spans="1:18" x14ac:dyDescent="0.35">
      <c r="A149" t="s">
        <v>13</v>
      </c>
      <c r="B149" t="s">
        <v>317</v>
      </c>
      <c r="C149" t="s">
        <v>63</v>
      </c>
      <c r="D149" t="s">
        <v>318</v>
      </c>
      <c r="E149">
        <v>7386</v>
      </c>
      <c r="F149">
        <v>9340</v>
      </c>
      <c r="G149">
        <v>3650</v>
      </c>
      <c r="H149">
        <v>556</v>
      </c>
      <c r="I149">
        <v>318</v>
      </c>
      <c r="J149">
        <v>13</v>
      </c>
      <c r="K149" s="1">
        <v>45748</v>
      </c>
      <c r="L149" t="s">
        <v>17</v>
      </c>
      <c r="M149" t="s">
        <v>18</v>
      </c>
      <c r="N149" s="2">
        <f>IFERROR(NHS_A_E[[#This Row],[T1_Over4hrs]]/NHS_A_E[[#This Row],[T1_Attendances]], 0)</f>
        <v>0.49417817492553479</v>
      </c>
      <c r="O149">
        <f>NHS_A_E[[#This Row],[T1_Attendances]]+NHS_A_E[[#This Row],[Other_Attendances]]</f>
        <v>16726</v>
      </c>
      <c r="P149">
        <f>MATCH(LEFT(A149,FIND("-",A149)-1),{"April","May","June","July","August","September","October","November","December","January","February","March"},0)</f>
        <v>1</v>
      </c>
      <c r="Q149" s="3">
        <f t="shared" si="4"/>
        <v>1.760086650419713E-3</v>
      </c>
      <c r="R149" t="str">
        <f t="shared" si="5"/>
        <v>April</v>
      </c>
    </row>
    <row r="150" spans="1:18" x14ac:dyDescent="0.35">
      <c r="A150" t="s">
        <v>13</v>
      </c>
      <c r="B150" t="s">
        <v>319</v>
      </c>
      <c r="C150" t="s">
        <v>63</v>
      </c>
      <c r="D150" t="s">
        <v>320</v>
      </c>
      <c r="E150">
        <v>0</v>
      </c>
      <c r="F150">
        <v>1134</v>
      </c>
      <c r="G150">
        <v>0</v>
      </c>
      <c r="H150">
        <v>0</v>
      </c>
      <c r="I150">
        <v>0</v>
      </c>
      <c r="J150">
        <v>0</v>
      </c>
      <c r="K150" s="1">
        <v>45748</v>
      </c>
      <c r="L150" t="s">
        <v>17</v>
      </c>
      <c r="M150" t="s">
        <v>18</v>
      </c>
      <c r="N150" s="2">
        <f>IFERROR(NHS_A_E[[#This Row],[T1_Over4hrs]]/NHS_A_E[[#This Row],[T1_Attendances]], 0)</f>
        <v>0</v>
      </c>
      <c r="O150">
        <f>NHS_A_E[[#This Row],[T1_Attendances]]+NHS_A_E[[#This Row],[Other_Attendances]]</f>
        <v>1134</v>
      </c>
      <c r="P150">
        <f>MATCH(LEFT(A150,FIND("-",A150)-1),{"April","May","June","July","August","September","October","November","December","January","February","March"},0)</f>
        <v>1</v>
      </c>
      <c r="Q150" s="3">
        <f t="shared" si="4"/>
        <v>0</v>
      </c>
      <c r="R150" t="str">
        <f t="shared" si="5"/>
        <v>April</v>
      </c>
    </row>
    <row r="151" spans="1:18" x14ac:dyDescent="0.35">
      <c r="A151" t="s">
        <v>13</v>
      </c>
      <c r="B151" t="s">
        <v>321</v>
      </c>
      <c r="C151" t="s">
        <v>20</v>
      </c>
      <c r="D151" t="s">
        <v>322</v>
      </c>
      <c r="E151">
        <v>0</v>
      </c>
      <c r="F151">
        <v>536</v>
      </c>
      <c r="G151">
        <v>0</v>
      </c>
      <c r="H151">
        <v>0</v>
      </c>
      <c r="I151">
        <v>0</v>
      </c>
      <c r="J151">
        <v>0</v>
      </c>
      <c r="K151" s="1">
        <v>45748</v>
      </c>
      <c r="L151" t="s">
        <v>17</v>
      </c>
      <c r="M151" t="s">
        <v>18</v>
      </c>
      <c r="N151" s="2">
        <f>IFERROR(NHS_A_E[[#This Row],[T1_Over4hrs]]/NHS_A_E[[#This Row],[T1_Attendances]], 0)</f>
        <v>0</v>
      </c>
      <c r="O151">
        <f>NHS_A_E[[#This Row],[T1_Attendances]]+NHS_A_E[[#This Row],[Other_Attendances]]</f>
        <v>536</v>
      </c>
      <c r="P151">
        <f>MATCH(LEFT(A151,FIND("-",A151)-1),{"April","May","June","July","August","September","October","November","December","January","February","March"},0)</f>
        <v>1</v>
      </c>
      <c r="Q151" s="3">
        <f t="shared" si="4"/>
        <v>0</v>
      </c>
      <c r="R151" t="str">
        <f t="shared" si="5"/>
        <v>April</v>
      </c>
    </row>
    <row r="152" spans="1:18" x14ac:dyDescent="0.35">
      <c r="A152" t="s">
        <v>13</v>
      </c>
      <c r="B152" t="s">
        <v>323</v>
      </c>
      <c r="C152" t="s">
        <v>23</v>
      </c>
      <c r="D152" t="s">
        <v>324</v>
      </c>
      <c r="E152">
        <v>7467</v>
      </c>
      <c r="F152">
        <v>1919</v>
      </c>
      <c r="G152">
        <v>3194</v>
      </c>
      <c r="H152">
        <v>0</v>
      </c>
      <c r="I152">
        <v>379</v>
      </c>
      <c r="J152">
        <v>87</v>
      </c>
      <c r="K152" s="1">
        <v>45748</v>
      </c>
      <c r="L152" t="s">
        <v>17</v>
      </c>
      <c r="M152" t="s">
        <v>18</v>
      </c>
      <c r="N152" s="2">
        <f>IFERROR(NHS_A_E[[#This Row],[T1_Over4hrs]]/NHS_A_E[[#This Row],[T1_Attendances]], 0)</f>
        <v>0.42774876121601713</v>
      </c>
      <c r="O152">
        <f>NHS_A_E[[#This Row],[T1_Attendances]]+NHS_A_E[[#This Row],[Other_Attendances]]</f>
        <v>9386</v>
      </c>
      <c r="P152">
        <f>MATCH(LEFT(A152,FIND("-",A152)-1),{"April","May","June","July","August","September","October","November","December","January","February","March"},0)</f>
        <v>1</v>
      </c>
      <c r="Q152" s="3">
        <f t="shared" si="4"/>
        <v>1.1651265568501407E-2</v>
      </c>
      <c r="R152" t="str">
        <f t="shared" si="5"/>
        <v>April</v>
      </c>
    </row>
    <row r="153" spans="1:18" x14ac:dyDescent="0.35">
      <c r="A153" t="s">
        <v>13</v>
      </c>
      <c r="B153" t="s">
        <v>325</v>
      </c>
      <c r="C153" t="s">
        <v>40</v>
      </c>
      <c r="D153" t="s">
        <v>326</v>
      </c>
      <c r="E153">
        <v>0</v>
      </c>
      <c r="F153">
        <v>8540</v>
      </c>
      <c r="G153">
        <v>0</v>
      </c>
      <c r="H153">
        <v>187</v>
      </c>
      <c r="I153">
        <v>0</v>
      </c>
      <c r="J153">
        <v>0</v>
      </c>
      <c r="K153" s="1">
        <v>45748</v>
      </c>
      <c r="L153" t="s">
        <v>17</v>
      </c>
      <c r="M153" t="s">
        <v>18</v>
      </c>
      <c r="N153" s="2">
        <f>IFERROR(NHS_A_E[[#This Row],[T1_Over4hrs]]/NHS_A_E[[#This Row],[T1_Attendances]], 0)</f>
        <v>0</v>
      </c>
      <c r="O153">
        <f>NHS_A_E[[#This Row],[T1_Attendances]]+NHS_A_E[[#This Row],[Other_Attendances]]</f>
        <v>8540</v>
      </c>
      <c r="P153">
        <f>MATCH(LEFT(A153,FIND("-",A153)-1),{"April","May","June","July","August","September","October","November","December","January","February","March"},0)</f>
        <v>1</v>
      </c>
      <c r="Q153" s="3">
        <f t="shared" si="4"/>
        <v>0</v>
      </c>
      <c r="R153" t="str">
        <f t="shared" si="5"/>
        <v>April</v>
      </c>
    </row>
    <row r="154" spans="1:18" x14ac:dyDescent="0.35">
      <c r="A154" t="s">
        <v>13</v>
      </c>
      <c r="B154" t="s">
        <v>327</v>
      </c>
      <c r="C154" t="s">
        <v>40</v>
      </c>
      <c r="D154" t="s">
        <v>328</v>
      </c>
      <c r="E154">
        <v>0</v>
      </c>
      <c r="F154">
        <v>8013</v>
      </c>
      <c r="G154">
        <v>0</v>
      </c>
      <c r="H154">
        <v>168</v>
      </c>
      <c r="I154">
        <v>0</v>
      </c>
      <c r="J154">
        <v>0</v>
      </c>
      <c r="K154" s="1">
        <v>45748</v>
      </c>
      <c r="L154" t="s">
        <v>17</v>
      </c>
      <c r="M154" t="s">
        <v>18</v>
      </c>
      <c r="N154" s="2">
        <f>IFERROR(NHS_A_E[[#This Row],[T1_Over4hrs]]/NHS_A_E[[#This Row],[T1_Attendances]], 0)</f>
        <v>0</v>
      </c>
      <c r="O154">
        <f>NHS_A_E[[#This Row],[T1_Attendances]]+NHS_A_E[[#This Row],[Other_Attendances]]</f>
        <v>8013</v>
      </c>
      <c r="P154">
        <f>MATCH(LEFT(A154,FIND("-",A154)-1),{"April","May","June","July","August","September","October","November","December","January","February","March"},0)</f>
        <v>1</v>
      </c>
      <c r="Q154" s="3">
        <f t="shared" si="4"/>
        <v>0</v>
      </c>
      <c r="R154" t="str">
        <f t="shared" si="5"/>
        <v>April</v>
      </c>
    </row>
    <row r="155" spans="1:18" x14ac:dyDescent="0.35">
      <c r="A155" t="s">
        <v>13</v>
      </c>
      <c r="B155" t="s">
        <v>329</v>
      </c>
      <c r="C155" t="s">
        <v>40</v>
      </c>
      <c r="D155" t="s">
        <v>330</v>
      </c>
      <c r="E155">
        <v>0</v>
      </c>
      <c r="F155">
        <v>3399</v>
      </c>
      <c r="G155">
        <v>0</v>
      </c>
      <c r="H155">
        <v>777</v>
      </c>
      <c r="I155">
        <v>0</v>
      </c>
      <c r="J155">
        <v>0</v>
      </c>
      <c r="K155" s="1">
        <v>45748</v>
      </c>
      <c r="L155" t="s">
        <v>17</v>
      </c>
      <c r="M155" t="s">
        <v>18</v>
      </c>
      <c r="N155" s="2">
        <f>IFERROR(NHS_A_E[[#This Row],[T1_Over4hrs]]/NHS_A_E[[#This Row],[T1_Attendances]], 0)</f>
        <v>0</v>
      </c>
      <c r="O155">
        <f>NHS_A_E[[#This Row],[T1_Attendances]]+NHS_A_E[[#This Row],[Other_Attendances]]</f>
        <v>3399</v>
      </c>
      <c r="P155">
        <f>MATCH(LEFT(A155,FIND("-",A155)-1),{"April","May","June","July","August","September","October","November","December","January","February","March"},0)</f>
        <v>1</v>
      </c>
      <c r="Q155" s="3">
        <f t="shared" si="4"/>
        <v>0</v>
      </c>
      <c r="R155" t="str">
        <f t="shared" si="5"/>
        <v>April</v>
      </c>
    </row>
    <row r="156" spans="1:18" x14ac:dyDescent="0.35">
      <c r="A156" t="s">
        <v>13</v>
      </c>
      <c r="B156" t="s">
        <v>331</v>
      </c>
      <c r="C156" t="s">
        <v>15</v>
      </c>
      <c r="D156" t="s">
        <v>332</v>
      </c>
      <c r="E156">
        <v>0</v>
      </c>
      <c r="F156">
        <v>5503</v>
      </c>
      <c r="G156">
        <v>0</v>
      </c>
      <c r="H156">
        <v>54</v>
      </c>
      <c r="I156">
        <v>0</v>
      </c>
      <c r="J156">
        <v>0</v>
      </c>
      <c r="K156" s="1">
        <v>45748</v>
      </c>
      <c r="L156" t="s">
        <v>17</v>
      </c>
      <c r="M156" t="s">
        <v>18</v>
      </c>
      <c r="N156" s="2">
        <f>IFERROR(NHS_A_E[[#This Row],[T1_Over4hrs]]/NHS_A_E[[#This Row],[T1_Attendances]], 0)</f>
        <v>0</v>
      </c>
      <c r="O156">
        <f>NHS_A_E[[#This Row],[T1_Attendances]]+NHS_A_E[[#This Row],[Other_Attendances]]</f>
        <v>5503</v>
      </c>
      <c r="P156">
        <f>MATCH(LEFT(A156,FIND("-",A156)-1),{"April","May","June","July","August","September","October","November","December","January","February","March"},0)</f>
        <v>1</v>
      </c>
      <c r="Q156" s="3">
        <f t="shared" si="4"/>
        <v>0</v>
      </c>
      <c r="R156" t="str">
        <f t="shared" si="5"/>
        <v>April</v>
      </c>
    </row>
    <row r="157" spans="1:18" x14ac:dyDescent="0.35">
      <c r="A157" t="s">
        <v>13</v>
      </c>
      <c r="B157" t="s">
        <v>333</v>
      </c>
      <c r="C157" t="s">
        <v>30</v>
      </c>
      <c r="D157" t="s">
        <v>334</v>
      </c>
      <c r="E157">
        <v>24296</v>
      </c>
      <c r="F157">
        <v>11474</v>
      </c>
      <c r="G157">
        <v>10628</v>
      </c>
      <c r="H157">
        <v>633</v>
      </c>
      <c r="I157">
        <v>3597</v>
      </c>
      <c r="J157">
        <v>101</v>
      </c>
      <c r="K157" s="1">
        <v>45748</v>
      </c>
      <c r="L157" t="s">
        <v>17</v>
      </c>
      <c r="M157" t="s">
        <v>18</v>
      </c>
      <c r="N157" s="2">
        <f>IFERROR(NHS_A_E[[#This Row],[T1_Over4hrs]]/NHS_A_E[[#This Row],[T1_Attendances]], 0)</f>
        <v>0.43743826144221271</v>
      </c>
      <c r="O157">
        <f>NHS_A_E[[#This Row],[T1_Attendances]]+NHS_A_E[[#This Row],[Other_Attendances]]</f>
        <v>35770</v>
      </c>
      <c r="P157">
        <f>MATCH(LEFT(A157,FIND("-",A157)-1),{"April","May","June","July","August","September","October","November","December","January","February","March"},0)</f>
        <v>1</v>
      </c>
      <c r="Q157" s="3">
        <f t="shared" si="4"/>
        <v>4.1570628910108662E-3</v>
      </c>
      <c r="R157" t="str">
        <f t="shared" si="5"/>
        <v>April</v>
      </c>
    </row>
    <row r="158" spans="1:18" x14ac:dyDescent="0.35">
      <c r="A158" t="s">
        <v>13</v>
      </c>
      <c r="B158" t="s">
        <v>335</v>
      </c>
      <c r="C158" t="s">
        <v>63</v>
      </c>
      <c r="D158" t="s">
        <v>336</v>
      </c>
      <c r="E158">
        <v>11042</v>
      </c>
      <c r="F158">
        <v>6082</v>
      </c>
      <c r="G158">
        <v>5342</v>
      </c>
      <c r="H158">
        <v>161</v>
      </c>
      <c r="I158">
        <v>814</v>
      </c>
      <c r="J158">
        <v>15</v>
      </c>
      <c r="K158" s="1">
        <v>45748</v>
      </c>
      <c r="L158" t="s">
        <v>17</v>
      </c>
      <c r="M158" t="s">
        <v>18</v>
      </c>
      <c r="N158" s="2">
        <f>IFERROR(NHS_A_E[[#This Row],[T1_Over4hrs]]/NHS_A_E[[#This Row],[T1_Attendances]], 0)</f>
        <v>0.48378916862887156</v>
      </c>
      <c r="O158">
        <f>NHS_A_E[[#This Row],[T1_Attendances]]+NHS_A_E[[#This Row],[Other_Attendances]]</f>
        <v>17124</v>
      </c>
      <c r="P158">
        <f>MATCH(LEFT(A158,FIND("-",A158)-1),{"April","May","June","July","August","September","October","November","December","January","February","March"},0)</f>
        <v>1</v>
      </c>
      <c r="Q158" s="3">
        <f t="shared" si="4"/>
        <v>1.3584495562398117E-3</v>
      </c>
      <c r="R158" t="str">
        <f t="shared" si="5"/>
        <v>April</v>
      </c>
    </row>
    <row r="159" spans="1:18" x14ac:dyDescent="0.35">
      <c r="A159" t="s">
        <v>13</v>
      </c>
      <c r="B159" t="s">
        <v>337</v>
      </c>
      <c r="C159" t="s">
        <v>20</v>
      </c>
      <c r="D159" t="s">
        <v>338</v>
      </c>
      <c r="E159">
        <v>13652</v>
      </c>
      <c r="F159">
        <v>5432</v>
      </c>
      <c r="G159">
        <v>5603</v>
      </c>
      <c r="H159">
        <v>0</v>
      </c>
      <c r="I159">
        <v>902</v>
      </c>
      <c r="J159">
        <v>185</v>
      </c>
      <c r="K159" s="1">
        <v>45748</v>
      </c>
      <c r="L159" t="s">
        <v>17</v>
      </c>
      <c r="M159" t="s">
        <v>18</v>
      </c>
      <c r="N159" s="2">
        <f>IFERROR(NHS_A_E[[#This Row],[T1_Over4hrs]]/NHS_A_E[[#This Row],[T1_Attendances]], 0)</f>
        <v>0.41041605625549371</v>
      </c>
      <c r="O159">
        <f>NHS_A_E[[#This Row],[T1_Attendances]]+NHS_A_E[[#This Row],[Other_Attendances]]</f>
        <v>19084</v>
      </c>
      <c r="P159">
        <f>MATCH(LEFT(A159,FIND("-",A159)-1),{"April","May","June","July","August","September","October","November","December","January","February","March"},0)</f>
        <v>1</v>
      </c>
      <c r="Q159" s="3">
        <f t="shared" si="4"/>
        <v>1.3551128039847642E-2</v>
      </c>
      <c r="R159" t="str">
        <f t="shared" si="5"/>
        <v>April</v>
      </c>
    </row>
    <row r="160" spans="1:18" x14ac:dyDescent="0.35">
      <c r="A160" t="s">
        <v>13</v>
      </c>
      <c r="B160" t="s">
        <v>339</v>
      </c>
      <c r="C160" t="s">
        <v>20</v>
      </c>
      <c r="D160" t="s">
        <v>340</v>
      </c>
      <c r="E160">
        <v>14960</v>
      </c>
      <c r="F160">
        <v>0</v>
      </c>
      <c r="G160">
        <v>5377</v>
      </c>
      <c r="H160">
        <v>0</v>
      </c>
      <c r="I160">
        <v>1107</v>
      </c>
      <c r="J160">
        <v>486</v>
      </c>
      <c r="K160" s="1">
        <v>45748</v>
      </c>
      <c r="L160" t="s">
        <v>17</v>
      </c>
      <c r="M160" t="s">
        <v>18</v>
      </c>
      <c r="N160" s="2">
        <f>IFERROR(NHS_A_E[[#This Row],[T1_Over4hrs]]/NHS_A_E[[#This Row],[T1_Attendances]], 0)</f>
        <v>0.35942513368983958</v>
      </c>
      <c r="O160">
        <f>NHS_A_E[[#This Row],[T1_Attendances]]+NHS_A_E[[#This Row],[Other_Attendances]]</f>
        <v>14960</v>
      </c>
      <c r="P160">
        <f>MATCH(LEFT(A160,FIND("-",A160)-1),{"April","May","June","July","August","September","October","November","December","January","February","March"},0)</f>
        <v>1</v>
      </c>
      <c r="Q160" s="3">
        <f t="shared" si="4"/>
        <v>3.248663101604278E-2</v>
      </c>
      <c r="R160" t="str">
        <f t="shared" si="5"/>
        <v>April</v>
      </c>
    </row>
    <row r="161" spans="1:18" x14ac:dyDescent="0.35">
      <c r="A161" t="s">
        <v>13</v>
      </c>
      <c r="B161" t="s">
        <v>341</v>
      </c>
      <c r="C161" t="s">
        <v>40</v>
      </c>
      <c r="D161" t="s">
        <v>342</v>
      </c>
      <c r="E161">
        <v>9005</v>
      </c>
      <c r="F161">
        <v>4288</v>
      </c>
      <c r="G161">
        <v>3149</v>
      </c>
      <c r="H161">
        <v>101</v>
      </c>
      <c r="I161">
        <v>987</v>
      </c>
      <c r="J161">
        <v>238</v>
      </c>
      <c r="K161" s="1">
        <v>45748</v>
      </c>
      <c r="L161" t="s">
        <v>17</v>
      </c>
      <c r="M161" t="s">
        <v>18</v>
      </c>
      <c r="N161" s="2">
        <f>IFERROR(NHS_A_E[[#This Row],[T1_Over4hrs]]/NHS_A_E[[#This Row],[T1_Attendances]], 0)</f>
        <v>0.34969461410327596</v>
      </c>
      <c r="O161">
        <f>NHS_A_E[[#This Row],[T1_Attendances]]+NHS_A_E[[#This Row],[Other_Attendances]]</f>
        <v>13293</v>
      </c>
      <c r="P161">
        <f>MATCH(LEFT(A161,FIND("-",A161)-1),{"April","May","June","July","August","September","October","November","December","January","February","March"},0)</f>
        <v>1</v>
      </c>
      <c r="Q161" s="3">
        <f t="shared" si="4"/>
        <v>2.6429761243753472E-2</v>
      </c>
      <c r="R161" t="str">
        <f t="shared" si="5"/>
        <v>April</v>
      </c>
    </row>
    <row r="162" spans="1:18" x14ac:dyDescent="0.35">
      <c r="A162" t="s">
        <v>13</v>
      </c>
      <c r="B162" t="s">
        <v>343</v>
      </c>
      <c r="C162" t="s">
        <v>30</v>
      </c>
      <c r="D162" t="s">
        <v>344</v>
      </c>
      <c r="E162">
        <v>5674</v>
      </c>
      <c r="F162">
        <v>0</v>
      </c>
      <c r="G162">
        <v>804</v>
      </c>
      <c r="H162">
        <v>0</v>
      </c>
      <c r="I162">
        <v>1</v>
      </c>
      <c r="J162">
        <v>0</v>
      </c>
      <c r="K162" s="1">
        <v>45748</v>
      </c>
      <c r="L162" t="s">
        <v>17</v>
      </c>
      <c r="M162" t="s">
        <v>18</v>
      </c>
      <c r="N162" s="2">
        <f>IFERROR(NHS_A_E[[#This Row],[T1_Over4hrs]]/NHS_A_E[[#This Row],[T1_Attendances]], 0)</f>
        <v>0.14169897779344379</v>
      </c>
      <c r="O162">
        <f>NHS_A_E[[#This Row],[T1_Attendances]]+NHS_A_E[[#This Row],[Other_Attendances]]</f>
        <v>5674</v>
      </c>
      <c r="P162">
        <f>MATCH(LEFT(A162,FIND("-",A162)-1),{"April","May","June","July","August","September","October","November","December","January","February","March"},0)</f>
        <v>1</v>
      </c>
      <c r="Q162" s="3">
        <f t="shared" si="4"/>
        <v>0</v>
      </c>
      <c r="R162" t="str">
        <f t="shared" si="5"/>
        <v>April</v>
      </c>
    </row>
    <row r="163" spans="1:18" x14ac:dyDescent="0.35">
      <c r="A163" t="s">
        <v>13</v>
      </c>
      <c r="B163" t="s">
        <v>345</v>
      </c>
      <c r="C163" t="s">
        <v>23</v>
      </c>
      <c r="D163" t="s">
        <v>346</v>
      </c>
      <c r="E163">
        <v>16149</v>
      </c>
      <c r="F163">
        <v>7907</v>
      </c>
      <c r="G163">
        <v>6626</v>
      </c>
      <c r="H163">
        <v>0</v>
      </c>
      <c r="I163">
        <v>80</v>
      </c>
      <c r="J163">
        <v>4</v>
      </c>
      <c r="K163" s="1">
        <v>45748</v>
      </c>
      <c r="L163" t="s">
        <v>17</v>
      </c>
      <c r="M163" t="s">
        <v>18</v>
      </c>
      <c r="N163" s="2">
        <f>IFERROR(NHS_A_E[[#This Row],[T1_Over4hrs]]/NHS_A_E[[#This Row],[T1_Attendances]], 0)</f>
        <v>0.41030404359403061</v>
      </c>
      <c r="O163">
        <f>NHS_A_E[[#This Row],[T1_Attendances]]+NHS_A_E[[#This Row],[Other_Attendances]]</f>
        <v>24056</v>
      </c>
      <c r="P163">
        <f>MATCH(LEFT(A163,FIND("-",A163)-1),{"April","May","June","July","August","September","October","November","December","January","February","March"},0)</f>
        <v>1</v>
      </c>
      <c r="Q163" s="3">
        <f t="shared" si="4"/>
        <v>2.4769335562573535E-4</v>
      </c>
      <c r="R163" t="str">
        <f t="shared" si="5"/>
        <v>April</v>
      </c>
    </row>
    <row r="164" spans="1:18" x14ac:dyDescent="0.35">
      <c r="A164" t="s">
        <v>13</v>
      </c>
      <c r="B164" t="s">
        <v>347</v>
      </c>
      <c r="C164" t="s">
        <v>63</v>
      </c>
      <c r="D164" t="s">
        <v>348</v>
      </c>
      <c r="E164">
        <v>5994</v>
      </c>
      <c r="F164">
        <v>0</v>
      </c>
      <c r="G164">
        <v>2246</v>
      </c>
      <c r="H164">
        <v>0</v>
      </c>
      <c r="I164">
        <v>381</v>
      </c>
      <c r="J164">
        <v>116</v>
      </c>
      <c r="K164" s="1">
        <v>45748</v>
      </c>
      <c r="L164" t="s">
        <v>17</v>
      </c>
      <c r="M164" t="s">
        <v>18</v>
      </c>
      <c r="N164" s="2">
        <f>IFERROR(NHS_A_E[[#This Row],[T1_Over4hrs]]/NHS_A_E[[#This Row],[T1_Attendances]], 0)</f>
        <v>0.37470804137470803</v>
      </c>
      <c r="O164">
        <f>NHS_A_E[[#This Row],[T1_Attendances]]+NHS_A_E[[#This Row],[Other_Attendances]]</f>
        <v>5994</v>
      </c>
      <c r="P164">
        <f>MATCH(LEFT(A164,FIND("-",A164)-1),{"April","May","June","July","August","September","October","November","December","January","February","March"},0)</f>
        <v>1</v>
      </c>
      <c r="Q164" s="3">
        <f t="shared" si="4"/>
        <v>1.9352686019352687E-2</v>
      </c>
      <c r="R164" t="str">
        <f t="shared" si="5"/>
        <v>April</v>
      </c>
    </row>
    <row r="165" spans="1:18" x14ac:dyDescent="0.35">
      <c r="A165" t="s">
        <v>13</v>
      </c>
      <c r="B165" t="s">
        <v>349</v>
      </c>
      <c r="C165" t="s">
        <v>20</v>
      </c>
      <c r="D165" t="s">
        <v>350</v>
      </c>
      <c r="E165">
        <v>12301</v>
      </c>
      <c r="F165">
        <v>4080</v>
      </c>
      <c r="G165">
        <v>4983</v>
      </c>
      <c r="H165">
        <v>6</v>
      </c>
      <c r="I165">
        <v>932</v>
      </c>
      <c r="J165">
        <v>214</v>
      </c>
      <c r="K165" s="1">
        <v>45748</v>
      </c>
      <c r="L165" t="s">
        <v>17</v>
      </c>
      <c r="M165" t="s">
        <v>18</v>
      </c>
      <c r="N165" s="2">
        <f>IFERROR(NHS_A_E[[#This Row],[T1_Over4hrs]]/NHS_A_E[[#This Row],[T1_Attendances]], 0)</f>
        <v>0.40508901715307699</v>
      </c>
      <c r="O165">
        <f>NHS_A_E[[#This Row],[T1_Attendances]]+NHS_A_E[[#This Row],[Other_Attendances]]</f>
        <v>16381</v>
      </c>
      <c r="P165">
        <f>MATCH(LEFT(A165,FIND("-",A165)-1),{"April","May","June","July","August","September","October","November","December","January","February","March"},0)</f>
        <v>1</v>
      </c>
      <c r="Q165" s="3">
        <f t="shared" si="4"/>
        <v>1.739695959678075E-2</v>
      </c>
      <c r="R165" t="str">
        <f t="shared" si="5"/>
        <v>April</v>
      </c>
    </row>
    <row r="166" spans="1:18" x14ac:dyDescent="0.35">
      <c r="A166" t="s">
        <v>13</v>
      </c>
      <c r="B166" t="s">
        <v>351</v>
      </c>
      <c r="C166" t="s">
        <v>63</v>
      </c>
      <c r="D166" t="s">
        <v>352</v>
      </c>
      <c r="E166">
        <v>9087</v>
      </c>
      <c r="F166">
        <v>7047</v>
      </c>
      <c r="G166">
        <v>4947</v>
      </c>
      <c r="H166">
        <v>82</v>
      </c>
      <c r="I166">
        <v>654</v>
      </c>
      <c r="J166">
        <v>800</v>
      </c>
      <c r="K166" s="1">
        <v>45748</v>
      </c>
      <c r="L166" t="s">
        <v>17</v>
      </c>
      <c r="M166" t="s">
        <v>18</v>
      </c>
      <c r="N166" s="2">
        <f>IFERROR(NHS_A_E[[#This Row],[T1_Over4hrs]]/NHS_A_E[[#This Row],[T1_Attendances]], 0)</f>
        <v>0.54440409376031695</v>
      </c>
      <c r="O166">
        <f>NHS_A_E[[#This Row],[T1_Attendances]]+NHS_A_E[[#This Row],[Other_Attendances]]</f>
        <v>16134</v>
      </c>
      <c r="P166">
        <f>MATCH(LEFT(A166,FIND("-",A166)-1),{"April","May","June","July","August","September","October","November","December","January","February","March"},0)</f>
        <v>1</v>
      </c>
      <c r="Q166" s="3">
        <f t="shared" si="4"/>
        <v>8.8037856278199628E-2</v>
      </c>
      <c r="R166" t="str">
        <f t="shared" si="5"/>
        <v>April</v>
      </c>
    </row>
    <row r="167" spans="1:18" x14ac:dyDescent="0.35">
      <c r="A167" t="s">
        <v>13</v>
      </c>
      <c r="B167" t="s">
        <v>353</v>
      </c>
      <c r="C167" t="s">
        <v>40</v>
      </c>
      <c r="D167" t="s">
        <v>354</v>
      </c>
      <c r="E167">
        <v>12293</v>
      </c>
      <c r="F167">
        <v>8309</v>
      </c>
      <c r="G167">
        <v>3523</v>
      </c>
      <c r="H167">
        <v>192</v>
      </c>
      <c r="I167">
        <v>989</v>
      </c>
      <c r="J167">
        <v>244</v>
      </c>
      <c r="K167" s="1">
        <v>45748</v>
      </c>
      <c r="L167" t="s">
        <v>17</v>
      </c>
      <c r="M167" t="s">
        <v>18</v>
      </c>
      <c r="N167" s="2">
        <f>IFERROR(NHS_A_E[[#This Row],[T1_Over4hrs]]/NHS_A_E[[#This Row],[T1_Attendances]], 0)</f>
        <v>0.28658586187261043</v>
      </c>
      <c r="O167">
        <f>NHS_A_E[[#This Row],[T1_Attendances]]+NHS_A_E[[#This Row],[Other_Attendances]]</f>
        <v>20602</v>
      </c>
      <c r="P167">
        <f>MATCH(LEFT(A167,FIND("-",A167)-1),{"April","May","June","July","August","September","October","November","December","January","February","March"},0)</f>
        <v>1</v>
      </c>
      <c r="Q167" s="3">
        <f t="shared" si="4"/>
        <v>1.984869437891483E-2</v>
      </c>
      <c r="R167" t="str">
        <f t="shared" si="5"/>
        <v>April</v>
      </c>
    </row>
    <row r="168" spans="1:18" x14ac:dyDescent="0.35">
      <c r="A168" t="s">
        <v>13</v>
      </c>
      <c r="B168" t="s">
        <v>355</v>
      </c>
      <c r="C168" t="s">
        <v>30</v>
      </c>
      <c r="D168" t="s">
        <v>356</v>
      </c>
      <c r="E168">
        <v>8544</v>
      </c>
      <c r="F168">
        <v>2878</v>
      </c>
      <c r="G168">
        <v>3997</v>
      </c>
      <c r="H168">
        <v>17</v>
      </c>
      <c r="I168">
        <v>574</v>
      </c>
      <c r="J168">
        <v>368</v>
      </c>
      <c r="K168" s="1">
        <v>45748</v>
      </c>
      <c r="L168" t="s">
        <v>17</v>
      </c>
      <c r="M168" t="s">
        <v>18</v>
      </c>
      <c r="N168" s="2">
        <f>IFERROR(NHS_A_E[[#This Row],[T1_Over4hrs]]/NHS_A_E[[#This Row],[T1_Attendances]], 0)</f>
        <v>0.46781367041198502</v>
      </c>
      <c r="O168">
        <f>NHS_A_E[[#This Row],[T1_Attendances]]+NHS_A_E[[#This Row],[Other_Attendances]]</f>
        <v>11422</v>
      </c>
      <c r="P168">
        <f>MATCH(LEFT(A168,FIND("-",A168)-1),{"April","May","June","July","August","September","October","November","December","January","February","March"},0)</f>
        <v>1</v>
      </c>
      <c r="Q168" s="3">
        <f t="shared" si="4"/>
        <v>4.307116104868914E-2</v>
      </c>
      <c r="R168" t="str">
        <f t="shared" si="5"/>
        <v>April</v>
      </c>
    </row>
    <row r="169" spans="1:18" x14ac:dyDescent="0.35">
      <c r="A169" t="s">
        <v>13</v>
      </c>
      <c r="B169" t="s">
        <v>357</v>
      </c>
      <c r="C169" t="s">
        <v>20</v>
      </c>
      <c r="D169" t="s">
        <v>358</v>
      </c>
      <c r="E169">
        <v>5552</v>
      </c>
      <c r="F169">
        <v>5481</v>
      </c>
      <c r="G169">
        <v>2911</v>
      </c>
      <c r="H169">
        <v>443</v>
      </c>
      <c r="I169">
        <v>540</v>
      </c>
      <c r="J169">
        <v>342</v>
      </c>
      <c r="K169" s="1">
        <v>45748</v>
      </c>
      <c r="L169" t="s">
        <v>17</v>
      </c>
      <c r="M169" t="s">
        <v>18</v>
      </c>
      <c r="N169" s="2">
        <f>IFERROR(NHS_A_E[[#This Row],[T1_Over4hrs]]/NHS_A_E[[#This Row],[T1_Attendances]], 0)</f>
        <v>0.52431556195965423</v>
      </c>
      <c r="O169">
        <f>NHS_A_E[[#This Row],[T1_Attendances]]+NHS_A_E[[#This Row],[Other_Attendances]]</f>
        <v>11033</v>
      </c>
      <c r="P169">
        <f>MATCH(LEFT(A169,FIND("-",A169)-1),{"April","May","June","July","August","September","October","November","December","January","February","March"},0)</f>
        <v>1</v>
      </c>
      <c r="Q169" s="3">
        <f t="shared" si="4"/>
        <v>6.1599423631123917E-2</v>
      </c>
      <c r="R169" t="str">
        <f t="shared" si="5"/>
        <v>April</v>
      </c>
    </row>
    <row r="170" spans="1:18" x14ac:dyDescent="0.35">
      <c r="A170" t="s">
        <v>13</v>
      </c>
      <c r="B170" t="s">
        <v>359</v>
      </c>
      <c r="C170" t="s">
        <v>40</v>
      </c>
      <c r="D170" t="s">
        <v>360</v>
      </c>
      <c r="E170">
        <v>9578</v>
      </c>
      <c r="F170">
        <v>4106</v>
      </c>
      <c r="G170">
        <v>3362</v>
      </c>
      <c r="H170">
        <v>120</v>
      </c>
      <c r="I170">
        <v>1921</v>
      </c>
      <c r="J170">
        <v>145</v>
      </c>
      <c r="K170" s="1">
        <v>45748</v>
      </c>
      <c r="L170" t="s">
        <v>17</v>
      </c>
      <c r="M170" t="s">
        <v>18</v>
      </c>
      <c r="N170" s="2">
        <f>IFERROR(NHS_A_E[[#This Row],[T1_Over4hrs]]/NHS_A_E[[#This Row],[T1_Attendances]], 0)</f>
        <v>0.35101273752349132</v>
      </c>
      <c r="O170">
        <f>NHS_A_E[[#This Row],[T1_Attendances]]+NHS_A_E[[#This Row],[Other_Attendances]]</f>
        <v>13684</v>
      </c>
      <c r="P170">
        <f>MATCH(LEFT(A170,FIND("-",A170)-1),{"April","May","June","July","August","September","October","November","December","January","February","March"},0)</f>
        <v>1</v>
      </c>
      <c r="Q170" s="3">
        <f t="shared" si="4"/>
        <v>1.5138859887241595E-2</v>
      </c>
      <c r="R170" t="str">
        <f t="shared" si="5"/>
        <v>April</v>
      </c>
    </row>
    <row r="171" spans="1:18" x14ac:dyDescent="0.35">
      <c r="A171" t="s">
        <v>13</v>
      </c>
      <c r="B171" t="s">
        <v>361</v>
      </c>
      <c r="C171" t="s">
        <v>40</v>
      </c>
      <c r="D171" t="s">
        <v>362</v>
      </c>
      <c r="E171">
        <v>9774</v>
      </c>
      <c r="F171">
        <v>8433</v>
      </c>
      <c r="G171">
        <v>3753</v>
      </c>
      <c r="H171">
        <v>125</v>
      </c>
      <c r="I171">
        <v>562</v>
      </c>
      <c r="J171">
        <v>815</v>
      </c>
      <c r="K171" s="1">
        <v>45748</v>
      </c>
      <c r="L171" t="s">
        <v>17</v>
      </c>
      <c r="M171" t="s">
        <v>18</v>
      </c>
      <c r="N171" s="2">
        <f>IFERROR(NHS_A_E[[#This Row],[T1_Over4hrs]]/NHS_A_E[[#This Row],[T1_Attendances]], 0)</f>
        <v>0.38397790055248621</v>
      </c>
      <c r="O171">
        <f>NHS_A_E[[#This Row],[T1_Attendances]]+NHS_A_E[[#This Row],[Other_Attendances]]</f>
        <v>18207</v>
      </c>
      <c r="P171">
        <f>MATCH(LEFT(A171,FIND("-",A171)-1),{"April","May","June","July","August","September","October","November","December","January","February","March"},0)</f>
        <v>1</v>
      </c>
      <c r="Q171" s="3">
        <f t="shared" si="4"/>
        <v>8.3384489461837533E-2</v>
      </c>
      <c r="R171" t="str">
        <f t="shared" si="5"/>
        <v>April</v>
      </c>
    </row>
    <row r="172" spans="1:18" x14ac:dyDescent="0.35">
      <c r="A172" t="s">
        <v>13</v>
      </c>
      <c r="B172" t="s">
        <v>363</v>
      </c>
      <c r="C172" t="s">
        <v>40</v>
      </c>
      <c r="D172" t="s">
        <v>364</v>
      </c>
      <c r="E172">
        <v>13649</v>
      </c>
      <c r="F172">
        <v>5858</v>
      </c>
      <c r="G172">
        <v>7557</v>
      </c>
      <c r="H172">
        <v>66</v>
      </c>
      <c r="I172">
        <v>793</v>
      </c>
      <c r="J172">
        <v>880</v>
      </c>
      <c r="K172" s="1">
        <v>45748</v>
      </c>
      <c r="L172" t="s">
        <v>17</v>
      </c>
      <c r="M172" t="s">
        <v>18</v>
      </c>
      <c r="N172" s="2">
        <f>IFERROR(NHS_A_E[[#This Row],[T1_Over4hrs]]/NHS_A_E[[#This Row],[T1_Attendances]], 0)</f>
        <v>0.55366693530661582</v>
      </c>
      <c r="O172">
        <f>NHS_A_E[[#This Row],[T1_Attendances]]+NHS_A_E[[#This Row],[Other_Attendances]]</f>
        <v>19507</v>
      </c>
      <c r="P172">
        <f>MATCH(LEFT(A172,FIND("-",A172)-1),{"April","May","June","July","August","September","October","November","December","January","February","March"},0)</f>
        <v>1</v>
      </c>
      <c r="Q172" s="3">
        <f t="shared" si="4"/>
        <v>6.4473587808630675E-2</v>
      </c>
      <c r="R172" t="str">
        <f t="shared" si="5"/>
        <v>April</v>
      </c>
    </row>
    <row r="173" spans="1:18" x14ac:dyDescent="0.35">
      <c r="A173" t="s">
        <v>13</v>
      </c>
      <c r="B173" t="s">
        <v>365</v>
      </c>
      <c r="C173" t="s">
        <v>35</v>
      </c>
      <c r="D173" t="s">
        <v>366</v>
      </c>
      <c r="E173">
        <v>12998</v>
      </c>
      <c r="F173">
        <v>0</v>
      </c>
      <c r="G173">
        <v>3829</v>
      </c>
      <c r="H173">
        <v>0</v>
      </c>
      <c r="I173">
        <v>427</v>
      </c>
      <c r="J173">
        <v>126</v>
      </c>
      <c r="K173" s="1">
        <v>45748</v>
      </c>
      <c r="L173" t="s">
        <v>17</v>
      </c>
      <c r="M173" t="s">
        <v>18</v>
      </c>
      <c r="N173" s="2">
        <f>IFERROR(NHS_A_E[[#This Row],[T1_Over4hrs]]/NHS_A_E[[#This Row],[T1_Attendances]], 0)</f>
        <v>0.29458378212032621</v>
      </c>
      <c r="O173">
        <f>NHS_A_E[[#This Row],[T1_Attendances]]+NHS_A_E[[#This Row],[Other_Attendances]]</f>
        <v>12998</v>
      </c>
      <c r="P173">
        <f>MATCH(LEFT(A173,FIND("-",A173)-1),{"April","May","June","July","August","September","October","November","December","January","February","March"},0)</f>
        <v>1</v>
      </c>
      <c r="Q173" s="3">
        <f t="shared" si="4"/>
        <v>9.6937990460070778E-3</v>
      </c>
      <c r="R173" t="str">
        <f t="shared" si="5"/>
        <v>April</v>
      </c>
    </row>
    <row r="174" spans="1:18" x14ac:dyDescent="0.35">
      <c r="A174" t="s">
        <v>13</v>
      </c>
      <c r="B174" t="s">
        <v>367</v>
      </c>
      <c r="C174" t="s">
        <v>23</v>
      </c>
      <c r="D174" t="s">
        <v>368</v>
      </c>
      <c r="E174">
        <v>0</v>
      </c>
      <c r="F174">
        <v>1182</v>
      </c>
      <c r="G174">
        <v>0</v>
      </c>
      <c r="H174">
        <v>37</v>
      </c>
      <c r="I174">
        <v>0</v>
      </c>
      <c r="J174">
        <v>0</v>
      </c>
      <c r="K174" s="1">
        <v>45748</v>
      </c>
      <c r="L174" t="s">
        <v>17</v>
      </c>
      <c r="M174" t="s">
        <v>18</v>
      </c>
      <c r="N174" s="2">
        <f>IFERROR(NHS_A_E[[#This Row],[T1_Over4hrs]]/NHS_A_E[[#This Row],[T1_Attendances]], 0)</f>
        <v>0</v>
      </c>
      <c r="O174">
        <f>NHS_A_E[[#This Row],[T1_Attendances]]+NHS_A_E[[#This Row],[Other_Attendances]]</f>
        <v>1182</v>
      </c>
      <c r="P174">
        <f>MATCH(LEFT(A174,FIND("-",A174)-1),{"April","May","June","July","August","September","October","November","December","January","February","March"},0)</f>
        <v>1</v>
      </c>
      <c r="Q174" s="3">
        <f t="shared" si="4"/>
        <v>0</v>
      </c>
      <c r="R174" t="str">
        <f t="shared" si="5"/>
        <v>April</v>
      </c>
    </row>
    <row r="175" spans="1:18" x14ac:dyDescent="0.35">
      <c r="A175" t="s">
        <v>13</v>
      </c>
      <c r="B175" t="s">
        <v>369</v>
      </c>
      <c r="C175" t="s">
        <v>30</v>
      </c>
      <c r="D175" t="s">
        <v>370</v>
      </c>
      <c r="E175">
        <v>0</v>
      </c>
      <c r="F175">
        <v>3003</v>
      </c>
      <c r="G175">
        <v>0</v>
      </c>
      <c r="H175">
        <v>178</v>
      </c>
      <c r="I175">
        <v>0</v>
      </c>
      <c r="J175">
        <v>0</v>
      </c>
      <c r="K175" s="1">
        <v>45748</v>
      </c>
      <c r="L175" t="s">
        <v>17</v>
      </c>
      <c r="M175" t="s">
        <v>18</v>
      </c>
      <c r="N175" s="2">
        <f>IFERROR(NHS_A_E[[#This Row],[T1_Over4hrs]]/NHS_A_E[[#This Row],[T1_Attendances]], 0)</f>
        <v>0</v>
      </c>
      <c r="O175">
        <f>NHS_A_E[[#This Row],[T1_Attendances]]+NHS_A_E[[#This Row],[Other_Attendances]]</f>
        <v>3003</v>
      </c>
      <c r="P175">
        <f>MATCH(LEFT(A175,FIND("-",A175)-1),{"April","May","June","July","August","September","October","November","December","January","February","March"},0)</f>
        <v>1</v>
      </c>
      <c r="Q175" s="3">
        <f t="shared" si="4"/>
        <v>0</v>
      </c>
      <c r="R175" t="str">
        <f t="shared" si="5"/>
        <v>April</v>
      </c>
    </row>
    <row r="176" spans="1:18" x14ac:dyDescent="0.35">
      <c r="A176" t="s">
        <v>13</v>
      </c>
      <c r="B176" t="s">
        <v>371</v>
      </c>
      <c r="C176" t="s">
        <v>35</v>
      </c>
      <c r="D176" t="s">
        <v>372</v>
      </c>
      <c r="E176">
        <v>5926</v>
      </c>
      <c r="F176">
        <v>6844</v>
      </c>
      <c r="G176">
        <v>3174</v>
      </c>
      <c r="H176">
        <v>49</v>
      </c>
      <c r="I176">
        <v>583</v>
      </c>
      <c r="J176">
        <v>78</v>
      </c>
      <c r="K176" s="1">
        <v>45748</v>
      </c>
      <c r="L176" t="s">
        <v>17</v>
      </c>
      <c r="M176" t="s">
        <v>18</v>
      </c>
      <c r="N176" s="2">
        <f>IFERROR(NHS_A_E[[#This Row],[T1_Over4hrs]]/NHS_A_E[[#This Row],[T1_Attendances]], 0)</f>
        <v>0.53560580492743837</v>
      </c>
      <c r="O176">
        <f>NHS_A_E[[#This Row],[T1_Attendances]]+NHS_A_E[[#This Row],[Other_Attendances]]</f>
        <v>12770</v>
      </c>
      <c r="P176">
        <f>MATCH(LEFT(A176,FIND("-",A176)-1),{"April","May","June","July","August","September","October","November","December","January","February","March"},0)</f>
        <v>1</v>
      </c>
      <c r="Q176" s="3">
        <f t="shared" si="4"/>
        <v>1.3162335470806615E-2</v>
      </c>
      <c r="R176" t="str">
        <f t="shared" si="5"/>
        <v>April</v>
      </c>
    </row>
    <row r="177" spans="1:18" x14ac:dyDescent="0.35">
      <c r="A177" t="s">
        <v>13</v>
      </c>
      <c r="B177" t="s">
        <v>373</v>
      </c>
      <c r="C177" t="s">
        <v>40</v>
      </c>
      <c r="D177" t="s">
        <v>374</v>
      </c>
      <c r="E177">
        <v>12371</v>
      </c>
      <c r="F177">
        <v>542</v>
      </c>
      <c r="G177">
        <v>6491</v>
      </c>
      <c r="H177">
        <v>123</v>
      </c>
      <c r="I177">
        <v>254</v>
      </c>
      <c r="J177">
        <v>581</v>
      </c>
      <c r="K177" s="1">
        <v>45748</v>
      </c>
      <c r="L177" t="s">
        <v>17</v>
      </c>
      <c r="M177" t="s">
        <v>18</v>
      </c>
      <c r="N177" s="2">
        <f>IFERROR(NHS_A_E[[#This Row],[T1_Over4hrs]]/NHS_A_E[[#This Row],[T1_Attendances]], 0)</f>
        <v>0.5246948508608843</v>
      </c>
      <c r="O177">
        <f>NHS_A_E[[#This Row],[T1_Attendances]]+NHS_A_E[[#This Row],[Other_Attendances]]</f>
        <v>12913</v>
      </c>
      <c r="P177">
        <f>MATCH(LEFT(A177,FIND("-",A177)-1),{"April","May","June","July","August","September","October","November","December","January","February","March"},0)</f>
        <v>1</v>
      </c>
      <c r="Q177" s="3">
        <f t="shared" si="4"/>
        <v>4.6964675450650716E-2</v>
      </c>
      <c r="R177" t="str">
        <f t="shared" si="5"/>
        <v>April</v>
      </c>
    </row>
    <row r="178" spans="1:18" x14ac:dyDescent="0.35">
      <c r="A178" t="s">
        <v>13</v>
      </c>
      <c r="B178" t="s">
        <v>375</v>
      </c>
      <c r="C178" t="s">
        <v>40</v>
      </c>
      <c r="D178" t="s">
        <v>376</v>
      </c>
      <c r="E178">
        <v>10840</v>
      </c>
      <c r="F178">
        <v>8329</v>
      </c>
      <c r="G178">
        <v>4504</v>
      </c>
      <c r="H178">
        <v>146</v>
      </c>
      <c r="I178">
        <v>808</v>
      </c>
      <c r="J178">
        <v>270</v>
      </c>
      <c r="K178" s="1">
        <v>45748</v>
      </c>
      <c r="L178" t="s">
        <v>17</v>
      </c>
      <c r="M178" t="s">
        <v>18</v>
      </c>
      <c r="N178" s="2">
        <f>IFERROR(NHS_A_E[[#This Row],[T1_Over4hrs]]/NHS_A_E[[#This Row],[T1_Attendances]], 0)</f>
        <v>0.41549815498154979</v>
      </c>
      <c r="O178">
        <f>NHS_A_E[[#This Row],[T1_Attendances]]+NHS_A_E[[#This Row],[Other_Attendances]]</f>
        <v>19169</v>
      </c>
      <c r="P178">
        <f>MATCH(LEFT(A178,FIND("-",A178)-1),{"April","May","June","July","August","September","October","November","December","January","February","March"},0)</f>
        <v>1</v>
      </c>
      <c r="Q178" s="3">
        <f t="shared" si="4"/>
        <v>2.4907749077490774E-2</v>
      </c>
      <c r="R178" t="str">
        <f t="shared" si="5"/>
        <v>April</v>
      </c>
    </row>
    <row r="179" spans="1:18" x14ac:dyDescent="0.35">
      <c r="A179" t="s">
        <v>13</v>
      </c>
      <c r="B179" t="s">
        <v>377</v>
      </c>
      <c r="C179" t="s">
        <v>63</v>
      </c>
      <c r="D179" t="s">
        <v>378</v>
      </c>
      <c r="E179">
        <v>16584</v>
      </c>
      <c r="F179">
        <v>5751</v>
      </c>
      <c r="G179">
        <v>6218</v>
      </c>
      <c r="H179">
        <v>340</v>
      </c>
      <c r="I179">
        <v>2070</v>
      </c>
      <c r="J179">
        <v>311</v>
      </c>
      <c r="K179" s="1">
        <v>45748</v>
      </c>
      <c r="L179" t="s">
        <v>17</v>
      </c>
      <c r="M179" t="s">
        <v>18</v>
      </c>
      <c r="N179" s="2">
        <f>IFERROR(NHS_A_E[[#This Row],[T1_Over4hrs]]/NHS_A_E[[#This Row],[T1_Attendances]], 0)</f>
        <v>0.37493970091654605</v>
      </c>
      <c r="O179">
        <f>NHS_A_E[[#This Row],[T1_Attendances]]+NHS_A_E[[#This Row],[Other_Attendances]]</f>
        <v>22335</v>
      </c>
      <c r="P179">
        <f>MATCH(LEFT(A179,FIND("-",A179)-1),{"April","May","June","July","August","September","October","November","December","January","February","March"},0)</f>
        <v>1</v>
      </c>
      <c r="Q179" s="3">
        <f t="shared" si="4"/>
        <v>1.8753014954172698E-2</v>
      </c>
      <c r="R179" t="str">
        <f t="shared" si="5"/>
        <v>April</v>
      </c>
    </row>
    <row r="180" spans="1:18" x14ac:dyDescent="0.35">
      <c r="A180" t="s">
        <v>13</v>
      </c>
      <c r="B180" t="s">
        <v>379</v>
      </c>
      <c r="C180" t="s">
        <v>63</v>
      </c>
      <c r="D180" t="s">
        <v>380</v>
      </c>
      <c r="E180">
        <v>0</v>
      </c>
      <c r="F180">
        <v>2226</v>
      </c>
      <c r="G180">
        <v>0</v>
      </c>
      <c r="H180">
        <v>9</v>
      </c>
      <c r="I180">
        <v>0</v>
      </c>
      <c r="J180">
        <v>0</v>
      </c>
      <c r="K180" s="1">
        <v>45748</v>
      </c>
      <c r="L180" t="s">
        <v>17</v>
      </c>
      <c r="M180" t="s">
        <v>18</v>
      </c>
      <c r="N180" s="2">
        <f>IFERROR(NHS_A_E[[#This Row],[T1_Over4hrs]]/NHS_A_E[[#This Row],[T1_Attendances]], 0)</f>
        <v>0</v>
      </c>
      <c r="O180">
        <f>NHS_A_E[[#This Row],[T1_Attendances]]+NHS_A_E[[#This Row],[Other_Attendances]]</f>
        <v>2226</v>
      </c>
      <c r="P180">
        <f>MATCH(LEFT(A180,FIND("-",A180)-1),{"April","May","June","July","August","September","October","November","December","January","February","March"},0)</f>
        <v>1</v>
      </c>
      <c r="Q180" s="3">
        <f t="shared" si="4"/>
        <v>0</v>
      </c>
      <c r="R180" t="str">
        <f t="shared" si="5"/>
        <v>April</v>
      </c>
    </row>
    <row r="181" spans="1:18" x14ac:dyDescent="0.35">
      <c r="A181" t="s">
        <v>13</v>
      </c>
      <c r="B181" t="s">
        <v>381</v>
      </c>
      <c r="C181" t="s">
        <v>40</v>
      </c>
      <c r="D181" t="s">
        <v>382</v>
      </c>
      <c r="E181">
        <v>0</v>
      </c>
      <c r="F181">
        <v>266</v>
      </c>
      <c r="G181">
        <v>0</v>
      </c>
      <c r="H181">
        <v>0</v>
      </c>
      <c r="I181">
        <v>0</v>
      </c>
      <c r="J181">
        <v>0</v>
      </c>
      <c r="K181" s="1">
        <v>45748</v>
      </c>
      <c r="L181" t="s">
        <v>17</v>
      </c>
      <c r="M181" t="s">
        <v>18</v>
      </c>
      <c r="N181" s="2">
        <f>IFERROR(NHS_A_E[[#This Row],[T1_Over4hrs]]/NHS_A_E[[#This Row],[T1_Attendances]], 0)</f>
        <v>0</v>
      </c>
      <c r="O181">
        <f>NHS_A_E[[#This Row],[T1_Attendances]]+NHS_A_E[[#This Row],[Other_Attendances]]</f>
        <v>266</v>
      </c>
      <c r="P181">
        <f>MATCH(LEFT(A181,FIND("-",A181)-1),{"April","May","June","July","August","September","October","November","December","January","February","March"},0)</f>
        <v>1</v>
      </c>
      <c r="Q181" s="3">
        <f t="shared" si="4"/>
        <v>0</v>
      </c>
      <c r="R181" t="str">
        <f t="shared" si="5"/>
        <v>April</v>
      </c>
    </row>
    <row r="182" spans="1:18" x14ac:dyDescent="0.35">
      <c r="A182" t="s">
        <v>13</v>
      </c>
      <c r="B182" t="s">
        <v>383</v>
      </c>
      <c r="C182" t="s">
        <v>20</v>
      </c>
      <c r="D182" t="s">
        <v>384</v>
      </c>
      <c r="E182">
        <v>0</v>
      </c>
      <c r="F182">
        <v>77</v>
      </c>
      <c r="G182">
        <v>0</v>
      </c>
      <c r="H182">
        <v>0</v>
      </c>
      <c r="I182">
        <v>0</v>
      </c>
      <c r="J182">
        <v>0</v>
      </c>
      <c r="K182" s="1">
        <v>45748</v>
      </c>
      <c r="L182" t="s">
        <v>17</v>
      </c>
      <c r="M182" t="s">
        <v>18</v>
      </c>
      <c r="N182" s="2">
        <f>IFERROR(NHS_A_E[[#This Row],[T1_Over4hrs]]/NHS_A_E[[#This Row],[T1_Attendances]], 0)</f>
        <v>0</v>
      </c>
      <c r="O182">
        <f>NHS_A_E[[#This Row],[T1_Attendances]]+NHS_A_E[[#This Row],[Other_Attendances]]</f>
        <v>77</v>
      </c>
      <c r="P182">
        <f>MATCH(LEFT(A182,FIND("-",A182)-1),{"April","May","June","July","August","September","October","November","December","January","February","March"},0)</f>
        <v>1</v>
      </c>
      <c r="Q182" s="3">
        <f t="shared" si="4"/>
        <v>0</v>
      </c>
      <c r="R182" t="str">
        <f t="shared" si="5"/>
        <v>April</v>
      </c>
    </row>
    <row r="183" spans="1:18" x14ac:dyDescent="0.35">
      <c r="A183" t="s">
        <v>13</v>
      </c>
      <c r="B183" t="s">
        <v>385</v>
      </c>
      <c r="C183" t="s">
        <v>20</v>
      </c>
      <c r="D183" t="s">
        <v>386</v>
      </c>
      <c r="E183">
        <v>0</v>
      </c>
      <c r="F183">
        <v>8692</v>
      </c>
      <c r="G183">
        <v>0</v>
      </c>
      <c r="H183">
        <v>328</v>
      </c>
      <c r="I183">
        <v>0</v>
      </c>
      <c r="J183">
        <v>0</v>
      </c>
      <c r="K183" s="1">
        <v>45748</v>
      </c>
      <c r="L183" t="s">
        <v>17</v>
      </c>
      <c r="M183" t="s">
        <v>18</v>
      </c>
      <c r="N183" s="2">
        <f>IFERROR(NHS_A_E[[#This Row],[T1_Over4hrs]]/NHS_A_E[[#This Row],[T1_Attendances]], 0)</f>
        <v>0</v>
      </c>
      <c r="O183">
        <f>NHS_A_E[[#This Row],[T1_Attendances]]+NHS_A_E[[#This Row],[Other_Attendances]]</f>
        <v>8692</v>
      </c>
      <c r="P183">
        <f>MATCH(LEFT(A183,FIND("-",A183)-1),{"April","May","June","July","August","September","October","November","December","January","February","March"},0)</f>
        <v>1</v>
      </c>
      <c r="Q183" s="3">
        <f t="shared" si="4"/>
        <v>0</v>
      </c>
      <c r="R183" t="str">
        <f t="shared" si="5"/>
        <v>April</v>
      </c>
    </row>
    <row r="184" spans="1:18" x14ac:dyDescent="0.35">
      <c r="A184" t="s">
        <v>13</v>
      </c>
      <c r="B184" t="s">
        <v>387</v>
      </c>
      <c r="C184" t="s">
        <v>35</v>
      </c>
      <c r="D184" t="s">
        <v>388</v>
      </c>
      <c r="E184">
        <v>0</v>
      </c>
      <c r="F184">
        <v>1730</v>
      </c>
      <c r="G184">
        <v>0</v>
      </c>
      <c r="H184">
        <v>63</v>
      </c>
      <c r="I184">
        <v>0</v>
      </c>
      <c r="J184">
        <v>0</v>
      </c>
      <c r="K184" s="1">
        <v>45748</v>
      </c>
      <c r="L184" t="s">
        <v>17</v>
      </c>
      <c r="M184" t="s">
        <v>18</v>
      </c>
      <c r="N184" s="2">
        <f>IFERROR(NHS_A_E[[#This Row],[T1_Over4hrs]]/NHS_A_E[[#This Row],[T1_Attendances]], 0)</f>
        <v>0</v>
      </c>
      <c r="O184">
        <f>NHS_A_E[[#This Row],[T1_Attendances]]+NHS_A_E[[#This Row],[Other_Attendances]]</f>
        <v>1730</v>
      </c>
      <c r="P184">
        <f>MATCH(LEFT(A184,FIND("-",A184)-1),{"April","May","June","July","August","September","October","November","December","January","February","March"},0)</f>
        <v>1</v>
      </c>
      <c r="Q184" s="3">
        <f t="shared" si="4"/>
        <v>0</v>
      </c>
      <c r="R184" t="str">
        <f t="shared" si="5"/>
        <v>April</v>
      </c>
    </row>
    <row r="185" spans="1:18" x14ac:dyDescent="0.35">
      <c r="A185" t="s">
        <v>13</v>
      </c>
      <c r="B185" t="s">
        <v>389</v>
      </c>
      <c r="C185" t="s">
        <v>20</v>
      </c>
      <c r="D185" t="s">
        <v>390</v>
      </c>
      <c r="E185">
        <v>4319</v>
      </c>
      <c r="F185">
        <v>0</v>
      </c>
      <c r="G185">
        <v>1549</v>
      </c>
      <c r="H185">
        <v>0</v>
      </c>
      <c r="I185">
        <v>201</v>
      </c>
      <c r="J185">
        <v>25</v>
      </c>
      <c r="K185" s="1">
        <v>45748</v>
      </c>
      <c r="L185" t="s">
        <v>17</v>
      </c>
      <c r="M185" t="s">
        <v>18</v>
      </c>
      <c r="N185" s="2">
        <f>IFERROR(NHS_A_E[[#This Row],[T1_Over4hrs]]/NHS_A_E[[#This Row],[T1_Attendances]], 0)</f>
        <v>0.35864783514702475</v>
      </c>
      <c r="O185">
        <f>NHS_A_E[[#This Row],[T1_Attendances]]+NHS_A_E[[#This Row],[Other_Attendances]]</f>
        <v>4319</v>
      </c>
      <c r="P185">
        <f>MATCH(LEFT(A185,FIND("-",A185)-1),{"April","May","June","July","August","September","October","November","December","January","February","March"},0)</f>
        <v>1</v>
      </c>
      <c r="Q185" s="3">
        <f t="shared" si="4"/>
        <v>5.788376939106275E-3</v>
      </c>
      <c r="R185" t="str">
        <f t="shared" si="5"/>
        <v>April</v>
      </c>
    </row>
    <row r="186" spans="1:18" x14ac:dyDescent="0.35">
      <c r="A186" t="s">
        <v>13</v>
      </c>
      <c r="B186" t="s">
        <v>391</v>
      </c>
      <c r="C186" t="s">
        <v>63</v>
      </c>
      <c r="D186" t="s">
        <v>392</v>
      </c>
      <c r="E186">
        <v>4162</v>
      </c>
      <c r="F186">
        <v>351</v>
      </c>
      <c r="G186">
        <v>299</v>
      </c>
      <c r="H186">
        <v>0</v>
      </c>
      <c r="I186">
        <v>7</v>
      </c>
      <c r="J186">
        <v>0</v>
      </c>
      <c r="K186" s="1">
        <v>45748</v>
      </c>
      <c r="L186" t="s">
        <v>17</v>
      </c>
      <c r="M186" t="s">
        <v>18</v>
      </c>
      <c r="N186" s="2">
        <f>IFERROR(NHS_A_E[[#This Row],[T1_Over4hrs]]/NHS_A_E[[#This Row],[T1_Attendances]], 0)</f>
        <v>7.1840461316674681E-2</v>
      </c>
      <c r="O186">
        <f>NHS_A_E[[#This Row],[T1_Attendances]]+NHS_A_E[[#This Row],[Other_Attendances]]</f>
        <v>4513</v>
      </c>
      <c r="P186">
        <f>MATCH(LEFT(A186,FIND("-",A186)-1),{"April","May","June","July","August","September","October","November","December","January","February","March"},0)</f>
        <v>1</v>
      </c>
      <c r="Q186" s="3">
        <f t="shared" si="4"/>
        <v>0</v>
      </c>
      <c r="R186" t="str">
        <f t="shared" si="5"/>
        <v>April</v>
      </c>
    </row>
    <row r="187" spans="1:18" x14ac:dyDescent="0.35">
      <c r="A187" t="s">
        <v>13</v>
      </c>
      <c r="B187" t="s">
        <v>393</v>
      </c>
      <c r="C187" t="s">
        <v>23</v>
      </c>
      <c r="D187" t="s">
        <v>394</v>
      </c>
      <c r="E187">
        <v>14259</v>
      </c>
      <c r="F187">
        <v>4206</v>
      </c>
      <c r="G187">
        <v>5836</v>
      </c>
      <c r="H187">
        <v>85</v>
      </c>
      <c r="I187">
        <v>576</v>
      </c>
      <c r="J187">
        <v>767</v>
      </c>
      <c r="K187" s="1">
        <v>45748</v>
      </c>
      <c r="L187" t="s">
        <v>17</v>
      </c>
      <c r="M187" t="s">
        <v>18</v>
      </c>
      <c r="N187" s="2">
        <f>IFERROR(NHS_A_E[[#This Row],[T1_Over4hrs]]/NHS_A_E[[#This Row],[T1_Attendances]], 0)</f>
        <v>0.40928536362998807</v>
      </c>
      <c r="O187">
        <f>NHS_A_E[[#This Row],[T1_Attendances]]+NHS_A_E[[#This Row],[Other_Attendances]]</f>
        <v>18465</v>
      </c>
      <c r="P187">
        <f>MATCH(LEFT(A187,FIND("-",A187)-1),{"April","May","June","July","August","September","October","November","December","January","February","March"},0)</f>
        <v>1</v>
      </c>
      <c r="Q187" s="3">
        <f t="shared" si="4"/>
        <v>5.3790588400308578E-2</v>
      </c>
      <c r="R187" t="str">
        <f t="shared" si="5"/>
        <v>April</v>
      </c>
    </row>
    <row r="188" spans="1:18" x14ac:dyDescent="0.35">
      <c r="A188" t="s">
        <v>13</v>
      </c>
      <c r="B188" t="s">
        <v>395</v>
      </c>
      <c r="C188" t="s">
        <v>23</v>
      </c>
      <c r="D188" t="s">
        <v>396</v>
      </c>
      <c r="E188">
        <v>7602</v>
      </c>
      <c r="F188">
        <v>724</v>
      </c>
      <c r="G188">
        <v>1570</v>
      </c>
      <c r="H188">
        <v>0</v>
      </c>
      <c r="I188">
        <v>285</v>
      </c>
      <c r="J188">
        <v>118</v>
      </c>
      <c r="K188" s="1">
        <v>45748</v>
      </c>
      <c r="L188" t="s">
        <v>17</v>
      </c>
      <c r="M188" t="s">
        <v>18</v>
      </c>
      <c r="N188" s="2">
        <f>IFERROR(NHS_A_E[[#This Row],[T1_Over4hrs]]/NHS_A_E[[#This Row],[T1_Attendances]], 0)</f>
        <v>0.20652459878979215</v>
      </c>
      <c r="O188">
        <f>NHS_A_E[[#This Row],[T1_Attendances]]+NHS_A_E[[#This Row],[Other_Attendances]]</f>
        <v>8326</v>
      </c>
      <c r="P188">
        <f>MATCH(LEFT(A188,FIND("-",A188)-1),{"April","May","June","July","August","September","October","November","December","January","February","March"},0)</f>
        <v>1</v>
      </c>
      <c r="Q188" s="3">
        <f t="shared" si="4"/>
        <v>1.5522230991844252E-2</v>
      </c>
      <c r="R188" t="str">
        <f t="shared" si="5"/>
        <v>April</v>
      </c>
    </row>
    <row r="189" spans="1:18" x14ac:dyDescent="0.35">
      <c r="A189" t="s">
        <v>13</v>
      </c>
      <c r="B189" t="s">
        <v>397</v>
      </c>
      <c r="C189" t="s">
        <v>63</v>
      </c>
      <c r="D189" t="s">
        <v>398</v>
      </c>
      <c r="E189">
        <v>0</v>
      </c>
      <c r="F189">
        <v>361</v>
      </c>
      <c r="G189">
        <v>0</v>
      </c>
      <c r="H189">
        <v>0</v>
      </c>
      <c r="I189">
        <v>0</v>
      </c>
      <c r="J189">
        <v>0</v>
      </c>
      <c r="K189" s="1">
        <v>45748</v>
      </c>
      <c r="L189" t="s">
        <v>17</v>
      </c>
      <c r="M189" t="s">
        <v>18</v>
      </c>
      <c r="N189" s="2">
        <f>IFERROR(NHS_A_E[[#This Row],[T1_Over4hrs]]/NHS_A_E[[#This Row],[T1_Attendances]], 0)</f>
        <v>0</v>
      </c>
      <c r="O189">
        <f>NHS_A_E[[#This Row],[T1_Attendances]]+NHS_A_E[[#This Row],[Other_Attendances]]</f>
        <v>361</v>
      </c>
      <c r="P189">
        <f>MATCH(LEFT(A189,FIND("-",A189)-1),{"April","May","June","July","August","September","October","November","December","January","February","March"},0)</f>
        <v>1</v>
      </c>
      <c r="Q189" s="3">
        <f t="shared" si="4"/>
        <v>0</v>
      </c>
      <c r="R189" t="str">
        <f t="shared" si="5"/>
        <v>April</v>
      </c>
    </row>
    <row r="190" spans="1:18" x14ac:dyDescent="0.35">
      <c r="A190" t="s">
        <v>13</v>
      </c>
      <c r="B190" t="s">
        <v>399</v>
      </c>
      <c r="C190" t="s">
        <v>40</v>
      </c>
      <c r="D190" t="s">
        <v>400</v>
      </c>
      <c r="E190">
        <v>7824</v>
      </c>
      <c r="F190">
        <v>441</v>
      </c>
      <c r="G190">
        <v>2271</v>
      </c>
      <c r="H190">
        <v>0</v>
      </c>
      <c r="I190">
        <v>397</v>
      </c>
      <c r="J190">
        <v>35</v>
      </c>
      <c r="K190" s="1">
        <v>45748</v>
      </c>
      <c r="L190" t="s">
        <v>17</v>
      </c>
      <c r="M190" t="s">
        <v>18</v>
      </c>
      <c r="N190" s="2">
        <f>IFERROR(NHS_A_E[[#This Row],[T1_Over4hrs]]/NHS_A_E[[#This Row],[T1_Attendances]], 0)</f>
        <v>0.29026073619631904</v>
      </c>
      <c r="O190">
        <f>NHS_A_E[[#This Row],[T1_Attendances]]+NHS_A_E[[#This Row],[Other_Attendances]]</f>
        <v>8265</v>
      </c>
      <c r="P190">
        <f>MATCH(LEFT(A190,FIND("-",A190)-1),{"April","May","June","July","August","September","October","November","December","January","February","March"},0)</f>
        <v>1</v>
      </c>
      <c r="Q190" s="3">
        <f t="shared" si="4"/>
        <v>4.4734151329243353E-3</v>
      </c>
      <c r="R190" t="str">
        <f t="shared" si="5"/>
        <v>April</v>
      </c>
    </row>
    <row r="191" spans="1:18" x14ac:dyDescent="0.35">
      <c r="A191" t="s">
        <v>13</v>
      </c>
      <c r="B191" t="s">
        <v>401</v>
      </c>
      <c r="C191" t="s">
        <v>35</v>
      </c>
      <c r="D191" t="s">
        <v>402</v>
      </c>
      <c r="E191">
        <v>12685</v>
      </c>
      <c r="F191">
        <v>4850</v>
      </c>
      <c r="G191">
        <v>3660</v>
      </c>
      <c r="H191">
        <v>0</v>
      </c>
      <c r="I191">
        <v>295</v>
      </c>
      <c r="J191">
        <v>538</v>
      </c>
      <c r="K191" s="1">
        <v>45748</v>
      </c>
      <c r="L191" t="s">
        <v>17</v>
      </c>
      <c r="M191" t="s">
        <v>18</v>
      </c>
      <c r="N191" s="2">
        <f>IFERROR(NHS_A_E[[#This Row],[T1_Over4hrs]]/NHS_A_E[[#This Row],[T1_Attendances]], 0)</f>
        <v>0.28852975955853372</v>
      </c>
      <c r="O191">
        <f>NHS_A_E[[#This Row],[T1_Attendances]]+NHS_A_E[[#This Row],[Other_Attendances]]</f>
        <v>17535</v>
      </c>
      <c r="P191">
        <f>MATCH(LEFT(A191,FIND("-",A191)-1),{"April","May","June","July","August","September","October","November","December","January","February","March"},0)</f>
        <v>1</v>
      </c>
      <c r="Q191" s="3">
        <f t="shared" si="4"/>
        <v>4.2412297989751678E-2</v>
      </c>
      <c r="R191" t="str">
        <f t="shared" si="5"/>
        <v>April</v>
      </c>
    </row>
    <row r="192" spans="1:18" x14ac:dyDescent="0.35">
      <c r="A192" t="s">
        <v>13</v>
      </c>
      <c r="B192" t="s">
        <v>403</v>
      </c>
      <c r="C192" t="s">
        <v>15</v>
      </c>
      <c r="D192" t="s">
        <v>404</v>
      </c>
      <c r="E192">
        <v>0</v>
      </c>
      <c r="F192">
        <v>1450</v>
      </c>
      <c r="G192">
        <v>0</v>
      </c>
      <c r="H192">
        <v>15</v>
      </c>
      <c r="I192">
        <v>0</v>
      </c>
      <c r="J192">
        <v>0</v>
      </c>
      <c r="K192" s="1">
        <v>45748</v>
      </c>
      <c r="L192" t="s">
        <v>17</v>
      </c>
      <c r="M192" t="s">
        <v>18</v>
      </c>
      <c r="N192" s="2">
        <f>IFERROR(NHS_A_E[[#This Row],[T1_Over4hrs]]/NHS_A_E[[#This Row],[T1_Attendances]], 0)</f>
        <v>0</v>
      </c>
      <c r="O192">
        <f>NHS_A_E[[#This Row],[T1_Attendances]]+NHS_A_E[[#This Row],[Other_Attendances]]</f>
        <v>1450</v>
      </c>
      <c r="P192">
        <f>MATCH(LEFT(A192,FIND("-",A192)-1),{"April","May","June","July","August","September","October","November","December","January","February","March"},0)</f>
        <v>1</v>
      </c>
      <c r="Q192" s="3">
        <f t="shared" si="4"/>
        <v>0</v>
      </c>
      <c r="R192" t="str">
        <f t="shared" si="5"/>
        <v>April</v>
      </c>
    </row>
    <row r="193" spans="1:18" x14ac:dyDescent="0.35">
      <c r="A193" t="s">
        <v>13</v>
      </c>
      <c r="B193" t="s">
        <v>405</v>
      </c>
      <c r="C193" t="s">
        <v>15</v>
      </c>
      <c r="D193" t="s">
        <v>406</v>
      </c>
      <c r="E193">
        <v>8901</v>
      </c>
      <c r="F193">
        <v>6431</v>
      </c>
      <c r="G193">
        <v>2989</v>
      </c>
      <c r="H193">
        <v>693</v>
      </c>
      <c r="I193">
        <v>419</v>
      </c>
      <c r="J193">
        <v>412</v>
      </c>
      <c r="K193" s="1">
        <v>45748</v>
      </c>
      <c r="L193" t="s">
        <v>17</v>
      </c>
      <c r="M193" t="s">
        <v>18</v>
      </c>
      <c r="N193" s="2">
        <f>IFERROR(NHS_A_E[[#This Row],[T1_Over4hrs]]/NHS_A_E[[#This Row],[T1_Attendances]], 0)</f>
        <v>0.33580496573418717</v>
      </c>
      <c r="O193">
        <f>NHS_A_E[[#This Row],[T1_Attendances]]+NHS_A_E[[#This Row],[Other_Attendances]]</f>
        <v>15332</v>
      </c>
      <c r="P193">
        <f>MATCH(LEFT(A193,FIND("-",A193)-1),{"April","May","June","July","August","September","October","November","December","January","February","March"},0)</f>
        <v>1</v>
      </c>
      <c r="Q193" s="3">
        <f t="shared" si="4"/>
        <v>4.6286934052353665E-2</v>
      </c>
      <c r="R193" t="str">
        <f t="shared" si="5"/>
        <v>April</v>
      </c>
    </row>
    <row r="194" spans="1:18" x14ac:dyDescent="0.35">
      <c r="A194" t="s">
        <v>13</v>
      </c>
      <c r="B194" t="s">
        <v>407</v>
      </c>
      <c r="C194" t="s">
        <v>35</v>
      </c>
      <c r="D194" t="s">
        <v>408</v>
      </c>
      <c r="E194">
        <v>0</v>
      </c>
      <c r="F194">
        <v>0</v>
      </c>
      <c r="G194">
        <v>0</v>
      </c>
      <c r="H194">
        <v>0</v>
      </c>
      <c r="I194">
        <v>0</v>
      </c>
      <c r="J194">
        <v>0</v>
      </c>
      <c r="K194" s="1">
        <v>45748</v>
      </c>
      <c r="L194" t="s">
        <v>17</v>
      </c>
      <c r="M194" t="s">
        <v>18</v>
      </c>
      <c r="N194" s="2">
        <f>IFERROR(NHS_A_E[[#This Row],[T1_Over4hrs]]/NHS_A_E[[#This Row],[T1_Attendances]], 0)</f>
        <v>0</v>
      </c>
      <c r="O194">
        <f>NHS_A_E[[#This Row],[T1_Attendances]]+NHS_A_E[[#This Row],[Other_Attendances]]</f>
        <v>0</v>
      </c>
      <c r="P194">
        <f>MATCH(LEFT(A194,FIND("-",A194)-1),{"April","May","June","July","August","September","October","November","December","January","February","March"},0)</f>
        <v>1</v>
      </c>
      <c r="Q194" s="3">
        <f t="shared" ref="Q194:Q257" si="6">IFERROR(J194/E194,0)</f>
        <v>0</v>
      </c>
      <c r="R194" t="str">
        <f t="shared" ref="R194:R257" si="7">TEXT(A194, "mmmm")</f>
        <v>April</v>
      </c>
    </row>
    <row r="195" spans="1:18" x14ac:dyDescent="0.35">
      <c r="A195" t="s">
        <v>13</v>
      </c>
      <c r="B195" t="s">
        <v>409</v>
      </c>
      <c r="C195" t="s">
        <v>15</v>
      </c>
      <c r="D195" t="s">
        <v>410</v>
      </c>
      <c r="E195">
        <v>17983</v>
      </c>
      <c r="F195">
        <v>2285</v>
      </c>
      <c r="G195">
        <v>3733</v>
      </c>
      <c r="H195">
        <v>14</v>
      </c>
      <c r="I195">
        <v>926</v>
      </c>
      <c r="J195">
        <v>185</v>
      </c>
      <c r="K195" s="1">
        <v>45748</v>
      </c>
      <c r="L195" t="s">
        <v>17</v>
      </c>
      <c r="M195" t="s">
        <v>18</v>
      </c>
      <c r="N195" s="2">
        <f>IFERROR(NHS_A_E[[#This Row],[T1_Over4hrs]]/NHS_A_E[[#This Row],[T1_Attendances]], 0)</f>
        <v>0.20758494133348163</v>
      </c>
      <c r="O195">
        <f>NHS_A_E[[#This Row],[T1_Attendances]]+NHS_A_E[[#This Row],[Other_Attendances]]</f>
        <v>20268</v>
      </c>
      <c r="P195">
        <f>MATCH(LEFT(A195,FIND("-",A195)-1),{"April","May","June","July","August","September","October","November","December","January","February","March"},0)</f>
        <v>1</v>
      </c>
      <c r="Q195" s="3">
        <f t="shared" si="6"/>
        <v>1.0287493744091642E-2</v>
      </c>
      <c r="R195" t="str">
        <f t="shared" si="7"/>
        <v>April</v>
      </c>
    </row>
    <row r="196" spans="1:18" x14ac:dyDescent="0.35">
      <c r="A196" t="s">
        <v>13</v>
      </c>
      <c r="B196" t="s">
        <v>411</v>
      </c>
      <c r="C196" t="s">
        <v>35</v>
      </c>
      <c r="D196" t="s">
        <v>412</v>
      </c>
      <c r="E196">
        <v>8831</v>
      </c>
      <c r="F196">
        <v>0</v>
      </c>
      <c r="G196">
        <v>2619</v>
      </c>
      <c r="H196">
        <v>0</v>
      </c>
      <c r="I196">
        <v>243</v>
      </c>
      <c r="J196">
        <v>222</v>
      </c>
      <c r="K196" s="1">
        <v>45748</v>
      </c>
      <c r="L196" t="s">
        <v>17</v>
      </c>
      <c r="M196" t="s">
        <v>18</v>
      </c>
      <c r="N196" s="2">
        <f>IFERROR(NHS_A_E[[#This Row],[T1_Over4hrs]]/NHS_A_E[[#This Row],[T1_Attendances]], 0)</f>
        <v>0.29656890499377192</v>
      </c>
      <c r="O196">
        <f>NHS_A_E[[#This Row],[T1_Attendances]]+NHS_A_E[[#This Row],[Other_Attendances]]</f>
        <v>8831</v>
      </c>
      <c r="P196">
        <f>MATCH(LEFT(A196,FIND("-",A196)-1),{"April","May","June","July","August","September","October","November","December","January","February","March"},0)</f>
        <v>1</v>
      </c>
      <c r="Q196" s="3">
        <f t="shared" si="6"/>
        <v>2.5138715887215491E-2</v>
      </c>
      <c r="R196" t="str">
        <f t="shared" si="7"/>
        <v>April</v>
      </c>
    </row>
    <row r="197" spans="1:18" x14ac:dyDescent="0.35">
      <c r="A197" t="s">
        <v>13</v>
      </c>
      <c r="B197" t="s">
        <v>413</v>
      </c>
      <c r="C197" t="s">
        <v>20</v>
      </c>
      <c r="D197" t="s">
        <v>414</v>
      </c>
      <c r="E197">
        <v>9037</v>
      </c>
      <c r="F197">
        <v>5353</v>
      </c>
      <c r="G197">
        <v>4695</v>
      </c>
      <c r="H197">
        <v>99</v>
      </c>
      <c r="I197">
        <v>506</v>
      </c>
      <c r="J197">
        <v>583</v>
      </c>
      <c r="K197" s="1">
        <v>45748</v>
      </c>
      <c r="L197" t="s">
        <v>17</v>
      </c>
      <c r="M197" t="s">
        <v>18</v>
      </c>
      <c r="N197" s="2">
        <f>IFERROR(NHS_A_E[[#This Row],[T1_Over4hrs]]/NHS_A_E[[#This Row],[T1_Attendances]], 0)</f>
        <v>0.51953081774925303</v>
      </c>
      <c r="O197">
        <f>NHS_A_E[[#This Row],[T1_Attendances]]+NHS_A_E[[#This Row],[Other_Attendances]]</f>
        <v>14390</v>
      </c>
      <c r="P197">
        <f>MATCH(LEFT(A197,FIND("-",A197)-1),{"April","May","June","July","August","September","October","November","December","January","February","March"},0)</f>
        <v>1</v>
      </c>
      <c r="Q197" s="3">
        <f t="shared" si="6"/>
        <v>6.4512559477702777E-2</v>
      </c>
      <c r="R197" t="str">
        <f t="shared" si="7"/>
        <v>April</v>
      </c>
    </row>
    <row r="198" spans="1:18" x14ac:dyDescent="0.35">
      <c r="A198" t="s">
        <v>13</v>
      </c>
      <c r="B198" t="s">
        <v>415</v>
      </c>
      <c r="C198" t="s">
        <v>35</v>
      </c>
      <c r="D198" t="s">
        <v>416</v>
      </c>
      <c r="E198">
        <v>15261</v>
      </c>
      <c r="F198">
        <v>9200</v>
      </c>
      <c r="G198">
        <v>6420</v>
      </c>
      <c r="H198">
        <v>464</v>
      </c>
      <c r="I198">
        <v>1693</v>
      </c>
      <c r="J198">
        <v>583</v>
      </c>
      <c r="K198" s="1">
        <v>45748</v>
      </c>
      <c r="L198" t="s">
        <v>17</v>
      </c>
      <c r="M198" t="s">
        <v>18</v>
      </c>
      <c r="N198" s="2">
        <f>IFERROR(NHS_A_E[[#This Row],[T1_Over4hrs]]/NHS_A_E[[#This Row],[T1_Attendances]], 0)</f>
        <v>0.42068016512679379</v>
      </c>
      <c r="O198">
        <f>NHS_A_E[[#This Row],[T1_Attendances]]+NHS_A_E[[#This Row],[Other_Attendances]]</f>
        <v>24461</v>
      </c>
      <c r="P198">
        <f>MATCH(LEFT(A198,FIND("-",A198)-1),{"April","May","June","July","August","September","October","November","December","January","February","March"},0)</f>
        <v>1</v>
      </c>
      <c r="Q198" s="3">
        <f t="shared" si="6"/>
        <v>3.8201952689863053E-2</v>
      </c>
      <c r="R198" t="str">
        <f t="shared" si="7"/>
        <v>April</v>
      </c>
    </row>
    <row r="199" spans="1:18" x14ac:dyDescent="0.35">
      <c r="A199" t="s">
        <v>13</v>
      </c>
      <c r="B199" t="s">
        <v>417</v>
      </c>
      <c r="C199" t="s">
        <v>63</v>
      </c>
      <c r="D199" t="s">
        <v>418</v>
      </c>
      <c r="E199">
        <v>8794</v>
      </c>
      <c r="F199">
        <v>2236</v>
      </c>
      <c r="G199">
        <v>3968</v>
      </c>
      <c r="H199">
        <v>30</v>
      </c>
      <c r="I199">
        <v>556</v>
      </c>
      <c r="J199">
        <v>496</v>
      </c>
      <c r="K199" s="1">
        <v>45748</v>
      </c>
      <c r="L199" t="s">
        <v>17</v>
      </c>
      <c r="M199" t="s">
        <v>18</v>
      </c>
      <c r="N199" s="2">
        <f>IFERROR(NHS_A_E[[#This Row],[T1_Over4hrs]]/NHS_A_E[[#This Row],[T1_Attendances]], 0)</f>
        <v>0.45121673868546736</v>
      </c>
      <c r="O199">
        <f>NHS_A_E[[#This Row],[T1_Attendances]]+NHS_A_E[[#This Row],[Other_Attendances]]</f>
        <v>11030</v>
      </c>
      <c r="P199">
        <f>MATCH(LEFT(A199,FIND("-",A199)-1),{"April","May","June","July","August","September","October","November","December","January","February","March"},0)</f>
        <v>1</v>
      </c>
      <c r="Q199" s="3">
        <f t="shared" si="6"/>
        <v>5.6402092335683419E-2</v>
      </c>
      <c r="R199" t="str">
        <f t="shared" si="7"/>
        <v>April</v>
      </c>
    </row>
    <row r="200" spans="1:18" x14ac:dyDescent="0.35">
      <c r="A200" t="s">
        <v>419</v>
      </c>
      <c r="B200" t="s">
        <v>343</v>
      </c>
      <c r="C200" t="s">
        <v>30</v>
      </c>
      <c r="D200" t="s">
        <v>344</v>
      </c>
      <c r="E200">
        <v>6141</v>
      </c>
      <c r="F200">
        <v>0</v>
      </c>
      <c r="G200">
        <v>833</v>
      </c>
      <c r="H200">
        <v>0</v>
      </c>
      <c r="I200">
        <v>0</v>
      </c>
      <c r="J200">
        <v>0</v>
      </c>
      <c r="K200" s="1">
        <v>45778</v>
      </c>
      <c r="L200" t="s">
        <v>17</v>
      </c>
      <c r="M200" t="s">
        <v>18</v>
      </c>
      <c r="N200" s="2">
        <f>IFERROR(NHS_A_E[[#This Row],[T1_Over4hrs]]/NHS_A_E[[#This Row],[T1_Attendances]], 0)</f>
        <v>0.13564566031590947</v>
      </c>
      <c r="O200">
        <f>NHS_A_E[[#This Row],[T1_Attendances]]+NHS_A_E[[#This Row],[Other_Attendances]]</f>
        <v>6141</v>
      </c>
      <c r="P200">
        <f>MATCH(LEFT(A200,FIND("-",A200)-1),{"April","May","June","July","August","September","October","November","December","January","February","March"},0)</f>
        <v>2</v>
      </c>
      <c r="Q200" s="3">
        <f t="shared" si="6"/>
        <v>0</v>
      </c>
      <c r="R200" t="str">
        <f t="shared" si="7"/>
        <v>May</v>
      </c>
    </row>
    <row r="201" spans="1:18" x14ac:dyDescent="0.35">
      <c r="A201" t="s">
        <v>419</v>
      </c>
      <c r="B201" t="s">
        <v>323</v>
      </c>
      <c r="C201" t="s">
        <v>23</v>
      </c>
      <c r="D201" t="s">
        <v>324</v>
      </c>
      <c r="E201">
        <v>8572</v>
      </c>
      <c r="F201">
        <v>2012</v>
      </c>
      <c r="G201">
        <v>3928</v>
      </c>
      <c r="H201">
        <v>0</v>
      </c>
      <c r="I201">
        <v>463</v>
      </c>
      <c r="J201">
        <v>125</v>
      </c>
      <c r="K201" s="1">
        <v>45778</v>
      </c>
      <c r="L201" t="s">
        <v>17</v>
      </c>
      <c r="M201" t="s">
        <v>18</v>
      </c>
      <c r="N201" s="2">
        <f>IFERROR(NHS_A_E[[#This Row],[T1_Over4hrs]]/NHS_A_E[[#This Row],[T1_Attendances]], 0)</f>
        <v>0.45823611759216054</v>
      </c>
      <c r="O201">
        <f>NHS_A_E[[#This Row],[T1_Attendances]]+NHS_A_E[[#This Row],[Other_Attendances]]</f>
        <v>10584</v>
      </c>
      <c r="P201">
        <f>MATCH(LEFT(A201,FIND("-",A201)-1),{"April","May","June","July","August","September","October","November","December","January","February","March"},0)</f>
        <v>2</v>
      </c>
      <c r="Q201" s="3">
        <f t="shared" si="6"/>
        <v>1.4582361175921606E-2</v>
      </c>
      <c r="R201" t="str">
        <f t="shared" si="7"/>
        <v>May</v>
      </c>
    </row>
    <row r="202" spans="1:18" x14ac:dyDescent="0.35">
      <c r="A202" t="s">
        <v>419</v>
      </c>
      <c r="B202" t="s">
        <v>407</v>
      </c>
      <c r="C202" t="s">
        <v>35</v>
      </c>
      <c r="D202" t="s">
        <v>408</v>
      </c>
      <c r="E202">
        <v>0</v>
      </c>
      <c r="F202">
        <v>0</v>
      </c>
      <c r="G202">
        <v>0</v>
      </c>
      <c r="H202">
        <v>0</v>
      </c>
      <c r="I202">
        <v>0</v>
      </c>
      <c r="J202">
        <v>0</v>
      </c>
      <c r="K202" s="1">
        <v>45778</v>
      </c>
      <c r="L202" t="s">
        <v>17</v>
      </c>
      <c r="M202" t="s">
        <v>18</v>
      </c>
      <c r="N202" s="2">
        <f>IFERROR(NHS_A_E[[#This Row],[T1_Over4hrs]]/NHS_A_E[[#This Row],[T1_Attendances]], 0)</f>
        <v>0</v>
      </c>
      <c r="O202">
        <f>NHS_A_E[[#This Row],[T1_Attendances]]+NHS_A_E[[#This Row],[Other_Attendances]]</f>
        <v>0</v>
      </c>
      <c r="P202">
        <f>MATCH(LEFT(A202,FIND("-",A202)-1),{"April","May","June","July","August","September","October","November","December","January","February","March"},0)</f>
        <v>2</v>
      </c>
      <c r="Q202" s="3">
        <f t="shared" si="6"/>
        <v>0</v>
      </c>
      <c r="R202" t="str">
        <f t="shared" si="7"/>
        <v>May</v>
      </c>
    </row>
    <row r="203" spans="1:18" x14ac:dyDescent="0.35">
      <c r="A203" t="s">
        <v>419</v>
      </c>
      <c r="B203" t="s">
        <v>353</v>
      </c>
      <c r="C203" t="s">
        <v>40</v>
      </c>
      <c r="D203" t="s">
        <v>354</v>
      </c>
      <c r="E203">
        <v>12857</v>
      </c>
      <c r="F203">
        <v>7821</v>
      </c>
      <c r="G203">
        <v>3564</v>
      </c>
      <c r="H203">
        <v>394</v>
      </c>
      <c r="I203">
        <v>1012</v>
      </c>
      <c r="J203">
        <v>383</v>
      </c>
      <c r="K203" s="1">
        <v>45778</v>
      </c>
      <c r="L203" t="s">
        <v>17</v>
      </c>
      <c r="M203" t="s">
        <v>18</v>
      </c>
      <c r="N203" s="2">
        <f>IFERROR(NHS_A_E[[#This Row],[T1_Over4hrs]]/NHS_A_E[[#This Row],[T1_Attendances]], 0)</f>
        <v>0.27720308003422262</v>
      </c>
      <c r="O203">
        <f>NHS_A_E[[#This Row],[T1_Attendances]]+NHS_A_E[[#This Row],[Other_Attendances]]</f>
        <v>20678</v>
      </c>
      <c r="P203">
        <f>MATCH(LEFT(A203,FIND("-",A203)-1),{"April","May","June","July","August","September","October","November","December","January","February","March"},0)</f>
        <v>2</v>
      </c>
      <c r="Q203" s="3">
        <f t="shared" si="6"/>
        <v>2.9789219880220891E-2</v>
      </c>
      <c r="R203" t="str">
        <f t="shared" si="7"/>
        <v>May</v>
      </c>
    </row>
    <row r="204" spans="1:18" x14ac:dyDescent="0.35">
      <c r="A204" t="s">
        <v>419</v>
      </c>
      <c r="B204" t="s">
        <v>351</v>
      </c>
      <c r="C204" t="s">
        <v>63</v>
      </c>
      <c r="D204" t="s">
        <v>352</v>
      </c>
      <c r="E204">
        <v>9285</v>
      </c>
      <c r="F204">
        <v>7632</v>
      </c>
      <c r="G204">
        <v>5091</v>
      </c>
      <c r="H204">
        <v>86</v>
      </c>
      <c r="I204">
        <v>740</v>
      </c>
      <c r="J204">
        <v>796</v>
      </c>
      <c r="K204" s="1">
        <v>45778</v>
      </c>
      <c r="L204" t="s">
        <v>17</v>
      </c>
      <c r="M204" t="s">
        <v>18</v>
      </c>
      <c r="N204" s="2">
        <f>IFERROR(NHS_A_E[[#This Row],[T1_Over4hrs]]/NHS_A_E[[#This Row],[T1_Attendances]], 0)</f>
        <v>0.54830371567043623</v>
      </c>
      <c r="O204">
        <f>NHS_A_E[[#This Row],[T1_Attendances]]+NHS_A_E[[#This Row],[Other_Attendances]]</f>
        <v>16917</v>
      </c>
      <c r="P204">
        <f>MATCH(LEFT(A204,FIND("-",A204)-1),{"April","May","June","July","August","September","October","November","December","January","February","March"},0)</f>
        <v>2</v>
      </c>
      <c r="Q204" s="3">
        <f t="shared" si="6"/>
        <v>8.5729671513193328E-2</v>
      </c>
      <c r="R204" t="str">
        <f t="shared" si="7"/>
        <v>May</v>
      </c>
    </row>
    <row r="205" spans="1:18" x14ac:dyDescent="0.35">
      <c r="A205" t="s">
        <v>419</v>
      </c>
      <c r="B205" t="s">
        <v>39</v>
      </c>
      <c r="C205" t="s">
        <v>40</v>
      </c>
      <c r="D205" t="s">
        <v>41</v>
      </c>
      <c r="E205">
        <v>14521</v>
      </c>
      <c r="F205">
        <v>9125</v>
      </c>
      <c r="G205">
        <v>7254</v>
      </c>
      <c r="H205">
        <v>61</v>
      </c>
      <c r="I205">
        <v>1020</v>
      </c>
      <c r="J205">
        <v>857</v>
      </c>
      <c r="K205" s="1">
        <v>45778</v>
      </c>
      <c r="L205" t="s">
        <v>17</v>
      </c>
      <c r="M205" t="s">
        <v>18</v>
      </c>
      <c r="N205" s="2">
        <f>IFERROR(NHS_A_E[[#This Row],[T1_Over4hrs]]/NHS_A_E[[#This Row],[T1_Attendances]], 0)</f>
        <v>0.49955237242614148</v>
      </c>
      <c r="O205">
        <f>NHS_A_E[[#This Row],[T1_Attendances]]+NHS_A_E[[#This Row],[Other_Attendances]]</f>
        <v>23646</v>
      </c>
      <c r="P205">
        <f>MATCH(LEFT(A205,FIND("-",A205)-1),{"April","May","June","July","August","September","October","November","December","January","February","March"},0)</f>
        <v>2</v>
      </c>
      <c r="Q205" s="3">
        <f t="shared" si="6"/>
        <v>5.9017973968734934E-2</v>
      </c>
      <c r="R205" t="str">
        <f t="shared" si="7"/>
        <v>May</v>
      </c>
    </row>
    <row r="206" spans="1:18" x14ac:dyDescent="0.35">
      <c r="A206" t="s">
        <v>419</v>
      </c>
      <c r="B206" t="s">
        <v>399</v>
      </c>
      <c r="C206" t="s">
        <v>40</v>
      </c>
      <c r="D206" t="s">
        <v>400</v>
      </c>
      <c r="E206">
        <v>8577</v>
      </c>
      <c r="F206">
        <v>404</v>
      </c>
      <c r="G206">
        <v>2589</v>
      </c>
      <c r="H206">
        <v>0</v>
      </c>
      <c r="I206">
        <v>374</v>
      </c>
      <c r="J206">
        <v>76</v>
      </c>
      <c r="K206" s="1">
        <v>45778</v>
      </c>
      <c r="L206" t="s">
        <v>17</v>
      </c>
      <c r="M206" t="s">
        <v>18</v>
      </c>
      <c r="N206" s="2">
        <f>IFERROR(NHS_A_E[[#This Row],[T1_Over4hrs]]/NHS_A_E[[#This Row],[T1_Attendances]], 0)</f>
        <v>0.3018537950332284</v>
      </c>
      <c r="O206">
        <f>NHS_A_E[[#This Row],[T1_Attendances]]+NHS_A_E[[#This Row],[Other_Attendances]]</f>
        <v>8981</v>
      </c>
      <c r="P206">
        <f>MATCH(LEFT(A206,FIND("-",A206)-1),{"April","May","June","July","August","September","October","November","December","January","February","March"},0)</f>
        <v>2</v>
      </c>
      <c r="Q206" s="3">
        <f t="shared" si="6"/>
        <v>8.8609070770665731E-3</v>
      </c>
      <c r="R206" t="str">
        <f t="shared" si="7"/>
        <v>May</v>
      </c>
    </row>
    <row r="207" spans="1:18" x14ac:dyDescent="0.35">
      <c r="A207" t="s">
        <v>419</v>
      </c>
      <c r="B207" t="s">
        <v>271</v>
      </c>
      <c r="C207" t="s">
        <v>30</v>
      </c>
      <c r="D207" t="s">
        <v>272</v>
      </c>
      <c r="E207">
        <v>0</v>
      </c>
      <c r="F207">
        <v>13831</v>
      </c>
      <c r="G207">
        <v>0</v>
      </c>
      <c r="H207">
        <v>132</v>
      </c>
      <c r="I207">
        <v>0</v>
      </c>
      <c r="J207">
        <v>0</v>
      </c>
      <c r="K207" s="1">
        <v>45778</v>
      </c>
      <c r="L207" t="s">
        <v>17</v>
      </c>
      <c r="M207" t="s">
        <v>18</v>
      </c>
      <c r="N207" s="2">
        <f>IFERROR(NHS_A_E[[#This Row],[T1_Over4hrs]]/NHS_A_E[[#This Row],[T1_Attendances]], 0)</f>
        <v>0</v>
      </c>
      <c r="O207">
        <f>NHS_A_E[[#This Row],[T1_Attendances]]+NHS_A_E[[#This Row],[Other_Attendances]]</f>
        <v>13831</v>
      </c>
      <c r="P207">
        <f>MATCH(LEFT(A207,FIND("-",A207)-1),{"April","May","June","July","August","September","October","November","December","January","February","March"},0)</f>
        <v>2</v>
      </c>
      <c r="Q207" s="3">
        <f t="shared" si="6"/>
        <v>0</v>
      </c>
      <c r="R207" t="str">
        <f t="shared" si="7"/>
        <v>May</v>
      </c>
    </row>
    <row r="208" spans="1:18" x14ac:dyDescent="0.35">
      <c r="A208" t="s">
        <v>419</v>
      </c>
      <c r="B208" t="s">
        <v>27</v>
      </c>
      <c r="C208" t="s">
        <v>20</v>
      </c>
      <c r="D208" t="s">
        <v>28</v>
      </c>
      <c r="E208">
        <v>7244</v>
      </c>
      <c r="F208">
        <v>13592</v>
      </c>
      <c r="G208">
        <v>3689</v>
      </c>
      <c r="H208">
        <v>828</v>
      </c>
      <c r="I208">
        <v>612</v>
      </c>
      <c r="J208">
        <v>487</v>
      </c>
      <c r="K208" s="1">
        <v>45778</v>
      </c>
      <c r="L208" t="s">
        <v>17</v>
      </c>
      <c r="M208" t="s">
        <v>18</v>
      </c>
      <c r="N208" s="2">
        <f>IFERROR(NHS_A_E[[#This Row],[T1_Over4hrs]]/NHS_A_E[[#This Row],[T1_Attendances]], 0)</f>
        <v>0.50924903368304808</v>
      </c>
      <c r="O208">
        <f>NHS_A_E[[#This Row],[T1_Attendances]]+NHS_A_E[[#This Row],[Other_Attendances]]</f>
        <v>20836</v>
      </c>
      <c r="P208">
        <f>MATCH(LEFT(A208,FIND("-",A208)-1),{"April","May","June","July","August","September","October","November","December","January","February","March"},0)</f>
        <v>2</v>
      </c>
      <c r="Q208" s="3">
        <f t="shared" si="6"/>
        <v>6.7228050800662617E-2</v>
      </c>
      <c r="R208" t="str">
        <f t="shared" si="7"/>
        <v>May</v>
      </c>
    </row>
    <row r="209" spans="1:18" x14ac:dyDescent="0.35">
      <c r="A209" t="s">
        <v>419</v>
      </c>
      <c r="B209" t="s">
        <v>389</v>
      </c>
      <c r="C209" t="s">
        <v>20</v>
      </c>
      <c r="D209" t="s">
        <v>390</v>
      </c>
      <c r="E209">
        <v>4522</v>
      </c>
      <c r="F209">
        <v>0</v>
      </c>
      <c r="G209">
        <v>1479</v>
      </c>
      <c r="H209">
        <v>0</v>
      </c>
      <c r="I209">
        <v>231</v>
      </c>
      <c r="J209">
        <v>23</v>
      </c>
      <c r="K209" s="1">
        <v>45778</v>
      </c>
      <c r="L209" t="s">
        <v>17</v>
      </c>
      <c r="M209" t="s">
        <v>18</v>
      </c>
      <c r="N209" s="2">
        <f>IFERROR(NHS_A_E[[#This Row],[T1_Over4hrs]]/NHS_A_E[[#This Row],[T1_Attendances]], 0)</f>
        <v>0.32706766917293234</v>
      </c>
      <c r="O209">
        <f>NHS_A_E[[#This Row],[T1_Attendances]]+NHS_A_E[[#This Row],[Other_Attendances]]</f>
        <v>4522</v>
      </c>
      <c r="P209">
        <f>MATCH(LEFT(A209,FIND("-",A209)-1),{"April","May","June","July","August","September","October","November","December","January","February","March"},0)</f>
        <v>2</v>
      </c>
      <c r="Q209" s="3">
        <f t="shared" si="6"/>
        <v>5.0862450243255196E-3</v>
      </c>
      <c r="R209" t="str">
        <f t="shared" si="7"/>
        <v>May</v>
      </c>
    </row>
    <row r="210" spans="1:18" x14ac:dyDescent="0.35">
      <c r="A210" t="s">
        <v>419</v>
      </c>
      <c r="B210" t="s">
        <v>301</v>
      </c>
      <c r="C210" t="s">
        <v>30</v>
      </c>
      <c r="D210" t="s">
        <v>302</v>
      </c>
      <c r="E210">
        <v>0</v>
      </c>
      <c r="F210">
        <v>4576</v>
      </c>
      <c r="G210">
        <v>0</v>
      </c>
      <c r="H210">
        <v>307</v>
      </c>
      <c r="I210">
        <v>0</v>
      </c>
      <c r="J210">
        <v>0</v>
      </c>
      <c r="K210" s="1">
        <v>45778</v>
      </c>
      <c r="L210" t="s">
        <v>17</v>
      </c>
      <c r="M210" t="s">
        <v>18</v>
      </c>
      <c r="N210" s="2">
        <f>IFERROR(NHS_A_E[[#This Row],[T1_Over4hrs]]/NHS_A_E[[#This Row],[T1_Attendances]], 0)</f>
        <v>0</v>
      </c>
      <c r="O210">
        <f>NHS_A_E[[#This Row],[T1_Attendances]]+NHS_A_E[[#This Row],[Other_Attendances]]</f>
        <v>4576</v>
      </c>
      <c r="P210">
        <f>MATCH(LEFT(A210,FIND("-",A210)-1),{"April","May","June","July","August","September","October","November","December","January","February","March"},0)</f>
        <v>2</v>
      </c>
      <c r="Q210" s="3">
        <f t="shared" si="6"/>
        <v>0</v>
      </c>
      <c r="R210" t="str">
        <f t="shared" si="7"/>
        <v>May</v>
      </c>
    </row>
    <row r="211" spans="1:18" x14ac:dyDescent="0.35">
      <c r="A211" t="s">
        <v>419</v>
      </c>
      <c r="B211" t="s">
        <v>333</v>
      </c>
      <c r="C211" t="s">
        <v>30</v>
      </c>
      <c r="D211" t="s">
        <v>334</v>
      </c>
      <c r="E211">
        <v>25682</v>
      </c>
      <c r="F211">
        <v>12283</v>
      </c>
      <c r="G211">
        <v>10832</v>
      </c>
      <c r="H211">
        <v>660</v>
      </c>
      <c r="I211">
        <v>2893</v>
      </c>
      <c r="J211">
        <v>106</v>
      </c>
      <c r="K211" s="1">
        <v>45778</v>
      </c>
      <c r="L211" t="s">
        <v>17</v>
      </c>
      <c r="M211" t="s">
        <v>18</v>
      </c>
      <c r="N211" s="2">
        <f>IFERROR(NHS_A_E[[#This Row],[T1_Over4hrs]]/NHS_A_E[[#This Row],[T1_Attendances]], 0)</f>
        <v>0.42177400513978663</v>
      </c>
      <c r="O211">
        <f>NHS_A_E[[#This Row],[T1_Attendances]]+NHS_A_E[[#This Row],[Other_Attendances]]</f>
        <v>37965</v>
      </c>
      <c r="P211">
        <f>MATCH(LEFT(A211,FIND("-",A211)-1),{"April","May","June","July","August","September","October","November","December","January","February","March"},0)</f>
        <v>2</v>
      </c>
      <c r="Q211" s="3">
        <f t="shared" si="6"/>
        <v>4.1274044077564053E-3</v>
      </c>
      <c r="R211" t="str">
        <f t="shared" si="7"/>
        <v>May</v>
      </c>
    </row>
    <row r="212" spans="1:18" x14ac:dyDescent="0.35">
      <c r="A212" t="s">
        <v>419</v>
      </c>
      <c r="B212" t="s">
        <v>385</v>
      </c>
      <c r="C212" t="s">
        <v>20</v>
      </c>
      <c r="D212" t="s">
        <v>386</v>
      </c>
      <c r="E212">
        <v>0</v>
      </c>
      <c r="F212">
        <v>9490</v>
      </c>
      <c r="G212">
        <v>0</v>
      </c>
      <c r="H212">
        <v>504</v>
      </c>
      <c r="I212">
        <v>0</v>
      </c>
      <c r="J212">
        <v>0</v>
      </c>
      <c r="K212" s="1">
        <v>45778</v>
      </c>
      <c r="L212" t="s">
        <v>17</v>
      </c>
      <c r="M212" t="s">
        <v>18</v>
      </c>
      <c r="N212" s="2">
        <f>IFERROR(NHS_A_E[[#This Row],[T1_Over4hrs]]/NHS_A_E[[#This Row],[T1_Attendances]], 0)</f>
        <v>0</v>
      </c>
      <c r="O212">
        <f>NHS_A_E[[#This Row],[T1_Attendances]]+NHS_A_E[[#This Row],[Other_Attendances]]</f>
        <v>9490</v>
      </c>
      <c r="P212">
        <f>MATCH(LEFT(A212,FIND("-",A212)-1),{"April","May","June","July","August","September","October","November","December","January","February","March"},0)</f>
        <v>2</v>
      </c>
      <c r="Q212" s="3">
        <f t="shared" si="6"/>
        <v>0</v>
      </c>
      <c r="R212" t="str">
        <f t="shared" si="7"/>
        <v>May</v>
      </c>
    </row>
    <row r="213" spans="1:18" x14ac:dyDescent="0.35">
      <c r="A213" t="s">
        <v>419</v>
      </c>
      <c r="B213" t="s">
        <v>397</v>
      </c>
      <c r="C213" t="s">
        <v>63</v>
      </c>
      <c r="D213" t="s">
        <v>398</v>
      </c>
      <c r="E213">
        <v>0</v>
      </c>
      <c r="F213">
        <v>442</v>
      </c>
      <c r="G213">
        <v>0</v>
      </c>
      <c r="H213">
        <v>0</v>
      </c>
      <c r="I213">
        <v>0</v>
      </c>
      <c r="J213">
        <v>0</v>
      </c>
      <c r="K213" s="1">
        <v>45778</v>
      </c>
      <c r="L213" t="s">
        <v>17</v>
      </c>
      <c r="M213" t="s">
        <v>18</v>
      </c>
      <c r="N213" s="2">
        <f>IFERROR(NHS_A_E[[#This Row],[T1_Over4hrs]]/NHS_A_E[[#This Row],[T1_Attendances]], 0)</f>
        <v>0</v>
      </c>
      <c r="O213">
        <f>NHS_A_E[[#This Row],[T1_Attendances]]+NHS_A_E[[#This Row],[Other_Attendances]]</f>
        <v>442</v>
      </c>
      <c r="P213">
        <f>MATCH(LEFT(A213,FIND("-",A213)-1),{"April","May","June","July","August","September","October","November","December","January","February","March"},0)</f>
        <v>2</v>
      </c>
      <c r="Q213" s="3">
        <f t="shared" si="6"/>
        <v>0</v>
      </c>
      <c r="R213" t="str">
        <f t="shared" si="7"/>
        <v>May</v>
      </c>
    </row>
    <row r="214" spans="1:18" x14ac:dyDescent="0.35">
      <c r="A214" t="s">
        <v>419</v>
      </c>
      <c r="B214" t="s">
        <v>363</v>
      </c>
      <c r="C214" t="s">
        <v>40</v>
      </c>
      <c r="D214" t="s">
        <v>364</v>
      </c>
      <c r="E214">
        <v>13949</v>
      </c>
      <c r="F214">
        <v>6564</v>
      </c>
      <c r="G214">
        <v>7070</v>
      </c>
      <c r="H214">
        <v>96</v>
      </c>
      <c r="I214">
        <v>693</v>
      </c>
      <c r="J214">
        <v>819</v>
      </c>
      <c r="K214" s="1">
        <v>45778</v>
      </c>
      <c r="L214" t="s">
        <v>17</v>
      </c>
      <c r="M214" t="s">
        <v>18</v>
      </c>
      <c r="N214" s="2">
        <f>IFERROR(NHS_A_E[[#This Row],[T1_Over4hrs]]/NHS_A_E[[#This Row],[T1_Attendances]], 0)</f>
        <v>0.50684636891533441</v>
      </c>
      <c r="O214">
        <f>NHS_A_E[[#This Row],[T1_Attendances]]+NHS_A_E[[#This Row],[Other_Attendances]]</f>
        <v>20513</v>
      </c>
      <c r="P214">
        <f>MATCH(LEFT(A214,FIND("-",A214)-1),{"April","May","June","July","August","September","October","November","December","January","February","March"},0)</f>
        <v>2</v>
      </c>
      <c r="Q214" s="3">
        <f t="shared" si="6"/>
        <v>5.8713886300093193E-2</v>
      </c>
      <c r="R214" t="str">
        <f t="shared" si="7"/>
        <v>May</v>
      </c>
    </row>
    <row r="215" spans="1:18" x14ac:dyDescent="0.35">
      <c r="A215" t="s">
        <v>419</v>
      </c>
      <c r="B215" t="s">
        <v>121</v>
      </c>
      <c r="C215" t="s">
        <v>15</v>
      </c>
      <c r="D215" t="s">
        <v>122</v>
      </c>
      <c r="E215">
        <v>7315</v>
      </c>
      <c r="F215">
        <v>3197</v>
      </c>
      <c r="G215">
        <v>3562</v>
      </c>
      <c r="H215">
        <v>33</v>
      </c>
      <c r="I215">
        <v>636</v>
      </c>
      <c r="J215">
        <v>145</v>
      </c>
      <c r="K215" s="1">
        <v>45778</v>
      </c>
      <c r="L215" t="s">
        <v>17</v>
      </c>
      <c r="M215" t="s">
        <v>18</v>
      </c>
      <c r="N215" s="2">
        <f>IFERROR(NHS_A_E[[#This Row],[T1_Over4hrs]]/NHS_A_E[[#This Row],[T1_Attendances]], 0)</f>
        <v>0.48694463431305535</v>
      </c>
      <c r="O215">
        <f>NHS_A_E[[#This Row],[T1_Attendances]]+NHS_A_E[[#This Row],[Other_Attendances]]</f>
        <v>10512</v>
      </c>
      <c r="P215">
        <f>MATCH(LEFT(A215,FIND("-",A215)-1),{"April","May","June","July","August","September","October","November","December","January","February","March"},0)</f>
        <v>2</v>
      </c>
      <c r="Q215" s="3">
        <f t="shared" si="6"/>
        <v>1.9822282980177717E-2</v>
      </c>
      <c r="R215" t="str">
        <f t="shared" si="7"/>
        <v>May</v>
      </c>
    </row>
    <row r="216" spans="1:18" x14ac:dyDescent="0.35">
      <c r="A216" t="s">
        <v>419</v>
      </c>
      <c r="B216" t="s">
        <v>155</v>
      </c>
      <c r="C216" t="s">
        <v>15</v>
      </c>
      <c r="D216" t="s">
        <v>156</v>
      </c>
      <c r="E216">
        <v>12073</v>
      </c>
      <c r="F216">
        <v>1713</v>
      </c>
      <c r="G216">
        <v>4572</v>
      </c>
      <c r="H216">
        <v>0</v>
      </c>
      <c r="I216">
        <v>584</v>
      </c>
      <c r="J216">
        <v>31</v>
      </c>
      <c r="K216" s="1">
        <v>45778</v>
      </c>
      <c r="L216" t="s">
        <v>17</v>
      </c>
      <c r="M216" t="s">
        <v>18</v>
      </c>
      <c r="N216" s="2">
        <f>IFERROR(NHS_A_E[[#This Row],[T1_Over4hrs]]/NHS_A_E[[#This Row],[T1_Attendances]], 0)</f>
        <v>0.37869626439161763</v>
      </c>
      <c r="O216">
        <f>NHS_A_E[[#This Row],[T1_Attendances]]+NHS_A_E[[#This Row],[Other_Attendances]]</f>
        <v>13786</v>
      </c>
      <c r="P216">
        <f>MATCH(LEFT(A216,FIND("-",A216)-1),{"April","May","June","July","August","September","October","November","December","January","February","March"},0)</f>
        <v>2</v>
      </c>
      <c r="Q216" s="3">
        <f t="shared" si="6"/>
        <v>2.5677130787708107E-3</v>
      </c>
      <c r="R216" t="str">
        <f t="shared" si="7"/>
        <v>May</v>
      </c>
    </row>
    <row r="217" spans="1:18" x14ac:dyDescent="0.35">
      <c r="A217" t="s">
        <v>419</v>
      </c>
      <c r="B217" t="s">
        <v>101</v>
      </c>
      <c r="C217" t="s">
        <v>63</v>
      </c>
      <c r="D217" t="s">
        <v>102</v>
      </c>
      <c r="E217">
        <v>9248</v>
      </c>
      <c r="F217">
        <v>0</v>
      </c>
      <c r="G217">
        <v>2903</v>
      </c>
      <c r="H217">
        <v>0</v>
      </c>
      <c r="I217">
        <v>357</v>
      </c>
      <c r="J217">
        <v>1</v>
      </c>
      <c r="K217" s="1">
        <v>45778</v>
      </c>
      <c r="L217" t="s">
        <v>17</v>
      </c>
      <c r="M217" t="s">
        <v>18</v>
      </c>
      <c r="N217" s="2">
        <f>IFERROR(NHS_A_E[[#This Row],[T1_Over4hrs]]/NHS_A_E[[#This Row],[T1_Attendances]], 0)</f>
        <v>0.31390570934256057</v>
      </c>
      <c r="O217">
        <f>NHS_A_E[[#This Row],[T1_Attendances]]+NHS_A_E[[#This Row],[Other_Attendances]]</f>
        <v>9248</v>
      </c>
      <c r="P217">
        <f>MATCH(LEFT(A217,FIND("-",A217)-1),{"April","May","June","July","August","September","October","November","December","January","February","March"},0)</f>
        <v>2</v>
      </c>
      <c r="Q217" s="3">
        <f t="shared" si="6"/>
        <v>1.0813148788927336E-4</v>
      </c>
      <c r="R217" t="str">
        <f t="shared" si="7"/>
        <v>May</v>
      </c>
    </row>
    <row r="218" spans="1:18" x14ac:dyDescent="0.35">
      <c r="A218" t="s">
        <v>419</v>
      </c>
      <c r="B218" t="s">
        <v>97</v>
      </c>
      <c r="C218" t="s">
        <v>15</v>
      </c>
      <c r="D218" t="s">
        <v>98</v>
      </c>
      <c r="E218">
        <v>23038</v>
      </c>
      <c r="F218">
        <v>12588</v>
      </c>
      <c r="G218">
        <v>9511</v>
      </c>
      <c r="H218">
        <v>453</v>
      </c>
      <c r="I218">
        <v>1843</v>
      </c>
      <c r="J218">
        <v>323</v>
      </c>
      <c r="K218" s="1">
        <v>45778</v>
      </c>
      <c r="L218" t="s">
        <v>17</v>
      </c>
      <c r="M218" t="s">
        <v>18</v>
      </c>
      <c r="N218" s="2">
        <f>IFERROR(NHS_A_E[[#This Row],[T1_Over4hrs]]/NHS_A_E[[#This Row],[T1_Attendances]], 0)</f>
        <v>0.412839656220158</v>
      </c>
      <c r="O218">
        <f>NHS_A_E[[#This Row],[T1_Attendances]]+NHS_A_E[[#This Row],[Other_Attendances]]</f>
        <v>35626</v>
      </c>
      <c r="P218">
        <f>MATCH(LEFT(A218,FIND("-",A218)-1),{"April","May","June","July","August","September","October","November","December","January","February","March"},0)</f>
        <v>2</v>
      </c>
      <c r="Q218" s="3">
        <f t="shared" si="6"/>
        <v>1.4020314263390919E-2</v>
      </c>
      <c r="R218" t="str">
        <f t="shared" si="7"/>
        <v>May</v>
      </c>
    </row>
    <row r="219" spans="1:18" x14ac:dyDescent="0.35">
      <c r="A219" t="s">
        <v>419</v>
      </c>
      <c r="B219" t="s">
        <v>85</v>
      </c>
      <c r="C219" t="s">
        <v>63</v>
      </c>
      <c r="D219" t="s">
        <v>86</v>
      </c>
      <c r="E219">
        <v>9416</v>
      </c>
      <c r="F219">
        <v>3475</v>
      </c>
      <c r="G219">
        <v>2417</v>
      </c>
      <c r="H219">
        <v>0</v>
      </c>
      <c r="I219">
        <v>719</v>
      </c>
      <c r="J219">
        <v>49</v>
      </c>
      <c r="K219" s="1">
        <v>45778</v>
      </c>
      <c r="L219" t="s">
        <v>17</v>
      </c>
      <c r="M219" t="s">
        <v>18</v>
      </c>
      <c r="N219" s="2">
        <f>IFERROR(NHS_A_E[[#This Row],[T1_Over4hrs]]/NHS_A_E[[#This Row],[T1_Attendances]], 0)</f>
        <v>0.25669073916737467</v>
      </c>
      <c r="O219">
        <f>NHS_A_E[[#This Row],[T1_Attendances]]+NHS_A_E[[#This Row],[Other_Attendances]]</f>
        <v>12891</v>
      </c>
      <c r="P219">
        <f>MATCH(LEFT(A219,FIND("-",A219)-1),{"April","May","June","July","August","September","October","November","December","January","February","March"},0)</f>
        <v>2</v>
      </c>
      <c r="Q219" s="3">
        <f t="shared" si="6"/>
        <v>5.2039082412914193E-3</v>
      </c>
      <c r="R219" t="str">
        <f t="shared" si="7"/>
        <v>May</v>
      </c>
    </row>
    <row r="220" spans="1:18" x14ac:dyDescent="0.35">
      <c r="A220" t="s">
        <v>419</v>
      </c>
      <c r="B220" t="s">
        <v>177</v>
      </c>
      <c r="C220" t="s">
        <v>63</v>
      </c>
      <c r="D220" t="s">
        <v>178</v>
      </c>
      <c r="E220">
        <v>9636</v>
      </c>
      <c r="F220">
        <v>4518</v>
      </c>
      <c r="G220">
        <v>5515</v>
      </c>
      <c r="H220">
        <v>685</v>
      </c>
      <c r="I220">
        <v>1035</v>
      </c>
      <c r="J220">
        <v>467</v>
      </c>
      <c r="K220" s="1">
        <v>45778</v>
      </c>
      <c r="L220" t="s">
        <v>17</v>
      </c>
      <c r="M220" t="s">
        <v>18</v>
      </c>
      <c r="N220" s="2">
        <f>IFERROR(NHS_A_E[[#This Row],[T1_Over4hrs]]/NHS_A_E[[#This Row],[T1_Attendances]], 0)</f>
        <v>0.57233291822332921</v>
      </c>
      <c r="O220">
        <f>NHS_A_E[[#This Row],[T1_Attendances]]+NHS_A_E[[#This Row],[Other_Attendances]]</f>
        <v>14154</v>
      </c>
      <c r="P220">
        <f>MATCH(LEFT(A220,FIND("-",A220)-1),{"April","May","June","July","August","September","October","November","December","January","February","March"},0)</f>
        <v>2</v>
      </c>
      <c r="Q220" s="3">
        <f t="shared" si="6"/>
        <v>4.8464092984640932E-2</v>
      </c>
      <c r="R220" t="str">
        <f t="shared" si="7"/>
        <v>May</v>
      </c>
    </row>
    <row r="221" spans="1:18" x14ac:dyDescent="0.35">
      <c r="A221" t="s">
        <v>419</v>
      </c>
      <c r="B221" t="s">
        <v>371</v>
      </c>
      <c r="C221" t="s">
        <v>35</v>
      </c>
      <c r="D221" t="s">
        <v>372</v>
      </c>
      <c r="E221">
        <v>6146</v>
      </c>
      <c r="F221">
        <v>7001</v>
      </c>
      <c r="G221">
        <v>2946</v>
      </c>
      <c r="H221">
        <v>74</v>
      </c>
      <c r="I221">
        <v>482</v>
      </c>
      <c r="J221">
        <v>58</v>
      </c>
      <c r="K221" s="1">
        <v>45778</v>
      </c>
      <c r="L221" t="s">
        <v>17</v>
      </c>
      <c r="M221" t="s">
        <v>18</v>
      </c>
      <c r="N221" s="2">
        <f>IFERROR(NHS_A_E[[#This Row],[T1_Over4hrs]]/NHS_A_E[[#This Row],[T1_Attendances]], 0)</f>
        <v>0.4793361535958347</v>
      </c>
      <c r="O221">
        <f>NHS_A_E[[#This Row],[T1_Attendances]]+NHS_A_E[[#This Row],[Other_Attendances]]</f>
        <v>13147</v>
      </c>
      <c r="P221">
        <f>MATCH(LEFT(A221,FIND("-",A221)-1),{"April","May","June","July","August","September","October","November","December","January","February","March"},0)</f>
        <v>2</v>
      </c>
      <c r="Q221" s="3">
        <f t="shared" si="6"/>
        <v>9.4370322160754957E-3</v>
      </c>
      <c r="R221" t="str">
        <f t="shared" si="7"/>
        <v>May</v>
      </c>
    </row>
    <row r="222" spans="1:18" x14ac:dyDescent="0.35">
      <c r="A222" t="s">
        <v>419</v>
      </c>
      <c r="B222" t="s">
        <v>325</v>
      </c>
      <c r="C222" t="s">
        <v>40</v>
      </c>
      <c r="D222" t="s">
        <v>326</v>
      </c>
      <c r="E222">
        <v>0</v>
      </c>
      <c r="F222">
        <v>8967</v>
      </c>
      <c r="G222">
        <v>0</v>
      </c>
      <c r="H222">
        <v>214</v>
      </c>
      <c r="I222">
        <v>0</v>
      </c>
      <c r="J222">
        <v>0</v>
      </c>
      <c r="K222" s="1">
        <v>45778</v>
      </c>
      <c r="L222" t="s">
        <v>17</v>
      </c>
      <c r="M222" t="s">
        <v>18</v>
      </c>
      <c r="N222" s="2">
        <f>IFERROR(NHS_A_E[[#This Row],[T1_Over4hrs]]/NHS_A_E[[#This Row],[T1_Attendances]], 0)</f>
        <v>0</v>
      </c>
      <c r="O222">
        <f>NHS_A_E[[#This Row],[T1_Attendances]]+NHS_A_E[[#This Row],[Other_Attendances]]</f>
        <v>8967</v>
      </c>
      <c r="P222">
        <f>MATCH(LEFT(A222,FIND("-",A222)-1),{"April","May","June","July","August","September","October","November","December","January","February","March"},0)</f>
        <v>2</v>
      </c>
      <c r="Q222" s="3">
        <f t="shared" si="6"/>
        <v>0</v>
      </c>
      <c r="R222" t="str">
        <f t="shared" si="7"/>
        <v>May</v>
      </c>
    </row>
    <row r="223" spans="1:18" x14ac:dyDescent="0.35">
      <c r="A223" t="s">
        <v>419</v>
      </c>
      <c r="B223" t="s">
        <v>129</v>
      </c>
      <c r="C223" t="s">
        <v>63</v>
      </c>
      <c r="D223" t="s">
        <v>130</v>
      </c>
      <c r="E223">
        <v>13955</v>
      </c>
      <c r="F223">
        <v>4362</v>
      </c>
      <c r="G223">
        <v>4718</v>
      </c>
      <c r="H223">
        <v>46</v>
      </c>
      <c r="I223">
        <v>1100</v>
      </c>
      <c r="J223">
        <v>113</v>
      </c>
      <c r="K223" s="1">
        <v>45778</v>
      </c>
      <c r="L223" t="s">
        <v>17</v>
      </c>
      <c r="M223" t="s">
        <v>18</v>
      </c>
      <c r="N223" s="2">
        <f>IFERROR(NHS_A_E[[#This Row],[T1_Over4hrs]]/NHS_A_E[[#This Row],[T1_Attendances]], 0)</f>
        <v>0.33808670727337869</v>
      </c>
      <c r="O223">
        <f>NHS_A_E[[#This Row],[T1_Attendances]]+NHS_A_E[[#This Row],[Other_Attendances]]</f>
        <v>18317</v>
      </c>
      <c r="P223">
        <f>MATCH(LEFT(A223,FIND("-",A223)-1),{"April","May","June","July","August","September","October","November","December","January","February","March"},0)</f>
        <v>2</v>
      </c>
      <c r="Q223" s="3">
        <f t="shared" si="6"/>
        <v>8.0974561089215327E-3</v>
      </c>
      <c r="R223" t="str">
        <f t="shared" si="7"/>
        <v>May</v>
      </c>
    </row>
    <row r="224" spans="1:18" x14ac:dyDescent="0.35">
      <c r="A224" t="s">
        <v>419</v>
      </c>
      <c r="B224" t="s">
        <v>163</v>
      </c>
      <c r="C224" t="s">
        <v>35</v>
      </c>
      <c r="D224" t="s">
        <v>164</v>
      </c>
      <c r="E224">
        <v>0</v>
      </c>
      <c r="F224">
        <v>3726</v>
      </c>
      <c r="G224">
        <v>0</v>
      </c>
      <c r="H224">
        <v>20</v>
      </c>
      <c r="I224">
        <v>0</v>
      </c>
      <c r="J224">
        <v>0</v>
      </c>
      <c r="K224" s="1">
        <v>45778</v>
      </c>
      <c r="L224" t="s">
        <v>17</v>
      </c>
      <c r="M224" t="s">
        <v>18</v>
      </c>
      <c r="N224" s="2">
        <f>IFERROR(NHS_A_E[[#This Row],[T1_Over4hrs]]/NHS_A_E[[#This Row],[T1_Attendances]], 0)</f>
        <v>0</v>
      </c>
      <c r="O224">
        <f>NHS_A_E[[#This Row],[T1_Attendances]]+NHS_A_E[[#This Row],[Other_Attendances]]</f>
        <v>3726</v>
      </c>
      <c r="P224">
        <f>MATCH(LEFT(A224,FIND("-",A224)-1),{"April","May","June","July","August","September","October","November","December","January","February","March"},0)</f>
        <v>2</v>
      </c>
      <c r="Q224" s="3">
        <f t="shared" si="6"/>
        <v>0</v>
      </c>
      <c r="R224" t="str">
        <f t="shared" si="7"/>
        <v>May</v>
      </c>
    </row>
    <row r="225" spans="1:18" x14ac:dyDescent="0.35">
      <c r="A225" t="s">
        <v>419</v>
      </c>
      <c r="B225" t="s">
        <v>73</v>
      </c>
      <c r="C225" t="s">
        <v>15</v>
      </c>
      <c r="D225" t="s">
        <v>74</v>
      </c>
      <c r="E225">
        <v>4389</v>
      </c>
      <c r="F225">
        <v>1654</v>
      </c>
      <c r="G225">
        <v>1709</v>
      </c>
      <c r="H225">
        <v>0</v>
      </c>
      <c r="I225">
        <v>268</v>
      </c>
      <c r="J225">
        <v>96</v>
      </c>
      <c r="K225" s="1">
        <v>45778</v>
      </c>
      <c r="L225" t="s">
        <v>17</v>
      </c>
      <c r="M225" t="s">
        <v>18</v>
      </c>
      <c r="N225" s="2">
        <f>IFERROR(NHS_A_E[[#This Row],[T1_Over4hrs]]/NHS_A_E[[#This Row],[T1_Attendances]], 0)</f>
        <v>0.38938254727728411</v>
      </c>
      <c r="O225">
        <f>NHS_A_E[[#This Row],[T1_Attendances]]+NHS_A_E[[#This Row],[Other_Attendances]]</f>
        <v>6043</v>
      </c>
      <c r="P225">
        <f>MATCH(LEFT(A225,FIND("-",A225)-1),{"April","May","June","July","August","September","October","November","December","January","February","March"},0)</f>
        <v>2</v>
      </c>
      <c r="Q225" s="3">
        <f t="shared" si="6"/>
        <v>2.1872863978127138E-2</v>
      </c>
      <c r="R225" t="str">
        <f t="shared" si="7"/>
        <v>May</v>
      </c>
    </row>
    <row r="226" spans="1:18" x14ac:dyDescent="0.35">
      <c r="A226" t="s">
        <v>419</v>
      </c>
      <c r="B226" t="s">
        <v>361</v>
      </c>
      <c r="C226" t="s">
        <v>40</v>
      </c>
      <c r="D226" t="s">
        <v>362</v>
      </c>
      <c r="E226">
        <v>10011</v>
      </c>
      <c r="F226">
        <v>8406</v>
      </c>
      <c r="G226">
        <v>3732</v>
      </c>
      <c r="H226">
        <v>133</v>
      </c>
      <c r="I226">
        <v>639</v>
      </c>
      <c r="J226">
        <v>788</v>
      </c>
      <c r="K226" s="1">
        <v>45778</v>
      </c>
      <c r="L226" t="s">
        <v>17</v>
      </c>
      <c r="M226" t="s">
        <v>18</v>
      </c>
      <c r="N226" s="2">
        <f>IFERROR(NHS_A_E[[#This Row],[T1_Over4hrs]]/NHS_A_E[[#This Row],[T1_Attendances]], 0)</f>
        <v>0.37278993107581659</v>
      </c>
      <c r="O226">
        <f>NHS_A_E[[#This Row],[T1_Attendances]]+NHS_A_E[[#This Row],[Other_Attendances]]</f>
        <v>18417</v>
      </c>
      <c r="P226">
        <f>MATCH(LEFT(A226,FIND("-",A226)-1),{"April","May","June","July","August","September","October","November","December","January","February","March"},0)</f>
        <v>2</v>
      </c>
      <c r="Q226" s="3">
        <f t="shared" si="6"/>
        <v>7.8713415243232443E-2</v>
      </c>
      <c r="R226" t="str">
        <f t="shared" si="7"/>
        <v>May</v>
      </c>
    </row>
    <row r="227" spans="1:18" x14ac:dyDescent="0.35">
      <c r="A227" t="s">
        <v>419</v>
      </c>
      <c r="B227" t="s">
        <v>359</v>
      </c>
      <c r="C227" t="s">
        <v>40</v>
      </c>
      <c r="D227" t="s">
        <v>360</v>
      </c>
      <c r="E227">
        <v>10164</v>
      </c>
      <c r="F227">
        <v>4027</v>
      </c>
      <c r="G227">
        <v>3043</v>
      </c>
      <c r="H227">
        <v>65</v>
      </c>
      <c r="I227">
        <v>1888</v>
      </c>
      <c r="J227">
        <v>144</v>
      </c>
      <c r="K227" s="1">
        <v>45778</v>
      </c>
      <c r="L227" t="s">
        <v>17</v>
      </c>
      <c r="M227" t="s">
        <v>18</v>
      </c>
      <c r="N227" s="2">
        <f>IFERROR(NHS_A_E[[#This Row],[T1_Over4hrs]]/NHS_A_E[[#This Row],[T1_Attendances]], 0)</f>
        <v>0.2993900039354585</v>
      </c>
      <c r="O227">
        <f>NHS_A_E[[#This Row],[T1_Attendances]]+NHS_A_E[[#This Row],[Other_Attendances]]</f>
        <v>14191</v>
      </c>
      <c r="P227">
        <f>MATCH(LEFT(A227,FIND("-",A227)-1),{"April","May","June","July","August","September","October","November","December","January","February","March"},0)</f>
        <v>2</v>
      </c>
      <c r="Q227" s="3">
        <f t="shared" si="6"/>
        <v>1.4167650531286895E-2</v>
      </c>
      <c r="R227" t="str">
        <f t="shared" si="7"/>
        <v>May</v>
      </c>
    </row>
    <row r="228" spans="1:18" x14ac:dyDescent="0.35">
      <c r="A228" t="s">
        <v>419</v>
      </c>
      <c r="B228" t="s">
        <v>50</v>
      </c>
      <c r="C228" t="s">
        <v>15</v>
      </c>
      <c r="D228" t="s">
        <v>51</v>
      </c>
      <c r="E228">
        <v>11360</v>
      </c>
      <c r="F228">
        <v>4308</v>
      </c>
      <c r="G228">
        <v>4453</v>
      </c>
      <c r="H228">
        <v>25</v>
      </c>
      <c r="I228">
        <v>454</v>
      </c>
      <c r="J228">
        <v>579</v>
      </c>
      <c r="K228" s="1">
        <v>45778</v>
      </c>
      <c r="L228" t="s">
        <v>17</v>
      </c>
      <c r="M228" t="s">
        <v>18</v>
      </c>
      <c r="N228" s="2">
        <f>IFERROR(NHS_A_E[[#This Row],[T1_Over4hrs]]/NHS_A_E[[#This Row],[T1_Attendances]], 0)</f>
        <v>0.3919894366197183</v>
      </c>
      <c r="O228">
        <f>NHS_A_E[[#This Row],[T1_Attendances]]+NHS_A_E[[#This Row],[Other_Attendances]]</f>
        <v>15668</v>
      </c>
      <c r="P228">
        <f>MATCH(LEFT(A228,FIND("-",A228)-1),{"April","May","June","July","August","September","October","November","December","January","February","March"},0)</f>
        <v>2</v>
      </c>
      <c r="Q228" s="3">
        <f t="shared" si="6"/>
        <v>5.0968309859154931E-2</v>
      </c>
      <c r="R228" t="str">
        <f t="shared" si="7"/>
        <v>May</v>
      </c>
    </row>
    <row r="229" spans="1:18" x14ac:dyDescent="0.35">
      <c r="A229" t="s">
        <v>419</v>
      </c>
      <c r="B229" t="s">
        <v>355</v>
      </c>
      <c r="C229" t="s">
        <v>30</v>
      </c>
      <c r="D229" t="s">
        <v>356</v>
      </c>
      <c r="E229">
        <v>9055</v>
      </c>
      <c r="F229">
        <v>2637</v>
      </c>
      <c r="G229">
        <v>4663</v>
      </c>
      <c r="H229">
        <v>13</v>
      </c>
      <c r="I229">
        <v>411</v>
      </c>
      <c r="J229">
        <v>650</v>
      </c>
      <c r="K229" s="1">
        <v>45778</v>
      </c>
      <c r="L229" t="s">
        <v>17</v>
      </c>
      <c r="M229" t="s">
        <v>18</v>
      </c>
      <c r="N229" s="2">
        <f>IFERROR(NHS_A_E[[#This Row],[T1_Over4hrs]]/NHS_A_E[[#This Row],[T1_Attendances]], 0)</f>
        <v>0.51496410822749861</v>
      </c>
      <c r="O229">
        <f>NHS_A_E[[#This Row],[T1_Attendances]]+NHS_A_E[[#This Row],[Other_Attendances]]</f>
        <v>11692</v>
      </c>
      <c r="P229">
        <f>MATCH(LEFT(A229,FIND("-",A229)-1),{"April","May","June","July","August","September","October","November","December","January","February","March"},0)</f>
        <v>2</v>
      </c>
      <c r="Q229" s="3">
        <f t="shared" si="6"/>
        <v>7.1783545002760907E-2</v>
      </c>
      <c r="R229" t="str">
        <f t="shared" si="7"/>
        <v>May</v>
      </c>
    </row>
    <row r="230" spans="1:18" x14ac:dyDescent="0.35">
      <c r="A230" t="s">
        <v>419</v>
      </c>
      <c r="B230" t="s">
        <v>167</v>
      </c>
      <c r="C230" t="s">
        <v>30</v>
      </c>
      <c r="D230" t="s">
        <v>168</v>
      </c>
      <c r="E230">
        <v>8145</v>
      </c>
      <c r="F230">
        <v>4199</v>
      </c>
      <c r="G230">
        <v>3494</v>
      </c>
      <c r="H230">
        <v>190</v>
      </c>
      <c r="I230">
        <v>519</v>
      </c>
      <c r="J230">
        <v>196</v>
      </c>
      <c r="K230" s="1">
        <v>45778</v>
      </c>
      <c r="L230" t="s">
        <v>17</v>
      </c>
      <c r="M230" t="s">
        <v>18</v>
      </c>
      <c r="N230" s="2">
        <f>IFERROR(NHS_A_E[[#This Row],[T1_Over4hrs]]/NHS_A_E[[#This Row],[T1_Attendances]], 0)</f>
        <v>0.42897483118477592</v>
      </c>
      <c r="O230">
        <f>NHS_A_E[[#This Row],[T1_Attendances]]+NHS_A_E[[#This Row],[Other_Attendances]]</f>
        <v>12344</v>
      </c>
      <c r="P230">
        <f>MATCH(LEFT(A230,FIND("-",A230)-1),{"April","May","June","July","August","September","October","November","December","January","February","March"},0)</f>
        <v>2</v>
      </c>
      <c r="Q230" s="3">
        <f t="shared" si="6"/>
        <v>2.4063842848373235E-2</v>
      </c>
      <c r="R230" t="str">
        <f t="shared" si="7"/>
        <v>May</v>
      </c>
    </row>
    <row r="231" spans="1:18" x14ac:dyDescent="0.35">
      <c r="A231" t="s">
        <v>419</v>
      </c>
      <c r="B231" t="s">
        <v>413</v>
      </c>
      <c r="C231" t="s">
        <v>20</v>
      </c>
      <c r="D231" t="s">
        <v>414</v>
      </c>
      <c r="E231">
        <v>9650</v>
      </c>
      <c r="F231">
        <v>6077</v>
      </c>
      <c r="G231">
        <v>4636</v>
      </c>
      <c r="H231">
        <v>133</v>
      </c>
      <c r="I231">
        <v>634</v>
      </c>
      <c r="J231">
        <v>526</v>
      </c>
      <c r="K231" s="1">
        <v>45778</v>
      </c>
      <c r="L231" t="s">
        <v>17</v>
      </c>
      <c r="M231" t="s">
        <v>18</v>
      </c>
      <c r="N231" s="2">
        <f>IFERROR(NHS_A_E[[#This Row],[T1_Over4hrs]]/NHS_A_E[[#This Row],[T1_Attendances]], 0)</f>
        <v>0.48041450777202072</v>
      </c>
      <c r="O231">
        <f>NHS_A_E[[#This Row],[T1_Attendances]]+NHS_A_E[[#This Row],[Other_Attendances]]</f>
        <v>15727</v>
      </c>
      <c r="P231">
        <f>MATCH(LEFT(A231,FIND("-",A231)-1),{"April","May","June","July","August","September","October","November","December","January","February","March"},0)</f>
        <v>2</v>
      </c>
      <c r="Q231" s="3">
        <f t="shared" si="6"/>
        <v>5.450777202072539E-2</v>
      </c>
      <c r="R231" t="str">
        <f t="shared" si="7"/>
        <v>May</v>
      </c>
    </row>
    <row r="232" spans="1:18" x14ac:dyDescent="0.35">
      <c r="A232" t="s">
        <v>419</v>
      </c>
      <c r="B232" t="s">
        <v>42</v>
      </c>
      <c r="C232" t="s">
        <v>40</v>
      </c>
      <c r="D232" t="s">
        <v>43</v>
      </c>
      <c r="E232">
        <v>11073</v>
      </c>
      <c r="F232">
        <v>5880</v>
      </c>
      <c r="G232">
        <v>3370</v>
      </c>
      <c r="H232">
        <v>167</v>
      </c>
      <c r="I232">
        <v>442</v>
      </c>
      <c r="J232">
        <v>73</v>
      </c>
      <c r="K232" s="1">
        <v>45778</v>
      </c>
      <c r="L232" t="s">
        <v>17</v>
      </c>
      <c r="M232" t="s">
        <v>18</v>
      </c>
      <c r="N232" s="2">
        <f>IFERROR(NHS_A_E[[#This Row],[T1_Over4hrs]]/NHS_A_E[[#This Row],[T1_Attendances]], 0)</f>
        <v>0.30434389957554414</v>
      </c>
      <c r="O232">
        <f>NHS_A_E[[#This Row],[T1_Attendances]]+NHS_A_E[[#This Row],[Other_Attendances]]</f>
        <v>16953</v>
      </c>
      <c r="P232">
        <f>MATCH(LEFT(A232,FIND("-",A232)-1),{"April","May","June","July","August","September","October","November","December","January","February","March"},0)</f>
        <v>2</v>
      </c>
      <c r="Q232" s="3">
        <f t="shared" si="6"/>
        <v>6.5926126614287003E-3</v>
      </c>
      <c r="R232" t="str">
        <f t="shared" si="7"/>
        <v>May</v>
      </c>
    </row>
    <row r="233" spans="1:18" x14ac:dyDescent="0.35">
      <c r="A233" t="s">
        <v>419</v>
      </c>
      <c r="B233" t="s">
        <v>415</v>
      </c>
      <c r="C233" t="s">
        <v>35</v>
      </c>
      <c r="D233" t="s">
        <v>416</v>
      </c>
      <c r="E233">
        <v>15424</v>
      </c>
      <c r="F233">
        <v>9349</v>
      </c>
      <c r="G233">
        <v>6518</v>
      </c>
      <c r="H233">
        <v>361</v>
      </c>
      <c r="I233">
        <v>1454</v>
      </c>
      <c r="J233">
        <v>833</v>
      </c>
      <c r="K233" s="1">
        <v>45778</v>
      </c>
      <c r="L233" t="s">
        <v>17</v>
      </c>
      <c r="M233" t="s">
        <v>18</v>
      </c>
      <c r="N233" s="2">
        <f>IFERROR(NHS_A_E[[#This Row],[T1_Over4hrs]]/NHS_A_E[[#This Row],[T1_Attendances]], 0)</f>
        <v>0.42258817427385892</v>
      </c>
      <c r="O233">
        <f>NHS_A_E[[#This Row],[T1_Attendances]]+NHS_A_E[[#This Row],[Other_Attendances]]</f>
        <v>24773</v>
      </c>
      <c r="P233">
        <f>MATCH(LEFT(A233,FIND("-",A233)-1),{"April","May","June","July","August","September","October","November","December","January","February","March"},0)</f>
        <v>2</v>
      </c>
      <c r="Q233" s="3">
        <f t="shared" si="6"/>
        <v>5.4006742738589214E-2</v>
      </c>
      <c r="R233" t="str">
        <f t="shared" si="7"/>
        <v>May</v>
      </c>
    </row>
    <row r="234" spans="1:18" x14ac:dyDescent="0.35">
      <c r="A234" t="s">
        <v>419</v>
      </c>
      <c r="B234" t="s">
        <v>395</v>
      </c>
      <c r="C234" t="s">
        <v>23</v>
      </c>
      <c r="D234" t="s">
        <v>396</v>
      </c>
      <c r="E234">
        <v>8108</v>
      </c>
      <c r="F234">
        <v>737</v>
      </c>
      <c r="G234">
        <v>1923</v>
      </c>
      <c r="H234">
        <v>0</v>
      </c>
      <c r="I234">
        <v>341</v>
      </c>
      <c r="J234">
        <v>102</v>
      </c>
      <c r="K234" s="1">
        <v>45778</v>
      </c>
      <c r="L234" t="s">
        <v>17</v>
      </c>
      <c r="M234" t="s">
        <v>18</v>
      </c>
      <c r="N234" s="2">
        <f>IFERROR(NHS_A_E[[#This Row],[T1_Over4hrs]]/NHS_A_E[[#This Row],[T1_Attendances]], 0)</f>
        <v>0.23717316230883079</v>
      </c>
      <c r="O234">
        <f>NHS_A_E[[#This Row],[T1_Attendances]]+NHS_A_E[[#This Row],[Other_Attendances]]</f>
        <v>8845</v>
      </c>
      <c r="P234">
        <f>MATCH(LEFT(A234,FIND("-",A234)-1),{"April","May","June","July","August","September","October","November","December","January","February","March"},0)</f>
        <v>2</v>
      </c>
      <c r="Q234" s="3">
        <f t="shared" si="6"/>
        <v>1.2580167735569808E-2</v>
      </c>
      <c r="R234" t="str">
        <f t="shared" si="7"/>
        <v>May</v>
      </c>
    </row>
    <row r="235" spans="1:18" x14ac:dyDescent="0.35">
      <c r="A235" t="s">
        <v>419</v>
      </c>
      <c r="B235" t="s">
        <v>99</v>
      </c>
      <c r="C235" t="s">
        <v>30</v>
      </c>
      <c r="D235" t="s">
        <v>100</v>
      </c>
      <c r="E235">
        <v>0</v>
      </c>
      <c r="F235">
        <v>0</v>
      </c>
      <c r="G235">
        <v>0</v>
      </c>
      <c r="H235">
        <v>0</v>
      </c>
      <c r="I235">
        <v>0</v>
      </c>
      <c r="J235">
        <v>0</v>
      </c>
      <c r="K235" s="1">
        <v>45778</v>
      </c>
      <c r="L235" t="s">
        <v>17</v>
      </c>
      <c r="M235" t="s">
        <v>18</v>
      </c>
      <c r="N235" s="2">
        <f>IFERROR(NHS_A_E[[#This Row],[T1_Over4hrs]]/NHS_A_E[[#This Row],[T1_Attendances]], 0)</f>
        <v>0</v>
      </c>
      <c r="O235">
        <f>NHS_A_E[[#This Row],[T1_Attendances]]+NHS_A_E[[#This Row],[Other_Attendances]]</f>
        <v>0</v>
      </c>
      <c r="P235">
        <f>MATCH(LEFT(A235,FIND("-",A235)-1),{"April","May","June","July","August","September","October","November","December","January","February","March"},0)</f>
        <v>2</v>
      </c>
      <c r="Q235" s="3">
        <f t="shared" si="6"/>
        <v>0</v>
      </c>
      <c r="R235" t="str">
        <f t="shared" si="7"/>
        <v>May</v>
      </c>
    </row>
    <row r="236" spans="1:18" x14ac:dyDescent="0.35">
      <c r="A236" t="s">
        <v>419</v>
      </c>
      <c r="B236" t="s">
        <v>93</v>
      </c>
      <c r="C236" t="s">
        <v>63</v>
      </c>
      <c r="D236" t="s">
        <v>94</v>
      </c>
      <c r="E236">
        <v>10790</v>
      </c>
      <c r="F236">
        <v>7601</v>
      </c>
      <c r="G236">
        <v>5568</v>
      </c>
      <c r="H236">
        <v>303</v>
      </c>
      <c r="I236">
        <v>814</v>
      </c>
      <c r="J236">
        <v>445</v>
      </c>
      <c r="K236" s="1">
        <v>45778</v>
      </c>
      <c r="L236" t="s">
        <v>17</v>
      </c>
      <c r="M236" t="s">
        <v>18</v>
      </c>
      <c r="N236" s="2">
        <f>IFERROR(NHS_A_E[[#This Row],[T1_Over4hrs]]/NHS_A_E[[#This Row],[T1_Attendances]], 0)</f>
        <v>0.51603336422613533</v>
      </c>
      <c r="O236">
        <f>NHS_A_E[[#This Row],[T1_Attendances]]+NHS_A_E[[#This Row],[Other_Attendances]]</f>
        <v>18391</v>
      </c>
      <c r="P236">
        <f>MATCH(LEFT(A236,FIND("-",A236)-1),{"April","May","June","July","August","September","October","November","December","January","February","March"},0)</f>
        <v>2</v>
      </c>
      <c r="Q236" s="3">
        <f t="shared" si="6"/>
        <v>4.1241890639480999E-2</v>
      </c>
      <c r="R236" t="str">
        <f t="shared" si="7"/>
        <v>May</v>
      </c>
    </row>
    <row r="237" spans="1:18" x14ac:dyDescent="0.35">
      <c r="A237" t="s">
        <v>419</v>
      </c>
      <c r="B237" t="s">
        <v>91</v>
      </c>
      <c r="C237" t="s">
        <v>30</v>
      </c>
      <c r="D237" t="s">
        <v>92</v>
      </c>
      <c r="E237">
        <v>17566</v>
      </c>
      <c r="F237">
        <v>7465</v>
      </c>
      <c r="G237">
        <v>6302</v>
      </c>
      <c r="H237">
        <v>171</v>
      </c>
      <c r="I237">
        <v>547</v>
      </c>
      <c r="J237">
        <v>366</v>
      </c>
      <c r="K237" s="1">
        <v>45778</v>
      </c>
      <c r="L237" t="s">
        <v>17</v>
      </c>
      <c r="M237" t="s">
        <v>18</v>
      </c>
      <c r="N237" s="2">
        <f>IFERROR(NHS_A_E[[#This Row],[T1_Over4hrs]]/NHS_A_E[[#This Row],[T1_Attendances]], 0)</f>
        <v>0.35876124331094161</v>
      </c>
      <c r="O237">
        <f>NHS_A_E[[#This Row],[T1_Attendances]]+NHS_A_E[[#This Row],[Other_Attendances]]</f>
        <v>25031</v>
      </c>
      <c r="P237">
        <f>MATCH(LEFT(A237,FIND("-",A237)-1),{"April","May","June","July","August","September","October","November","December","January","February","March"},0)</f>
        <v>2</v>
      </c>
      <c r="Q237" s="3">
        <f t="shared" si="6"/>
        <v>2.0835705339861094E-2</v>
      </c>
      <c r="R237" t="str">
        <f t="shared" si="7"/>
        <v>May</v>
      </c>
    </row>
    <row r="238" spans="1:18" x14ac:dyDescent="0.35">
      <c r="A238" t="s">
        <v>419</v>
      </c>
      <c r="B238" t="s">
        <v>341</v>
      </c>
      <c r="C238" t="s">
        <v>40</v>
      </c>
      <c r="D238" t="s">
        <v>342</v>
      </c>
      <c r="E238">
        <v>9340</v>
      </c>
      <c r="F238">
        <v>4176</v>
      </c>
      <c r="G238">
        <v>2710</v>
      </c>
      <c r="H238">
        <v>91</v>
      </c>
      <c r="I238">
        <v>963</v>
      </c>
      <c r="J238">
        <v>105</v>
      </c>
      <c r="K238" s="1">
        <v>45778</v>
      </c>
      <c r="L238" t="s">
        <v>17</v>
      </c>
      <c r="M238" t="s">
        <v>18</v>
      </c>
      <c r="N238" s="2">
        <f>IFERROR(NHS_A_E[[#This Row],[T1_Over4hrs]]/NHS_A_E[[#This Row],[T1_Attendances]], 0)</f>
        <v>0.29014989293361887</v>
      </c>
      <c r="O238">
        <f>NHS_A_E[[#This Row],[T1_Attendances]]+NHS_A_E[[#This Row],[Other_Attendances]]</f>
        <v>13516</v>
      </c>
      <c r="P238">
        <f>MATCH(LEFT(A238,FIND("-",A238)-1),{"April","May","June","July","August","September","October","November","December","January","February","March"},0)</f>
        <v>2</v>
      </c>
      <c r="Q238" s="3">
        <f t="shared" si="6"/>
        <v>1.1241970021413276E-2</v>
      </c>
      <c r="R238" t="str">
        <f t="shared" si="7"/>
        <v>May</v>
      </c>
    </row>
    <row r="239" spans="1:18" x14ac:dyDescent="0.35">
      <c r="A239" t="s">
        <v>419</v>
      </c>
      <c r="B239" t="s">
        <v>251</v>
      </c>
      <c r="C239" t="s">
        <v>35</v>
      </c>
      <c r="D239" t="s">
        <v>252</v>
      </c>
      <c r="E239">
        <v>6888</v>
      </c>
      <c r="F239">
        <v>8681</v>
      </c>
      <c r="G239">
        <v>3296</v>
      </c>
      <c r="H239">
        <v>219</v>
      </c>
      <c r="I239">
        <v>306</v>
      </c>
      <c r="J239">
        <v>261</v>
      </c>
      <c r="K239" s="1">
        <v>45778</v>
      </c>
      <c r="L239" t="s">
        <v>17</v>
      </c>
      <c r="M239" t="s">
        <v>18</v>
      </c>
      <c r="N239" s="2">
        <f>IFERROR(NHS_A_E[[#This Row],[T1_Over4hrs]]/NHS_A_E[[#This Row],[T1_Attendances]], 0)</f>
        <v>0.47851335656213706</v>
      </c>
      <c r="O239">
        <f>NHS_A_E[[#This Row],[T1_Attendances]]+NHS_A_E[[#This Row],[Other_Attendances]]</f>
        <v>15569</v>
      </c>
      <c r="P239">
        <f>MATCH(LEFT(A239,FIND("-",A239)-1),{"April","May","June","July","August","September","October","November","December","January","February","March"},0)</f>
        <v>2</v>
      </c>
      <c r="Q239" s="3">
        <f t="shared" si="6"/>
        <v>3.7891986062717771E-2</v>
      </c>
      <c r="R239" t="str">
        <f t="shared" si="7"/>
        <v>May</v>
      </c>
    </row>
    <row r="240" spans="1:18" x14ac:dyDescent="0.35">
      <c r="A240" t="s">
        <v>419</v>
      </c>
      <c r="B240" t="s">
        <v>339</v>
      </c>
      <c r="C240" t="s">
        <v>20</v>
      </c>
      <c r="D240" t="s">
        <v>340</v>
      </c>
      <c r="E240">
        <v>15844</v>
      </c>
      <c r="F240">
        <v>0</v>
      </c>
      <c r="G240">
        <v>5623</v>
      </c>
      <c r="H240">
        <v>0</v>
      </c>
      <c r="I240">
        <v>1069</v>
      </c>
      <c r="J240">
        <v>252</v>
      </c>
      <c r="K240" s="1">
        <v>45778</v>
      </c>
      <c r="L240" t="s">
        <v>17</v>
      </c>
      <c r="M240" t="s">
        <v>18</v>
      </c>
      <c r="N240" s="2">
        <f>IFERROR(NHS_A_E[[#This Row],[T1_Over4hrs]]/NHS_A_E[[#This Row],[T1_Attendances]], 0)</f>
        <v>0.35489775309265337</v>
      </c>
      <c r="O240">
        <f>NHS_A_E[[#This Row],[T1_Attendances]]+NHS_A_E[[#This Row],[Other_Attendances]]</f>
        <v>15844</v>
      </c>
      <c r="P240">
        <f>MATCH(LEFT(A240,FIND("-",A240)-1),{"April","May","June","July","August","September","October","November","December","January","February","March"},0)</f>
        <v>2</v>
      </c>
      <c r="Q240" s="3">
        <f t="shared" si="6"/>
        <v>1.5905074476142388E-2</v>
      </c>
      <c r="R240" t="str">
        <f t="shared" si="7"/>
        <v>May</v>
      </c>
    </row>
    <row r="241" spans="1:18" x14ac:dyDescent="0.35">
      <c r="A241" t="s">
        <v>419</v>
      </c>
      <c r="B241" t="s">
        <v>227</v>
      </c>
      <c r="C241" t="s">
        <v>30</v>
      </c>
      <c r="D241" t="s">
        <v>228</v>
      </c>
      <c r="E241">
        <v>0</v>
      </c>
      <c r="F241">
        <v>1247</v>
      </c>
      <c r="G241">
        <v>0</v>
      </c>
      <c r="H241">
        <v>0</v>
      </c>
      <c r="I241">
        <v>0</v>
      </c>
      <c r="J241">
        <v>0</v>
      </c>
      <c r="K241" s="1">
        <v>45778</v>
      </c>
      <c r="L241" t="s">
        <v>17</v>
      </c>
      <c r="M241" t="s">
        <v>18</v>
      </c>
      <c r="N241" s="2">
        <f>IFERROR(NHS_A_E[[#This Row],[T1_Over4hrs]]/NHS_A_E[[#This Row],[T1_Attendances]], 0)</f>
        <v>0</v>
      </c>
      <c r="O241">
        <f>NHS_A_E[[#This Row],[T1_Attendances]]+NHS_A_E[[#This Row],[Other_Attendances]]</f>
        <v>1247</v>
      </c>
      <c r="P241">
        <f>MATCH(LEFT(A241,FIND("-",A241)-1),{"April","May","June","July","August","September","October","November","December","January","February","March"},0)</f>
        <v>2</v>
      </c>
      <c r="Q241" s="3">
        <f t="shared" si="6"/>
        <v>0</v>
      </c>
      <c r="R241" t="str">
        <f t="shared" si="7"/>
        <v>May</v>
      </c>
    </row>
    <row r="242" spans="1:18" x14ac:dyDescent="0.35">
      <c r="A242" t="s">
        <v>419</v>
      </c>
      <c r="B242" t="s">
        <v>81</v>
      </c>
      <c r="C242" t="s">
        <v>63</v>
      </c>
      <c r="D242" t="s">
        <v>82</v>
      </c>
      <c r="E242">
        <v>0</v>
      </c>
      <c r="F242">
        <v>1776</v>
      </c>
      <c r="G242">
        <v>0</v>
      </c>
      <c r="H242">
        <v>20</v>
      </c>
      <c r="I242">
        <v>0</v>
      </c>
      <c r="J242">
        <v>0</v>
      </c>
      <c r="K242" s="1">
        <v>45778</v>
      </c>
      <c r="L242" t="s">
        <v>17</v>
      </c>
      <c r="M242" t="s">
        <v>18</v>
      </c>
      <c r="N242" s="2">
        <f>IFERROR(NHS_A_E[[#This Row],[T1_Over4hrs]]/NHS_A_E[[#This Row],[T1_Attendances]], 0)</f>
        <v>0</v>
      </c>
      <c r="O242">
        <f>NHS_A_E[[#This Row],[T1_Attendances]]+NHS_A_E[[#This Row],[Other_Attendances]]</f>
        <v>1776</v>
      </c>
      <c r="P242">
        <f>MATCH(LEFT(A242,FIND("-",A242)-1),{"April","May","June","July","August","September","October","November","December","January","February","March"},0)</f>
        <v>2</v>
      </c>
      <c r="Q242" s="3">
        <f t="shared" si="6"/>
        <v>0</v>
      </c>
      <c r="R242" t="str">
        <f t="shared" si="7"/>
        <v>May</v>
      </c>
    </row>
    <row r="243" spans="1:18" x14ac:dyDescent="0.35">
      <c r="A243" t="s">
        <v>419</v>
      </c>
      <c r="B243" t="s">
        <v>79</v>
      </c>
      <c r="C243" t="s">
        <v>63</v>
      </c>
      <c r="D243" t="s">
        <v>80</v>
      </c>
      <c r="E243">
        <v>0</v>
      </c>
      <c r="F243">
        <v>3089</v>
      </c>
      <c r="G243">
        <v>0</v>
      </c>
      <c r="H243">
        <v>188</v>
      </c>
      <c r="I243">
        <v>0</v>
      </c>
      <c r="J243">
        <v>0</v>
      </c>
      <c r="K243" s="1">
        <v>45778</v>
      </c>
      <c r="L243" t="s">
        <v>17</v>
      </c>
      <c r="M243" t="s">
        <v>18</v>
      </c>
      <c r="N243" s="2">
        <f>IFERROR(NHS_A_E[[#This Row],[T1_Over4hrs]]/NHS_A_E[[#This Row],[T1_Attendances]], 0)</f>
        <v>0</v>
      </c>
      <c r="O243">
        <f>NHS_A_E[[#This Row],[T1_Attendances]]+NHS_A_E[[#This Row],[Other_Attendances]]</f>
        <v>3089</v>
      </c>
      <c r="P243">
        <f>MATCH(LEFT(A243,FIND("-",A243)-1),{"April","May","June","July","August","September","October","November","December","January","February","March"},0)</f>
        <v>2</v>
      </c>
      <c r="Q243" s="3">
        <f t="shared" si="6"/>
        <v>0</v>
      </c>
      <c r="R243" t="str">
        <f t="shared" si="7"/>
        <v>May</v>
      </c>
    </row>
    <row r="244" spans="1:18" x14ac:dyDescent="0.35">
      <c r="A244" t="s">
        <v>419</v>
      </c>
      <c r="B244" t="s">
        <v>77</v>
      </c>
      <c r="C244" t="s">
        <v>63</v>
      </c>
      <c r="D244" t="s">
        <v>78</v>
      </c>
      <c r="E244">
        <v>0</v>
      </c>
      <c r="F244">
        <v>1521</v>
      </c>
      <c r="G244">
        <v>0</v>
      </c>
      <c r="H244">
        <v>63</v>
      </c>
      <c r="I244">
        <v>0</v>
      </c>
      <c r="J244">
        <v>0</v>
      </c>
      <c r="K244" s="1">
        <v>45778</v>
      </c>
      <c r="L244" t="s">
        <v>17</v>
      </c>
      <c r="M244" t="s">
        <v>18</v>
      </c>
      <c r="N244" s="2">
        <f>IFERROR(NHS_A_E[[#This Row],[T1_Over4hrs]]/NHS_A_E[[#This Row],[T1_Attendances]], 0)</f>
        <v>0</v>
      </c>
      <c r="O244">
        <f>NHS_A_E[[#This Row],[T1_Attendances]]+NHS_A_E[[#This Row],[Other_Attendances]]</f>
        <v>1521</v>
      </c>
      <c r="P244">
        <f>MATCH(LEFT(A244,FIND("-",A244)-1),{"April","May","June","July","August","September","October","November","December","January","February","March"},0)</f>
        <v>2</v>
      </c>
      <c r="Q244" s="3">
        <f t="shared" si="6"/>
        <v>0</v>
      </c>
      <c r="R244" t="str">
        <f t="shared" si="7"/>
        <v>May</v>
      </c>
    </row>
    <row r="245" spans="1:18" x14ac:dyDescent="0.35">
      <c r="A245" t="s">
        <v>419</v>
      </c>
      <c r="B245" t="s">
        <v>75</v>
      </c>
      <c r="C245" t="s">
        <v>63</v>
      </c>
      <c r="D245" t="s">
        <v>76</v>
      </c>
      <c r="E245">
        <v>0</v>
      </c>
      <c r="F245">
        <v>3723</v>
      </c>
      <c r="G245">
        <v>0</v>
      </c>
      <c r="H245">
        <v>576</v>
      </c>
      <c r="I245">
        <v>0</v>
      </c>
      <c r="J245">
        <v>0</v>
      </c>
      <c r="K245" s="1">
        <v>45778</v>
      </c>
      <c r="L245" t="s">
        <v>17</v>
      </c>
      <c r="M245" t="s">
        <v>18</v>
      </c>
      <c r="N245" s="2">
        <f>IFERROR(NHS_A_E[[#This Row],[T1_Over4hrs]]/NHS_A_E[[#This Row],[T1_Attendances]], 0)</f>
        <v>0</v>
      </c>
      <c r="O245">
        <f>NHS_A_E[[#This Row],[T1_Attendances]]+NHS_A_E[[#This Row],[Other_Attendances]]</f>
        <v>3723</v>
      </c>
      <c r="P245">
        <f>MATCH(LEFT(A245,FIND("-",A245)-1),{"April","May","June","July","August","September","October","November","December","January","February","March"},0)</f>
        <v>2</v>
      </c>
      <c r="Q245" s="3">
        <f t="shared" si="6"/>
        <v>0</v>
      </c>
      <c r="R245" t="str">
        <f t="shared" si="7"/>
        <v>May</v>
      </c>
    </row>
    <row r="246" spans="1:18" x14ac:dyDescent="0.35">
      <c r="A246" t="s">
        <v>419</v>
      </c>
      <c r="B246" t="s">
        <v>125</v>
      </c>
      <c r="C246" t="s">
        <v>35</v>
      </c>
      <c r="D246" t="s">
        <v>126</v>
      </c>
      <c r="E246">
        <v>0</v>
      </c>
      <c r="F246">
        <v>13220</v>
      </c>
      <c r="G246">
        <v>0</v>
      </c>
      <c r="H246">
        <v>204</v>
      </c>
      <c r="I246">
        <v>0</v>
      </c>
      <c r="J246">
        <v>0</v>
      </c>
      <c r="K246" s="1">
        <v>45778</v>
      </c>
      <c r="L246" t="s">
        <v>17</v>
      </c>
      <c r="M246" t="s">
        <v>18</v>
      </c>
      <c r="N246" s="2">
        <f>IFERROR(NHS_A_E[[#This Row],[T1_Over4hrs]]/NHS_A_E[[#This Row],[T1_Attendances]], 0)</f>
        <v>0</v>
      </c>
      <c r="O246">
        <f>NHS_A_E[[#This Row],[T1_Attendances]]+NHS_A_E[[#This Row],[Other_Attendances]]</f>
        <v>13220</v>
      </c>
      <c r="P246">
        <f>MATCH(LEFT(A246,FIND("-",A246)-1),{"April","May","June","July","August","September","October","November","December","January","February","March"},0)</f>
        <v>2</v>
      </c>
      <c r="Q246" s="3">
        <f t="shared" si="6"/>
        <v>0</v>
      </c>
      <c r="R246" t="str">
        <f t="shared" si="7"/>
        <v>May</v>
      </c>
    </row>
    <row r="247" spans="1:18" x14ac:dyDescent="0.35">
      <c r="A247" t="s">
        <v>419</v>
      </c>
      <c r="B247" t="s">
        <v>113</v>
      </c>
      <c r="C247" t="s">
        <v>40</v>
      </c>
      <c r="D247" t="s">
        <v>114</v>
      </c>
      <c r="E247">
        <v>0</v>
      </c>
      <c r="F247">
        <v>5381</v>
      </c>
      <c r="G247">
        <v>0</v>
      </c>
      <c r="H247">
        <v>311</v>
      </c>
      <c r="I247">
        <v>0</v>
      </c>
      <c r="J247">
        <v>0</v>
      </c>
      <c r="K247" s="1">
        <v>45778</v>
      </c>
      <c r="L247" t="s">
        <v>17</v>
      </c>
      <c r="M247" t="s">
        <v>18</v>
      </c>
      <c r="N247" s="2">
        <f>IFERROR(NHS_A_E[[#This Row],[T1_Over4hrs]]/NHS_A_E[[#This Row],[T1_Attendances]], 0)</f>
        <v>0</v>
      </c>
      <c r="O247">
        <f>NHS_A_E[[#This Row],[T1_Attendances]]+NHS_A_E[[#This Row],[Other_Attendances]]</f>
        <v>5381</v>
      </c>
      <c r="P247">
        <f>MATCH(LEFT(A247,FIND("-",A247)-1),{"April","May","June","July","August","September","October","November","December","January","February","March"},0)</f>
        <v>2</v>
      </c>
      <c r="Q247" s="3">
        <f t="shared" si="6"/>
        <v>0</v>
      </c>
      <c r="R247" t="str">
        <f t="shared" si="7"/>
        <v>May</v>
      </c>
    </row>
    <row r="248" spans="1:18" x14ac:dyDescent="0.35">
      <c r="A248" t="s">
        <v>419</v>
      </c>
      <c r="B248" t="s">
        <v>71</v>
      </c>
      <c r="C248" t="s">
        <v>35</v>
      </c>
      <c r="D248" t="s">
        <v>72</v>
      </c>
      <c r="E248">
        <v>0</v>
      </c>
      <c r="F248">
        <v>0</v>
      </c>
      <c r="G248">
        <v>0</v>
      </c>
      <c r="H248">
        <v>0</v>
      </c>
      <c r="I248">
        <v>0</v>
      </c>
      <c r="J248">
        <v>0</v>
      </c>
      <c r="K248" s="1">
        <v>45778</v>
      </c>
      <c r="L248" t="s">
        <v>17</v>
      </c>
      <c r="M248" t="s">
        <v>18</v>
      </c>
      <c r="N248" s="2">
        <f>IFERROR(NHS_A_E[[#This Row],[T1_Over4hrs]]/NHS_A_E[[#This Row],[T1_Attendances]], 0)</f>
        <v>0</v>
      </c>
      <c r="O248">
        <f>NHS_A_E[[#This Row],[T1_Attendances]]+NHS_A_E[[#This Row],[Other_Attendances]]</f>
        <v>0</v>
      </c>
      <c r="P248">
        <f>MATCH(LEFT(A248,FIND("-",A248)-1),{"April","May","June","July","August","September","October","November","December","January","February","March"},0)</f>
        <v>2</v>
      </c>
      <c r="Q248" s="3">
        <f t="shared" si="6"/>
        <v>0</v>
      </c>
      <c r="R248" t="str">
        <f t="shared" si="7"/>
        <v>May</v>
      </c>
    </row>
    <row r="249" spans="1:18" x14ac:dyDescent="0.35">
      <c r="A249" t="s">
        <v>419</v>
      </c>
      <c r="B249" t="s">
        <v>235</v>
      </c>
      <c r="C249" t="s">
        <v>35</v>
      </c>
      <c r="D249" t="s">
        <v>236</v>
      </c>
      <c r="E249">
        <v>11355</v>
      </c>
      <c r="F249">
        <v>0</v>
      </c>
      <c r="G249">
        <v>1983</v>
      </c>
      <c r="H249">
        <v>0</v>
      </c>
      <c r="I249">
        <v>202</v>
      </c>
      <c r="J249">
        <v>26</v>
      </c>
      <c r="K249" s="1">
        <v>45778</v>
      </c>
      <c r="L249" t="s">
        <v>17</v>
      </c>
      <c r="M249" t="s">
        <v>18</v>
      </c>
      <c r="N249" s="2">
        <f>IFERROR(NHS_A_E[[#This Row],[T1_Over4hrs]]/NHS_A_E[[#This Row],[T1_Attendances]], 0)</f>
        <v>0.17463672391017174</v>
      </c>
      <c r="O249">
        <f>NHS_A_E[[#This Row],[T1_Attendances]]+NHS_A_E[[#This Row],[Other_Attendances]]</f>
        <v>11355</v>
      </c>
      <c r="P249">
        <f>MATCH(LEFT(A249,FIND("-",A249)-1),{"April","May","June","July","August","September","October","November","December","January","February","March"},0)</f>
        <v>2</v>
      </c>
      <c r="Q249" s="3">
        <f t="shared" si="6"/>
        <v>2.2897402025539408E-3</v>
      </c>
      <c r="R249" t="str">
        <f t="shared" si="7"/>
        <v>May</v>
      </c>
    </row>
    <row r="250" spans="1:18" x14ac:dyDescent="0.35">
      <c r="A250" t="s">
        <v>419</v>
      </c>
      <c r="B250" t="s">
        <v>67</v>
      </c>
      <c r="C250" t="s">
        <v>30</v>
      </c>
      <c r="D250" t="s">
        <v>68</v>
      </c>
      <c r="E250">
        <v>0</v>
      </c>
      <c r="F250">
        <v>0</v>
      </c>
      <c r="G250">
        <v>0</v>
      </c>
      <c r="H250">
        <v>0</v>
      </c>
      <c r="I250">
        <v>0</v>
      </c>
      <c r="J250">
        <v>0</v>
      </c>
      <c r="K250" s="1">
        <v>45778</v>
      </c>
      <c r="L250" t="s">
        <v>17</v>
      </c>
      <c r="M250" t="s">
        <v>18</v>
      </c>
      <c r="N250" s="2">
        <f>IFERROR(NHS_A_E[[#This Row],[T1_Over4hrs]]/NHS_A_E[[#This Row],[T1_Attendances]], 0)</f>
        <v>0</v>
      </c>
      <c r="O250">
        <f>NHS_A_E[[#This Row],[T1_Attendances]]+NHS_A_E[[#This Row],[Other_Attendances]]</f>
        <v>0</v>
      </c>
      <c r="P250">
        <f>MATCH(LEFT(A250,FIND("-",A250)-1),{"April","May","June","July","August","September","October","November","December","January","February","March"},0)</f>
        <v>2</v>
      </c>
      <c r="Q250" s="3">
        <f t="shared" si="6"/>
        <v>0</v>
      </c>
      <c r="R250" t="str">
        <f t="shared" si="7"/>
        <v>May</v>
      </c>
    </row>
    <row r="251" spans="1:18" x14ac:dyDescent="0.35">
      <c r="A251" t="s">
        <v>419</v>
      </c>
      <c r="B251" t="s">
        <v>307</v>
      </c>
      <c r="C251" t="s">
        <v>40</v>
      </c>
      <c r="D251" t="s">
        <v>308</v>
      </c>
      <c r="E251">
        <v>0</v>
      </c>
      <c r="F251">
        <v>3179</v>
      </c>
      <c r="G251">
        <v>0</v>
      </c>
      <c r="H251">
        <v>0</v>
      </c>
      <c r="I251">
        <v>0</v>
      </c>
      <c r="J251">
        <v>0</v>
      </c>
      <c r="K251" s="1">
        <v>45778</v>
      </c>
      <c r="L251" t="s">
        <v>17</v>
      </c>
      <c r="M251" t="s">
        <v>18</v>
      </c>
      <c r="N251" s="2">
        <f>IFERROR(NHS_A_E[[#This Row],[T1_Over4hrs]]/NHS_A_E[[#This Row],[T1_Attendances]], 0)</f>
        <v>0</v>
      </c>
      <c r="O251">
        <f>NHS_A_E[[#This Row],[T1_Attendances]]+NHS_A_E[[#This Row],[Other_Attendances]]</f>
        <v>3179</v>
      </c>
      <c r="P251">
        <f>MATCH(LEFT(A251,FIND("-",A251)-1),{"April","May","June","July","August","September","October","November","December","January","February","March"},0)</f>
        <v>2</v>
      </c>
      <c r="Q251" s="3">
        <f t="shared" si="6"/>
        <v>0</v>
      </c>
      <c r="R251" t="str">
        <f t="shared" si="7"/>
        <v>May</v>
      </c>
    </row>
    <row r="252" spans="1:18" x14ac:dyDescent="0.35">
      <c r="A252" t="s">
        <v>419</v>
      </c>
      <c r="B252" t="s">
        <v>420</v>
      </c>
      <c r="C252" t="s">
        <v>15</v>
      </c>
      <c r="D252" t="s">
        <v>421</v>
      </c>
      <c r="E252">
        <v>0</v>
      </c>
      <c r="F252">
        <v>2828</v>
      </c>
      <c r="G252">
        <v>0</v>
      </c>
      <c r="H252">
        <v>0</v>
      </c>
      <c r="I252">
        <v>0</v>
      </c>
      <c r="J252">
        <v>0</v>
      </c>
      <c r="K252" s="1">
        <v>45778</v>
      </c>
      <c r="L252" t="s">
        <v>17</v>
      </c>
      <c r="M252" t="s">
        <v>18</v>
      </c>
      <c r="N252" s="2">
        <f>IFERROR(NHS_A_E[[#This Row],[T1_Over4hrs]]/NHS_A_E[[#This Row],[T1_Attendances]], 0)</f>
        <v>0</v>
      </c>
      <c r="O252">
        <f>NHS_A_E[[#This Row],[T1_Attendances]]+NHS_A_E[[#This Row],[Other_Attendances]]</f>
        <v>2828</v>
      </c>
      <c r="P252">
        <f>MATCH(LEFT(A252,FIND("-",A252)-1),{"April","May","June","July","August","September","October","November","December","January","February","March"},0)</f>
        <v>2</v>
      </c>
      <c r="Q252" s="3">
        <f t="shared" si="6"/>
        <v>0</v>
      </c>
      <c r="R252" t="str">
        <f t="shared" si="7"/>
        <v>May</v>
      </c>
    </row>
    <row r="253" spans="1:18" x14ac:dyDescent="0.35">
      <c r="A253" t="s">
        <v>419</v>
      </c>
      <c r="B253" t="s">
        <v>305</v>
      </c>
      <c r="C253" t="s">
        <v>30</v>
      </c>
      <c r="D253" t="s">
        <v>306</v>
      </c>
      <c r="E253">
        <v>0</v>
      </c>
      <c r="F253">
        <v>1612</v>
      </c>
      <c r="G253">
        <v>0</v>
      </c>
      <c r="H253">
        <v>2</v>
      </c>
      <c r="I253">
        <v>0</v>
      </c>
      <c r="J253">
        <v>0</v>
      </c>
      <c r="K253" s="1">
        <v>45778</v>
      </c>
      <c r="L253" t="s">
        <v>17</v>
      </c>
      <c r="M253" t="s">
        <v>18</v>
      </c>
      <c r="N253" s="2">
        <f>IFERROR(NHS_A_E[[#This Row],[T1_Over4hrs]]/NHS_A_E[[#This Row],[T1_Attendances]], 0)</f>
        <v>0</v>
      </c>
      <c r="O253">
        <f>NHS_A_E[[#This Row],[T1_Attendances]]+NHS_A_E[[#This Row],[Other_Attendances]]</f>
        <v>1612</v>
      </c>
      <c r="P253">
        <f>MATCH(LEFT(A253,FIND("-",A253)-1),{"April","May","June","July","August","September","October","November","December","January","February","March"},0)</f>
        <v>2</v>
      </c>
      <c r="Q253" s="3">
        <f t="shared" si="6"/>
        <v>0</v>
      </c>
      <c r="R253" t="str">
        <f t="shared" si="7"/>
        <v>May</v>
      </c>
    </row>
    <row r="254" spans="1:18" x14ac:dyDescent="0.35">
      <c r="A254" t="s">
        <v>419</v>
      </c>
      <c r="B254" t="s">
        <v>303</v>
      </c>
      <c r="C254" t="s">
        <v>23</v>
      </c>
      <c r="D254" t="s">
        <v>304</v>
      </c>
      <c r="E254">
        <v>0</v>
      </c>
      <c r="F254">
        <v>2636</v>
      </c>
      <c r="G254">
        <v>0</v>
      </c>
      <c r="H254">
        <v>0</v>
      </c>
      <c r="I254">
        <v>0</v>
      </c>
      <c r="J254">
        <v>0</v>
      </c>
      <c r="K254" s="1">
        <v>45778</v>
      </c>
      <c r="L254" t="s">
        <v>17</v>
      </c>
      <c r="M254" t="s">
        <v>18</v>
      </c>
      <c r="N254" s="2">
        <f>IFERROR(NHS_A_E[[#This Row],[T1_Over4hrs]]/NHS_A_E[[#This Row],[T1_Attendances]], 0)</f>
        <v>0</v>
      </c>
      <c r="O254">
        <f>NHS_A_E[[#This Row],[T1_Attendances]]+NHS_A_E[[#This Row],[Other_Attendances]]</f>
        <v>2636</v>
      </c>
      <c r="P254">
        <f>MATCH(LEFT(A254,FIND("-",A254)-1),{"April","May","June","July","August","September","October","November","December","January","February","March"},0)</f>
        <v>2</v>
      </c>
      <c r="Q254" s="3">
        <f t="shared" si="6"/>
        <v>0</v>
      </c>
      <c r="R254" t="str">
        <f t="shared" si="7"/>
        <v>May</v>
      </c>
    </row>
    <row r="255" spans="1:18" x14ac:dyDescent="0.35">
      <c r="A255" t="s">
        <v>419</v>
      </c>
      <c r="B255" t="s">
        <v>201</v>
      </c>
      <c r="C255" t="s">
        <v>20</v>
      </c>
      <c r="D255" t="s">
        <v>202</v>
      </c>
      <c r="E255">
        <v>0</v>
      </c>
      <c r="F255">
        <v>2037</v>
      </c>
      <c r="G255">
        <v>0</v>
      </c>
      <c r="H255">
        <v>49</v>
      </c>
      <c r="I255">
        <v>0</v>
      </c>
      <c r="J255">
        <v>0</v>
      </c>
      <c r="K255" s="1">
        <v>45778</v>
      </c>
      <c r="L255" t="s">
        <v>17</v>
      </c>
      <c r="M255" t="s">
        <v>18</v>
      </c>
      <c r="N255" s="2">
        <f>IFERROR(NHS_A_E[[#This Row],[T1_Over4hrs]]/NHS_A_E[[#This Row],[T1_Attendances]], 0)</f>
        <v>0</v>
      </c>
      <c r="O255">
        <f>NHS_A_E[[#This Row],[T1_Attendances]]+NHS_A_E[[#This Row],[Other_Attendances]]</f>
        <v>2037</v>
      </c>
      <c r="P255">
        <f>MATCH(LEFT(A255,FIND("-",A255)-1),{"April","May","June","July","August","September","October","November","December","January","February","March"},0)</f>
        <v>2</v>
      </c>
      <c r="Q255" s="3">
        <f t="shared" si="6"/>
        <v>0</v>
      </c>
      <c r="R255" t="str">
        <f t="shared" si="7"/>
        <v>May</v>
      </c>
    </row>
    <row r="256" spans="1:18" x14ac:dyDescent="0.35">
      <c r="A256" t="s">
        <v>419</v>
      </c>
      <c r="B256" t="s">
        <v>299</v>
      </c>
      <c r="C256" t="s">
        <v>63</v>
      </c>
      <c r="D256" t="s">
        <v>300</v>
      </c>
      <c r="E256">
        <v>16305</v>
      </c>
      <c r="F256">
        <v>0</v>
      </c>
      <c r="G256">
        <v>2568</v>
      </c>
      <c r="H256">
        <v>0</v>
      </c>
      <c r="I256">
        <v>719</v>
      </c>
      <c r="J256">
        <v>5</v>
      </c>
      <c r="K256" s="1">
        <v>45778</v>
      </c>
      <c r="L256" t="s">
        <v>17</v>
      </c>
      <c r="M256" t="s">
        <v>18</v>
      </c>
      <c r="N256" s="2">
        <f>IFERROR(NHS_A_E[[#This Row],[T1_Over4hrs]]/NHS_A_E[[#This Row],[T1_Attendances]], 0)</f>
        <v>0.15749770009199632</v>
      </c>
      <c r="O256">
        <f>NHS_A_E[[#This Row],[T1_Attendances]]+NHS_A_E[[#This Row],[Other_Attendances]]</f>
        <v>16305</v>
      </c>
      <c r="P256">
        <f>MATCH(LEFT(A256,FIND("-",A256)-1),{"April","May","June","July","August","September","October","November","December","January","February","March"},0)</f>
        <v>2</v>
      </c>
      <c r="Q256" s="3">
        <f t="shared" si="6"/>
        <v>3.0665440049064706E-4</v>
      </c>
      <c r="R256" t="str">
        <f t="shared" si="7"/>
        <v>May</v>
      </c>
    </row>
    <row r="257" spans="1:18" x14ac:dyDescent="0.35">
      <c r="A257" t="s">
        <v>419</v>
      </c>
      <c r="B257" t="s">
        <v>297</v>
      </c>
      <c r="C257" t="s">
        <v>15</v>
      </c>
      <c r="D257" t="s">
        <v>298</v>
      </c>
      <c r="E257">
        <v>0</v>
      </c>
      <c r="F257">
        <v>3058</v>
      </c>
      <c r="G257">
        <v>0</v>
      </c>
      <c r="H257">
        <v>156</v>
      </c>
      <c r="I257">
        <v>0</v>
      </c>
      <c r="J257">
        <v>0</v>
      </c>
      <c r="K257" s="1">
        <v>45778</v>
      </c>
      <c r="L257" t="s">
        <v>17</v>
      </c>
      <c r="M257" t="s">
        <v>18</v>
      </c>
      <c r="N257" s="2">
        <f>IFERROR(NHS_A_E[[#This Row],[T1_Over4hrs]]/NHS_A_E[[#This Row],[T1_Attendances]], 0)</f>
        <v>0</v>
      </c>
      <c r="O257">
        <f>NHS_A_E[[#This Row],[T1_Attendances]]+NHS_A_E[[#This Row],[Other_Attendances]]</f>
        <v>3058</v>
      </c>
      <c r="P257">
        <f>MATCH(LEFT(A257,FIND("-",A257)-1),{"April","May","June","July","August","September","October","November","December","January","February","March"},0)</f>
        <v>2</v>
      </c>
      <c r="Q257" s="3">
        <f t="shared" si="6"/>
        <v>0</v>
      </c>
      <c r="R257" t="str">
        <f t="shared" si="7"/>
        <v>May</v>
      </c>
    </row>
    <row r="258" spans="1:18" x14ac:dyDescent="0.35">
      <c r="A258" t="s">
        <v>419</v>
      </c>
      <c r="B258" t="s">
        <v>295</v>
      </c>
      <c r="C258" t="s">
        <v>15</v>
      </c>
      <c r="D258" t="s">
        <v>296</v>
      </c>
      <c r="E258">
        <v>10479</v>
      </c>
      <c r="F258">
        <v>0</v>
      </c>
      <c r="G258">
        <v>3919</v>
      </c>
      <c r="H258">
        <v>0</v>
      </c>
      <c r="I258">
        <v>462</v>
      </c>
      <c r="J258">
        <v>661</v>
      </c>
      <c r="K258" s="1">
        <v>45778</v>
      </c>
      <c r="L258" t="s">
        <v>17</v>
      </c>
      <c r="M258" t="s">
        <v>18</v>
      </c>
      <c r="N258" s="2">
        <f>IFERROR(NHS_A_E[[#This Row],[T1_Over4hrs]]/NHS_A_E[[#This Row],[T1_Attendances]], 0)</f>
        <v>0.3739860673728409</v>
      </c>
      <c r="O258">
        <f>NHS_A_E[[#This Row],[T1_Attendances]]+NHS_A_E[[#This Row],[Other_Attendances]]</f>
        <v>10479</v>
      </c>
      <c r="P258">
        <f>MATCH(LEFT(A258,FIND("-",A258)-1),{"April","May","June","July","August","September","October","November","December","January","February","March"},0)</f>
        <v>2</v>
      </c>
      <c r="Q258" s="3">
        <f t="shared" ref="Q258:Q321" si="8">IFERROR(J258/E258,0)</f>
        <v>6.3078538028437825E-2</v>
      </c>
      <c r="R258" t="str">
        <f t="shared" ref="R258:R321" si="9">TEXT(A258, "mmmm")</f>
        <v>May</v>
      </c>
    </row>
    <row r="259" spans="1:18" x14ac:dyDescent="0.35">
      <c r="A259" t="s">
        <v>419</v>
      </c>
      <c r="B259" t="s">
        <v>293</v>
      </c>
      <c r="C259" t="s">
        <v>20</v>
      </c>
      <c r="D259" t="s">
        <v>294</v>
      </c>
      <c r="E259">
        <v>0</v>
      </c>
      <c r="F259">
        <v>0</v>
      </c>
      <c r="G259">
        <v>0</v>
      </c>
      <c r="H259">
        <v>0</v>
      </c>
      <c r="I259">
        <v>0</v>
      </c>
      <c r="J259">
        <v>0</v>
      </c>
      <c r="K259" s="1">
        <v>45778</v>
      </c>
      <c r="L259" t="s">
        <v>17</v>
      </c>
      <c r="M259" t="s">
        <v>18</v>
      </c>
      <c r="N259" s="2">
        <f>IFERROR(NHS_A_E[[#This Row],[T1_Over4hrs]]/NHS_A_E[[#This Row],[T1_Attendances]], 0)</f>
        <v>0</v>
      </c>
      <c r="O259">
        <f>NHS_A_E[[#This Row],[T1_Attendances]]+NHS_A_E[[#This Row],[Other_Attendances]]</f>
        <v>0</v>
      </c>
      <c r="P259">
        <f>MATCH(LEFT(A259,FIND("-",A259)-1),{"April","May","June","July","August","September","October","November","December","January","February","March"},0)</f>
        <v>2</v>
      </c>
      <c r="Q259" s="3">
        <f t="shared" si="8"/>
        <v>0</v>
      </c>
      <c r="R259" t="str">
        <f t="shared" si="9"/>
        <v>May</v>
      </c>
    </row>
    <row r="260" spans="1:18" x14ac:dyDescent="0.35">
      <c r="A260" t="s">
        <v>419</v>
      </c>
      <c r="B260" t="s">
        <v>315</v>
      </c>
      <c r="C260" t="s">
        <v>23</v>
      </c>
      <c r="D260" t="s">
        <v>316</v>
      </c>
      <c r="E260">
        <v>7796</v>
      </c>
      <c r="F260">
        <v>1263</v>
      </c>
      <c r="G260">
        <v>2945</v>
      </c>
      <c r="H260">
        <v>0</v>
      </c>
      <c r="I260">
        <v>574</v>
      </c>
      <c r="J260">
        <v>205</v>
      </c>
      <c r="K260" s="1">
        <v>45778</v>
      </c>
      <c r="L260" t="s">
        <v>17</v>
      </c>
      <c r="M260" t="s">
        <v>18</v>
      </c>
      <c r="N260" s="2">
        <f>IFERROR(NHS_A_E[[#This Row],[T1_Over4hrs]]/NHS_A_E[[#This Row],[T1_Attendances]], 0)</f>
        <v>0.37775782452539763</v>
      </c>
      <c r="O260">
        <f>NHS_A_E[[#This Row],[T1_Attendances]]+NHS_A_E[[#This Row],[Other_Attendances]]</f>
        <v>9059</v>
      </c>
      <c r="P260">
        <f>MATCH(LEFT(A260,FIND("-",A260)-1),{"April","May","June","July","August","September","October","November","December","January","February","March"},0)</f>
        <v>2</v>
      </c>
      <c r="Q260" s="3">
        <f t="shared" si="8"/>
        <v>2.6295536172396102E-2</v>
      </c>
      <c r="R260" t="str">
        <f t="shared" si="9"/>
        <v>May</v>
      </c>
    </row>
    <row r="261" spans="1:18" x14ac:dyDescent="0.35">
      <c r="A261" t="s">
        <v>419</v>
      </c>
      <c r="B261" t="s">
        <v>249</v>
      </c>
      <c r="C261" t="s">
        <v>20</v>
      </c>
      <c r="D261" t="s">
        <v>250</v>
      </c>
      <c r="E261">
        <v>6821</v>
      </c>
      <c r="F261">
        <v>3781</v>
      </c>
      <c r="G261">
        <v>3146</v>
      </c>
      <c r="H261">
        <v>16</v>
      </c>
      <c r="I261">
        <v>319</v>
      </c>
      <c r="J261">
        <v>65</v>
      </c>
      <c r="K261" s="1">
        <v>45778</v>
      </c>
      <c r="L261" t="s">
        <v>17</v>
      </c>
      <c r="M261" t="s">
        <v>18</v>
      </c>
      <c r="N261" s="2">
        <f>IFERROR(NHS_A_E[[#This Row],[T1_Over4hrs]]/NHS_A_E[[#This Row],[T1_Attendances]], 0)</f>
        <v>0.46122269461955723</v>
      </c>
      <c r="O261">
        <f>NHS_A_E[[#This Row],[T1_Attendances]]+NHS_A_E[[#This Row],[Other_Attendances]]</f>
        <v>10602</v>
      </c>
      <c r="P261">
        <f>MATCH(LEFT(A261,FIND("-",A261)-1),{"April","May","June","July","August","September","October","November","December","January","February","March"},0)</f>
        <v>2</v>
      </c>
      <c r="Q261" s="3">
        <f t="shared" si="8"/>
        <v>9.5293945169330017E-3</v>
      </c>
      <c r="R261" t="str">
        <f t="shared" si="9"/>
        <v>May</v>
      </c>
    </row>
    <row r="262" spans="1:18" x14ac:dyDescent="0.35">
      <c r="A262" t="s">
        <v>419</v>
      </c>
      <c r="B262" t="s">
        <v>331</v>
      </c>
      <c r="C262" t="s">
        <v>15</v>
      </c>
      <c r="D262" t="s">
        <v>332</v>
      </c>
      <c r="E262">
        <v>0</v>
      </c>
      <c r="F262">
        <v>5679</v>
      </c>
      <c r="G262">
        <v>0</v>
      </c>
      <c r="H262">
        <v>189</v>
      </c>
      <c r="I262">
        <v>0</v>
      </c>
      <c r="J262">
        <v>0</v>
      </c>
      <c r="K262" s="1">
        <v>45778</v>
      </c>
      <c r="L262" t="s">
        <v>17</v>
      </c>
      <c r="M262" t="s">
        <v>18</v>
      </c>
      <c r="N262" s="2">
        <f>IFERROR(NHS_A_E[[#This Row],[T1_Over4hrs]]/NHS_A_E[[#This Row],[T1_Attendances]], 0)</f>
        <v>0</v>
      </c>
      <c r="O262">
        <f>NHS_A_E[[#This Row],[T1_Attendances]]+NHS_A_E[[#This Row],[Other_Attendances]]</f>
        <v>5679</v>
      </c>
      <c r="P262">
        <f>MATCH(LEFT(A262,FIND("-",A262)-1),{"April","May","June","July","August","September","October","November","December","January","February","March"},0)</f>
        <v>2</v>
      </c>
      <c r="Q262" s="3">
        <f t="shared" si="8"/>
        <v>0</v>
      </c>
      <c r="R262" t="str">
        <f t="shared" si="9"/>
        <v>May</v>
      </c>
    </row>
    <row r="263" spans="1:18" x14ac:dyDescent="0.35">
      <c r="A263" t="s">
        <v>419</v>
      </c>
      <c r="B263" t="s">
        <v>285</v>
      </c>
      <c r="C263" t="s">
        <v>40</v>
      </c>
      <c r="D263" t="s">
        <v>286</v>
      </c>
      <c r="E263">
        <v>0</v>
      </c>
      <c r="F263">
        <v>354</v>
      </c>
      <c r="G263">
        <v>0</v>
      </c>
      <c r="H263">
        <v>0</v>
      </c>
      <c r="I263">
        <v>0</v>
      </c>
      <c r="J263">
        <v>0</v>
      </c>
      <c r="K263" s="1">
        <v>45778</v>
      </c>
      <c r="L263" t="s">
        <v>17</v>
      </c>
      <c r="M263" t="s">
        <v>18</v>
      </c>
      <c r="N263" s="2">
        <f>IFERROR(NHS_A_E[[#This Row],[T1_Over4hrs]]/NHS_A_E[[#This Row],[T1_Attendances]], 0)</f>
        <v>0</v>
      </c>
      <c r="O263">
        <f>NHS_A_E[[#This Row],[T1_Attendances]]+NHS_A_E[[#This Row],[Other_Attendances]]</f>
        <v>354</v>
      </c>
      <c r="P263">
        <f>MATCH(LEFT(A263,FIND("-",A263)-1),{"April","May","June","July","August","September","October","November","December","January","February","March"},0)</f>
        <v>2</v>
      </c>
      <c r="Q263" s="3">
        <f t="shared" si="8"/>
        <v>0</v>
      </c>
      <c r="R263" t="str">
        <f t="shared" si="9"/>
        <v>May</v>
      </c>
    </row>
    <row r="264" spans="1:18" x14ac:dyDescent="0.35">
      <c r="A264" t="s">
        <v>419</v>
      </c>
      <c r="B264" t="s">
        <v>283</v>
      </c>
      <c r="C264" t="s">
        <v>15</v>
      </c>
      <c r="D264" t="s">
        <v>284</v>
      </c>
      <c r="E264">
        <v>0</v>
      </c>
      <c r="F264">
        <v>3567</v>
      </c>
      <c r="G264">
        <v>0</v>
      </c>
      <c r="H264">
        <v>24</v>
      </c>
      <c r="I264">
        <v>0</v>
      </c>
      <c r="J264">
        <v>0</v>
      </c>
      <c r="K264" s="1">
        <v>45778</v>
      </c>
      <c r="L264" t="s">
        <v>17</v>
      </c>
      <c r="M264" t="s">
        <v>18</v>
      </c>
      <c r="N264" s="2">
        <f>IFERROR(NHS_A_E[[#This Row],[T1_Over4hrs]]/NHS_A_E[[#This Row],[T1_Attendances]], 0)</f>
        <v>0</v>
      </c>
      <c r="O264">
        <f>NHS_A_E[[#This Row],[T1_Attendances]]+NHS_A_E[[#This Row],[Other_Attendances]]</f>
        <v>3567</v>
      </c>
      <c r="P264">
        <f>MATCH(LEFT(A264,FIND("-",A264)-1),{"April","May","June","July","August","September","October","November","December","January","February","March"},0)</f>
        <v>2</v>
      </c>
      <c r="Q264" s="3">
        <f t="shared" si="8"/>
        <v>0</v>
      </c>
      <c r="R264" t="str">
        <f t="shared" si="9"/>
        <v>May</v>
      </c>
    </row>
    <row r="265" spans="1:18" x14ac:dyDescent="0.35">
      <c r="A265" t="s">
        <v>419</v>
      </c>
      <c r="B265" t="s">
        <v>321</v>
      </c>
      <c r="C265" t="s">
        <v>20</v>
      </c>
      <c r="D265" t="s">
        <v>322</v>
      </c>
      <c r="E265">
        <v>0</v>
      </c>
      <c r="F265">
        <v>524</v>
      </c>
      <c r="G265">
        <v>0</v>
      </c>
      <c r="H265">
        <v>0</v>
      </c>
      <c r="I265">
        <v>0</v>
      </c>
      <c r="J265">
        <v>0</v>
      </c>
      <c r="K265" s="1">
        <v>45778</v>
      </c>
      <c r="L265" t="s">
        <v>17</v>
      </c>
      <c r="M265" t="s">
        <v>18</v>
      </c>
      <c r="N265" s="2">
        <f>IFERROR(NHS_A_E[[#This Row],[T1_Over4hrs]]/NHS_A_E[[#This Row],[T1_Attendances]], 0)</f>
        <v>0</v>
      </c>
      <c r="O265">
        <f>NHS_A_E[[#This Row],[T1_Attendances]]+NHS_A_E[[#This Row],[Other_Attendances]]</f>
        <v>524</v>
      </c>
      <c r="P265">
        <f>MATCH(LEFT(A265,FIND("-",A265)-1),{"April","May","June","July","August","September","October","November","December","January","February","March"},0)</f>
        <v>2</v>
      </c>
      <c r="Q265" s="3">
        <f t="shared" si="8"/>
        <v>0</v>
      </c>
      <c r="R265" t="str">
        <f t="shared" si="9"/>
        <v>May</v>
      </c>
    </row>
    <row r="266" spans="1:18" x14ac:dyDescent="0.35">
      <c r="A266" t="s">
        <v>419</v>
      </c>
      <c r="B266" t="s">
        <v>127</v>
      </c>
      <c r="C266" t="s">
        <v>15</v>
      </c>
      <c r="D266" t="s">
        <v>128</v>
      </c>
      <c r="E266">
        <v>0</v>
      </c>
      <c r="F266">
        <v>1986</v>
      </c>
      <c r="G266">
        <v>0</v>
      </c>
      <c r="H266">
        <v>0</v>
      </c>
      <c r="I266">
        <v>0</v>
      </c>
      <c r="J266">
        <v>0</v>
      </c>
      <c r="K266" s="1">
        <v>45778</v>
      </c>
      <c r="L266" t="s">
        <v>17</v>
      </c>
      <c r="M266" t="s">
        <v>18</v>
      </c>
      <c r="N266" s="2">
        <f>IFERROR(NHS_A_E[[#This Row],[T1_Over4hrs]]/NHS_A_E[[#This Row],[T1_Attendances]], 0)</f>
        <v>0</v>
      </c>
      <c r="O266">
        <f>NHS_A_E[[#This Row],[T1_Attendances]]+NHS_A_E[[#This Row],[Other_Attendances]]</f>
        <v>1986</v>
      </c>
      <c r="P266">
        <f>MATCH(LEFT(A266,FIND("-",A266)-1),{"April","May","June","July","August","September","October","November","December","January","February","March"},0)</f>
        <v>2</v>
      </c>
      <c r="Q266" s="3">
        <f t="shared" si="8"/>
        <v>0</v>
      </c>
      <c r="R266" t="str">
        <f t="shared" si="9"/>
        <v>May</v>
      </c>
    </row>
    <row r="267" spans="1:18" x14ac:dyDescent="0.35">
      <c r="A267" t="s">
        <v>419</v>
      </c>
      <c r="B267" t="s">
        <v>281</v>
      </c>
      <c r="C267" t="s">
        <v>40</v>
      </c>
      <c r="D267" t="s">
        <v>282</v>
      </c>
      <c r="E267">
        <v>0</v>
      </c>
      <c r="F267">
        <v>6661</v>
      </c>
      <c r="G267">
        <v>0</v>
      </c>
      <c r="H267">
        <v>0</v>
      </c>
      <c r="I267">
        <v>0</v>
      </c>
      <c r="J267">
        <v>0</v>
      </c>
      <c r="K267" s="1">
        <v>45778</v>
      </c>
      <c r="L267" t="s">
        <v>17</v>
      </c>
      <c r="M267" t="s">
        <v>18</v>
      </c>
      <c r="N267" s="2">
        <f>IFERROR(NHS_A_E[[#This Row],[T1_Over4hrs]]/NHS_A_E[[#This Row],[T1_Attendances]], 0)</f>
        <v>0</v>
      </c>
      <c r="O267">
        <f>NHS_A_E[[#This Row],[T1_Attendances]]+NHS_A_E[[#This Row],[Other_Attendances]]</f>
        <v>6661</v>
      </c>
      <c r="P267">
        <f>MATCH(LEFT(A267,FIND("-",A267)-1),{"April","May","June","July","August","September","October","November","December","January","February","March"},0)</f>
        <v>2</v>
      </c>
      <c r="Q267" s="3">
        <f t="shared" si="8"/>
        <v>0</v>
      </c>
      <c r="R267" t="str">
        <f t="shared" si="9"/>
        <v>May</v>
      </c>
    </row>
    <row r="268" spans="1:18" x14ac:dyDescent="0.35">
      <c r="A268" t="s">
        <v>419</v>
      </c>
      <c r="B268" t="s">
        <v>161</v>
      </c>
      <c r="C268" t="s">
        <v>30</v>
      </c>
      <c r="D268" t="s">
        <v>162</v>
      </c>
      <c r="E268">
        <v>7250</v>
      </c>
      <c r="F268">
        <v>3317</v>
      </c>
      <c r="G268">
        <v>4462</v>
      </c>
      <c r="H268">
        <v>50</v>
      </c>
      <c r="I268">
        <v>610</v>
      </c>
      <c r="J268">
        <v>645</v>
      </c>
      <c r="K268" s="1">
        <v>45778</v>
      </c>
      <c r="L268" t="s">
        <v>17</v>
      </c>
      <c r="M268" t="s">
        <v>18</v>
      </c>
      <c r="N268" s="2">
        <f>IFERROR(NHS_A_E[[#This Row],[T1_Over4hrs]]/NHS_A_E[[#This Row],[T1_Attendances]], 0)</f>
        <v>0.61544827586206896</v>
      </c>
      <c r="O268">
        <f>NHS_A_E[[#This Row],[T1_Attendances]]+NHS_A_E[[#This Row],[Other_Attendances]]</f>
        <v>10567</v>
      </c>
      <c r="P268">
        <f>MATCH(LEFT(A268,FIND("-",A268)-1),{"April","May","June","July","August","September","October","November","December","January","February","March"},0)</f>
        <v>2</v>
      </c>
      <c r="Q268" s="3">
        <f t="shared" si="8"/>
        <v>8.8965517241379313E-2</v>
      </c>
      <c r="R268" t="str">
        <f t="shared" si="9"/>
        <v>May</v>
      </c>
    </row>
    <row r="269" spans="1:18" x14ac:dyDescent="0.35">
      <c r="A269" t="s">
        <v>419</v>
      </c>
      <c r="B269" t="s">
        <v>289</v>
      </c>
      <c r="C269" t="s">
        <v>30</v>
      </c>
      <c r="D269" t="s">
        <v>290</v>
      </c>
      <c r="E269">
        <v>0</v>
      </c>
      <c r="F269">
        <v>0</v>
      </c>
      <c r="G269">
        <v>0</v>
      </c>
      <c r="H269">
        <v>0</v>
      </c>
      <c r="I269">
        <v>0</v>
      </c>
      <c r="J269">
        <v>0</v>
      </c>
      <c r="K269" s="1">
        <v>45778</v>
      </c>
      <c r="L269" t="s">
        <v>17</v>
      </c>
      <c r="M269" t="s">
        <v>18</v>
      </c>
      <c r="N269" s="2">
        <f>IFERROR(NHS_A_E[[#This Row],[T1_Over4hrs]]/NHS_A_E[[#This Row],[T1_Attendances]], 0)</f>
        <v>0</v>
      </c>
      <c r="O269">
        <f>NHS_A_E[[#This Row],[T1_Attendances]]+NHS_A_E[[#This Row],[Other_Attendances]]</f>
        <v>0</v>
      </c>
      <c r="P269">
        <f>MATCH(LEFT(A269,FIND("-",A269)-1),{"April","May","June","July","August","September","October","November","December","January","February","March"},0)</f>
        <v>2</v>
      </c>
      <c r="Q269" s="3">
        <f t="shared" si="8"/>
        <v>0</v>
      </c>
      <c r="R269" t="str">
        <f t="shared" si="9"/>
        <v>May</v>
      </c>
    </row>
    <row r="270" spans="1:18" x14ac:dyDescent="0.35">
      <c r="A270" t="s">
        <v>419</v>
      </c>
      <c r="B270" t="s">
        <v>405</v>
      </c>
      <c r="C270" t="s">
        <v>15</v>
      </c>
      <c r="D270" t="s">
        <v>406</v>
      </c>
      <c r="E270">
        <v>9610</v>
      </c>
      <c r="F270">
        <v>6563</v>
      </c>
      <c r="G270">
        <v>3160</v>
      </c>
      <c r="H270">
        <v>407</v>
      </c>
      <c r="I270">
        <v>398</v>
      </c>
      <c r="J270">
        <v>533</v>
      </c>
      <c r="K270" s="1">
        <v>45778</v>
      </c>
      <c r="L270" t="s">
        <v>17</v>
      </c>
      <c r="M270" t="s">
        <v>18</v>
      </c>
      <c r="N270" s="2">
        <f>IFERROR(NHS_A_E[[#This Row],[T1_Over4hrs]]/NHS_A_E[[#This Row],[T1_Attendances]], 0)</f>
        <v>0.32882414151925077</v>
      </c>
      <c r="O270">
        <f>NHS_A_E[[#This Row],[T1_Attendances]]+NHS_A_E[[#This Row],[Other_Attendances]]</f>
        <v>16173</v>
      </c>
      <c r="P270">
        <f>MATCH(LEFT(A270,FIND("-",A270)-1),{"April","May","June","July","August","September","October","November","December","January","February","March"},0)</f>
        <v>2</v>
      </c>
      <c r="Q270" s="3">
        <f t="shared" si="8"/>
        <v>5.54630593132154E-2</v>
      </c>
      <c r="R270" t="str">
        <f t="shared" si="9"/>
        <v>May</v>
      </c>
    </row>
    <row r="271" spans="1:18" x14ac:dyDescent="0.35">
      <c r="A271" t="s">
        <v>419</v>
      </c>
      <c r="B271" t="s">
        <v>229</v>
      </c>
      <c r="C271" t="s">
        <v>23</v>
      </c>
      <c r="D271" t="s">
        <v>230</v>
      </c>
      <c r="E271">
        <v>6756</v>
      </c>
      <c r="F271">
        <v>1203</v>
      </c>
      <c r="G271">
        <v>3003</v>
      </c>
      <c r="H271">
        <v>0</v>
      </c>
      <c r="I271">
        <v>1542</v>
      </c>
      <c r="J271">
        <v>90</v>
      </c>
      <c r="K271" s="1">
        <v>45778</v>
      </c>
      <c r="L271" t="s">
        <v>17</v>
      </c>
      <c r="M271" t="s">
        <v>18</v>
      </c>
      <c r="N271" s="2">
        <f>IFERROR(NHS_A_E[[#This Row],[T1_Over4hrs]]/NHS_A_E[[#This Row],[T1_Attendances]], 0)</f>
        <v>0.44449378330373002</v>
      </c>
      <c r="O271">
        <f>NHS_A_E[[#This Row],[T1_Attendances]]+NHS_A_E[[#This Row],[Other_Attendances]]</f>
        <v>7959</v>
      </c>
      <c r="P271">
        <f>MATCH(LEFT(A271,FIND("-",A271)-1),{"April","May","June","July","August","September","October","November","December","January","February","March"},0)</f>
        <v>2</v>
      </c>
      <c r="Q271" s="3">
        <f t="shared" si="8"/>
        <v>1.3321492007104795E-2</v>
      </c>
      <c r="R271" t="str">
        <f t="shared" si="9"/>
        <v>May</v>
      </c>
    </row>
    <row r="272" spans="1:18" x14ac:dyDescent="0.35">
      <c r="A272" t="s">
        <v>419</v>
      </c>
      <c r="B272" t="s">
        <v>54</v>
      </c>
      <c r="C272" t="s">
        <v>15</v>
      </c>
      <c r="D272" t="s">
        <v>55</v>
      </c>
      <c r="E272">
        <v>0</v>
      </c>
      <c r="F272">
        <v>4266</v>
      </c>
      <c r="G272">
        <v>0</v>
      </c>
      <c r="H272">
        <v>234</v>
      </c>
      <c r="I272">
        <v>0</v>
      </c>
      <c r="J272">
        <v>0</v>
      </c>
      <c r="K272" s="1">
        <v>45778</v>
      </c>
      <c r="L272" t="s">
        <v>17</v>
      </c>
      <c r="M272" t="s">
        <v>18</v>
      </c>
      <c r="N272" s="2">
        <f>IFERROR(NHS_A_E[[#This Row],[T1_Over4hrs]]/NHS_A_E[[#This Row],[T1_Attendances]], 0)</f>
        <v>0</v>
      </c>
      <c r="O272">
        <f>NHS_A_E[[#This Row],[T1_Attendances]]+NHS_A_E[[#This Row],[Other_Attendances]]</f>
        <v>4266</v>
      </c>
      <c r="P272">
        <f>MATCH(LEFT(A272,FIND("-",A272)-1),{"April","May","June","July","August","September","October","November","December","January","February","March"},0)</f>
        <v>2</v>
      </c>
      <c r="Q272" s="3">
        <f t="shared" si="8"/>
        <v>0</v>
      </c>
      <c r="R272" t="str">
        <f t="shared" si="9"/>
        <v>May</v>
      </c>
    </row>
    <row r="273" spans="1:18" x14ac:dyDescent="0.35">
      <c r="A273" t="s">
        <v>419</v>
      </c>
      <c r="B273" t="s">
        <v>369</v>
      </c>
      <c r="C273" t="s">
        <v>30</v>
      </c>
      <c r="D273" t="s">
        <v>370</v>
      </c>
      <c r="E273">
        <v>0</v>
      </c>
      <c r="F273">
        <v>3030</v>
      </c>
      <c r="G273">
        <v>0</v>
      </c>
      <c r="H273">
        <v>50</v>
      </c>
      <c r="I273">
        <v>0</v>
      </c>
      <c r="J273">
        <v>0</v>
      </c>
      <c r="K273" s="1">
        <v>45778</v>
      </c>
      <c r="L273" t="s">
        <v>17</v>
      </c>
      <c r="M273" t="s">
        <v>18</v>
      </c>
      <c r="N273" s="2">
        <f>IFERROR(NHS_A_E[[#This Row],[T1_Over4hrs]]/NHS_A_E[[#This Row],[T1_Attendances]], 0)</f>
        <v>0</v>
      </c>
      <c r="O273">
        <f>NHS_A_E[[#This Row],[T1_Attendances]]+NHS_A_E[[#This Row],[Other_Attendances]]</f>
        <v>3030</v>
      </c>
      <c r="P273">
        <f>MATCH(LEFT(A273,FIND("-",A273)-1),{"April","May","June","July","August","September","October","November","December","January","February","March"},0)</f>
        <v>2</v>
      </c>
      <c r="Q273" s="3">
        <f t="shared" si="8"/>
        <v>0</v>
      </c>
      <c r="R273" t="str">
        <f t="shared" si="9"/>
        <v>May</v>
      </c>
    </row>
    <row r="274" spans="1:18" x14ac:dyDescent="0.35">
      <c r="A274" t="s">
        <v>419</v>
      </c>
      <c r="B274" t="s">
        <v>327</v>
      </c>
      <c r="C274" t="s">
        <v>40</v>
      </c>
      <c r="D274" t="s">
        <v>328</v>
      </c>
      <c r="E274">
        <v>0</v>
      </c>
      <c r="F274">
        <v>8372</v>
      </c>
      <c r="G274">
        <v>0</v>
      </c>
      <c r="H274">
        <v>166</v>
      </c>
      <c r="I274">
        <v>0</v>
      </c>
      <c r="J274">
        <v>0</v>
      </c>
      <c r="K274" s="1">
        <v>45778</v>
      </c>
      <c r="L274" t="s">
        <v>17</v>
      </c>
      <c r="M274" t="s">
        <v>18</v>
      </c>
      <c r="N274" s="2">
        <f>IFERROR(NHS_A_E[[#This Row],[T1_Over4hrs]]/NHS_A_E[[#This Row],[T1_Attendances]], 0)</f>
        <v>0</v>
      </c>
      <c r="O274">
        <f>NHS_A_E[[#This Row],[T1_Attendances]]+NHS_A_E[[#This Row],[Other_Attendances]]</f>
        <v>8372</v>
      </c>
      <c r="P274">
        <f>MATCH(LEFT(A274,FIND("-",A274)-1),{"April","May","June","July","August","September","October","November","December","January","February","March"},0)</f>
        <v>2</v>
      </c>
      <c r="Q274" s="3">
        <f t="shared" si="8"/>
        <v>0</v>
      </c>
      <c r="R274" t="str">
        <f t="shared" si="9"/>
        <v>May</v>
      </c>
    </row>
    <row r="275" spans="1:18" x14ac:dyDescent="0.35">
      <c r="A275" t="s">
        <v>419</v>
      </c>
      <c r="B275" t="s">
        <v>233</v>
      </c>
      <c r="C275" t="s">
        <v>30</v>
      </c>
      <c r="D275" t="s">
        <v>234</v>
      </c>
      <c r="E275">
        <v>5321</v>
      </c>
      <c r="F275">
        <v>2456</v>
      </c>
      <c r="G275">
        <v>2837</v>
      </c>
      <c r="H275">
        <v>283</v>
      </c>
      <c r="I275">
        <v>244</v>
      </c>
      <c r="J275">
        <v>751</v>
      </c>
      <c r="K275" s="1">
        <v>45778</v>
      </c>
      <c r="L275" t="s">
        <v>17</v>
      </c>
      <c r="M275" t="s">
        <v>18</v>
      </c>
      <c r="N275" s="2">
        <f>IFERROR(NHS_A_E[[#This Row],[T1_Over4hrs]]/NHS_A_E[[#This Row],[T1_Attendances]], 0)</f>
        <v>0.53317045668107499</v>
      </c>
      <c r="O275">
        <f>NHS_A_E[[#This Row],[T1_Attendances]]+NHS_A_E[[#This Row],[Other_Attendances]]</f>
        <v>7777</v>
      </c>
      <c r="P275">
        <f>MATCH(LEFT(A275,FIND("-",A275)-1),{"April","May","June","July","August","September","October","November","December","January","February","March"},0)</f>
        <v>2</v>
      </c>
      <c r="Q275" s="3">
        <f t="shared" si="8"/>
        <v>0.14113888366848337</v>
      </c>
      <c r="R275" t="str">
        <f t="shared" si="9"/>
        <v>May</v>
      </c>
    </row>
    <row r="276" spans="1:18" x14ac:dyDescent="0.35">
      <c r="A276" t="s">
        <v>419</v>
      </c>
      <c r="B276" t="s">
        <v>273</v>
      </c>
      <c r="C276" t="s">
        <v>30</v>
      </c>
      <c r="D276" t="s">
        <v>274</v>
      </c>
      <c r="E276">
        <v>4561</v>
      </c>
      <c r="F276">
        <v>0</v>
      </c>
      <c r="G276">
        <v>1991</v>
      </c>
      <c r="H276">
        <v>0</v>
      </c>
      <c r="I276">
        <v>151</v>
      </c>
      <c r="J276">
        <v>148</v>
      </c>
      <c r="K276" s="1">
        <v>45778</v>
      </c>
      <c r="L276" t="s">
        <v>17</v>
      </c>
      <c r="M276" t="s">
        <v>18</v>
      </c>
      <c r="N276" s="2">
        <f>IFERROR(NHS_A_E[[#This Row],[T1_Over4hrs]]/NHS_A_E[[#This Row],[T1_Attendances]], 0)</f>
        <v>0.43652707739530805</v>
      </c>
      <c r="O276">
        <f>NHS_A_E[[#This Row],[T1_Attendances]]+NHS_A_E[[#This Row],[Other_Attendances]]</f>
        <v>4561</v>
      </c>
      <c r="P276">
        <f>MATCH(LEFT(A276,FIND("-",A276)-1),{"April","May","June","July","August","September","October","November","December","January","February","March"},0)</f>
        <v>2</v>
      </c>
      <c r="Q276" s="3">
        <f t="shared" si="8"/>
        <v>3.2449024336768252E-2</v>
      </c>
      <c r="R276" t="str">
        <f t="shared" si="9"/>
        <v>May</v>
      </c>
    </row>
    <row r="277" spans="1:18" x14ac:dyDescent="0.35">
      <c r="A277" t="s">
        <v>419</v>
      </c>
      <c r="B277" t="s">
        <v>313</v>
      </c>
      <c r="C277" t="s">
        <v>20</v>
      </c>
      <c r="D277" t="s">
        <v>314</v>
      </c>
      <c r="E277">
        <v>0</v>
      </c>
      <c r="F277">
        <v>0</v>
      </c>
      <c r="G277">
        <v>0</v>
      </c>
      <c r="H277">
        <v>0</v>
      </c>
      <c r="I277">
        <v>0</v>
      </c>
      <c r="J277">
        <v>0</v>
      </c>
      <c r="K277" s="1">
        <v>45778</v>
      </c>
      <c r="L277" t="s">
        <v>17</v>
      </c>
      <c r="M277" t="s">
        <v>18</v>
      </c>
      <c r="N277" s="2">
        <f>IFERROR(NHS_A_E[[#This Row],[T1_Over4hrs]]/NHS_A_E[[#This Row],[T1_Attendances]], 0)</f>
        <v>0</v>
      </c>
      <c r="O277">
        <f>NHS_A_E[[#This Row],[T1_Attendances]]+NHS_A_E[[#This Row],[Other_Attendances]]</f>
        <v>0</v>
      </c>
      <c r="P277">
        <f>MATCH(LEFT(A277,FIND("-",A277)-1),{"April","May","June","July","August","September","October","November","December","January","February","March"},0)</f>
        <v>2</v>
      </c>
      <c r="Q277" s="3">
        <f t="shared" si="8"/>
        <v>0</v>
      </c>
      <c r="R277" t="str">
        <f t="shared" si="9"/>
        <v>May</v>
      </c>
    </row>
    <row r="278" spans="1:18" x14ac:dyDescent="0.35">
      <c r="A278" t="s">
        <v>419</v>
      </c>
      <c r="B278" t="s">
        <v>391</v>
      </c>
      <c r="C278" t="s">
        <v>63</v>
      </c>
      <c r="D278" t="s">
        <v>392</v>
      </c>
      <c r="E278">
        <v>4611</v>
      </c>
      <c r="F278">
        <v>319</v>
      </c>
      <c r="G278">
        <v>401</v>
      </c>
      <c r="H278">
        <v>0</v>
      </c>
      <c r="I278">
        <v>14</v>
      </c>
      <c r="J278">
        <v>0</v>
      </c>
      <c r="K278" s="1">
        <v>45778</v>
      </c>
      <c r="L278" t="s">
        <v>17</v>
      </c>
      <c r="M278" t="s">
        <v>18</v>
      </c>
      <c r="N278" s="2">
        <f>IFERROR(NHS_A_E[[#This Row],[T1_Over4hrs]]/NHS_A_E[[#This Row],[T1_Attendances]], 0)</f>
        <v>8.6965950986770763E-2</v>
      </c>
      <c r="O278">
        <f>NHS_A_E[[#This Row],[T1_Attendances]]+NHS_A_E[[#This Row],[Other_Attendances]]</f>
        <v>4930</v>
      </c>
      <c r="P278">
        <f>MATCH(LEFT(A278,FIND("-",A278)-1),{"April","May","June","July","August","September","October","November","December","January","February","March"},0)</f>
        <v>2</v>
      </c>
      <c r="Q278" s="3">
        <f t="shared" si="8"/>
        <v>0</v>
      </c>
      <c r="R278" t="str">
        <f t="shared" si="9"/>
        <v>May</v>
      </c>
    </row>
    <row r="279" spans="1:18" x14ac:dyDescent="0.35">
      <c r="A279" t="s">
        <v>419</v>
      </c>
      <c r="B279" t="s">
        <v>291</v>
      </c>
      <c r="C279" t="s">
        <v>63</v>
      </c>
      <c r="D279" t="s">
        <v>292</v>
      </c>
      <c r="E279">
        <v>5246</v>
      </c>
      <c r="F279">
        <v>1090</v>
      </c>
      <c r="G279">
        <v>1393</v>
      </c>
      <c r="H279">
        <v>0</v>
      </c>
      <c r="I279">
        <v>170</v>
      </c>
      <c r="J279">
        <v>15</v>
      </c>
      <c r="K279" s="1">
        <v>45778</v>
      </c>
      <c r="L279" t="s">
        <v>17</v>
      </c>
      <c r="M279" t="s">
        <v>18</v>
      </c>
      <c r="N279" s="2">
        <f>IFERROR(NHS_A_E[[#This Row],[T1_Over4hrs]]/NHS_A_E[[#This Row],[T1_Attendances]], 0)</f>
        <v>0.26553564620663361</v>
      </c>
      <c r="O279">
        <f>NHS_A_E[[#This Row],[T1_Attendances]]+NHS_A_E[[#This Row],[Other_Attendances]]</f>
        <v>6336</v>
      </c>
      <c r="P279">
        <f>MATCH(LEFT(A279,FIND("-",A279)-1),{"April","May","June","July","August","September","October","November","December","January","February","March"},0)</f>
        <v>2</v>
      </c>
      <c r="Q279" s="3">
        <f t="shared" si="8"/>
        <v>2.8593213877239803E-3</v>
      </c>
      <c r="R279" t="str">
        <f t="shared" si="9"/>
        <v>May</v>
      </c>
    </row>
    <row r="280" spans="1:18" x14ac:dyDescent="0.35">
      <c r="A280" t="s">
        <v>419</v>
      </c>
      <c r="B280" t="s">
        <v>335</v>
      </c>
      <c r="C280" t="s">
        <v>63</v>
      </c>
      <c r="D280" t="s">
        <v>336</v>
      </c>
      <c r="E280">
        <v>11022</v>
      </c>
      <c r="F280">
        <v>6079</v>
      </c>
      <c r="G280">
        <v>4902</v>
      </c>
      <c r="H280">
        <v>218</v>
      </c>
      <c r="I280">
        <v>697</v>
      </c>
      <c r="J280">
        <v>12</v>
      </c>
      <c r="K280" s="1">
        <v>45778</v>
      </c>
      <c r="L280" t="s">
        <v>17</v>
      </c>
      <c r="M280" t="s">
        <v>18</v>
      </c>
      <c r="N280" s="2">
        <f>IFERROR(NHS_A_E[[#This Row],[T1_Over4hrs]]/NHS_A_E[[#This Row],[T1_Attendances]], 0)</f>
        <v>0.44474686989657047</v>
      </c>
      <c r="O280">
        <f>NHS_A_E[[#This Row],[T1_Attendances]]+NHS_A_E[[#This Row],[Other_Attendances]]</f>
        <v>17101</v>
      </c>
      <c r="P280">
        <f>MATCH(LEFT(A280,FIND("-",A280)-1),{"April","May","June","July","August","September","October","November","December","January","February","March"},0)</f>
        <v>2</v>
      </c>
      <c r="Q280" s="3">
        <f t="shared" si="8"/>
        <v>1.0887316276537834E-3</v>
      </c>
      <c r="R280" t="str">
        <f t="shared" si="9"/>
        <v>May</v>
      </c>
    </row>
    <row r="281" spans="1:18" x14ac:dyDescent="0.35">
      <c r="A281" t="s">
        <v>419</v>
      </c>
      <c r="B281" t="s">
        <v>279</v>
      </c>
      <c r="C281" t="s">
        <v>15</v>
      </c>
      <c r="D281" t="s">
        <v>280</v>
      </c>
      <c r="E281">
        <v>0</v>
      </c>
      <c r="F281">
        <v>2665</v>
      </c>
      <c r="G281">
        <v>0</v>
      </c>
      <c r="H281">
        <v>77</v>
      </c>
      <c r="I281">
        <v>0</v>
      </c>
      <c r="J281">
        <v>0</v>
      </c>
      <c r="K281" s="1">
        <v>45778</v>
      </c>
      <c r="L281" t="s">
        <v>17</v>
      </c>
      <c r="M281" t="s">
        <v>18</v>
      </c>
      <c r="N281" s="2">
        <f>IFERROR(NHS_A_E[[#This Row],[T1_Over4hrs]]/NHS_A_E[[#This Row],[T1_Attendances]], 0)</f>
        <v>0</v>
      </c>
      <c r="O281">
        <f>NHS_A_E[[#This Row],[T1_Attendances]]+NHS_A_E[[#This Row],[Other_Attendances]]</f>
        <v>2665</v>
      </c>
      <c r="P281">
        <f>MATCH(LEFT(A281,FIND("-",A281)-1),{"April","May","June","July","August","September","October","November","December","January","February","March"},0)</f>
        <v>2</v>
      </c>
      <c r="Q281" s="3">
        <f t="shared" si="8"/>
        <v>0</v>
      </c>
      <c r="R281" t="str">
        <f t="shared" si="9"/>
        <v>May</v>
      </c>
    </row>
    <row r="282" spans="1:18" x14ac:dyDescent="0.35">
      <c r="A282" t="s">
        <v>419</v>
      </c>
      <c r="B282" t="s">
        <v>277</v>
      </c>
      <c r="C282" t="s">
        <v>15</v>
      </c>
      <c r="D282" t="s">
        <v>278</v>
      </c>
      <c r="E282">
        <v>0</v>
      </c>
      <c r="F282">
        <v>2433</v>
      </c>
      <c r="G282">
        <v>0</v>
      </c>
      <c r="H282">
        <v>96</v>
      </c>
      <c r="I282">
        <v>0</v>
      </c>
      <c r="J282">
        <v>0</v>
      </c>
      <c r="K282" s="1">
        <v>45778</v>
      </c>
      <c r="L282" t="s">
        <v>17</v>
      </c>
      <c r="M282" t="s">
        <v>18</v>
      </c>
      <c r="N282" s="2">
        <f>IFERROR(NHS_A_E[[#This Row],[T1_Over4hrs]]/NHS_A_E[[#This Row],[T1_Attendances]], 0)</f>
        <v>0</v>
      </c>
      <c r="O282">
        <f>NHS_A_E[[#This Row],[T1_Attendances]]+NHS_A_E[[#This Row],[Other_Attendances]]</f>
        <v>2433</v>
      </c>
      <c r="P282">
        <f>MATCH(LEFT(A282,FIND("-",A282)-1),{"April","May","June","July","August","September","October","November","December","January","February","March"},0)</f>
        <v>2</v>
      </c>
      <c r="Q282" s="3">
        <f t="shared" si="8"/>
        <v>0</v>
      </c>
      <c r="R282" t="str">
        <f t="shared" si="9"/>
        <v>May</v>
      </c>
    </row>
    <row r="283" spans="1:18" x14ac:dyDescent="0.35">
      <c r="A283" t="s">
        <v>419</v>
      </c>
      <c r="B283" t="s">
        <v>247</v>
      </c>
      <c r="C283" t="s">
        <v>15</v>
      </c>
      <c r="D283" t="s">
        <v>248</v>
      </c>
      <c r="E283">
        <v>0</v>
      </c>
      <c r="F283">
        <v>5614</v>
      </c>
      <c r="G283">
        <v>0</v>
      </c>
      <c r="H283">
        <v>245</v>
      </c>
      <c r="I283">
        <v>0</v>
      </c>
      <c r="J283">
        <v>0</v>
      </c>
      <c r="K283" s="1">
        <v>45778</v>
      </c>
      <c r="L283" t="s">
        <v>17</v>
      </c>
      <c r="M283" t="s">
        <v>18</v>
      </c>
      <c r="N283" s="2">
        <f>IFERROR(NHS_A_E[[#This Row],[T1_Over4hrs]]/NHS_A_E[[#This Row],[T1_Attendances]], 0)</f>
        <v>0</v>
      </c>
      <c r="O283">
        <f>NHS_A_E[[#This Row],[T1_Attendances]]+NHS_A_E[[#This Row],[Other_Attendances]]</f>
        <v>5614</v>
      </c>
      <c r="P283">
        <f>MATCH(LEFT(A283,FIND("-",A283)-1),{"April","May","June","July","August","September","October","November","December","January","February","March"},0)</f>
        <v>2</v>
      </c>
      <c r="Q283" s="3">
        <f t="shared" si="8"/>
        <v>0</v>
      </c>
      <c r="R283" t="str">
        <f t="shared" si="9"/>
        <v>May</v>
      </c>
    </row>
    <row r="284" spans="1:18" x14ac:dyDescent="0.35">
      <c r="A284" t="s">
        <v>419</v>
      </c>
      <c r="B284" t="s">
        <v>383</v>
      </c>
      <c r="C284" t="s">
        <v>20</v>
      </c>
      <c r="D284" t="s">
        <v>384</v>
      </c>
      <c r="E284">
        <v>0</v>
      </c>
      <c r="F284">
        <v>87</v>
      </c>
      <c r="G284">
        <v>0</v>
      </c>
      <c r="H284">
        <v>0</v>
      </c>
      <c r="I284">
        <v>0</v>
      </c>
      <c r="J284">
        <v>0</v>
      </c>
      <c r="K284" s="1">
        <v>45778</v>
      </c>
      <c r="L284" t="s">
        <v>17</v>
      </c>
      <c r="M284" t="s">
        <v>18</v>
      </c>
      <c r="N284" s="2">
        <f>IFERROR(NHS_A_E[[#This Row],[T1_Over4hrs]]/NHS_A_E[[#This Row],[T1_Attendances]], 0)</f>
        <v>0</v>
      </c>
      <c r="O284">
        <f>NHS_A_E[[#This Row],[T1_Attendances]]+NHS_A_E[[#This Row],[Other_Attendances]]</f>
        <v>87</v>
      </c>
      <c r="P284">
        <f>MATCH(LEFT(A284,FIND("-",A284)-1),{"April","May","June","July","August","September","October","November","December","January","February","March"},0)</f>
        <v>2</v>
      </c>
      <c r="Q284" s="3">
        <f t="shared" si="8"/>
        <v>0</v>
      </c>
      <c r="R284" t="str">
        <f t="shared" si="9"/>
        <v>May</v>
      </c>
    </row>
    <row r="285" spans="1:18" x14ac:dyDescent="0.35">
      <c r="A285" t="s">
        <v>419</v>
      </c>
      <c r="B285" t="s">
        <v>379</v>
      </c>
      <c r="C285" t="s">
        <v>63</v>
      </c>
      <c r="D285" t="s">
        <v>380</v>
      </c>
      <c r="E285">
        <v>0</v>
      </c>
      <c r="F285">
        <v>2236</v>
      </c>
      <c r="G285">
        <v>0</v>
      </c>
      <c r="H285">
        <v>9</v>
      </c>
      <c r="I285">
        <v>0</v>
      </c>
      <c r="J285">
        <v>0</v>
      </c>
      <c r="K285" s="1">
        <v>45778</v>
      </c>
      <c r="L285" t="s">
        <v>17</v>
      </c>
      <c r="M285" t="s">
        <v>18</v>
      </c>
      <c r="N285" s="2">
        <f>IFERROR(NHS_A_E[[#This Row],[T1_Over4hrs]]/NHS_A_E[[#This Row],[T1_Attendances]], 0)</f>
        <v>0</v>
      </c>
      <c r="O285">
        <f>NHS_A_E[[#This Row],[T1_Attendances]]+NHS_A_E[[#This Row],[Other_Attendances]]</f>
        <v>2236</v>
      </c>
      <c r="P285">
        <f>MATCH(LEFT(A285,FIND("-",A285)-1),{"April","May","June","July","August","September","October","November","December","January","February","March"},0)</f>
        <v>2</v>
      </c>
      <c r="Q285" s="3">
        <f t="shared" si="8"/>
        <v>0</v>
      </c>
      <c r="R285" t="str">
        <f t="shared" si="9"/>
        <v>May</v>
      </c>
    </row>
    <row r="286" spans="1:18" x14ac:dyDescent="0.35">
      <c r="A286" t="s">
        <v>419</v>
      </c>
      <c r="B286" t="s">
        <v>255</v>
      </c>
      <c r="C286" t="s">
        <v>15</v>
      </c>
      <c r="D286" t="s">
        <v>256</v>
      </c>
      <c r="E286">
        <v>0</v>
      </c>
      <c r="F286">
        <v>0</v>
      </c>
      <c r="G286">
        <v>0</v>
      </c>
      <c r="H286">
        <v>0</v>
      </c>
      <c r="I286">
        <v>0</v>
      </c>
      <c r="J286">
        <v>0</v>
      </c>
      <c r="K286" s="1">
        <v>45778</v>
      </c>
      <c r="L286" t="s">
        <v>17</v>
      </c>
      <c r="M286" t="s">
        <v>18</v>
      </c>
      <c r="N286" s="2">
        <f>IFERROR(NHS_A_E[[#This Row],[T1_Over4hrs]]/NHS_A_E[[#This Row],[T1_Attendances]], 0)</f>
        <v>0</v>
      </c>
      <c r="O286">
        <f>NHS_A_E[[#This Row],[T1_Attendances]]+NHS_A_E[[#This Row],[Other_Attendances]]</f>
        <v>0</v>
      </c>
      <c r="P286">
        <f>MATCH(LEFT(A286,FIND("-",A286)-1),{"April","May","June","July","August","September","October","November","December","January","February","March"},0)</f>
        <v>2</v>
      </c>
      <c r="Q286" s="3">
        <f t="shared" si="8"/>
        <v>0</v>
      </c>
      <c r="R286" t="str">
        <f t="shared" si="9"/>
        <v>May</v>
      </c>
    </row>
    <row r="287" spans="1:18" x14ac:dyDescent="0.35">
      <c r="A287" t="s">
        <v>419</v>
      </c>
      <c r="B287" t="s">
        <v>269</v>
      </c>
      <c r="C287" t="s">
        <v>40</v>
      </c>
      <c r="D287" t="s">
        <v>270</v>
      </c>
      <c r="E287">
        <v>6022</v>
      </c>
      <c r="F287">
        <v>164</v>
      </c>
      <c r="G287">
        <v>2883</v>
      </c>
      <c r="H287">
        <v>0</v>
      </c>
      <c r="I287">
        <v>479</v>
      </c>
      <c r="J287">
        <v>249</v>
      </c>
      <c r="K287" s="1">
        <v>45778</v>
      </c>
      <c r="L287" t="s">
        <v>17</v>
      </c>
      <c r="M287" t="s">
        <v>18</v>
      </c>
      <c r="N287" s="2">
        <f>IFERROR(NHS_A_E[[#This Row],[T1_Over4hrs]]/NHS_A_E[[#This Row],[T1_Attendances]], 0)</f>
        <v>0.47874460312188644</v>
      </c>
      <c r="O287">
        <f>NHS_A_E[[#This Row],[T1_Attendances]]+NHS_A_E[[#This Row],[Other_Attendances]]</f>
        <v>6186</v>
      </c>
      <c r="P287">
        <f>MATCH(LEFT(A287,FIND("-",A287)-1),{"April","May","June","July","August","September","October","November","December","January","February","March"},0)</f>
        <v>2</v>
      </c>
      <c r="Q287" s="3">
        <f t="shared" si="8"/>
        <v>4.134838923945533E-2</v>
      </c>
      <c r="R287" t="str">
        <f t="shared" si="9"/>
        <v>May</v>
      </c>
    </row>
    <row r="288" spans="1:18" x14ac:dyDescent="0.35">
      <c r="A288" t="s">
        <v>419</v>
      </c>
      <c r="B288" t="s">
        <v>231</v>
      </c>
      <c r="C288" t="s">
        <v>63</v>
      </c>
      <c r="D288" t="s">
        <v>232</v>
      </c>
      <c r="E288">
        <v>9300</v>
      </c>
      <c r="F288">
        <v>0</v>
      </c>
      <c r="G288">
        <v>2619</v>
      </c>
      <c r="H288">
        <v>0</v>
      </c>
      <c r="I288">
        <v>427</v>
      </c>
      <c r="J288">
        <v>0</v>
      </c>
      <c r="K288" s="1">
        <v>45778</v>
      </c>
      <c r="L288" t="s">
        <v>17</v>
      </c>
      <c r="M288" t="s">
        <v>18</v>
      </c>
      <c r="N288" s="2">
        <f>IFERROR(NHS_A_E[[#This Row],[T1_Over4hrs]]/NHS_A_E[[#This Row],[T1_Attendances]], 0)</f>
        <v>0.28161290322580645</v>
      </c>
      <c r="O288">
        <f>NHS_A_E[[#This Row],[T1_Attendances]]+NHS_A_E[[#This Row],[Other_Attendances]]</f>
        <v>9300</v>
      </c>
      <c r="P288">
        <f>MATCH(LEFT(A288,FIND("-",A288)-1),{"April","May","June","July","August","September","October","November","December","January","February","March"},0)</f>
        <v>2</v>
      </c>
      <c r="Q288" s="3">
        <f t="shared" si="8"/>
        <v>0</v>
      </c>
      <c r="R288" t="str">
        <f t="shared" si="9"/>
        <v>May</v>
      </c>
    </row>
    <row r="289" spans="1:18" x14ac:dyDescent="0.35">
      <c r="A289" t="s">
        <v>419</v>
      </c>
      <c r="B289" t="s">
        <v>287</v>
      </c>
      <c r="C289" t="s">
        <v>40</v>
      </c>
      <c r="D289" t="s">
        <v>288</v>
      </c>
      <c r="E289">
        <v>0</v>
      </c>
      <c r="F289">
        <v>3089</v>
      </c>
      <c r="G289">
        <v>0</v>
      </c>
      <c r="H289">
        <v>0</v>
      </c>
      <c r="I289">
        <v>0</v>
      </c>
      <c r="J289">
        <v>0</v>
      </c>
      <c r="K289" s="1">
        <v>45778</v>
      </c>
      <c r="L289" t="s">
        <v>17</v>
      </c>
      <c r="M289" t="s">
        <v>18</v>
      </c>
      <c r="N289" s="2">
        <f>IFERROR(NHS_A_E[[#This Row],[T1_Over4hrs]]/NHS_A_E[[#This Row],[T1_Attendances]], 0)</f>
        <v>0</v>
      </c>
      <c r="O289">
        <f>NHS_A_E[[#This Row],[T1_Attendances]]+NHS_A_E[[#This Row],[Other_Attendances]]</f>
        <v>3089</v>
      </c>
      <c r="P289">
        <f>MATCH(LEFT(A289,FIND("-",A289)-1),{"April","May","June","July","August","September","October","November","December","January","February","March"},0)</f>
        <v>2</v>
      </c>
      <c r="Q289" s="3">
        <f t="shared" si="8"/>
        <v>0</v>
      </c>
      <c r="R289" t="str">
        <f t="shared" si="9"/>
        <v>May</v>
      </c>
    </row>
    <row r="290" spans="1:18" x14ac:dyDescent="0.35">
      <c r="A290" t="s">
        <v>419</v>
      </c>
      <c r="B290" t="s">
        <v>311</v>
      </c>
      <c r="C290" t="s">
        <v>20</v>
      </c>
      <c r="D290" t="s">
        <v>312</v>
      </c>
      <c r="E290">
        <v>0</v>
      </c>
      <c r="F290">
        <v>1209</v>
      </c>
      <c r="G290">
        <v>0</v>
      </c>
      <c r="H290">
        <v>5</v>
      </c>
      <c r="I290">
        <v>0</v>
      </c>
      <c r="J290">
        <v>0</v>
      </c>
      <c r="K290" s="1">
        <v>45778</v>
      </c>
      <c r="L290" t="s">
        <v>17</v>
      </c>
      <c r="M290" t="s">
        <v>18</v>
      </c>
      <c r="N290" s="2">
        <f>IFERROR(NHS_A_E[[#This Row],[T1_Over4hrs]]/NHS_A_E[[#This Row],[T1_Attendances]], 0)</f>
        <v>0</v>
      </c>
      <c r="O290">
        <f>NHS_A_E[[#This Row],[T1_Attendances]]+NHS_A_E[[#This Row],[Other_Attendances]]</f>
        <v>1209</v>
      </c>
      <c r="P290">
        <f>MATCH(LEFT(A290,FIND("-",A290)-1),{"April","May","June","July","August","September","October","November","December","January","February","March"},0)</f>
        <v>2</v>
      </c>
      <c r="Q290" s="3">
        <f t="shared" si="8"/>
        <v>0</v>
      </c>
      <c r="R290" t="str">
        <f t="shared" si="9"/>
        <v>May</v>
      </c>
    </row>
    <row r="291" spans="1:18" x14ac:dyDescent="0.35">
      <c r="A291" t="s">
        <v>419</v>
      </c>
      <c r="B291" t="s">
        <v>309</v>
      </c>
      <c r="C291" t="s">
        <v>30</v>
      </c>
      <c r="D291" t="s">
        <v>310</v>
      </c>
      <c r="E291">
        <v>0</v>
      </c>
      <c r="F291">
        <v>1743</v>
      </c>
      <c r="G291">
        <v>0</v>
      </c>
      <c r="H291">
        <v>8</v>
      </c>
      <c r="I291">
        <v>0</v>
      </c>
      <c r="J291">
        <v>0</v>
      </c>
      <c r="K291" s="1">
        <v>45778</v>
      </c>
      <c r="L291" t="s">
        <v>17</v>
      </c>
      <c r="M291" t="s">
        <v>18</v>
      </c>
      <c r="N291" s="2">
        <f>IFERROR(NHS_A_E[[#This Row],[T1_Over4hrs]]/NHS_A_E[[#This Row],[T1_Attendances]], 0)</f>
        <v>0</v>
      </c>
      <c r="O291">
        <f>NHS_A_E[[#This Row],[T1_Attendances]]+NHS_A_E[[#This Row],[Other_Attendances]]</f>
        <v>1743</v>
      </c>
      <c r="P291">
        <f>MATCH(LEFT(A291,FIND("-",A291)-1),{"April","May","June","July","August","September","October","November","December","January","February","March"},0)</f>
        <v>2</v>
      </c>
      <c r="Q291" s="3">
        <f t="shared" si="8"/>
        <v>0</v>
      </c>
      <c r="R291" t="str">
        <f t="shared" si="9"/>
        <v>May</v>
      </c>
    </row>
    <row r="292" spans="1:18" x14ac:dyDescent="0.35">
      <c r="A292" t="s">
        <v>419</v>
      </c>
      <c r="B292" t="s">
        <v>245</v>
      </c>
      <c r="C292" t="s">
        <v>15</v>
      </c>
      <c r="D292" t="s">
        <v>246</v>
      </c>
      <c r="E292">
        <v>0</v>
      </c>
      <c r="F292">
        <v>1075</v>
      </c>
      <c r="G292">
        <v>0</v>
      </c>
      <c r="H292">
        <v>0</v>
      </c>
      <c r="I292">
        <v>0</v>
      </c>
      <c r="J292">
        <v>0</v>
      </c>
      <c r="K292" s="1">
        <v>45778</v>
      </c>
      <c r="L292" t="s">
        <v>17</v>
      </c>
      <c r="M292" t="s">
        <v>18</v>
      </c>
      <c r="N292" s="2">
        <f>IFERROR(NHS_A_E[[#This Row],[T1_Over4hrs]]/NHS_A_E[[#This Row],[T1_Attendances]], 0)</f>
        <v>0</v>
      </c>
      <c r="O292">
        <f>NHS_A_E[[#This Row],[T1_Attendances]]+NHS_A_E[[#This Row],[Other_Attendances]]</f>
        <v>1075</v>
      </c>
      <c r="P292">
        <f>MATCH(LEFT(A292,FIND("-",A292)-1),{"April","May","June","July","August","September","October","November","December","January","February","March"},0)</f>
        <v>2</v>
      </c>
      <c r="Q292" s="3">
        <f t="shared" si="8"/>
        <v>0</v>
      </c>
      <c r="R292" t="str">
        <f t="shared" si="9"/>
        <v>May</v>
      </c>
    </row>
    <row r="293" spans="1:18" x14ac:dyDescent="0.35">
      <c r="A293" t="s">
        <v>419</v>
      </c>
      <c r="B293" t="s">
        <v>14</v>
      </c>
      <c r="C293" t="s">
        <v>15</v>
      </c>
      <c r="D293" t="s">
        <v>16</v>
      </c>
      <c r="E293">
        <v>0</v>
      </c>
      <c r="F293">
        <v>2565</v>
      </c>
      <c r="G293">
        <v>0</v>
      </c>
      <c r="H293">
        <v>0</v>
      </c>
      <c r="I293">
        <v>0</v>
      </c>
      <c r="J293">
        <v>0</v>
      </c>
      <c r="K293" s="1">
        <v>45778</v>
      </c>
      <c r="L293" t="s">
        <v>17</v>
      </c>
      <c r="M293" t="s">
        <v>18</v>
      </c>
      <c r="N293" s="2">
        <f>IFERROR(NHS_A_E[[#This Row],[T1_Over4hrs]]/NHS_A_E[[#This Row],[T1_Attendances]], 0)</f>
        <v>0</v>
      </c>
      <c r="O293">
        <f>NHS_A_E[[#This Row],[T1_Attendances]]+NHS_A_E[[#This Row],[Other_Attendances]]</f>
        <v>2565</v>
      </c>
      <c r="P293">
        <f>MATCH(LEFT(A293,FIND("-",A293)-1),{"April","May","June","July","August","September","October","November","December","January","February","March"},0)</f>
        <v>2</v>
      </c>
      <c r="Q293" s="3">
        <f t="shared" si="8"/>
        <v>0</v>
      </c>
      <c r="R293" t="str">
        <f t="shared" si="9"/>
        <v>May</v>
      </c>
    </row>
    <row r="294" spans="1:18" x14ac:dyDescent="0.35">
      <c r="A294" t="s">
        <v>419</v>
      </c>
      <c r="B294" t="s">
        <v>243</v>
      </c>
      <c r="C294" t="s">
        <v>23</v>
      </c>
      <c r="D294" t="s">
        <v>244</v>
      </c>
      <c r="E294">
        <v>0</v>
      </c>
      <c r="F294">
        <v>2378</v>
      </c>
      <c r="G294">
        <v>0</v>
      </c>
      <c r="H294">
        <v>37</v>
      </c>
      <c r="I294">
        <v>0</v>
      </c>
      <c r="J294">
        <v>0</v>
      </c>
      <c r="K294" s="1">
        <v>45778</v>
      </c>
      <c r="L294" t="s">
        <v>17</v>
      </c>
      <c r="M294" t="s">
        <v>18</v>
      </c>
      <c r="N294" s="2">
        <f>IFERROR(NHS_A_E[[#This Row],[T1_Over4hrs]]/NHS_A_E[[#This Row],[T1_Attendances]], 0)</f>
        <v>0</v>
      </c>
      <c r="O294">
        <f>NHS_A_E[[#This Row],[T1_Attendances]]+NHS_A_E[[#This Row],[Other_Attendances]]</f>
        <v>2378</v>
      </c>
      <c r="P294">
        <f>MATCH(LEFT(A294,FIND("-",A294)-1),{"April","May","June","July","August","September","October","November","December","January","February","March"},0)</f>
        <v>2</v>
      </c>
      <c r="Q294" s="3">
        <f t="shared" si="8"/>
        <v>0</v>
      </c>
      <c r="R294" t="str">
        <f t="shared" si="9"/>
        <v>May</v>
      </c>
    </row>
    <row r="295" spans="1:18" x14ac:dyDescent="0.35">
      <c r="A295" t="s">
        <v>419</v>
      </c>
      <c r="B295" t="s">
        <v>225</v>
      </c>
      <c r="C295" t="s">
        <v>15</v>
      </c>
      <c r="D295" t="s">
        <v>226</v>
      </c>
      <c r="E295">
        <v>0</v>
      </c>
      <c r="F295">
        <v>1916</v>
      </c>
      <c r="G295">
        <v>0</v>
      </c>
      <c r="H295">
        <v>0</v>
      </c>
      <c r="I295">
        <v>0</v>
      </c>
      <c r="J295">
        <v>0</v>
      </c>
      <c r="K295" s="1">
        <v>45778</v>
      </c>
      <c r="L295" t="s">
        <v>17</v>
      </c>
      <c r="M295" t="s">
        <v>18</v>
      </c>
      <c r="N295" s="2">
        <f>IFERROR(NHS_A_E[[#This Row],[T1_Over4hrs]]/NHS_A_E[[#This Row],[T1_Attendances]], 0)</f>
        <v>0</v>
      </c>
      <c r="O295">
        <f>NHS_A_E[[#This Row],[T1_Attendances]]+NHS_A_E[[#This Row],[Other_Attendances]]</f>
        <v>1916</v>
      </c>
      <c r="P295">
        <f>MATCH(LEFT(A295,FIND("-",A295)-1),{"April","May","June","July","August","September","October","November","December","January","February","March"},0)</f>
        <v>2</v>
      </c>
      <c r="Q295" s="3">
        <f t="shared" si="8"/>
        <v>0</v>
      </c>
      <c r="R295" t="str">
        <f t="shared" si="9"/>
        <v>May</v>
      </c>
    </row>
    <row r="296" spans="1:18" x14ac:dyDescent="0.35">
      <c r="A296" t="s">
        <v>419</v>
      </c>
      <c r="B296" t="s">
        <v>239</v>
      </c>
      <c r="C296" t="s">
        <v>35</v>
      </c>
      <c r="D296" t="s">
        <v>240</v>
      </c>
      <c r="E296">
        <v>0</v>
      </c>
      <c r="F296">
        <v>843</v>
      </c>
      <c r="G296">
        <v>0</v>
      </c>
      <c r="H296">
        <v>0</v>
      </c>
      <c r="I296">
        <v>0</v>
      </c>
      <c r="J296">
        <v>0</v>
      </c>
      <c r="K296" s="1">
        <v>45778</v>
      </c>
      <c r="L296" t="s">
        <v>17</v>
      </c>
      <c r="M296" t="s">
        <v>18</v>
      </c>
      <c r="N296" s="2">
        <f>IFERROR(NHS_A_E[[#This Row],[T1_Over4hrs]]/NHS_A_E[[#This Row],[T1_Attendances]], 0)</f>
        <v>0</v>
      </c>
      <c r="O296">
        <f>NHS_A_E[[#This Row],[T1_Attendances]]+NHS_A_E[[#This Row],[Other_Attendances]]</f>
        <v>843</v>
      </c>
      <c r="P296">
        <f>MATCH(LEFT(A296,FIND("-",A296)-1),{"April","May","June","July","August","September","October","November","December","January","February","March"},0)</f>
        <v>2</v>
      </c>
      <c r="Q296" s="3">
        <f t="shared" si="8"/>
        <v>0</v>
      </c>
      <c r="R296" t="str">
        <f t="shared" si="9"/>
        <v>May</v>
      </c>
    </row>
    <row r="297" spans="1:18" x14ac:dyDescent="0.35">
      <c r="A297" t="s">
        <v>419</v>
      </c>
      <c r="B297" t="s">
        <v>319</v>
      </c>
      <c r="C297" t="s">
        <v>63</v>
      </c>
      <c r="D297" t="s">
        <v>320</v>
      </c>
      <c r="E297">
        <v>0</v>
      </c>
      <c r="F297">
        <v>1171</v>
      </c>
      <c r="G297">
        <v>0</v>
      </c>
      <c r="H297">
        <v>3</v>
      </c>
      <c r="I297">
        <v>0</v>
      </c>
      <c r="J297">
        <v>0</v>
      </c>
      <c r="K297" s="1">
        <v>45778</v>
      </c>
      <c r="L297" t="s">
        <v>17</v>
      </c>
      <c r="M297" t="s">
        <v>18</v>
      </c>
      <c r="N297" s="2">
        <f>IFERROR(NHS_A_E[[#This Row],[T1_Over4hrs]]/NHS_A_E[[#This Row],[T1_Attendances]], 0)</f>
        <v>0</v>
      </c>
      <c r="O297">
        <f>NHS_A_E[[#This Row],[T1_Attendances]]+NHS_A_E[[#This Row],[Other_Attendances]]</f>
        <v>1171</v>
      </c>
      <c r="P297">
        <f>MATCH(LEFT(A297,FIND("-",A297)-1),{"April","May","June","July","August","September","October","November","December","January","February","March"},0)</f>
        <v>2</v>
      </c>
      <c r="Q297" s="3">
        <f t="shared" si="8"/>
        <v>0</v>
      </c>
      <c r="R297" t="str">
        <f t="shared" si="9"/>
        <v>May</v>
      </c>
    </row>
    <row r="298" spans="1:18" x14ac:dyDescent="0.35">
      <c r="A298" t="s">
        <v>419</v>
      </c>
      <c r="B298" t="s">
        <v>275</v>
      </c>
      <c r="C298" t="s">
        <v>20</v>
      </c>
      <c r="D298" t="s">
        <v>276</v>
      </c>
      <c r="E298">
        <v>0</v>
      </c>
      <c r="F298">
        <v>8995</v>
      </c>
      <c r="G298">
        <v>0</v>
      </c>
      <c r="H298">
        <v>120</v>
      </c>
      <c r="I298">
        <v>0</v>
      </c>
      <c r="J298">
        <v>0</v>
      </c>
      <c r="K298" s="1">
        <v>45778</v>
      </c>
      <c r="L298" t="s">
        <v>17</v>
      </c>
      <c r="M298" t="s">
        <v>18</v>
      </c>
      <c r="N298" s="2">
        <f>IFERROR(NHS_A_E[[#This Row],[T1_Over4hrs]]/NHS_A_E[[#This Row],[T1_Attendances]], 0)</f>
        <v>0</v>
      </c>
      <c r="O298">
        <f>NHS_A_E[[#This Row],[T1_Attendances]]+NHS_A_E[[#This Row],[Other_Attendances]]</f>
        <v>8995</v>
      </c>
      <c r="P298">
        <f>MATCH(LEFT(A298,FIND("-",A298)-1),{"April","May","June","July","August","September","October","November","December","January","February","March"},0)</f>
        <v>2</v>
      </c>
      <c r="Q298" s="3">
        <f t="shared" si="8"/>
        <v>0</v>
      </c>
      <c r="R298" t="str">
        <f t="shared" si="9"/>
        <v>May</v>
      </c>
    </row>
    <row r="299" spans="1:18" x14ac:dyDescent="0.35">
      <c r="A299" t="s">
        <v>419</v>
      </c>
      <c r="B299" t="s">
        <v>317</v>
      </c>
      <c r="C299" t="s">
        <v>63</v>
      </c>
      <c r="D299" t="s">
        <v>318</v>
      </c>
      <c r="E299">
        <v>7284</v>
      </c>
      <c r="F299">
        <v>9912</v>
      </c>
      <c r="G299">
        <v>3697</v>
      </c>
      <c r="H299">
        <v>602</v>
      </c>
      <c r="I299">
        <v>298</v>
      </c>
      <c r="J299">
        <v>6</v>
      </c>
      <c r="K299" s="1">
        <v>45778</v>
      </c>
      <c r="L299" t="s">
        <v>17</v>
      </c>
      <c r="M299" t="s">
        <v>18</v>
      </c>
      <c r="N299" s="2">
        <f>IFERROR(NHS_A_E[[#This Row],[T1_Over4hrs]]/NHS_A_E[[#This Row],[T1_Attendances]], 0)</f>
        <v>0.50755079626578803</v>
      </c>
      <c r="O299">
        <f>NHS_A_E[[#This Row],[T1_Attendances]]+NHS_A_E[[#This Row],[Other_Attendances]]</f>
        <v>17196</v>
      </c>
      <c r="P299">
        <f>MATCH(LEFT(A299,FIND("-",A299)-1),{"April","May","June","July","August","September","October","November","December","January","February","March"},0)</f>
        <v>2</v>
      </c>
      <c r="Q299" s="3">
        <f t="shared" si="8"/>
        <v>8.2372322899505767E-4</v>
      </c>
      <c r="R299" t="str">
        <f t="shared" si="9"/>
        <v>May</v>
      </c>
    </row>
    <row r="300" spans="1:18" x14ac:dyDescent="0.35">
      <c r="A300" t="s">
        <v>419</v>
      </c>
      <c r="B300" t="s">
        <v>165</v>
      </c>
      <c r="C300" t="s">
        <v>63</v>
      </c>
      <c r="D300" t="s">
        <v>166</v>
      </c>
      <c r="E300">
        <v>12515</v>
      </c>
      <c r="F300">
        <v>6488</v>
      </c>
      <c r="G300">
        <v>4128</v>
      </c>
      <c r="H300">
        <v>0</v>
      </c>
      <c r="I300">
        <v>445</v>
      </c>
      <c r="J300">
        <v>26</v>
      </c>
      <c r="K300" s="1">
        <v>45778</v>
      </c>
      <c r="L300" t="s">
        <v>17</v>
      </c>
      <c r="M300" t="s">
        <v>18</v>
      </c>
      <c r="N300" s="2">
        <f>IFERROR(NHS_A_E[[#This Row],[T1_Over4hrs]]/NHS_A_E[[#This Row],[T1_Attendances]], 0)</f>
        <v>0.32984418697562923</v>
      </c>
      <c r="O300">
        <f>NHS_A_E[[#This Row],[T1_Attendances]]+NHS_A_E[[#This Row],[Other_Attendances]]</f>
        <v>19003</v>
      </c>
      <c r="P300">
        <f>MATCH(LEFT(A300,FIND("-",A300)-1),{"April","May","June","July","August","September","October","November","December","January","February","March"},0)</f>
        <v>2</v>
      </c>
      <c r="Q300" s="3">
        <f t="shared" si="8"/>
        <v>2.0775069916100677E-3</v>
      </c>
      <c r="R300" t="str">
        <f t="shared" si="9"/>
        <v>May</v>
      </c>
    </row>
    <row r="301" spans="1:18" x14ac:dyDescent="0.35">
      <c r="A301" t="s">
        <v>419</v>
      </c>
      <c r="B301" t="s">
        <v>197</v>
      </c>
      <c r="C301" t="s">
        <v>63</v>
      </c>
      <c r="D301" t="s">
        <v>198</v>
      </c>
      <c r="E301">
        <v>13233</v>
      </c>
      <c r="F301">
        <v>4259</v>
      </c>
      <c r="G301">
        <v>5320</v>
      </c>
      <c r="H301">
        <v>0</v>
      </c>
      <c r="I301">
        <v>2030</v>
      </c>
      <c r="J301">
        <v>13</v>
      </c>
      <c r="K301" s="1">
        <v>45778</v>
      </c>
      <c r="L301" t="s">
        <v>17</v>
      </c>
      <c r="M301" t="s">
        <v>18</v>
      </c>
      <c r="N301" s="2">
        <f>IFERROR(NHS_A_E[[#This Row],[T1_Over4hrs]]/NHS_A_E[[#This Row],[T1_Attendances]], 0)</f>
        <v>0.40202523993047684</v>
      </c>
      <c r="O301">
        <f>NHS_A_E[[#This Row],[T1_Attendances]]+NHS_A_E[[#This Row],[Other_Attendances]]</f>
        <v>17492</v>
      </c>
      <c r="P301">
        <f>MATCH(LEFT(A301,FIND("-",A301)-1),{"April","May","June","July","August","September","October","November","December","January","February","March"},0)</f>
        <v>2</v>
      </c>
      <c r="Q301" s="3">
        <f t="shared" si="8"/>
        <v>9.8239250358951114E-4</v>
      </c>
      <c r="R301" t="str">
        <f t="shared" si="9"/>
        <v>May</v>
      </c>
    </row>
    <row r="302" spans="1:18" x14ac:dyDescent="0.35">
      <c r="A302" t="s">
        <v>419</v>
      </c>
      <c r="B302" t="s">
        <v>153</v>
      </c>
      <c r="C302" t="s">
        <v>30</v>
      </c>
      <c r="D302" t="s">
        <v>154</v>
      </c>
      <c r="E302">
        <v>12077</v>
      </c>
      <c r="F302">
        <v>3555</v>
      </c>
      <c r="G302">
        <v>4478</v>
      </c>
      <c r="H302">
        <v>121</v>
      </c>
      <c r="I302">
        <v>1008</v>
      </c>
      <c r="J302">
        <v>476</v>
      </c>
      <c r="K302" s="1">
        <v>45778</v>
      </c>
      <c r="L302" t="s">
        <v>17</v>
      </c>
      <c r="M302" t="s">
        <v>18</v>
      </c>
      <c r="N302" s="2">
        <f>IFERROR(NHS_A_E[[#This Row],[T1_Over4hrs]]/NHS_A_E[[#This Row],[T1_Attendances]], 0)</f>
        <v>0.37078744721371204</v>
      </c>
      <c r="O302">
        <f>NHS_A_E[[#This Row],[T1_Attendances]]+NHS_A_E[[#This Row],[Other_Attendances]]</f>
        <v>15632</v>
      </c>
      <c r="P302">
        <f>MATCH(LEFT(A302,FIND("-",A302)-1),{"April","May","June","July","August","September","October","November","December","January","February","March"},0)</f>
        <v>2</v>
      </c>
      <c r="Q302" s="3">
        <f t="shared" si="8"/>
        <v>3.9413761695785379E-2</v>
      </c>
      <c r="R302" t="str">
        <f t="shared" si="9"/>
        <v>May</v>
      </c>
    </row>
    <row r="303" spans="1:18" x14ac:dyDescent="0.35">
      <c r="A303" t="s">
        <v>419</v>
      </c>
      <c r="B303" t="s">
        <v>375</v>
      </c>
      <c r="C303" t="s">
        <v>40</v>
      </c>
      <c r="D303" t="s">
        <v>376</v>
      </c>
      <c r="E303">
        <v>11353</v>
      </c>
      <c r="F303">
        <v>8458</v>
      </c>
      <c r="G303">
        <v>4165</v>
      </c>
      <c r="H303">
        <v>176</v>
      </c>
      <c r="I303">
        <v>702</v>
      </c>
      <c r="J303">
        <v>145</v>
      </c>
      <c r="K303" s="1">
        <v>45778</v>
      </c>
      <c r="L303" t="s">
        <v>17</v>
      </c>
      <c r="M303" t="s">
        <v>18</v>
      </c>
      <c r="N303" s="2">
        <f>IFERROR(NHS_A_E[[#This Row],[T1_Over4hrs]]/NHS_A_E[[#This Row],[T1_Attendances]], 0)</f>
        <v>0.36686338412754338</v>
      </c>
      <c r="O303">
        <f>NHS_A_E[[#This Row],[T1_Attendances]]+NHS_A_E[[#This Row],[Other_Attendances]]</f>
        <v>19811</v>
      </c>
      <c r="P303">
        <f>MATCH(LEFT(A303,FIND("-",A303)-1),{"April","May","June","July","August","September","October","November","December","January","February","March"},0)</f>
        <v>2</v>
      </c>
      <c r="Q303" s="3">
        <f t="shared" si="8"/>
        <v>1.2771954549458293E-2</v>
      </c>
      <c r="R303" t="str">
        <f t="shared" si="9"/>
        <v>May</v>
      </c>
    </row>
    <row r="304" spans="1:18" x14ac:dyDescent="0.35">
      <c r="A304" t="s">
        <v>419</v>
      </c>
      <c r="B304" t="s">
        <v>191</v>
      </c>
      <c r="C304" t="s">
        <v>15</v>
      </c>
      <c r="D304" t="s">
        <v>192</v>
      </c>
      <c r="E304">
        <v>8442</v>
      </c>
      <c r="F304">
        <v>2476</v>
      </c>
      <c r="G304">
        <v>3019</v>
      </c>
      <c r="H304">
        <v>30</v>
      </c>
      <c r="I304">
        <v>184</v>
      </c>
      <c r="J304">
        <v>20</v>
      </c>
      <c r="K304" s="1">
        <v>45778</v>
      </c>
      <c r="L304" t="s">
        <v>17</v>
      </c>
      <c r="M304" t="s">
        <v>18</v>
      </c>
      <c r="N304" s="2">
        <f>IFERROR(NHS_A_E[[#This Row],[T1_Over4hrs]]/NHS_A_E[[#This Row],[T1_Attendances]], 0)</f>
        <v>0.35761667851220091</v>
      </c>
      <c r="O304">
        <f>NHS_A_E[[#This Row],[T1_Attendances]]+NHS_A_E[[#This Row],[Other_Attendances]]</f>
        <v>10918</v>
      </c>
      <c r="P304">
        <f>MATCH(LEFT(A304,FIND("-",A304)-1),{"April","May","June","July","August","September","October","November","December","January","February","March"},0)</f>
        <v>2</v>
      </c>
      <c r="Q304" s="3">
        <f t="shared" si="8"/>
        <v>2.3691068467187868E-3</v>
      </c>
      <c r="R304" t="str">
        <f t="shared" si="9"/>
        <v>May</v>
      </c>
    </row>
    <row r="305" spans="1:18" x14ac:dyDescent="0.35">
      <c r="A305" t="s">
        <v>419</v>
      </c>
      <c r="B305" t="s">
        <v>185</v>
      </c>
      <c r="C305" t="s">
        <v>23</v>
      </c>
      <c r="D305" t="s">
        <v>186</v>
      </c>
      <c r="E305">
        <v>8815</v>
      </c>
      <c r="F305">
        <v>8659</v>
      </c>
      <c r="G305">
        <v>4414</v>
      </c>
      <c r="H305">
        <v>86</v>
      </c>
      <c r="I305">
        <v>220</v>
      </c>
      <c r="J305">
        <v>132</v>
      </c>
      <c r="K305" s="1">
        <v>45778</v>
      </c>
      <c r="L305" t="s">
        <v>17</v>
      </c>
      <c r="M305" t="s">
        <v>18</v>
      </c>
      <c r="N305" s="2">
        <f>IFERROR(NHS_A_E[[#This Row],[T1_Over4hrs]]/NHS_A_E[[#This Row],[T1_Attendances]], 0)</f>
        <v>0.50073737946681796</v>
      </c>
      <c r="O305">
        <f>NHS_A_E[[#This Row],[T1_Attendances]]+NHS_A_E[[#This Row],[Other_Attendances]]</f>
        <v>17474</v>
      </c>
      <c r="P305">
        <f>MATCH(LEFT(A305,FIND("-",A305)-1),{"April","May","June","July","August","September","October","November","December","January","February","March"},0)</f>
        <v>2</v>
      </c>
      <c r="Q305" s="3">
        <f t="shared" si="8"/>
        <v>1.4974475326148611E-2</v>
      </c>
      <c r="R305" t="str">
        <f t="shared" si="9"/>
        <v>May</v>
      </c>
    </row>
    <row r="306" spans="1:18" x14ac:dyDescent="0.35">
      <c r="A306" t="s">
        <v>419</v>
      </c>
      <c r="B306" t="s">
        <v>221</v>
      </c>
      <c r="C306" t="s">
        <v>63</v>
      </c>
      <c r="D306" t="s">
        <v>222</v>
      </c>
      <c r="E306">
        <v>9963</v>
      </c>
      <c r="F306">
        <v>13656</v>
      </c>
      <c r="G306">
        <v>2254</v>
      </c>
      <c r="H306">
        <v>7</v>
      </c>
      <c r="I306">
        <v>14</v>
      </c>
      <c r="J306">
        <v>0</v>
      </c>
      <c r="K306" s="1">
        <v>45778</v>
      </c>
      <c r="L306" t="s">
        <v>17</v>
      </c>
      <c r="M306" t="s">
        <v>18</v>
      </c>
      <c r="N306" s="2">
        <f>IFERROR(NHS_A_E[[#This Row],[T1_Over4hrs]]/NHS_A_E[[#This Row],[T1_Attendances]], 0)</f>
        <v>0.22623707718558667</v>
      </c>
      <c r="O306">
        <f>NHS_A_E[[#This Row],[T1_Attendances]]+NHS_A_E[[#This Row],[Other_Attendances]]</f>
        <v>23619</v>
      </c>
      <c r="P306">
        <f>MATCH(LEFT(A306,FIND("-",A306)-1),{"April","May","June","July","August","September","October","November","December","January","February","March"},0)</f>
        <v>2</v>
      </c>
      <c r="Q306" s="3">
        <f t="shared" si="8"/>
        <v>0</v>
      </c>
      <c r="R306" t="str">
        <f t="shared" si="9"/>
        <v>May</v>
      </c>
    </row>
    <row r="307" spans="1:18" x14ac:dyDescent="0.35">
      <c r="A307" t="s">
        <v>419</v>
      </c>
      <c r="B307" t="s">
        <v>58</v>
      </c>
      <c r="C307" t="s">
        <v>40</v>
      </c>
      <c r="D307" t="s">
        <v>59</v>
      </c>
      <c r="E307">
        <v>5061</v>
      </c>
      <c r="F307">
        <v>0</v>
      </c>
      <c r="G307">
        <v>1073</v>
      </c>
      <c r="H307">
        <v>0</v>
      </c>
      <c r="I307">
        <v>3</v>
      </c>
      <c r="J307">
        <v>5</v>
      </c>
      <c r="K307" s="1">
        <v>45778</v>
      </c>
      <c r="L307" t="s">
        <v>17</v>
      </c>
      <c r="M307" t="s">
        <v>18</v>
      </c>
      <c r="N307" s="2">
        <f>IFERROR(NHS_A_E[[#This Row],[T1_Over4hrs]]/NHS_A_E[[#This Row],[T1_Attendances]], 0)</f>
        <v>0.21201343607982612</v>
      </c>
      <c r="O307">
        <f>NHS_A_E[[#This Row],[T1_Attendances]]+NHS_A_E[[#This Row],[Other_Attendances]]</f>
        <v>5061</v>
      </c>
      <c r="P307">
        <f>MATCH(LEFT(A307,FIND("-",A307)-1),{"April","May","June","July","August","September","October","November","December","January","February","March"},0)</f>
        <v>2</v>
      </c>
      <c r="Q307" s="3">
        <f t="shared" si="8"/>
        <v>9.879470460383323E-4</v>
      </c>
      <c r="R307" t="str">
        <f t="shared" si="9"/>
        <v>May</v>
      </c>
    </row>
    <row r="308" spans="1:18" x14ac:dyDescent="0.35">
      <c r="A308" t="s">
        <v>419</v>
      </c>
      <c r="B308" t="s">
        <v>217</v>
      </c>
      <c r="C308" t="s">
        <v>15</v>
      </c>
      <c r="D308" t="s">
        <v>218</v>
      </c>
      <c r="E308">
        <v>11189</v>
      </c>
      <c r="F308">
        <v>3433</v>
      </c>
      <c r="G308">
        <v>4945</v>
      </c>
      <c r="H308">
        <v>138</v>
      </c>
      <c r="I308">
        <v>254</v>
      </c>
      <c r="J308">
        <v>40</v>
      </c>
      <c r="K308" s="1">
        <v>45778</v>
      </c>
      <c r="L308" t="s">
        <v>17</v>
      </c>
      <c r="M308" t="s">
        <v>18</v>
      </c>
      <c r="N308" s="2">
        <f>IFERROR(NHS_A_E[[#This Row],[T1_Over4hrs]]/NHS_A_E[[#This Row],[T1_Attendances]], 0)</f>
        <v>0.44195191706139958</v>
      </c>
      <c r="O308">
        <f>NHS_A_E[[#This Row],[T1_Attendances]]+NHS_A_E[[#This Row],[Other_Attendances]]</f>
        <v>14622</v>
      </c>
      <c r="P308">
        <f>MATCH(LEFT(A308,FIND("-",A308)-1),{"April","May","June","July","August","September","October","November","December","January","February","March"},0)</f>
        <v>2</v>
      </c>
      <c r="Q308" s="3">
        <f t="shared" si="8"/>
        <v>3.57493967289302E-3</v>
      </c>
      <c r="R308" t="str">
        <f t="shared" si="9"/>
        <v>May</v>
      </c>
    </row>
    <row r="309" spans="1:18" x14ac:dyDescent="0.35">
      <c r="A309" t="s">
        <v>419</v>
      </c>
      <c r="B309" t="s">
        <v>357</v>
      </c>
      <c r="C309" t="s">
        <v>20</v>
      </c>
      <c r="D309" t="s">
        <v>358</v>
      </c>
      <c r="E309">
        <v>5509</v>
      </c>
      <c r="F309">
        <v>5600</v>
      </c>
      <c r="G309">
        <v>2868</v>
      </c>
      <c r="H309">
        <v>434</v>
      </c>
      <c r="I309">
        <v>533</v>
      </c>
      <c r="J309">
        <v>355</v>
      </c>
      <c r="K309" s="1">
        <v>45778</v>
      </c>
      <c r="L309" t="s">
        <v>17</v>
      </c>
      <c r="M309" t="s">
        <v>18</v>
      </c>
      <c r="N309" s="2">
        <f>IFERROR(NHS_A_E[[#This Row],[T1_Over4hrs]]/NHS_A_E[[#This Row],[T1_Attendances]], 0)</f>
        <v>0.5206026502087493</v>
      </c>
      <c r="O309">
        <f>NHS_A_E[[#This Row],[T1_Attendances]]+NHS_A_E[[#This Row],[Other_Attendances]]</f>
        <v>11109</v>
      </c>
      <c r="P309">
        <f>MATCH(LEFT(A309,FIND("-",A309)-1),{"April","May","June","July","August","September","October","November","December","January","February","March"},0)</f>
        <v>2</v>
      </c>
      <c r="Q309" s="3">
        <f t="shared" si="8"/>
        <v>6.4440007260845894E-2</v>
      </c>
      <c r="R309" t="str">
        <f t="shared" si="9"/>
        <v>May</v>
      </c>
    </row>
    <row r="310" spans="1:18" x14ac:dyDescent="0.35">
      <c r="A310" t="s">
        <v>419</v>
      </c>
      <c r="B310" t="s">
        <v>173</v>
      </c>
      <c r="C310" t="s">
        <v>23</v>
      </c>
      <c r="D310" t="s">
        <v>174</v>
      </c>
      <c r="E310">
        <v>13181</v>
      </c>
      <c r="F310">
        <v>7869</v>
      </c>
      <c r="G310">
        <v>3914</v>
      </c>
      <c r="H310">
        <v>6</v>
      </c>
      <c r="I310">
        <v>911</v>
      </c>
      <c r="J310">
        <v>198</v>
      </c>
      <c r="K310" s="1">
        <v>45778</v>
      </c>
      <c r="L310" t="s">
        <v>17</v>
      </c>
      <c r="M310" t="s">
        <v>18</v>
      </c>
      <c r="N310" s="2">
        <f>IFERROR(NHS_A_E[[#This Row],[T1_Over4hrs]]/NHS_A_E[[#This Row],[T1_Attendances]], 0)</f>
        <v>0.29694256884910097</v>
      </c>
      <c r="O310">
        <f>NHS_A_E[[#This Row],[T1_Attendances]]+NHS_A_E[[#This Row],[Other_Attendances]]</f>
        <v>21050</v>
      </c>
      <c r="P310">
        <f>MATCH(LEFT(A310,FIND("-",A310)-1),{"April","May","June","July","August","September","October","November","December","January","February","March"},0)</f>
        <v>2</v>
      </c>
      <c r="Q310" s="3">
        <f t="shared" si="8"/>
        <v>1.5021622031712313E-2</v>
      </c>
      <c r="R310" t="str">
        <f t="shared" si="9"/>
        <v>May</v>
      </c>
    </row>
    <row r="311" spans="1:18" x14ac:dyDescent="0.35">
      <c r="A311" t="s">
        <v>419</v>
      </c>
      <c r="B311" t="s">
        <v>46</v>
      </c>
      <c r="C311" t="s">
        <v>40</v>
      </c>
      <c r="D311" t="s">
        <v>47</v>
      </c>
      <c r="E311">
        <v>0</v>
      </c>
      <c r="F311">
        <v>0</v>
      </c>
      <c r="G311">
        <v>0</v>
      </c>
      <c r="H311">
        <v>0</v>
      </c>
      <c r="I311">
        <v>0</v>
      </c>
      <c r="J311">
        <v>0</v>
      </c>
      <c r="K311" s="1">
        <v>45778</v>
      </c>
      <c r="L311" t="s">
        <v>17</v>
      </c>
      <c r="M311" t="s">
        <v>18</v>
      </c>
      <c r="N311" s="2">
        <f>IFERROR(NHS_A_E[[#This Row],[T1_Over4hrs]]/NHS_A_E[[#This Row],[T1_Attendances]], 0)</f>
        <v>0</v>
      </c>
      <c r="O311">
        <f>NHS_A_E[[#This Row],[T1_Attendances]]+NHS_A_E[[#This Row],[Other_Attendances]]</f>
        <v>0</v>
      </c>
      <c r="P311">
        <f>MATCH(LEFT(A311,FIND("-",A311)-1),{"April","May","June","July","August","September","October","November","December","January","February","March"},0)</f>
        <v>2</v>
      </c>
      <c r="Q311" s="3">
        <f t="shared" si="8"/>
        <v>0</v>
      </c>
      <c r="R311" t="str">
        <f t="shared" si="9"/>
        <v>May</v>
      </c>
    </row>
    <row r="312" spans="1:18" x14ac:dyDescent="0.35">
      <c r="A312" t="s">
        <v>419</v>
      </c>
      <c r="B312" t="s">
        <v>401</v>
      </c>
      <c r="C312" t="s">
        <v>35</v>
      </c>
      <c r="D312" t="s">
        <v>402</v>
      </c>
      <c r="E312">
        <v>13210</v>
      </c>
      <c r="F312">
        <v>5278</v>
      </c>
      <c r="G312">
        <v>4123</v>
      </c>
      <c r="H312">
        <v>0</v>
      </c>
      <c r="I312">
        <v>254</v>
      </c>
      <c r="J312">
        <v>873</v>
      </c>
      <c r="K312" s="1">
        <v>45778</v>
      </c>
      <c r="L312" t="s">
        <v>17</v>
      </c>
      <c r="M312" t="s">
        <v>18</v>
      </c>
      <c r="N312" s="2">
        <f>IFERROR(NHS_A_E[[#This Row],[T1_Over4hrs]]/NHS_A_E[[#This Row],[T1_Attendances]], 0)</f>
        <v>0.31211203633610901</v>
      </c>
      <c r="O312">
        <f>NHS_A_E[[#This Row],[T1_Attendances]]+NHS_A_E[[#This Row],[Other_Attendances]]</f>
        <v>18488</v>
      </c>
      <c r="P312">
        <f>MATCH(LEFT(A312,FIND("-",A312)-1),{"April","May","June","July","August","September","October","November","December","January","February","March"},0)</f>
        <v>2</v>
      </c>
      <c r="Q312" s="3">
        <f t="shared" si="8"/>
        <v>6.6086298258894782E-2</v>
      </c>
      <c r="R312" t="str">
        <f t="shared" si="9"/>
        <v>May</v>
      </c>
    </row>
    <row r="313" spans="1:18" x14ac:dyDescent="0.35">
      <c r="A313" t="s">
        <v>419</v>
      </c>
      <c r="B313" t="s">
        <v>109</v>
      </c>
      <c r="C313" t="s">
        <v>35</v>
      </c>
      <c r="D313" t="s">
        <v>110</v>
      </c>
      <c r="E313">
        <v>10064</v>
      </c>
      <c r="F313">
        <v>7309</v>
      </c>
      <c r="G313">
        <v>3483</v>
      </c>
      <c r="H313">
        <v>247</v>
      </c>
      <c r="I313">
        <v>103</v>
      </c>
      <c r="J313">
        <v>69</v>
      </c>
      <c r="K313" s="1">
        <v>45778</v>
      </c>
      <c r="L313" t="s">
        <v>17</v>
      </c>
      <c r="M313" t="s">
        <v>18</v>
      </c>
      <c r="N313" s="2">
        <f>IFERROR(NHS_A_E[[#This Row],[T1_Over4hrs]]/NHS_A_E[[#This Row],[T1_Attendances]], 0)</f>
        <v>0.34608505564387915</v>
      </c>
      <c r="O313">
        <f>NHS_A_E[[#This Row],[T1_Attendances]]+NHS_A_E[[#This Row],[Other_Attendances]]</f>
        <v>17373</v>
      </c>
      <c r="P313">
        <f>MATCH(LEFT(A313,FIND("-",A313)-1),{"April","May","June","July","August","September","October","November","December","January","February","March"},0)</f>
        <v>2</v>
      </c>
      <c r="Q313" s="3">
        <f t="shared" si="8"/>
        <v>6.8561208267090617E-3</v>
      </c>
      <c r="R313" t="str">
        <f t="shared" si="9"/>
        <v>May</v>
      </c>
    </row>
    <row r="314" spans="1:18" x14ac:dyDescent="0.35">
      <c r="A314" t="s">
        <v>419</v>
      </c>
      <c r="B314" t="s">
        <v>105</v>
      </c>
      <c r="C314" t="s">
        <v>15</v>
      </c>
      <c r="D314" t="s">
        <v>106</v>
      </c>
      <c r="E314">
        <v>12346</v>
      </c>
      <c r="F314">
        <v>0</v>
      </c>
      <c r="G314">
        <v>5402</v>
      </c>
      <c r="H314">
        <v>0</v>
      </c>
      <c r="I314">
        <v>472</v>
      </c>
      <c r="J314">
        <v>15</v>
      </c>
      <c r="K314" s="1">
        <v>45778</v>
      </c>
      <c r="L314" t="s">
        <v>17</v>
      </c>
      <c r="M314" t="s">
        <v>18</v>
      </c>
      <c r="N314" s="2">
        <f>IFERROR(NHS_A_E[[#This Row],[T1_Over4hrs]]/NHS_A_E[[#This Row],[T1_Attendances]], 0)</f>
        <v>0.43755062368378422</v>
      </c>
      <c r="O314">
        <f>NHS_A_E[[#This Row],[T1_Attendances]]+NHS_A_E[[#This Row],[Other_Attendances]]</f>
        <v>12346</v>
      </c>
      <c r="P314">
        <f>MATCH(LEFT(A314,FIND("-",A314)-1),{"April","May","June","July","August","September","October","November","December","January","February","March"},0)</f>
        <v>2</v>
      </c>
      <c r="Q314" s="3">
        <f t="shared" si="8"/>
        <v>1.2149684108213187E-3</v>
      </c>
      <c r="R314" t="str">
        <f t="shared" si="9"/>
        <v>May</v>
      </c>
    </row>
    <row r="315" spans="1:18" x14ac:dyDescent="0.35">
      <c r="A315" t="s">
        <v>419</v>
      </c>
      <c r="B315" t="s">
        <v>393</v>
      </c>
      <c r="C315" t="s">
        <v>23</v>
      </c>
      <c r="D315" t="s">
        <v>394</v>
      </c>
      <c r="E315">
        <v>14921</v>
      </c>
      <c r="F315">
        <v>4675</v>
      </c>
      <c r="G315">
        <v>6334</v>
      </c>
      <c r="H315">
        <v>189</v>
      </c>
      <c r="I315">
        <v>578</v>
      </c>
      <c r="J315">
        <v>838</v>
      </c>
      <c r="K315" s="1">
        <v>45778</v>
      </c>
      <c r="L315" t="s">
        <v>17</v>
      </c>
      <c r="M315" t="s">
        <v>18</v>
      </c>
      <c r="N315" s="2">
        <f>IFERROR(NHS_A_E[[#This Row],[T1_Over4hrs]]/NHS_A_E[[#This Row],[T1_Attendances]], 0)</f>
        <v>0.42450237919710476</v>
      </c>
      <c r="O315">
        <f>NHS_A_E[[#This Row],[T1_Attendances]]+NHS_A_E[[#This Row],[Other_Attendances]]</f>
        <v>19596</v>
      </c>
      <c r="P315">
        <f>MATCH(LEFT(A315,FIND("-",A315)-1),{"April","May","June","July","August","September","October","November","December","January","February","March"},0)</f>
        <v>2</v>
      </c>
      <c r="Q315" s="3">
        <f t="shared" si="8"/>
        <v>5.6162455599490652E-2</v>
      </c>
      <c r="R315" t="str">
        <f t="shared" si="9"/>
        <v>May</v>
      </c>
    </row>
    <row r="316" spans="1:18" x14ac:dyDescent="0.35">
      <c r="A316" t="s">
        <v>419</v>
      </c>
      <c r="B316" t="s">
        <v>34</v>
      </c>
      <c r="C316" t="s">
        <v>35</v>
      </c>
      <c r="D316" t="s">
        <v>36</v>
      </c>
      <c r="E316">
        <v>13616</v>
      </c>
      <c r="F316">
        <v>14880</v>
      </c>
      <c r="G316">
        <v>5949</v>
      </c>
      <c r="H316">
        <v>197</v>
      </c>
      <c r="I316">
        <v>735</v>
      </c>
      <c r="J316">
        <v>642</v>
      </c>
      <c r="K316" s="1">
        <v>45778</v>
      </c>
      <c r="L316" t="s">
        <v>17</v>
      </c>
      <c r="M316" t="s">
        <v>18</v>
      </c>
      <c r="N316" s="2">
        <f>IFERROR(NHS_A_E[[#This Row],[T1_Over4hrs]]/NHS_A_E[[#This Row],[T1_Attendances]], 0)</f>
        <v>0.43691245593419509</v>
      </c>
      <c r="O316">
        <f>NHS_A_E[[#This Row],[T1_Attendances]]+NHS_A_E[[#This Row],[Other_Attendances]]</f>
        <v>28496</v>
      </c>
      <c r="P316">
        <f>MATCH(LEFT(A316,FIND("-",A316)-1),{"April","May","June","July","August","September","October","November","December","January","February","March"},0)</f>
        <v>2</v>
      </c>
      <c r="Q316" s="3">
        <f t="shared" si="8"/>
        <v>4.7150411280846065E-2</v>
      </c>
      <c r="R316" t="str">
        <f t="shared" si="9"/>
        <v>May</v>
      </c>
    </row>
    <row r="317" spans="1:18" x14ac:dyDescent="0.35">
      <c r="A317" t="s">
        <v>419</v>
      </c>
      <c r="B317" t="s">
        <v>32</v>
      </c>
      <c r="C317" t="s">
        <v>30</v>
      </c>
      <c r="D317" t="s">
        <v>33</v>
      </c>
      <c r="E317">
        <v>0</v>
      </c>
      <c r="F317">
        <v>0</v>
      </c>
      <c r="G317">
        <v>0</v>
      </c>
      <c r="H317">
        <v>0</v>
      </c>
      <c r="I317">
        <v>0</v>
      </c>
      <c r="J317">
        <v>0</v>
      </c>
      <c r="K317" s="1">
        <v>45778</v>
      </c>
      <c r="L317" t="s">
        <v>17</v>
      </c>
      <c r="M317" t="s">
        <v>18</v>
      </c>
      <c r="N317" s="2">
        <f>IFERROR(NHS_A_E[[#This Row],[T1_Over4hrs]]/NHS_A_E[[#This Row],[T1_Attendances]], 0)</f>
        <v>0</v>
      </c>
      <c r="O317">
        <f>NHS_A_E[[#This Row],[T1_Attendances]]+NHS_A_E[[#This Row],[Other_Attendances]]</f>
        <v>0</v>
      </c>
      <c r="P317">
        <f>MATCH(LEFT(A317,FIND("-",A317)-1),{"April","May","June","July","August","September","October","November","December","January","February","March"},0)</f>
        <v>2</v>
      </c>
      <c r="Q317" s="3">
        <f t="shared" si="8"/>
        <v>0</v>
      </c>
      <c r="R317" t="str">
        <f t="shared" si="9"/>
        <v>May</v>
      </c>
    </row>
    <row r="318" spans="1:18" x14ac:dyDescent="0.35">
      <c r="A318" t="s">
        <v>419</v>
      </c>
      <c r="B318" t="s">
        <v>29</v>
      </c>
      <c r="C318" t="s">
        <v>30</v>
      </c>
      <c r="D318" t="s">
        <v>31</v>
      </c>
      <c r="E318">
        <v>16266</v>
      </c>
      <c r="F318">
        <v>8289</v>
      </c>
      <c r="G318">
        <v>7834</v>
      </c>
      <c r="H318">
        <v>157</v>
      </c>
      <c r="I318">
        <v>1918</v>
      </c>
      <c r="J318">
        <v>852</v>
      </c>
      <c r="K318" s="1">
        <v>45778</v>
      </c>
      <c r="L318" t="s">
        <v>17</v>
      </c>
      <c r="M318" t="s">
        <v>18</v>
      </c>
      <c r="N318" s="2">
        <f>IFERROR(NHS_A_E[[#This Row],[T1_Over4hrs]]/NHS_A_E[[#This Row],[T1_Attendances]], 0)</f>
        <v>0.4816180991024222</v>
      </c>
      <c r="O318">
        <f>NHS_A_E[[#This Row],[T1_Attendances]]+NHS_A_E[[#This Row],[Other_Attendances]]</f>
        <v>24555</v>
      </c>
      <c r="P318">
        <f>MATCH(LEFT(A318,FIND("-",A318)-1),{"April","May","June","July","August","September","October","November","December","January","February","March"},0)</f>
        <v>2</v>
      </c>
      <c r="Q318" s="3">
        <f t="shared" si="8"/>
        <v>5.2379195868683143E-2</v>
      </c>
      <c r="R318" t="str">
        <f t="shared" si="9"/>
        <v>May</v>
      </c>
    </row>
    <row r="319" spans="1:18" x14ac:dyDescent="0.35">
      <c r="A319" t="s">
        <v>419</v>
      </c>
      <c r="B319" t="s">
        <v>25</v>
      </c>
      <c r="C319" t="s">
        <v>15</v>
      </c>
      <c r="D319" t="s">
        <v>26</v>
      </c>
      <c r="E319">
        <v>0</v>
      </c>
      <c r="F319">
        <v>12214</v>
      </c>
      <c r="G319">
        <v>0</v>
      </c>
      <c r="H319">
        <v>165</v>
      </c>
      <c r="I319">
        <v>0</v>
      </c>
      <c r="J319">
        <v>0</v>
      </c>
      <c r="K319" s="1">
        <v>45778</v>
      </c>
      <c r="L319" t="s">
        <v>17</v>
      </c>
      <c r="M319" t="s">
        <v>18</v>
      </c>
      <c r="N319" s="2">
        <f>IFERROR(NHS_A_E[[#This Row],[T1_Over4hrs]]/NHS_A_E[[#This Row],[T1_Attendances]], 0)</f>
        <v>0</v>
      </c>
      <c r="O319">
        <f>NHS_A_E[[#This Row],[T1_Attendances]]+NHS_A_E[[#This Row],[Other_Attendances]]</f>
        <v>12214</v>
      </c>
      <c r="P319">
        <f>MATCH(LEFT(A319,FIND("-",A319)-1),{"April","May","June","July","August","September","October","November","December","January","February","March"},0)</f>
        <v>2</v>
      </c>
      <c r="Q319" s="3">
        <f t="shared" si="8"/>
        <v>0</v>
      </c>
      <c r="R319" t="str">
        <f t="shared" si="9"/>
        <v>May</v>
      </c>
    </row>
    <row r="320" spans="1:18" x14ac:dyDescent="0.35">
      <c r="A320" t="s">
        <v>419</v>
      </c>
      <c r="B320" t="s">
        <v>387</v>
      </c>
      <c r="C320" t="s">
        <v>35</v>
      </c>
      <c r="D320" t="s">
        <v>388</v>
      </c>
      <c r="E320">
        <v>0</v>
      </c>
      <c r="F320">
        <v>2020</v>
      </c>
      <c r="G320">
        <v>0</v>
      </c>
      <c r="H320">
        <v>80</v>
      </c>
      <c r="I320">
        <v>0</v>
      </c>
      <c r="J320">
        <v>0</v>
      </c>
      <c r="K320" s="1">
        <v>45778</v>
      </c>
      <c r="L320" t="s">
        <v>17</v>
      </c>
      <c r="M320" t="s">
        <v>18</v>
      </c>
      <c r="N320" s="2">
        <f>IFERROR(NHS_A_E[[#This Row],[T1_Over4hrs]]/NHS_A_E[[#This Row],[T1_Attendances]], 0)</f>
        <v>0</v>
      </c>
      <c r="O320">
        <f>NHS_A_E[[#This Row],[T1_Attendances]]+NHS_A_E[[#This Row],[Other_Attendances]]</f>
        <v>2020</v>
      </c>
      <c r="P320">
        <f>MATCH(LEFT(A320,FIND("-",A320)-1),{"April","May","June","July","August","September","October","November","December","January","February","March"},0)</f>
        <v>2</v>
      </c>
      <c r="Q320" s="3">
        <f t="shared" si="8"/>
        <v>0</v>
      </c>
      <c r="R320" t="str">
        <f t="shared" si="9"/>
        <v>May</v>
      </c>
    </row>
    <row r="321" spans="1:18" x14ac:dyDescent="0.35">
      <c r="A321" t="s">
        <v>419</v>
      </c>
      <c r="B321" t="s">
        <v>87</v>
      </c>
      <c r="C321" t="s">
        <v>23</v>
      </c>
      <c r="D321" t="s">
        <v>88</v>
      </c>
      <c r="E321">
        <v>31033</v>
      </c>
      <c r="F321">
        <v>4064</v>
      </c>
      <c r="G321">
        <v>10241</v>
      </c>
      <c r="H321">
        <v>108</v>
      </c>
      <c r="I321">
        <v>2666</v>
      </c>
      <c r="J321">
        <v>378</v>
      </c>
      <c r="K321" s="1">
        <v>45778</v>
      </c>
      <c r="L321" t="s">
        <v>17</v>
      </c>
      <c r="M321" t="s">
        <v>18</v>
      </c>
      <c r="N321" s="2">
        <f>IFERROR(NHS_A_E[[#This Row],[T1_Over4hrs]]/NHS_A_E[[#This Row],[T1_Attendances]], 0)</f>
        <v>0.33000354461379822</v>
      </c>
      <c r="O321">
        <f>NHS_A_E[[#This Row],[T1_Attendances]]+NHS_A_E[[#This Row],[Other_Attendances]]</f>
        <v>35097</v>
      </c>
      <c r="P321">
        <f>MATCH(LEFT(A321,FIND("-",A321)-1),{"April","May","June","July","August","September","October","November","December","January","February","March"},0)</f>
        <v>2</v>
      </c>
      <c r="Q321" s="3">
        <f t="shared" si="8"/>
        <v>1.2180581961138144E-2</v>
      </c>
      <c r="R321" t="str">
        <f t="shared" si="9"/>
        <v>May</v>
      </c>
    </row>
    <row r="322" spans="1:18" x14ac:dyDescent="0.35">
      <c r="A322" t="s">
        <v>419</v>
      </c>
      <c r="B322" t="s">
        <v>219</v>
      </c>
      <c r="C322" t="s">
        <v>30</v>
      </c>
      <c r="D322" t="s">
        <v>220</v>
      </c>
      <c r="E322">
        <v>9591</v>
      </c>
      <c r="F322">
        <v>3251</v>
      </c>
      <c r="G322">
        <v>3396</v>
      </c>
      <c r="H322">
        <v>109</v>
      </c>
      <c r="I322">
        <v>622</v>
      </c>
      <c r="J322">
        <v>280</v>
      </c>
      <c r="K322" s="1">
        <v>45778</v>
      </c>
      <c r="L322" t="s">
        <v>17</v>
      </c>
      <c r="M322" t="s">
        <v>18</v>
      </c>
      <c r="N322" s="2">
        <f>IFERROR(NHS_A_E[[#This Row],[T1_Over4hrs]]/NHS_A_E[[#This Row],[T1_Attendances]], 0)</f>
        <v>0.35408195182984048</v>
      </c>
      <c r="O322">
        <f>NHS_A_E[[#This Row],[T1_Attendances]]+NHS_A_E[[#This Row],[Other_Attendances]]</f>
        <v>12842</v>
      </c>
      <c r="P322">
        <f>MATCH(LEFT(A322,FIND("-",A322)-1),{"April","May","June","July","August","September","October","November","December","January","February","March"},0)</f>
        <v>2</v>
      </c>
      <c r="Q322" s="3">
        <f t="shared" ref="Q322:Q385" si="10">IFERROR(J322/E322,0)</f>
        <v>2.9194036075487435E-2</v>
      </c>
      <c r="R322" t="str">
        <f t="shared" ref="R322:R385" si="11">TEXT(A322, "mmmm")</f>
        <v>May</v>
      </c>
    </row>
    <row r="323" spans="1:18" x14ac:dyDescent="0.35">
      <c r="A323" t="s">
        <v>419</v>
      </c>
      <c r="B323" t="s">
        <v>111</v>
      </c>
      <c r="C323" t="s">
        <v>40</v>
      </c>
      <c r="D323" t="s">
        <v>112</v>
      </c>
      <c r="E323">
        <v>0</v>
      </c>
      <c r="F323">
        <v>537</v>
      </c>
      <c r="G323">
        <v>0</v>
      </c>
      <c r="H323">
        <v>0</v>
      </c>
      <c r="I323">
        <v>0</v>
      </c>
      <c r="J323">
        <v>0</v>
      </c>
      <c r="K323" s="1">
        <v>45778</v>
      </c>
      <c r="L323" t="s">
        <v>17</v>
      </c>
      <c r="M323" t="s">
        <v>18</v>
      </c>
      <c r="N323" s="2">
        <f>IFERROR(NHS_A_E[[#This Row],[T1_Over4hrs]]/NHS_A_E[[#This Row],[T1_Attendances]], 0)</f>
        <v>0</v>
      </c>
      <c r="O323">
        <f>NHS_A_E[[#This Row],[T1_Attendances]]+NHS_A_E[[#This Row],[Other_Attendances]]</f>
        <v>537</v>
      </c>
      <c r="P323">
        <f>MATCH(LEFT(A323,FIND("-",A323)-1),{"April","May","June","July","August","September","October","November","December","January","February","March"},0)</f>
        <v>2</v>
      </c>
      <c r="Q323" s="3">
        <f t="shared" si="10"/>
        <v>0</v>
      </c>
      <c r="R323" t="str">
        <f t="shared" si="11"/>
        <v>May</v>
      </c>
    </row>
    <row r="324" spans="1:18" x14ac:dyDescent="0.35">
      <c r="A324" t="s">
        <v>419</v>
      </c>
      <c r="B324" t="s">
        <v>147</v>
      </c>
      <c r="C324" t="s">
        <v>40</v>
      </c>
      <c r="D324" t="s">
        <v>148</v>
      </c>
      <c r="E324">
        <v>0</v>
      </c>
      <c r="F324">
        <v>2031</v>
      </c>
      <c r="G324">
        <v>0</v>
      </c>
      <c r="H324">
        <v>0</v>
      </c>
      <c r="I324">
        <v>0</v>
      </c>
      <c r="J324">
        <v>0</v>
      </c>
      <c r="K324" s="1">
        <v>45778</v>
      </c>
      <c r="L324" t="s">
        <v>17</v>
      </c>
      <c r="M324" t="s">
        <v>18</v>
      </c>
      <c r="N324" s="2">
        <f>IFERROR(NHS_A_E[[#This Row],[T1_Over4hrs]]/NHS_A_E[[#This Row],[T1_Attendances]], 0)</f>
        <v>0</v>
      </c>
      <c r="O324">
        <f>NHS_A_E[[#This Row],[T1_Attendances]]+NHS_A_E[[#This Row],[Other_Attendances]]</f>
        <v>2031</v>
      </c>
      <c r="P324">
        <f>MATCH(LEFT(A324,FIND("-",A324)-1),{"April","May","June","July","August","September","October","November","December","January","February","March"},0)</f>
        <v>2</v>
      </c>
      <c r="Q324" s="3">
        <f t="shared" si="10"/>
        <v>0</v>
      </c>
      <c r="R324" t="str">
        <f t="shared" si="11"/>
        <v>May</v>
      </c>
    </row>
    <row r="325" spans="1:18" x14ac:dyDescent="0.35">
      <c r="A325" t="s">
        <v>419</v>
      </c>
      <c r="B325" t="s">
        <v>115</v>
      </c>
      <c r="C325" t="s">
        <v>40</v>
      </c>
      <c r="D325" t="s">
        <v>116</v>
      </c>
      <c r="E325">
        <v>0</v>
      </c>
      <c r="F325">
        <v>3432</v>
      </c>
      <c r="G325">
        <v>0</v>
      </c>
      <c r="H325">
        <v>59</v>
      </c>
      <c r="I325">
        <v>0</v>
      </c>
      <c r="J325">
        <v>0</v>
      </c>
      <c r="K325" s="1">
        <v>45778</v>
      </c>
      <c r="L325" t="s">
        <v>17</v>
      </c>
      <c r="M325" t="s">
        <v>18</v>
      </c>
      <c r="N325" s="2">
        <f>IFERROR(NHS_A_E[[#This Row],[T1_Over4hrs]]/NHS_A_E[[#This Row],[T1_Attendances]], 0)</f>
        <v>0</v>
      </c>
      <c r="O325">
        <f>NHS_A_E[[#This Row],[T1_Attendances]]+NHS_A_E[[#This Row],[Other_Attendances]]</f>
        <v>3432</v>
      </c>
      <c r="P325">
        <f>MATCH(LEFT(A325,FIND("-",A325)-1),{"April","May","June","July","August","September","October","November","December","January","February","March"},0)</f>
        <v>2</v>
      </c>
      <c r="Q325" s="3">
        <f t="shared" si="10"/>
        <v>0</v>
      </c>
      <c r="R325" t="str">
        <f t="shared" si="11"/>
        <v>May</v>
      </c>
    </row>
    <row r="326" spans="1:18" x14ac:dyDescent="0.35">
      <c r="A326" t="s">
        <v>419</v>
      </c>
      <c r="B326" t="s">
        <v>48</v>
      </c>
      <c r="C326" t="s">
        <v>40</v>
      </c>
      <c r="D326" t="s">
        <v>49</v>
      </c>
      <c r="E326">
        <v>7048</v>
      </c>
      <c r="F326">
        <v>1704</v>
      </c>
      <c r="G326">
        <v>2766</v>
      </c>
      <c r="H326">
        <v>46</v>
      </c>
      <c r="I326">
        <v>426</v>
      </c>
      <c r="J326">
        <v>284</v>
      </c>
      <c r="K326" s="1">
        <v>45778</v>
      </c>
      <c r="L326" t="s">
        <v>17</v>
      </c>
      <c r="M326" t="s">
        <v>18</v>
      </c>
      <c r="N326" s="2">
        <f>IFERROR(NHS_A_E[[#This Row],[T1_Over4hrs]]/NHS_A_E[[#This Row],[T1_Attendances]], 0)</f>
        <v>0.39245175936435867</v>
      </c>
      <c r="O326">
        <f>NHS_A_E[[#This Row],[T1_Attendances]]+NHS_A_E[[#This Row],[Other_Attendances]]</f>
        <v>8752</v>
      </c>
      <c r="P326">
        <f>MATCH(LEFT(A326,FIND("-",A326)-1),{"April","May","June","July","August","September","October","November","December","January","February","March"},0)</f>
        <v>2</v>
      </c>
      <c r="Q326" s="3">
        <f t="shared" si="10"/>
        <v>4.0295119182746877E-2</v>
      </c>
      <c r="R326" t="str">
        <f t="shared" si="11"/>
        <v>May</v>
      </c>
    </row>
    <row r="327" spans="1:18" x14ac:dyDescent="0.35">
      <c r="A327" t="s">
        <v>419</v>
      </c>
      <c r="B327" t="s">
        <v>159</v>
      </c>
      <c r="C327" t="s">
        <v>40</v>
      </c>
      <c r="D327" t="s">
        <v>160</v>
      </c>
      <c r="E327">
        <v>7119</v>
      </c>
      <c r="F327">
        <v>6319</v>
      </c>
      <c r="G327">
        <v>3319</v>
      </c>
      <c r="H327">
        <v>321</v>
      </c>
      <c r="I327">
        <v>878</v>
      </c>
      <c r="J327">
        <v>95</v>
      </c>
      <c r="K327" s="1">
        <v>45778</v>
      </c>
      <c r="L327" t="s">
        <v>17</v>
      </c>
      <c r="M327" t="s">
        <v>18</v>
      </c>
      <c r="N327" s="2">
        <f>IFERROR(NHS_A_E[[#This Row],[T1_Over4hrs]]/NHS_A_E[[#This Row],[T1_Attendances]], 0)</f>
        <v>0.46621716533220958</v>
      </c>
      <c r="O327">
        <f>NHS_A_E[[#This Row],[T1_Attendances]]+NHS_A_E[[#This Row],[Other_Attendances]]</f>
        <v>13438</v>
      </c>
      <c r="P327">
        <f>MATCH(LEFT(A327,FIND("-",A327)-1),{"April","May","June","July","August","September","October","November","December","January","February","March"},0)</f>
        <v>2</v>
      </c>
      <c r="Q327" s="3">
        <f t="shared" si="10"/>
        <v>1.3344570866694761E-2</v>
      </c>
      <c r="R327" t="str">
        <f t="shared" si="11"/>
        <v>May</v>
      </c>
    </row>
    <row r="328" spans="1:18" x14ac:dyDescent="0.35">
      <c r="A328" t="s">
        <v>419</v>
      </c>
      <c r="B328" t="s">
        <v>259</v>
      </c>
      <c r="C328" t="s">
        <v>40</v>
      </c>
      <c r="D328" t="s">
        <v>260</v>
      </c>
      <c r="E328">
        <v>0</v>
      </c>
      <c r="F328">
        <v>0</v>
      </c>
      <c r="G328">
        <v>0</v>
      </c>
      <c r="H328">
        <v>0</v>
      </c>
      <c r="I328">
        <v>0</v>
      </c>
      <c r="J328">
        <v>0</v>
      </c>
      <c r="K328" s="1">
        <v>45778</v>
      </c>
      <c r="L328" t="s">
        <v>17</v>
      </c>
      <c r="M328" t="s">
        <v>18</v>
      </c>
      <c r="N328" s="2">
        <f>IFERROR(NHS_A_E[[#This Row],[T1_Over4hrs]]/NHS_A_E[[#This Row],[T1_Attendances]], 0)</f>
        <v>0</v>
      </c>
      <c r="O328">
        <f>NHS_A_E[[#This Row],[T1_Attendances]]+NHS_A_E[[#This Row],[Other_Attendances]]</f>
        <v>0</v>
      </c>
      <c r="P328">
        <f>MATCH(LEFT(A328,FIND("-",A328)-1),{"April","May","June","July","August","September","October","November","December","January","February","March"},0)</f>
        <v>2</v>
      </c>
      <c r="Q328" s="3">
        <f t="shared" si="10"/>
        <v>0</v>
      </c>
      <c r="R328" t="str">
        <f t="shared" si="11"/>
        <v>May</v>
      </c>
    </row>
    <row r="329" spans="1:18" x14ac:dyDescent="0.35">
      <c r="A329" t="s">
        <v>419</v>
      </c>
      <c r="B329" t="s">
        <v>241</v>
      </c>
      <c r="C329" t="s">
        <v>40</v>
      </c>
      <c r="D329" t="s">
        <v>242</v>
      </c>
      <c r="E329">
        <v>0</v>
      </c>
      <c r="F329">
        <v>0</v>
      </c>
      <c r="G329">
        <v>0</v>
      </c>
      <c r="H329">
        <v>0</v>
      </c>
      <c r="I329">
        <v>0</v>
      </c>
      <c r="J329">
        <v>0</v>
      </c>
      <c r="K329" s="1">
        <v>45778</v>
      </c>
      <c r="L329" t="s">
        <v>17</v>
      </c>
      <c r="M329" t="s">
        <v>18</v>
      </c>
      <c r="N329" s="2">
        <f>IFERROR(NHS_A_E[[#This Row],[T1_Over4hrs]]/NHS_A_E[[#This Row],[T1_Attendances]], 0)</f>
        <v>0</v>
      </c>
      <c r="O329">
        <f>NHS_A_E[[#This Row],[T1_Attendances]]+NHS_A_E[[#This Row],[Other_Attendances]]</f>
        <v>0</v>
      </c>
      <c r="P329">
        <f>MATCH(LEFT(A329,FIND("-",A329)-1),{"April","May","June","July","August","September","October","November","December","January","February","March"},0)</f>
        <v>2</v>
      </c>
      <c r="Q329" s="3">
        <f t="shared" si="10"/>
        <v>0</v>
      </c>
      <c r="R329" t="str">
        <f t="shared" si="11"/>
        <v>May</v>
      </c>
    </row>
    <row r="330" spans="1:18" x14ac:dyDescent="0.35">
      <c r="A330" t="s">
        <v>419</v>
      </c>
      <c r="B330" t="s">
        <v>149</v>
      </c>
      <c r="C330" t="s">
        <v>15</v>
      </c>
      <c r="D330" t="s">
        <v>150</v>
      </c>
      <c r="E330">
        <v>10593</v>
      </c>
      <c r="F330">
        <v>3136</v>
      </c>
      <c r="G330">
        <v>4126</v>
      </c>
      <c r="H330">
        <v>29</v>
      </c>
      <c r="I330">
        <v>1032</v>
      </c>
      <c r="J330">
        <v>373</v>
      </c>
      <c r="K330" s="1">
        <v>45778</v>
      </c>
      <c r="L330" t="s">
        <v>17</v>
      </c>
      <c r="M330" t="s">
        <v>18</v>
      </c>
      <c r="N330" s="2">
        <f>IFERROR(NHS_A_E[[#This Row],[T1_Over4hrs]]/NHS_A_E[[#This Row],[T1_Attendances]], 0)</f>
        <v>0.38950250165203437</v>
      </c>
      <c r="O330">
        <f>NHS_A_E[[#This Row],[T1_Attendances]]+NHS_A_E[[#This Row],[Other_Attendances]]</f>
        <v>13729</v>
      </c>
      <c r="P330">
        <f>MATCH(LEFT(A330,FIND("-",A330)-1),{"April","May","June","July","August","September","October","November","December","January","February","March"},0)</f>
        <v>2</v>
      </c>
      <c r="Q330" s="3">
        <f t="shared" si="10"/>
        <v>3.5211932408194091E-2</v>
      </c>
      <c r="R330" t="str">
        <f t="shared" si="11"/>
        <v>May</v>
      </c>
    </row>
    <row r="331" spans="1:18" x14ac:dyDescent="0.35">
      <c r="A331" t="s">
        <v>419</v>
      </c>
      <c r="B331" t="s">
        <v>83</v>
      </c>
      <c r="C331" t="s">
        <v>35</v>
      </c>
      <c r="D331" t="s">
        <v>84</v>
      </c>
      <c r="E331">
        <v>14049</v>
      </c>
      <c r="F331">
        <v>15575</v>
      </c>
      <c r="G331">
        <v>7049</v>
      </c>
      <c r="H331">
        <v>142</v>
      </c>
      <c r="I331">
        <v>650</v>
      </c>
      <c r="J331">
        <v>403</v>
      </c>
      <c r="K331" s="1">
        <v>45778</v>
      </c>
      <c r="L331" t="s">
        <v>17</v>
      </c>
      <c r="M331" t="s">
        <v>18</v>
      </c>
      <c r="N331" s="2">
        <f>IFERROR(NHS_A_E[[#This Row],[T1_Over4hrs]]/NHS_A_E[[#This Row],[T1_Attendances]], 0)</f>
        <v>0.50174389636273042</v>
      </c>
      <c r="O331">
        <f>NHS_A_E[[#This Row],[T1_Attendances]]+NHS_A_E[[#This Row],[Other_Attendances]]</f>
        <v>29624</v>
      </c>
      <c r="P331">
        <f>MATCH(LEFT(A331,FIND("-",A331)-1),{"April","May","June","July","August","September","October","November","December","January","February","March"},0)</f>
        <v>2</v>
      </c>
      <c r="Q331" s="3">
        <f t="shared" si="10"/>
        <v>2.8685315680831377E-2</v>
      </c>
      <c r="R331" t="str">
        <f t="shared" si="11"/>
        <v>May</v>
      </c>
    </row>
    <row r="332" spans="1:18" x14ac:dyDescent="0.35">
      <c r="A332" t="s">
        <v>419</v>
      </c>
      <c r="B332" t="s">
        <v>209</v>
      </c>
      <c r="C332" t="s">
        <v>35</v>
      </c>
      <c r="D332" t="s">
        <v>210</v>
      </c>
      <c r="E332">
        <v>25866</v>
      </c>
      <c r="F332">
        <v>19100</v>
      </c>
      <c r="G332">
        <v>11713</v>
      </c>
      <c r="H332">
        <v>1900</v>
      </c>
      <c r="I332">
        <v>1229</v>
      </c>
      <c r="J332">
        <v>988</v>
      </c>
      <c r="K332" s="1">
        <v>45778</v>
      </c>
      <c r="L332" t="s">
        <v>17</v>
      </c>
      <c r="M332" t="s">
        <v>18</v>
      </c>
      <c r="N332" s="2">
        <f>IFERROR(NHS_A_E[[#This Row],[T1_Over4hrs]]/NHS_A_E[[#This Row],[T1_Attendances]], 0)</f>
        <v>0.45283383592360626</v>
      </c>
      <c r="O332">
        <f>NHS_A_E[[#This Row],[T1_Attendances]]+NHS_A_E[[#This Row],[Other_Attendances]]</f>
        <v>44966</v>
      </c>
      <c r="P332">
        <f>MATCH(LEFT(A332,FIND("-",A332)-1),{"April","May","June","July","August","September","October","November","December","January","February","March"},0)</f>
        <v>2</v>
      </c>
      <c r="Q332" s="3">
        <f t="shared" si="10"/>
        <v>3.8196860743833605E-2</v>
      </c>
      <c r="R332" t="str">
        <f t="shared" si="11"/>
        <v>May</v>
      </c>
    </row>
    <row r="333" spans="1:18" x14ac:dyDescent="0.35">
      <c r="A333" t="s">
        <v>419</v>
      </c>
      <c r="B333" t="s">
        <v>211</v>
      </c>
      <c r="C333" t="s">
        <v>30</v>
      </c>
      <c r="D333" t="s">
        <v>212</v>
      </c>
      <c r="E333">
        <v>7728</v>
      </c>
      <c r="F333">
        <v>3086</v>
      </c>
      <c r="G333">
        <v>3975</v>
      </c>
      <c r="H333">
        <v>86</v>
      </c>
      <c r="I333">
        <v>451</v>
      </c>
      <c r="J333">
        <v>827</v>
      </c>
      <c r="K333" s="1">
        <v>45778</v>
      </c>
      <c r="L333" t="s">
        <v>17</v>
      </c>
      <c r="M333" t="s">
        <v>18</v>
      </c>
      <c r="N333" s="2">
        <f>IFERROR(NHS_A_E[[#This Row],[T1_Over4hrs]]/NHS_A_E[[#This Row],[T1_Attendances]], 0)</f>
        <v>0.51436335403726707</v>
      </c>
      <c r="O333">
        <f>NHS_A_E[[#This Row],[T1_Attendances]]+NHS_A_E[[#This Row],[Other_Attendances]]</f>
        <v>10814</v>
      </c>
      <c r="P333">
        <f>MATCH(LEFT(A333,FIND("-",A333)-1),{"April","May","June","July","August","September","October","November","December","January","February","March"},0)</f>
        <v>2</v>
      </c>
      <c r="Q333" s="3">
        <f t="shared" si="10"/>
        <v>0.10701345755693582</v>
      </c>
      <c r="R333" t="str">
        <f t="shared" si="11"/>
        <v>May</v>
      </c>
    </row>
    <row r="334" spans="1:18" x14ac:dyDescent="0.35">
      <c r="A334" t="s">
        <v>419</v>
      </c>
      <c r="B334" t="s">
        <v>223</v>
      </c>
      <c r="C334" t="s">
        <v>15</v>
      </c>
      <c r="D334" t="s">
        <v>224</v>
      </c>
      <c r="E334">
        <v>12792</v>
      </c>
      <c r="F334">
        <v>3777</v>
      </c>
      <c r="G334">
        <v>4421</v>
      </c>
      <c r="H334">
        <v>10</v>
      </c>
      <c r="I334">
        <v>714</v>
      </c>
      <c r="J334">
        <v>0</v>
      </c>
      <c r="K334" s="1">
        <v>45778</v>
      </c>
      <c r="L334" t="s">
        <v>17</v>
      </c>
      <c r="M334" t="s">
        <v>18</v>
      </c>
      <c r="N334" s="2">
        <f>IFERROR(NHS_A_E[[#This Row],[T1_Over4hrs]]/NHS_A_E[[#This Row],[T1_Attendances]], 0)</f>
        <v>0.34560662914321449</v>
      </c>
      <c r="O334">
        <f>NHS_A_E[[#This Row],[T1_Attendances]]+NHS_A_E[[#This Row],[Other_Attendances]]</f>
        <v>16569</v>
      </c>
      <c r="P334">
        <f>MATCH(LEFT(A334,FIND("-",A334)-1),{"April","May","June","July","August","September","October","November","December","January","February","March"},0)</f>
        <v>2</v>
      </c>
      <c r="Q334" s="3">
        <f t="shared" si="10"/>
        <v>0</v>
      </c>
      <c r="R334" t="str">
        <f t="shared" si="11"/>
        <v>May</v>
      </c>
    </row>
    <row r="335" spans="1:18" x14ac:dyDescent="0.35">
      <c r="A335" t="s">
        <v>419</v>
      </c>
      <c r="B335" t="s">
        <v>403</v>
      </c>
      <c r="C335" t="s">
        <v>15</v>
      </c>
      <c r="D335" t="s">
        <v>404</v>
      </c>
      <c r="E335">
        <v>0</v>
      </c>
      <c r="F335">
        <v>1544</v>
      </c>
      <c r="G335">
        <v>0</v>
      </c>
      <c r="H335">
        <v>33</v>
      </c>
      <c r="I335">
        <v>0</v>
      </c>
      <c r="J335">
        <v>0</v>
      </c>
      <c r="K335" s="1">
        <v>45778</v>
      </c>
      <c r="L335" t="s">
        <v>17</v>
      </c>
      <c r="M335" t="s">
        <v>18</v>
      </c>
      <c r="N335" s="2">
        <f>IFERROR(NHS_A_E[[#This Row],[T1_Over4hrs]]/NHS_A_E[[#This Row],[T1_Attendances]], 0)</f>
        <v>0</v>
      </c>
      <c r="O335">
        <f>NHS_A_E[[#This Row],[T1_Attendances]]+NHS_A_E[[#This Row],[Other_Attendances]]</f>
        <v>1544</v>
      </c>
      <c r="P335">
        <f>MATCH(LEFT(A335,FIND("-",A335)-1),{"April","May","June","July","August","September","October","November","December","January","February","March"},0)</f>
        <v>2</v>
      </c>
      <c r="Q335" s="3">
        <f t="shared" si="10"/>
        <v>0</v>
      </c>
      <c r="R335" t="str">
        <f t="shared" si="11"/>
        <v>May</v>
      </c>
    </row>
    <row r="336" spans="1:18" x14ac:dyDescent="0.35">
      <c r="A336" t="s">
        <v>419</v>
      </c>
      <c r="B336" t="s">
        <v>337</v>
      </c>
      <c r="C336" t="s">
        <v>20</v>
      </c>
      <c r="D336" t="s">
        <v>338</v>
      </c>
      <c r="E336">
        <v>14445</v>
      </c>
      <c r="F336">
        <v>5561</v>
      </c>
      <c r="G336">
        <v>5845</v>
      </c>
      <c r="H336">
        <v>0</v>
      </c>
      <c r="I336">
        <v>752</v>
      </c>
      <c r="J336">
        <v>127</v>
      </c>
      <c r="K336" s="1">
        <v>45778</v>
      </c>
      <c r="L336" t="s">
        <v>17</v>
      </c>
      <c r="M336" t="s">
        <v>18</v>
      </c>
      <c r="N336" s="2">
        <f>IFERROR(NHS_A_E[[#This Row],[T1_Over4hrs]]/NHS_A_E[[#This Row],[T1_Attendances]], 0)</f>
        <v>0.40463828314295602</v>
      </c>
      <c r="O336">
        <f>NHS_A_E[[#This Row],[T1_Attendances]]+NHS_A_E[[#This Row],[Other_Attendances]]</f>
        <v>20006</v>
      </c>
      <c r="P336">
        <f>MATCH(LEFT(A336,FIND("-",A336)-1),{"April","May","June","July","August","September","October","November","December","January","February","March"},0)</f>
        <v>2</v>
      </c>
      <c r="Q336" s="3">
        <f t="shared" si="10"/>
        <v>8.7919695396330919E-3</v>
      </c>
      <c r="R336" t="str">
        <f t="shared" si="11"/>
        <v>May</v>
      </c>
    </row>
    <row r="337" spans="1:18" x14ac:dyDescent="0.35">
      <c r="A337" t="s">
        <v>419</v>
      </c>
      <c r="B337" t="s">
        <v>365</v>
      </c>
      <c r="C337" t="s">
        <v>35</v>
      </c>
      <c r="D337" t="s">
        <v>366</v>
      </c>
      <c r="E337">
        <v>13685</v>
      </c>
      <c r="F337">
        <v>0</v>
      </c>
      <c r="G337">
        <v>4240</v>
      </c>
      <c r="H337">
        <v>0</v>
      </c>
      <c r="I337">
        <v>398</v>
      </c>
      <c r="J337">
        <v>141</v>
      </c>
      <c r="K337" s="1">
        <v>45778</v>
      </c>
      <c r="L337" t="s">
        <v>17</v>
      </c>
      <c r="M337" t="s">
        <v>18</v>
      </c>
      <c r="N337" s="2">
        <f>IFERROR(NHS_A_E[[#This Row],[T1_Over4hrs]]/NHS_A_E[[#This Row],[T1_Attendances]], 0)</f>
        <v>0.30982827913774208</v>
      </c>
      <c r="O337">
        <f>NHS_A_E[[#This Row],[T1_Attendances]]+NHS_A_E[[#This Row],[Other_Attendances]]</f>
        <v>13685</v>
      </c>
      <c r="P337">
        <f>MATCH(LEFT(A337,FIND("-",A337)-1),{"April","May","June","July","August","September","October","November","December","January","February","March"},0)</f>
        <v>2</v>
      </c>
      <c r="Q337" s="3">
        <f t="shared" si="10"/>
        <v>1.0303251735476799E-2</v>
      </c>
      <c r="R337" t="str">
        <f t="shared" si="11"/>
        <v>May</v>
      </c>
    </row>
    <row r="338" spans="1:18" x14ac:dyDescent="0.35">
      <c r="A338" t="s">
        <v>419</v>
      </c>
      <c r="B338" t="s">
        <v>103</v>
      </c>
      <c r="C338" t="s">
        <v>20</v>
      </c>
      <c r="D338" t="s">
        <v>104</v>
      </c>
      <c r="E338">
        <v>13063</v>
      </c>
      <c r="F338">
        <v>9703</v>
      </c>
      <c r="G338">
        <v>5905</v>
      </c>
      <c r="H338">
        <v>246</v>
      </c>
      <c r="I338">
        <v>518</v>
      </c>
      <c r="J338">
        <v>139</v>
      </c>
      <c r="K338" s="1">
        <v>45778</v>
      </c>
      <c r="L338" t="s">
        <v>17</v>
      </c>
      <c r="M338" t="s">
        <v>18</v>
      </c>
      <c r="N338" s="2">
        <f>IFERROR(NHS_A_E[[#This Row],[T1_Over4hrs]]/NHS_A_E[[#This Row],[T1_Attendances]], 0)</f>
        <v>0.4520401132970987</v>
      </c>
      <c r="O338">
        <f>NHS_A_E[[#This Row],[T1_Attendances]]+NHS_A_E[[#This Row],[Other_Attendances]]</f>
        <v>22766</v>
      </c>
      <c r="P338">
        <f>MATCH(LEFT(A338,FIND("-",A338)-1),{"April","May","June","July","August","September","October","November","December","January","February","March"},0)</f>
        <v>2</v>
      </c>
      <c r="Q338" s="3">
        <f t="shared" si="10"/>
        <v>1.0640741024267014E-2</v>
      </c>
      <c r="R338" t="str">
        <f t="shared" si="11"/>
        <v>May</v>
      </c>
    </row>
    <row r="339" spans="1:18" x14ac:dyDescent="0.35">
      <c r="A339" t="s">
        <v>419</v>
      </c>
      <c r="B339" t="s">
        <v>22</v>
      </c>
      <c r="C339" t="s">
        <v>23</v>
      </c>
      <c r="D339" t="s">
        <v>24</v>
      </c>
      <c r="E339">
        <v>11965</v>
      </c>
      <c r="F339">
        <v>14416</v>
      </c>
      <c r="G339">
        <v>5845</v>
      </c>
      <c r="H339">
        <v>402</v>
      </c>
      <c r="I339">
        <v>993</v>
      </c>
      <c r="J339">
        <v>470</v>
      </c>
      <c r="K339" s="1">
        <v>45778</v>
      </c>
      <c r="L339" t="s">
        <v>17</v>
      </c>
      <c r="M339" t="s">
        <v>18</v>
      </c>
      <c r="N339" s="2">
        <f>IFERROR(NHS_A_E[[#This Row],[T1_Over4hrs]]/NHS_A_E[[#This Row],[T1_Attendances]], 0)</f>
        <v>0.4885081487672378</v>
      </c>
      <c r="O339">
        <f>NHS_A_E[[#This Row],[T1_Attendances]]+NHS_A_E[[#This Row],[Other_Attendances]]</f>
        <v>26381</v>
      </c>
      <c r="P339">
        <f>MATCH(LEFT(A339,FIND("-",A339)-1),{"April","May","June","July","August","September","October","November","December","January","February","March"},0)</f>
        <v>2</v>
      </c>
      <c r="Q339" s="3">
        <f t="shared" si="10"/>
        <v>3.9281236941078143E-2</v>
      </c>
      <c r="R339" t="str">
        <f t="shared" si="11"/>
        <v>May</v>
      </c>
    </row>
    <row r="340" spans="1:18" x14ac:dyDescent="0.35">
      <c r="A340" t="s">
        <v>419</v>
      </c>
      <c r="B340" t="s">
        <v>373</v>
      </c>
      <c r="C340" t="s">
        <v>40</v>
      </c>
      <c r="D340" t="s">
        <v>374</v>
      </c>
      <c r="E340">
        <v>13644</v>
      </c>
      <c r="F340">
        <v>0</v>
      </c>
      <c r="G340">
        <v>6813</v>
      </c>
      <c r="H340">
        <v>0</v>
      </c>
      <c r="I340">
        <v>311</v>
      </c>
      <c r="J340">
        <v>460</v>
      </c>
      <c r="K340" s="1">
        <v>45778</v>
      </c>
      <c r="L340" t="s">
        <v>17</v>
      </c>
      <c r="M340" t="s">
        <v>18</v>
      </c>
      <c r="N340" s="2">
        <f>IFERROR(NHS_A_E[[#This Row],[T1_Over4hrs]]/NHS_A_E[[#This Row],[T1_Attendances]], 0)</f>
        <v>0.49934036939313986</v>
      </c>
      <c r="O340">
        <f>NHS_A_E[[#This Row],[T1_Attendances]]+NHS_A_E[[#This Row],[Other_Attendances]]</f>
        <v>13644</v>
      </c>
      <c r="P340">
        <f>MATCH(LEFT(A340,FIND("-",A340)-1),{"April","May","June","July","August","September","October","November","December","January","February","March"},0)</f>
        <v>2</v>
      </c>
      <c r="Q340" s="3">
        <f t="shared" si="10"/>
        <v>3.3714453239519201E-2</v>
      </c>
      <c r="R340" t="str">
        <f t="shared" si="11"/>
        <v>May</v>
      </c>
    </row>
    <row r="341" spans="1:18" x14ac:dyDescent="0.35">
      <c r="A341" t="s">
        <v>419</v>
      </c>
      <c r="B341" t="s">
        <v>187</v>
      </c>
      <c r="C341" t="s">
        <v>30</v>
      </c>
      <c r="D341" t="s">
        <v>188</v>
      </c>
      <c r="E341">
        <v>8299</v>
      </c>
      <c r="F341">
        <v>1098</v>
      </c>
      <c r="G341">
        <v>3564</v>
      </c>
      <c r="H341">
        <v>77</v>
      </c>
      <c r="I341">
        <v>834</v>
      </c>
      <c r="J341">
        <v>316</v>
      </c>
      <c r="K341" s="1">
        <v>45778</v>
      </c>
      <c r="L341" t="s">
        <v>17</v>
      </c>
      <c r="M341" t="s">
        <v>18</v>
      </c>
      <c r="N341" s="2">
        <f>IFERROR(NHS_A_E[[#This Row],[T1_Over4hrs]]/NHS_A_E[[#This Row],[T1_Attendances]], 0)</f>
        <v>0.42944933124472828</v>
      </c>
      <c r="O341">
        <f>NHS_A_E[[#This Row],[T1_Attendances]]+NHS_A_E[[#This Row],[Other_Attendances]]</f>
        <v>9397</v>
      </c>
      <c r="P341">
        <f>MATCH(LEFT(A341,FIND("-",A341)-1),{"April","May","June","July","August","September","October","November","December","January","February","March"},0)</f>
        <v>2</v>
      </c>
      <c r="Q341" s="3">
        <f t="shared" si="10"/>
        <v>3.8076876732136403E-2</v>
      </c>
      <c r="R341" t="str">
        <f t="shared" si="11"/>
        <v>May</v>
      </c>
    </row>
    <row r="342" spans="1:18" x14ac:dyDescent="0.35">
      <c r="A342" t="s">
        <v>419</v>
      </c>
      <c r="B342" t="s">
        <v>171</v>
      </c>
      <c r="C342" t="s">
        <v>35</v>
      </c>
      <c r="D342" t="s">
        <v>172</v>
      </c>
      <c r="E342">
        <v>11686</v>
      </c>
      <c r="F342">
        <v>1714</v>
      </c>
      <c r="G342">
        <v>4163</v>
      </c>
      <c r="H342">
        <v>29</v>
      </c>
      <c r="I342">
        <v>438</v>
      </c>
      <c r="J342">
        <v>975</v>
      </c>
      <c r="K342" s="1">
        <v>45778</v>
      </c>
      <c r="L342" t="s">
        <v>17</v>
      </c>
      <c r="M342" t="s">
        <v>18</v>
      </c>
      <c r="N342" s="2">
        <f>IFERROR(NHS_A_E[[#This Row],[T1_Over4hrs]]/NHS_A_E[[#This Row],[T1_Attendances]], 0)</f>
        <v>0.35623823378401503</v>
      </c>
      <c r="O342">
        <f>NHS_A_E[[#This Row],[T1_Attendances]]+NHS_A_E[[#This Row],[Other_Attendances]]</f>
        <v>13400</v>
      </c>
      <c r="P342">
        <f>MATCH(LEFT(A342,FIND("-",A342)-1),{"April","May","June","July","August","September","October","November","December","January","February","March"},0)</f>
        <v>2</v>
      </c>
      <c r="Q342" s="3">
        <f t="shared" si="10"/>
        <v>8.343316789320554E-2</v>
      </c>
      <c r="R342" t="str">
        <f t="shared" si="11"/>
        <v>May</v>
      </c>
    </row>
    <row r="343" spans="1:18" x14ac:dyDescent="0.35">
      <c r="A343" t="s">
        <v>419</v>
      </c>
      <c r="B343" t="s">
        <v>65</v>
      </c>
      <c r="C343" t="s">
        <v>30</v>
      </c>
      <c r="D343" t="s">
        <v>66</v>
      </c>
      <c r="E343">
        <v>7397</v>
      </c>
      <c r="F343">
        <v>5398</v>
      </c>
      <c r="G343">
        <v>3496</v>
      </c>
      <c r="H343">
        <v>59</v>
      </c>
      <c r="I343">
        <v>1193</v>
      </c>
      <c r="J343">
        <v>367</v>
      </c>
      <c r="K343" s="1">
        <v>45778</v>
      </c>
      <c r="L343" t="s">
        <v>17</v>
      </c>
      <c r="M343" t="s">
        <v>18</v>
      </c>
      <c r="N343" s="2">
        <f>IFERROR(NHS_A_E[[#This Row],[T1_Over4hrs]]/NHS_A_E[[#This Row],[T1_Attendances]], 0)</f>
        <v>0.4726240367716642</v>
      </c>
      <c r="O343">
        <f>NHS_A_E[[#This Row],[T1_Attendances]]+NHS_A_E[[#This Row],[Other_Attendances]]</f>
        <v>12795</v>
      </c>
      <c r="P343">
        <f>MATCH(LEFT(A343,FIND("-",A343)-1),{"April","May","June","July","August","September","October","November","December","January","February","March"},0)</f>
        <v>2</v>
      </c>
      <c r="Q343" s="3">
        <f t="shared" si="10"/>
        <v>4.9614708665675272E-2</v>
      </c>
      <c r="R343" t="str">
        <f t="shared" si="11"/>
        <v>May</v>
      </c>
    </row>
    <row r="344" spans="1:18" x14ac:dyDescent="0.35">
      <c r="A344" t="s">
        <v>419</v>
      </c>
      <c r="B344" t="s">
        <v>215</v>
      </c>
      <c r="C344" t="s">
        <v>35</v>
      </c>
      <c r="D344" t="s">
        <v>216</v>
      </c>
      <c r="E344">
        <v>8770</v>
      </c>
      <c r="F344">
        <v>3900</v>
      </c>
      <c r="G344">
        <v>2775</v>
      </c>
      <c r="H344">
        <v>0</v>
      </c>
      <c r="I344">
        <v>497</v>
      </c>
      <c r="J344">
        <v>836</v>
      </c>
      <c r="K344" s="1">
        <v>45778</v>
      </c>
      <c r="L344" t="s">
        <v>17</v>
      </c>
      <c r="M344" t="s">
        <v>18</v>
      </c>
      <c r="N344" s="2">
        <f>IFERROR(NHS_A_E[[#This Row],[T1_Over4hrs]]/NHS_A_E[[#This Row],[T1_Attendances]], 0)</f>
        <v>0.31641961231470922</v>
      </c>
      <c r="O344">
        <f>NHS_A_E[[#This Row],[T1_Attendances]]+NHS_A_E[[#This Row],[Other_Attendances]]</f>
        <v>12670</v>
      </c>
      <c r="P344">
        <f>MATCH(LEFT(A344,FIND("-",A344)-1),{"April","May","June","July","August","September","October","November","December","January","February","March"},0)</f>
        <v>2</v>
      </c>
      <c r="Q344" s="3">
        <f t="shared" si="10"/>
        <v>9.5324971493728622E-2</v>
      </c>
      <c r="R344" t="str">
        <f t="shared" si="11"/>
        <v>May</v>
      </c>
    </row>
    <row r="345" spans="1:18" x14ac:dyDescent="0.35">
      <c r="A345" t="s">
        <v>419</v>
      </c>
      <c r="B345" t="s">
        <v>213</v>
      </c>
      <c r="C345" t="s">
        <v>23</v>
      </c>
      <c r="D345" t="s">
        <v>214</v>
      </c>
      <c r="E345">
        <v>10784</v>
      </c>
      <c r="F345">
        <v>5981</v>
      </c>
      <c r="G345">
        <v>4546</v>
      </c>
      <c r="H345">
        <v>93</v>
      </c>
      <c r="I345">
        <v>589</v>
      </c>
      <c r="J345">
        <v>207</v>
      </c>
      <c r="K345" s="1">
        <v>45778</v>
      </c>
      <c r="L345" t="s">
        <v>17</v>
      </c>
      <c r="M345" t="s">
        <v>18</v>
      </c>
      <c r="N345" s="2">
        <f>IFERROR(NHS_A_E[[#This Row],[T1_Over4hrs]]/NHS_A_E[[#This Row],[T1_Attendances]], 0)</f>
        <v>0.42155044510385759</v>
      </c>
      <c r="O345">
        <f>NHS_A_E[[#This Row],[T1_Attendances]]+NHS_A_E[[#This Row],[Other_Attendances]]</f>
        <v>16765</v>
      </c>
      <c r="P345">
        <f>MATCH(LEFT(A345,FIND("-",A345)-1),{"April","May","June","July","August","September","October","November","December","January","February","March"},0)</f>
        <v>2</v>
      </c>
      <c r="Q345" s="3">
        <f t="shared" si="10"/>
        <v>1.9195103857566766E-2</v>
      </c>
      <c r="R345" t="str">
        <f t="shared" si="11"/>
        <v>May</v>
      </c>
    </row>
    <row r="346" spans="1:18" x14ac:dyDescent="0.35">
      <c r="A346" t="s">
        <v>419</v>
      </c>
      <c r="B346" t="s">
        <v>19</v>
      </c>
      <c r="C346" t="s">
        <v>20</v>
      </c>
      <c r="D346" t="s">
        <v>21</v>
      </c>
      <c r="E346">
        <v>9233</v>
      </c>
      <c r="F346">
        <v>0</v>
      </c>
      <c r="G346">
        <v>3836</v>
      </c>
      <c r="H346">
        <v>0</v>
      </c>
      <c r="I346">
        <v>803</v>
      </c>
      <c r="J346">
        <v>83</v>
      </c>
      <c r="K346" s="1">
        <v>45778</v>
      </c>
      <c r="L346" t="s">
        <v>17</v>
      </c>
      <c r="M346" t="s">
        <v>18</v>
      </c>
      <c r="N346" s="2">
        <f>IFERROR(NHS_A_E[[#This Row],[T1_Over4hrs]]/NHS_A_E[[#This Row],[T1_Attendances]], 0)</f>
        <v>0.41546626231993933</v>
      </c>
      <c r="O346">
        <f>NHS_A_E[[#This Row],[T1_Attendances]]+NHS_A_E[[#This Row],[Other_Attendances]]</f>
        <v>9233</v>
      </c>
      <c r="P346">
        <f>MATCH(LEFT(A346,FIND("-",A346)-1),{"April","May","June","July","August","September","October","November","December","January","February","March"},0)</f>
        <v>2</v>
      </c>
      <c r="Q346" s="3">
        <f t="shared" si="10"/>
        <v>8.9894942055669877E-3</v>
      </c>
      <c r="R346" t="str">
        <f t="shared" si="11"/>
        <v>May</v>
      </c>
    </row>
    <row r="347" spans="1:18" x14ac:dyDescent="0.35">
      <c r="A347" t="s">
        <v>419</v>
      </c>
      <c r="B347" t="s">
        <v>347</v>
      </c>
      <c r="C347" t="s">
        <v>63</v>
      </c>
      <c r="D347" t="s">
        <v>348</v>
      </c>
      <c r="E347">
        <v>6214</v>
      </c>
      <c r="F347">
        <v>0</v>
      </c>
      <c r="G347">
        <v>2200</v>
      </c>
      <c r="H347">
        <v>0</v>
      </c>
      <c r="I347">
        <v>270</v>
      </c>
      <c r="J347">
        <v>47</v>
      </c>
      <c r="K347" s="1">
        <v>45778</v>
      </c>
      <c r="L347" t="s">
        <v>17</v>
      </c>
      <c r="M347" t="s">
        <v>18</v>
      </c>
      <c r="N347" s="2">
        <f>IFERROR(NHS_A_E[[#This Row],[T1_Over4hrs]]/NHS_A_E[[#This Row],[T1_Attendances]], 0)</f>
        <v>0.3540392661731574</v>
      </c>
      <c r="O347">
        <f>NHS_A_E[[#This Row],[T1_Attendances]]+NHS_A_E[[#This Row],[Other_Attendances]]</f>
        <v>6214</v>
      </c>
      <c r="P347">
        <f>MATCH(LEFT(A347,FIND("-",A347)-1),{"April","May","June","July","August","September","October","November","December","January","February","March"},0)</f>
        <v>2</v>
      </c>
      <c r="Q347" s="3">
        <f t="shared" si="10"/>
        <v>7.5635661409719987E-3</v>
      </c>
      <c r="R347" t="str">
        <f t="shared" si="11"/>
        <v>May</v>
      </c>
    </row>
    <row r="348" spans="1:18" x14ac:dyDescent="0.35">
      <c r="A348" t="s">
        <v>419</v>
      </c>
      <c r="B348" t="s">
        <v>151</v>
      </c>
      <c r="C348" t="s">
        <v>30</v>
      </c>
      <c r="D348" t="s">
        <v>152</v>
      </c>
      <c r="E348">
        <v>26590</v>
      </c>
      <c r="F348">
        <v>8696</v>
      </c>
      <c r="G348">
        <v>10741</v>
      </c>
      <c r="H348">
        <v>503</v>
      </c>
      <c r="I348">
        <v>1156</v>
      </c>
      <c r="J348">
        <v>1113</v>
      </c>
      <c r="K348" s="1">
        <v>45778</v>
      </c>
      <c r="L348" t="s">
        <v>17</v>
      </c>
      <c r="M348" t="s">
        <v>18</v>
      </c>
      <c r="N348" s="2">
        <f>IFERROR(NHS_A_E[[#This Row],[T1_Over4hrs]]/NHS_A_E[[#This Row],[T1_Attendances]], 0)</f>
        <v>0.4039488529522377</v>
      </c>
      <c r="O348">
        <f>NHS_A_E[[#This Row],[T1_Attendances]]+NHS_A_E[[#This Row],[Other_Attendances]]</f>
        <v>35286</v>
      </c>
      <c r="P348">
        <f>MATCH(LEFT(A348,FIND("-",A348)-1),{"April","May","June","July","August","September","October","November","December","January","February","March"},0)</f>
        <v>2</v>
      </c>
      <c r="Q348" s="3">
        <f t="shared" si="10"/>
        <v>4.1857841293719444E-2</v>
      </c>
      <c r="R348" t="str">
        <f t="shared" si="11"/>
        <v>May</v>
      </c>
    </row>
    <row r="349" spans="1:18" x14ac:dyDescent="0.35">
      <c r="A349" t="s">
        <v>419</v>
      </c>
      <c r="B349" t="s">
        <v>265</v>
      </c>
      <c r="C349" t="s">
        <v>35</v>
      </c>
      <c r="D349" t="s">
        <v>266</v>
      </c>
      <c r="E349">
        <v>0</v>
      </c>
      <c r="F349">
        <v>2625</v>
      </c>
      <c r="G349">
        <v>0</v>
      </c>
      <c r="H349">
        <v>18</v>
      </c>
      <c r="I349">
        <v>0</v>
      </c>
      <c r="J349">
        <v>0</v>
      </c>
      <c r="K349" s="1">
        <v>45778</v>
      </c>
      <c r="L349" t="s">
        <v>17</v>
      </c>
      <c r="M349" t="s">
        <v>18</v>
      </c>
      <c r="N349" s="2">
        <f>IFERROR(NHS_A_E[[#This Row],[T1_Over4hrs]]/NHS_A_E[[#This Row],[T1_Attendances]], 0)</f>
        <v>0</v>
      </c>
      <c r="O349">
        <f>NHS_A_E[[#This Row],[T1_Attendances]]+NHS_A_E[[#This Row],[Other_Attendances]]</f>
        <v>2625</v>
      </c>
      <c r="P349">
        <f>MATCH(LEFT(A349,FIND("-",A349)-1),{"April","May","June","July","August","September","October","November","December","January","February","March"},0)</f>
        <v>2</v>
      </c>
      <c r="Q349" s="3">
        <f t="shared" si="10"/>
        <v>0</v>
      </c>
      <c r="R349" t="str">
        <f t="shared" si="11"/>
        <v>May</v>
      </c>
    </row>
    <row r="350" spans="1:18" x14ac:dyDescent="0.35">
      <c r="A350" t="s">
        <v>419</v>
      </c>
      <c r="B350" t="s">
        <v>205</v>
      </c>
      <c r="C350" t="s">
        <v>35</v>
      </c>
      <c r="D350" t="s">
        <v>206</v>
      </c>
      <c r="E350">
        <v>12279</v>
      </c>
      <c r="F350">
        <v>7480</v>
      </c>
      <c r="G350">
        <v>5451</v>
      </c>
      <c r="H350">
        <v>443</v>
      </c>
      <c r="I350">
        <v>749</v>
      </c>
      <c r="J350">
        <v>366</v>
      </c>
      <c r="K350" s="1">
        <v>45778</v>
      </c>
      <c r="L350" t="s">
        <v>17</v>
      </c>
      <c r="M350" t="s">
        <v>18</v>
      </c>
      <c r="N350" s="2">
        <f>IFERROR(NHS_A_E[[#This Row],[T1_Over4hrs]]/NHS_A_E[[#This Row],[T1_Attendances]], 0)</f>
        <v>0.4439286586855607</v>
      </c>
      <c r="O350">
        <f>NHS_A_E[[#This Row],[T1_Attendances]]+NHS_A_E[[#This Row],[Other_Attendances]]</f>
        <v>19759</v>
      </c>
      <c r="P350">
        <f>MATCH(LEFT(A350,FIND("-",A350)-1),{"April","May","June","July","August","September","October","November","December","January","February","March"},0)</f>
        <v>2</v>
      </c>
      <c r="Q350" s="3">
        <f t="shared" si="10"/>
        <v>2.9806987539701929E-2</v>
      </c>
      <c r="R350" t="str">
        <f t="shared" si="11"/>
        <v>May</v>
      </c>
    </row>
    <row r="351" spans="1:18" x14ac:dyDescent="0.35">
      <c r="A351" t="s">
        <v>419</v>
      </c>
      <c r="B351" t="s">
        <v>257</v>
      </c>
      <c r="C351" t="s">
        <v>35</v>
      </c>
      <c r="D351" t="s">
        <v>258</v>
      </c>
      <c r="E351">
        <v>0</v>
      </c>
      <c r="F351">
        <v>8062</v>
      </c>
      <c r="G351">
        <v>0</v>
      </c>
      <c r="H351">
        <v>125</v>
      </c>
      <c r="I351">
        <v>0</v>
      </c>
      <c r="J351">
        <v>0</v>
      </c>
      <c r="K351" s="1">
        <v>45778</v>
      </c>
      <c r="L351" t="s">
        <v>17</v>
      </c>
      <c r="M351" t="s">
        <v>18</v>
      </c>
      <c r="N351" s="2">
        <f>IFERROR(NHS_A_E[[#This Row],[T1_Over4hrs]]/NHS_A_E[[#This Row],[T1_Attendances]], 0)</f>
        <v>0</v>
      </c>
      <c r="O351">
        <f>NHS_A_E[[#This Row],[T1_Attendances]]+NHS_A_E[[#This Row],[Other_Attendances]]</f>
        <v>8062</v>
      </c>
      <c r="P351">
        <f>MATCH(LEFT(A351,FIND("-",A351)-1),{"April","May","June","July","August","September","October","November","December","January","February","March"},0)</f>
        <v>2</v>
      </c>
      <c r="Q351" s="3">
        <f t="shared" si="10"/>
        <v>0</v>
      </c>
      <c r="R351" t="str">
        <f t="shared" si="11"/>
        <v>May</v>
      </c>
    </row>
    <row r="352" spans="1:18" x14ac:dyDescent="0.35">
      <c r="A352" t="s">
        <v>419</v>
      </c>
      <c r="B352" t="s">
        <v>145</v>
      </c>
      <c r="C352" t="s">
        <v>40</v>
      </c>
      <c r="D352" t="s">
        <v>146</v>
      </c>
      <c r="E352">
        <v>0</v>
      </c>
      <c r="F352">
        <v>83</v>
      </c>
      <c r="G352">
        <v>0</v>
      </c>
      <c r="H352">
        <v>0</v>
      </c>
      <c r="I352">
        <v>0</v>
      </c>
      <c r="J352">
        <v>0</v>
      </c>
      <c r="K352" s="1">
        <v>45778</v>
      </c>
      <c r="L352" t="s">
        <v>17</v>
      </c>
      <c r="M352" t="s">
        <v>18</v>
      </c>
      <c r="N352" s="2">
        <f>IFERROR(NHS_A_E[[#This Row],[T1_Over4hrs]]/NHS_A_E[[#This Row],[T1_Attendances]], 0)</f>
        <v>0</v>
      </c>
      <c r="O352">
        <f>NHS_A_E[[#This Row],[T1_Attendances]]+NHS_A_E[[#This Row],[Other_Attendances]]</f>
        <v>83</v>
      </c>
      <c r="P352">
        <f>MATCH(LEFT(A352,FIND("-",A352)-1),{"April","May","June","July","August","September","October","November","December","January","February","March"},0)</f>
        <v>2</v>
      </c>
      <c r="Q352" s="3">
        <f t="shared" si="10"/>
        <v>0</v>
      </c>
      <c r="R352" t="str">
        <f t="shared" si="11"/>
        <v>May</v>
      </c>
    </row>
    <row r="353" spans="1:18" x14ac:dyDescent="0.35">
      <c r="A353" t="s">
        <v>419</v>
      </c>
      <c r="B353" t="s">
        <v>143</v>
      </c>
      <c r="C353" t="s">
        <v>40</v>
      </c>
      <c r="D353" t="s">
        <v>144</v>
      </c>
      <c r="E353">
        <v>0</v>
      </c>
      <c r="F353">
        <v>598</v>
      </c>
      <c r="G353">
        <v>0</v>
      </c>
      <c r="H353">
        <v>0</v>
      </c>
      <c r="I353">
        <v>0</v>
      </c>
      <c r="J353">
        <v>0</v>
      </c>
      <c r="K353" s="1">
        <v>45778</v>
      </c>
      <c r="L353" t="s">
        <v>17</v>
      </c>
      <c r="M353" t="s">
        <v>18</v>
      </c>
      <c r="N353" s="2">
        <f>IFERROR(NHS_A_E[[#This Row],[T1_Over4hrs]]/NHS_A_E[[#This Row],[T1_Attendances]], 0)</f>
        <v>0</v>
      </c>
      <c r="O353">
        <f>NHS_A_E[[#This Row],[T1_Attendances]]+NHS_A_E[[#This Row],[Other_Attendances]]</f>
        <v>598</v>
      </c>
      <c r="P353">
        <f>MATCH(LEFT(A353,FIND("-",A353)-1),{"April","May","June","July","August","September","October","November","December","January","February","March"},0)</f>
        <v>2</v>
      </c>
      <c r="Q353" s="3">
        <f t="shared" si="10"/>
        <v>0</v>
      </c>
      <c r="R353" t="str">
        <f t="shared" si="11"/>
        <v>May</v>
      </c>
    </row>
    <row r="354" spans="1:18" x14ac:dyDescent="0.35">
      <c r="A354" t="s">
        <v>419</v>
      </c>
      <c r="B354" t="s">
        <v>141</v>
      </c>
      <c r="C354" t="s">
        <v>40</v>
      </c>
      <c r="D354" t="s">
        <v>142</v>
      </c>
      <c r="E354">
        <v>0</v>
      </c>
      <c r="F354">
        <v>65</v>
      </c>
      <c r="G354">
        <v>0</v>
      </c>
      <c r="H354">
        <v>0</v>
      </c>
      <c r="I354">
        <v>0</v>
      </c>
      <c r="J354">
        <v>0</v>
      </c>
      <c r="K354" s="1">
        <v>45778</v>
      </c>
      <c r="L354" t="s">
        <v>17</v>
      </c>
      <c r="M354" t="s">
        <v>18</v>
      </c>
      <c r="N354" s="2">
        <f>IFERROR(NHS_A_E[[#This Row],[T1_Over4hrs]]/NHS_A_E[[#This Row],[T1_Attendances]], 0)</f>
        <v>0</v>
      </c>
      <c r="O354">
        <f>NHS_A_E[[#This Row],[T1_Attendances]]+NHS_A_E[[#This Row],[Other_Attendances]]</f>
        <v>65</v>
      </c>
      <c r="P354">
        <f>MATCH(LEFT(A354,FIND("-",A354)-1),{"April","May","June","July","August","September","October","November","December","January","February","March"},0)</f>
        <v>2</v>
      </c>
      <c r="Q354" s="3">
        <f t="shared" si="10"/>
        <v>0</v>
      </c>
      <c r="R354" t="str">
        <f t="shared" si="11"/>
        <v>May</v>
      </c>
    </row>
    <row r="355" spans="1:18" x14ac:dyDescent="0.35">
      <c r="A355" t="s">
        <v>419</v>
      </c>
      <c r="B355" t="s">
        <v>139</v>
      </c>
      <c r="C355" t="s">
        <v>40</v>
      </c>
      <c r="D355" t="s">
        <v>140</v>
      </c>
      <c r="E355">
        <v>0</v>
      </c>
      <c r="F355">
        <v>128</v>
      </c>
      <c r="G355">
        <v>0</v>
      </c>
      <c r="H355">
        <v>0</v>
      </c>
      <c r="I355">
        <v>0</v>
      </c>
      <c r="J355">
        <v>0</v>
      </c>
      <c r="K355" s="1">
        <v>45778</v>
      </c>
      <c r="L355" t="s">
        <v>17</v>
      </c>
      <c r="M355" t="s">
        <v>18</v>
      </c>
      <c r="N355" s="2">
        <f>IFERROR(NHS_A_E[[#This Row],[T1_Over4hrs]]/NHS_A_E[[#This Row],[T1_Attendances]], 0)</f>
        <v>0</v>
      </c>
      <c r="O355">
        <f>NHS_A_E[[#This Row],[T1_Attendances]]+NHS_A_E[[#This Row],[Other_Attendances]]</f>
        <v>128</v>
      </c>
      <c r="P355">
        <f>MATCH(LEFT(A355,FIND("-",A355)-1),{"April","May","June","July","August","September","October","November","December","January","February","March"},0)</f>
        <v>2</v>
      </c>
      <c r="Q355" s="3">
        <f t="shared" si="10"/>
        <v>0</v>
      </c>
      <c r="R355" t="str">
        <f t="shared" si="11"/>
        <v>May</v>
      </c>
    </row>
    <row r="356" spans="1:18" x14ac:dyDescent="0.35">
      <c r="A356" t="s">
        <v>419</v>
      </c>
      <c r="B356" t="s">
        <v>137</v>
      </c>
      <c r="C356" t="s">
        <v>40</v>
      </c>
      <c r="D356" t="s">
        <v>138</v>
      </c>
      <c r="E356">
        <v>0</v>
      </c>
      <c r="F356">
        <v>209</v>
      </c>
      <c r="G356">
        <v>0</v>
      </c>
      <c r="H356">
        <v>0</v>
      </c>
      <c r="I356">
        <v>0</v>
      </c>
      <c r="J356">
        <v>0</v>
      </c>
      <c r="K356" s="1">
        <v>45778</v>
      </c>
      <c r="L356" t="s">
        <v>17</v>
      </c>
      <c r="M356" t="s">
        <v>18</v>
      </c>
      <c r="N356" s="2">
        <f>IFERROR(NHS_A_E[[#This Row],[T1_Over4hrs]]/NHS_A_E[[#This Row],[T1_Attendances]], 0)</f>
        <v>0</v>
      </c>
      <c r="O356">
        <f>NHS_A_E[[#This Row],[T1_Attendances]]+NHS_A_E[[#This Row],[Other_Attendances]]</f>
        <v>209</v>
      </c>
      <c r="P356">
        <f>MATCH(LEFT(A356,FIND("-",A356)-1),{"April","May","June","July","August","September","October","November","December","January","February","March"},0)</f>
        <v>2</v>
      </c>
      <c r="Q356" s="3">
        <f t="shared" si="10"/>
        <v>0</v>
      </c>
      <c r="R356" t="str">
        <f t="shared" si="11"/>
        <v>May</v>
      </c>
    </row>
    <row r="357" spans="1:18" x14ac:dyDescent="0.35">
      <c r="A357" t="s">
        <v>419</v>
      </c>
      <c r="B357" t="s">
        <v>135</v>
      </c>
      <c r="C357" t="s">
        <v>40</v>
      </c>
      <c r="D357" t="s">
        <v>136</v>
      </c>
      <c r="E357">
        <v>0</v>
      </c>
      <c r="F357">
        <v>5526</v>
      </c>
      <c r="G357">
        <v>0</v>
      </c>
      <c r="H357">
        <v>23</v>
      </c>
      <c r="I357">
        <v>0</v>
      </c>
      <c r="J357">
        <v>0</v>
      </c>
      <c r="K357" s="1">
        <v>45778</v>
      </c>
      <c r="L357" t="s">
        <v>17</v>
      </c>
      <c r="M357" t="s">
        <v>18</v>
      </c>
      <c r="N357" s="2">
        <f>IFERROR(NHS_A_E[[#This Row],[T1_Over4hrs]]/NHS_A_E[[#This Row],[T1_Attendances]], 0)</f>
        <v>0</v>
      </c>
      <c r="O357">
        <f>NHS_A_E[[#This Row],[T1_Attendances]]+NHS_A_E[[#This Row],[Other_Attendances]]</f>
        <v>5526</v>
      </c>
      <c r="P357">
        <f>MATCH(LEFT(A357,FIND("-",A357)-1),{"April","May","June","July","August","September","October","November","December","January","February","March"},0)</f>
        <v>2</v>
      </c>
      <c r="Q357" s="3">
        <f t="shared" si="10"/>
        <v>0</v>
      </c>
      <c r="R357" t="str">
        <f t="shared" si="11"/>
        <v>May</v>
      </c>
    </row>
    <row r="358" spans="1:18" x14ac:dyDescent="0.35">
      <c r="A358" t="s">
        <v>419</v>
      </c>
      <c r="B358" t="s">
        <v>422</v>
      </c>
      <c r="C358" t="s">
        <v>20</v>
      </c>
      <c r="D358" t="s">
        <v>423</v>
      </c>
      <c r="E358">
        <v>0</v>
      </c>
      <c r="F358">
        <v>980</v>
      </c>
      <c r="G358">
        <v>0</v>
      </c>
      <c r="H358">
        <v>1</v>
      </c>
      <c r="I358">
        <v>0</v>
      </c>
      <c r="J358">
        <v>0</v>
      </c>
      <c r="K358" s="1">
        <v>45778</v>
      </c>
      <c r="L358" t="s">
        <v>17</v>
      </c>
      <c r="M358" t="s">
        <v>18</v>
      </c>
      <c r="N358" s="2">
        <f>IFERROR(NHS_A_E[[#This Row],[T1_Over4hrs]]/NHS_A_E[[#This Row],[T1_Attendances]], 0)</f>
        <v>0</v>
      </c>
      <c r="O358">
        <f>NHS_A_E[[#This Row],[T1_Attendances]]+NHS_A_E[[#This Row],[Other_Attendances]]</f>
        <v>980</v>
      </c>
      <c r="P358">
        <f>MATCH(LEFT(A358,FIND("-",A358)-1),{"April","May","June","July","August","September","October","November","December","January","February","March"},0)</f>
        <v>2</v>
      </c>
      <c r="Q358" s="3">
        <f t="shared" si="10"/>
        <v>0</v>
      </c>
      <c r="R358" t="str">
        <f t="shared" si="11"/>
        <v>May</v>
      </c>
    </row>
    <row r="359" spans="1:18" x14ac:dyDescent="0.35">
      <c r="A359" t="s">
        <v>419</v>
      </c>
      <c r="B359" t="s">
        <v>261</v>
      </c>
      <c r="C359" t="s">
        <v>15</v>
      </c>
      <c r="D359" t="s">
        <v>262</v>
      </c>
      <c r="E359">
        <v>0</v>
      </c>
      <c r="F359">
        <v>5069</v>
      </c>
      <c r="G359">
        <v>0</v>
      </c>
      <c r="H359">
        <v>0</v>
      </c>
      <c r="I359">
        <v>0</v>
      </c>
      <c r="J359">
        <v>0</v>
      </c>
      <c r="K359" s="1">
        <v>45778</v>
      </c>
      <c r="L359" t="s">
        <v>17</v>
      </c>
      <c r="M359" t="s">
        <v>18</v>
      </c>
      <c r="N359" s="2">
        <f>IFERROR(NHS_A_E[[#This Row],[T1_Over4hrs]]/NHS_A_E[[#This Row],[T1_Attendances]], 0)</f>
        <v>0</v>
      </c>
      <c r="O359">
        <f>NHS_A_E[[#This Row],[T1_Attendances]]+NHS_A_E[[#This Row],[Other_Attendances]]</f>
        <v>5069</v>
      </c>
      <c r="P359">
        <f>MATCH(LEFT(A359,FIND("-",A359)-1),{"April","May","June","July","August","September","October","November","December","January","February","March"},0)</f>
        <v>2</v>
      </c>
      <c r="Q359" s="3">
        <f t="shared" si="10"/>
        <v>0</v>
      </c>
      <c r="R359" t="str">
        <f t="shared" si="11"/>
        <v>May</v>
      </c>
    </row>
    <row r="360" spans="1:18" x14ac:dyDescent="0.35">
      <c r="A360" t="s">
        <v>419</v>
      </c>
      <c r="B360" t="s">
        <v>207</v>
      </c>
      <c r="C360" t="s">
        <v>15</v>
      </c>
      <c r="D360" t="s">
        <v>208</v>
      </c>
      <c r="E360">
        <v>27027</v>
      </c>
      <c r="F360">
        <v>2028</v>
      </c>
      <c r="G360">
        <v>9659</v>
      </c>
      <c r="H360">
        <v>211</v>
      </c>
      <c r="I360">
        <v>720</v>
      </c>
      <c r="J360">
        <v>588</v>
      </c>
      <c r="K360" s="1">
        <v>45778</v>
      </c>
      <c r="L360" t="s">
        <v>17</v>
      </c>
      <c r="M360" t="s">
        <v>18</v>
      </c>
      <c r="N360" s="2">
        <f>IFERROR(NHS_A_E[[#This Row],[T1_Over4hrs]]/NHS_A_E[[#This Row],[T1_Attendances]], 0)</f>
        <v>0.35738335738335736</v>
      </c>
      <c r="O360">
        <f>NHS_A_E[[#This Row],[T1_Attendances]]+NHS_A_E[[#This Row],[Other_Attendances]]</f>
        <v>29055</v>
      </c>
      <c r="P360">
        <f>MATCH(LEFT(A360,FIND("-",A360)-1),{"April","May","June","July","August","September","October","November","December","January","February","March"},0)</f>
        <v>2</v>
      </c>
      <c r="Q360" s="3">
        <f t="shared" si="10"/>
        <v>2.1756021756021756E-2</v>
      </c>
      <c r="R360" t="str">
        <f t="shared" si="11"/>
        <v>May</v>
      </c>
    </row>
    <row r="361" spans="1:18" x14ac:dyDescent="0.35">
      <c r="A361" t="s">
        <v>419</v>
      </c>
      <c r="B361" t="s">
        <v>237</v>
      </c>
      <c r="C361" t="s">
        <v>30</v>
      </c>
      <c r="D361" t="s">
        <v>238</v>
      </c>
      <c r="E361">
        <v>13655</v>
      </c>
      <c r="F361">
        <v>11300</v>
      </c>
      <c r="G361">
        <v>4634</v>
      </c>
      <c r="H361">
        <v>440</v>
      </c>
      <c r="I361">
        <v>532</v>
      </c>
      <c r="J361">
        <v>1119</v>
      </c>
      <c r="K361" s="1">
        <v>45778</v>
      </c>
      <c r="L361" t="s">
        <v>17</v>
      </c>
      <c r="M361" t="s">
        <v>18</v>
      </c>
      <c r="N361" s="2">
        <f>IFERROR(NHS_A_E[[#This Row],[T1_Over4hrs]]/NHS_A_E[[#This Row],[T1_Attendances]], 0)</f>
        <v>0.33936287074331745</v>
      </c>
      <c r="O361">
        <f>NHS_A_E[[#This Row],[T1_Attendances]]+NHS_A_E[[#This Row],[Other_Attendances]]</f>
        <v>24955</v>
      </c>
      <c r="P361">
        <f>MATCH(LEFT(A361,FIND("-",A361)-1),{"April","May","June","July","August","September","October","November","December","January","February","March"},0)</f>
        <v>2</v>
      </c>
      <c r="Q361" s="3">
        <f t="shared" si="10"/>
        <v>8.1948004393994869E-2</v>
      </c>
      <c r="R361" t="str">
        <f t="shared" si="11"/>
        <v>May</v>
      </c>
    </row>
    <row r="362" spans="1:18" x14ac:dyDescent="0.35">
      <c r="A362" t="s">
        <v>419</v>
      </c>
      <c r="B362" t="s">
        <v>119</v>
      </c>
      <c r="C362" t="s">
        <v>15</v>
      </c>
      <c r="D362" t="s">
        <v>120</v>
      </c>
      <c r="E362">
        <v>10764</v>
      </c>
      <c r="F362">
        <v>3107</v>
      </c>
      <c r="G362">
        <v>3303</v>
      </c>
      <c r="H362">
        <v>95</v>
      </c>
      <c r="I362">
        <v>275</v>
      </c>
      <c r="J362">
        <v>252</v>
      </c>
      <c r="K362" s="1">
        <v>45778</v>
      </c>
      <c r="L362" t="s">
        <v>17</v>
      </c>
      <c r="M362" t="s">
        <v>18</v>
      </c>
      <c r="N362" s="2">
        <f>IFERROR(NHS_A_E[[#This Row],[T1_Over4hrs]]/NHS_A_E[[#This Row],[T1_Attendances]], 0)</f>
        <v>0.30685618729096992</v>
      </c>
      <c r="O362">
        <f>NHS_A_E[[#This Row],[T1_Attendances]]+NHS_A_E[[#This Row],[Other_Attendances]]</f>
        <v>13871</v>
      </c>
      <c r="P362">
        <f>MATCH(LEFT(A362,FIND("-",A362)-1),{"April","May","June","July","August","September","October","November","December","January","February","March"},0)</f>
        <v>2</v>
      </c>
      <c r="Q362" s="3">
        <f t="shared" si="10"/>
        <v>2.3411371237458192E-2</v>
      </c>
      <c r="R362" t="str">
        <f t="shared" si="11"/>
        <v>May</v>
      </c>
    </row>
    <row r="363" spans="1:18" x14ac:dyDescent="0.35">
      <c r="A363" t="s">
        <v>419</v>
      </c>
      <c r="B363" t="s">
        <v>195</v>
      </c>
      <c r="C363" t="s">
        <v>30</v>
      </c>
      <c r="D363" t="s">
        <v>196</v>
      </c>
      <c r="E363">
        <v>9115</v>
      </c>
      <c r="F363">
        <v>10342</v>
      </c>
      <c r="G363">
        <v>4185</v>
      </c>
      <c r="H363">
        <v>70</v>
      </c>
      <c r="I363">
        <v>677</v>
      </c>
      <c r="J363">
        <v>367</v>
      </c>
      <c r="K363" s="1">
        <v>45778</v>
      </c>
      <c r="L363" t="s">
        <v>17</v>
      </c>
      <c r="M363" t="s">
        <v>18</v>
      </c>
      <c r="N363" s="2">
        <f>IFERROR(NHS_A_E[[#This Row],[T1_Over4hrs]]/NHS_A_E[[#This Row],[T1_Attendances]], 0)</f>
        <v>0.4591332967635765</v>
      </c>
      <c r="O363">
        <f>NHS_A_E[[#This Row],[T1_Attendances]]+NHS_A_E[[#This Row],[Other_Attendances]]</f>
        <v>19457</v>
      </c>
      <c r="P363">
        <f>MATCH(LEFT(A363,FIND("-",A363)-1),{"April","May","June","July","August","September","October","November","December","January","February","March"},0)</f>
        <v>2</v>
      </c>
      <c r="Q363" s="3">
        <f t="shared" si="10"/>
        <v>4.0263302249040046E-2</v>
      </c>
      <c r="R363" t="str">
        <f t="shared" si="11"/>
        <v>May</v>
      </c>
    </row>
    <row r="364" spans="1:18" x14ac:dyDescent="0.35">
      <c r="A364" t="s">
        <v>419</v>
      </c>
      <c r="B364" t="s">
        <v>193</v>
      </c>
      <c r="C364" t="s">
        <v>63</v>
      </c>
      <c r="D364" t="s">
        <v>194</v>
      </c>
      <c r="E364">
        <v>0</v>
      </c>
      <c r="F364">
        <v>0</v>
      </c>
      <c r="G364">
        <v>0</v>
      </c>
      <c r="H364">
        <v>0</v>
      </c>
      <c r="I364">
        <v>0</v>
      </c>
      <c r="J364">
        <v>0</v>
      </c>
      <c r="K364" s="1">
        <v>45778</v>
      </c>
      <c r="L364" t="s">
        <v>17</v>
      </c>
      <c r="M364" t="s">
        <v>18</v>
      </c>
      <c r="N364" s="2">
        <f>IFERROR(NHS_A_E[[#This Row],[T1_Over4hrs]]/NHS_A_E[[#This Row],[T1_Attendances]], 0)</f>
        <v>0</v>
      </c>
      <c r="O364">
        <f>NHS_A_E[[#This Row],[T1_Attendances]]+NHS_A_E[[#This Row],[Other_Attendances]]</f>
        <v>0</v>
      </c>
      <c r="P364">
        <f>MATCH(LEFT(A364,FIND("-",A364)-1),{"April","May","June","July","August","September","October","November","December","January","February","March"},0)</f>
        <v>2</v>
      </c>
      <c r="Q364" s="3">
        <f t="shared" si="10"/>
        <v>0</v>
      </c>
      <c r="R364" t="str">
        <f t="shared" si="11"/>
        <v>May</v>
      </c>
    </row>
    <row r="365" spans="1:18" x14ac:dyDescent="0.35">
      <c r="A365" t="s">
        <v>419</v>
      </c>
      <c r="B365" t="s">
        <v>377</v>
      </c>
      <c r="C365" t="s">
        <v>63</v>
      </c>
      <c r="D365" t="s">
        <v>378</v>
      </c>
      <c r="E365">
        <v>17183</v>
      </c>
      <c r="F365">
        <v>6434</v>
      </c>
      <c r="G365">
        <v>6363</v>
      </c>
      <c r="H365">
        <v>139</v>
      </c>
      <c r="I365">
        <v>1995</v>
      </c>
      <c r="J365">
        <v>175</v>
      </c>
      <c r="K365" s="1">
        <v>45778</v>
      </c>
      <c r="L365" t="s">
        <v>17</v>
      </c>
      <c r="M365" t="s">
        <v>18</v>
      </c>
      <c r="N365" s="2">
        <f>IFERROR(NHS_A_E[[#This Row],[T1_Over4hrs]]/NHS_A_E[[#This Row],[T1_Attendances]], 0)</f>
        <v>0.37030786242216146</v>
      </c>
      <c r="O365">
        <f>NHS_A_E[[#This Row],[T1_Attendances]]+NHS_A_E[[#This Row],[Other_Attendances]]</f>
        <v>23617</v>
      </c>
      <c r="P365">
        <f>MATCH(LEFT(A365,FIND("-",A365)-1),{"April","May","June","July","August","September","October","November","December","January","February","March"},0)</f>
        <v>2</v>
      </c>
      <c r="Q365" s="3">
        <f t="shared" si="10"/>
        <v>1.0184484665075946E-2</v>
      </c>
      <c r="R365" t="str">
        <f t="shared" si="11"/>
        <v>May</v>
      </c>
    </row>
    <row r="366" spans="1:18" x14ac:dyDescent="0.35">
      <c r="A366" t="s">
        <v>419</v>
      </c>
      <c r="B366" t="s">
        <v>133</v>
      </c>
      <c r="C366" t="s">
        <v>15</v>
      </c>
      <c r="D366" t="s">
        <v>134</v>
      </c>
      <c r="E366">
        <v>0</v>
      </c>
      <c r="F366">
        <v>1662</v>
      </c>
      <c r="G366">
        <v>0</v>
      </c>
      <c r="H366">
        <v>8</v>
      </c>
      <c r="I366">
        <v>0</v>
      </c>
      <c r="J366">
        <v>0</v>
      </c>
      <c r="K366" s="1">
        <v>45778</v>
      </c>
      <c r="L366" t="s">
        <v>17</v>
      </c>
      <c r="M366" t="s">
        <v>18</v>
      </c>
      <c r="N366" s="2">
        <f>IFERROR(NHS_A_E[[#This Row],[T1_Over4hrs]]/NHS_A_E[[#This Row],[T1_Attendances]], 0)</f>
        <v>0</v>
      </c>
      <c r="O366">
        <f>NHS_A_E[[#This Row],[T1_Attendances]]+NHS_A_E[[#This Row],[Other_Attendances]]</f>
        <v>1662</v>
      </c>
      <c r="P366">
        <f>MATCH(LEFT(A366,FIND("-",A366)-1),{"April","May","June","July","August","September","October","November","December","January","February","March"},0)</f>
        <v>2</v>
      </c>
      <c r="Q366" s="3">
        <f t="shared" si="10"/>
        <v>0</v>
      </c>
      <c r="R366" t="str">
        <f t="shared" si="11"/>
        <v>May</v>
      </c>
    </row>
    <row r="367" spans="1:18" x14ac:dyDescent="0.35">
      <c r="A367" t="s">
        <v>419</v>
      </c>
      <c r="B367" t="s">
        <v>409</v>
      </c>
      <c r="C367" t="s">
        <v>15</v>
      </c>
      <c r="D367" t="s">
        <v>410</v>
      </c>
      <c r="E367">
        <v>18728</v>
      </c>
      <c r="F367">
        <v>2370</v>
      </c>
      <c r="G367">
        <v>3906</v>
      </c>
      <c r="H367">
        <v>26</v>
      </c>
      <c r="I367">
        <v>1010</v>
      </c>
      <c r="J367">
        <v>111</v>
      </c>
      <c r="K367" s="1">
        <v>45778</v>
      </c>
      <c r="L367" t="s">
        <v>17</v>
      </c>
      <c r="M367" t="s">
        <v>18</v>
      </c>
      <c r="N367" s="2">
        <f>IFERROR(NHS_A_E[[#This Row],[T1_Over4hrs]]/NHS_A_E[[#This Row],[T1_Attendances]], 0)</f>
        <v>0.20856471593336182</v>
      </c>
      <c r="O367">
        <f>NHS_A_E[[#This Row],[T1_Attendances]]+NHS_A_E[[#This Row],[Other_Attendances]]</f>
        <v>21098</v>
      </c>
      <c r="P367">
        <f>MATCH(LEFT(A367,FIND("-",A367)-1),{"April","May","June","July","August","September","October","November","December","January","February","March"},0)</f>
        <v>2</v>
      </c>
      <c r="Q367" s="3">
        <f t="shared" si="10"/>
        <v>5.9269542930371639E-3</v>
      </c>
      <c r="R367" t="str">
        <f t="shared" si="11"/>
        <v>May</v>
      </c>
    </row>
    <row r="368" spans="1:18" x14ac:dyDescent="0.35">
      <c r="A368" t="s">
        <v>419</v>
      </c>
      <c r="B368" t="s">
        <v>181</v>
      </c>
      <c r="C368" t="s">
        <v>40</v>
      </c>
      <c r="D368" t="s">
        <v>182</v>
      </c>
      <c r="E368">
        <v>22382</v>
      </c>
      <c r="F368">
        <v>0</v>
      </c>
      <c r="G368">
        <v>9216</v>
      </c>
      <c r="H368">
        <v>0</v>
      </c>
      <c r="I368">
        <v>1435</v>
      </c>
      <c r="J368">
        <v>609</v>
      </c>
      <c r="K368" s="1">
        <v>45778</v>
      </c>
      <c r="L368" t="s">
        <v>17</v>
      </c>
      <c r="M368" t="s">
        <v>18</v>
      </c>
      <c r="N368" s="2">
        <f>IFERROR(NHS_A_E[[#This Row],[T1_Over4hrs]]/NHS_A_E[[#This Row],[T1_Attendances]], 0)</f>
        <v>0.41175944955768029</v>
      </c>
      <c r="O368">
        <f>NHS_A_E[[#This Row],[T1_Attendances]]+NHS_A_E[[#This Row],[Other_Attendances]]</f>
        <v>22382</v>
      </c>
      <c r="P368">
        <f>MATCH(LEFT(A368,FIND("-",A368)-1),{"April","May","June","July","August","September","October","November","December","January","February","March"},0)</f>
        <v>2</v>
      </c>
      <c r="Q368" s="3">
        <f t="shared" si="10"/>
        <v>2.7209364668036817E-2</v>
      </c>
      <c r="R368" t="str">
        <f t="shared" si="11"/>
        <v>May</v>
      </c>
    </row>
    <row r="369" spans="1:18" x14ac:dyDescent="0.35">
      <c r="A369" t="s">
        <v>419</v>
      </c>
      <c r="B369" t="s">
        <v>175</v>
      </c>
      <c r="C369" t="s">
        <v>63</v>
      </c>
      <c r="D369" t="s">
        <v>176</v>
      </c>
      <c r="E369">
        <v>4893</v>
      </c>
      <c r="F369">
        <v>11483</v>
      </c>
      <c r="G369">
        <v>2330</v>
      </c>
      <c r="H369">
        <v>18</v>
      </c>
      <c r="I369">
        <v>161</v>
      </c>
      <c r="J369">
        <v>1</v>
      </c>
      <c r="K369" s="1">
        <v>45778</v>
      </c>
      <c r="L369" t="s">
        <v>17</v>
      </c>
      <c r="M369" t="s">
        <v>18</v>
      </c>
      <c r="N369" s="2">
        <f>IFERROR(NHS_A_E[[#This Row],[T1_Over4hrs]]/NHS_A_E[[#This Row],[T1_Attendances]], 0)</f>
        <v>0.47619047619047616</v>
      </c>
      <c r="O369">
        <f>NHS_A_E[[#This Row],[T1_Attendances]]+NHS_A_E[[#This Row],[Other_Attendances]]</f>
        <v>16376</v>
      </c>
      <c r="P369">
        <f>MATCH(LEFT(A369,FIND("-",A369)-1),{"April","May","June","July","August","September","October","November","December","January","February","March"},0)</f>
        <v>2</v>
      </c>
      <c r="Q369" s="3">
        <f t="shared" si="10"/>
        <v>2.0437359493153485E-4</v>
      </c>
      <c r="R369" t="str">
        <f t="shared" si="11"/>
        <v>May</v>
      </c>
    </row>
    <row r="370" spans="1:18" x14ac:dyDescent="0.35">
      <c r="A370" t="s">
        <v>419</v>
      </c>
      <c r="B370" t="s">
        <v>123</v>
      </c>
      <c r="C370" t="s">
        <v>15</v>
      </c>
      <c r="D370" t="s">
        <v>124</v>
      </c>
      <c r="E370">
        <v>12541</v>
      </c>
      <c r="F370">
        <v>13343</v>
      </c>
      <c r="G370">
        <v>5695</v>
      </c>
      <c r="H370">
        <v>358</v>
      </c>
      <c r="I370">
        <v>452</v>
      </c>
      <c r="J370">
        <v>1210</v>
      </c>
      <c r="K370" s="1">
        <v>45778</v>
      </c>
      <c r="L370" t="s">
        <v>17</v>
      </c>
      <c r="M370" t="s">
        <v>18</v>
      </c>
      <c r="N370" s="2">
        <f>IFERROR(NHS_A_E[[#This Row],[T1_Over4hrs]]/NHS_A_E[[#This Row],[T1_Attendances]], 0)</f>
        <v>0.45411051750259152</v>
      </c>
      <c r="O370">
        <f>NHS_A_E[[#This Row],[T1_Attendances]]+NHS_A_E[[#This Row],[Other_Attendances]]</f>
        <v>25884</v>
      </c>
      <c r="P370">
        <f>MATCH(LEFT(A370,FIND("-",A370)-1),{"April","May","June","July","August","September","October","November","December","January","February","March"},0)</f>
        <v>2</v>
      </c>
      <c r="Q370" s="3">
        <f t="shared" si="10"/>
        <v>9.6483534008452276E-2</v>
      </c>
      <c r="R370" t="str">
        <f t="shared" si="11"/>
        <v>May</v>
      </c>
    </row>
    <row r="371" spans="1:18" x14ac:dyDescent="0.35">
      <c r="A371" t="s">
        <v>419</v>
      </c>
      <c r="B371" t="s">
        <v>169</v>
      </c>
      <c r="C371" t="s">
        <v>20</v>
      </c>
      <c r="D371" t="s">
        <v>170</v>
      </c>
      <c r="E371">
        <v>9454</v>
      </c>
      <c r="F371">
        <v>0</v>
      </c>
      <c r="G371">
        <v>3458</v>
      </c>
      <c r="H371">
        <v>0</v>
      </c>
      <c r="I371">
        <v>603</v>
      </c>
      <c r="J371">
        <v>366</v>
      </c>
      <c r="K371" s="1">
        <v>45778</v>
      </c>
      <c r="L371" t="s">
        <v>17</v>
      </c>
      <c r="M371" t="s">
        <v>18</v>
      </c>
      <c r="N371" s="2">
        <f>IFERROR(NHS_A_E[[#This Row],[T1_Over4hrs]]/NHS_A_E[[#This Row],[T1_Attendances]], 0)</f>
        <v>0.36577110217897185</v>
      </c>
      <c r="O371">
        <f>NHS_A_E[[#This Row],[T1_Attendances]]+NHS_A_E[[#This Row],[Other_Attendances]]</f>
        <v>9454</v>
      </c>
      <c r="P371">
        <f>MATCH(LEFT(A371,FIND("-",A371)-1),{"April","May","June","July","August","September","October","November","December","January","February","March"},0)</f>
        <v>2</v>
      </c>
      <c r="Q371" s="3">
        <f t="shared" si="10"/>
        <v>3.8713771948381638E-2</v>
      </c>
      <c r="R371" t="str">
        <f t="shared" si="11"/>
        <v>May</v>
      </c>
    </row>
    <row r="372" spans="1:18" x14ac:dyDescent="0.35">
      <c r="A372" t="s">
        <v>419</v>
      </c>
      <c r="B372" t="s">
        <v>263</v>
      </c>
      <c r="C372" t="s">
        <v>35</v>
      </c>
      <c r="D372" t="s">
        <v>264</v>
      </c>
      <c r="E372">
        <v>0</v>
      </c>
      <c r="F372">
        <v>2788</v>
      </c>
      <c r="G372">
        <v>0</v>
      </c>
      <c r="H372">
        <v>34</v>
      </c>
      <c r="I372">
        <v>0</v>
      </c>
      <c r="J372">
        <v>0</v>
      </c>
      <c r="K372" s="1">
        <v>45778</v>
      </c>
      <c r="L372" t="s">
        <v>17</v>
      </c>
      <c r="M372" t="s">
        <v>18</v>
      </c>
      <c r="N372" s="2">
        <f>IFERROR(NHS_A_E[[#This Row],[T1_Over4hrs]]/NHS_A_E[[#This Row],[T1_Attendances]], 0)</f>
        <v>0</v>
      </c>
      <c r="O372">
        <f>NHS_A_E[[#This Row],[T1_Attendances]]+NHS_A_E[[#This Row],[Other_Attendances]]</f>
        <v>2788</v>
      </c>
      <c r="P372">
        <f>MATCH(LEFT(A372,FIND("-",A372)-1),{"April","May","June","July","August","September","October","November","December","January","February","March"},0)</f>
        <v>2</v>
      </c>
      <c r="Q372" s="3">
        <f t="shared" si="10"/>
        <v>0</v>
      </c>
      <c r="R372" t="str">
        <f t="shared" si="11"/>
        <v>May</v>
      </c>
    </row>
    <row r="373" spans="1:18" x14ac:dyDescent="0.35">
      <c r="A373" t="s">
        <v>419</v>
      </c>
      <c r="B373" t="s">
        <v>424</v>
      </c>
      <c r="C373" t="s">
        <v>20</v>
      </c>
      <c r="D373" t="s">
        <v>425</v>
      </c>
      <c r="E373">
        <v>0</v>
      </c>
      <c r="F373">
        <v>1761</v>
      </c>
      <c r="G373">
        <v>0</v>
      </c>
      <c r="H373">
        <v>20</v>
      </c>
      <c r="I373">
        <v>0</v>
      </c>
      <c r="J373">
        <v>0</v>
      </c>
      <c r="K373" s="1">
        <v>45778</v>
      </c>
      <c r="L373" t="s">
        <v>17</v>
      </c>
      <c r="M373" t="s">
        <v>18</v>
      </c>
      <c r="N373" s="2">
        <f>IFERROR(NHS_A_E[[#This Row],[T1_Over4hrs]]/NHS_A_E[[#This Row],[T1_Attendances]], 0)</f>
        <v>0</v>
      </c>
      <c r="O373">
        <f>NHS_A_E[[#This Row],[T1_Attendances]]+NHS_A_E[[#This Row],[Other_Attendances]]</f>
        <v>1761</v>
      </c>
      <c r="P373">
        <f>MATCH(LEFT(A373,FIND("-",A373)-1),{"April","May","June","July","August","September","October","November","December","January","February","March"},0)</f>
        <v>2</v>
      </c>
      <c r="Q373" s="3">
        <f t="shared" si="10"/>
        <v>0</v>
      </c>
      <c r="R373" t="str">
        <f t="shared" si="11"/>
        <v>May</v>
      </c>
    </row>
    <row r="374" spans="1:18" x14ac:dyDescent="0.35">
      <c r="A374" t="s">
        <v>419</v>
      </c>
      <c r="B374" t="s">
        <v>117</v>
      </c>
      <c r="C374" t="s">
        <v>15</v>
      </c>
      <c r="D374" t="s">
        <v>118</v>
      </c>
      <c r="E374">
        <v>6751</v>
      </c>
      <c r="F374">
        <v>1863</v>
      </c>
      <c r="G374">
        <v>2154</v>
      </c>
      <c r="H374">
        <v>0</v>
      </c>
      <c r="I374">
        <v>372</v>
      </c>
      <c r="J374">
        <v>12</v>
      </c>
      <c r="K374" s="1">
        <v>45778</v>
      </c>
      <c r="L374" t="s">
        <v>17</v>
      </c>
      <c r="M374" t="s">
        <v>18</v>
      </c>
      <c r="N374" s="2">
        <f>IFERROR(NHS_A_E[[#This Row],[T1_Over4hrs]]/NHS_A_E[[#This Row],[T1_Attendances]], 0)</f>
        <v>0.31906384239371943</v>
      </c>
      <c r="O374">
        <f>NHS_A_E[[#This Row],[T1_Attendances]]+NHS_A_E[[#This Row],[Other_Attendances]]</f>
        <v>8614</v>
      </c>
      <c r="P374">
        <f>MATCH(LEFT(A374,FIND("-",A374)-1),{"April","May","June","July","August","September","October","November","December","January","February","March"},0)</f>
        <v>2</v>
      </c>
      <c r="Q374" s="3">
        <f t="shared" si="10"/>
        <v>1.7775144423048438E-3</v>
      </c>
      <c r="R374" t="str">
        <f t="shared" si="11"/>
        <v>May</v>
      </c>
    </row>
    <row r="375" spans="1:18" x14ac:dyDescent="0.35">
      <c r="A375" t="s">
        <v>419</v>
      </c>
      <c r="B375" t="s">
        <v>329</v>
      </c>
      <c r="C375" t="s">
        <v>40</v>
      </c>
      <c r="D375" t="s">
        <v>330</v>
      </c>
      <c r="E375">
        <v>0</v>
      </c>
      <c r="F375">
        <v>3404</v>
      </c>
      <c r="G375">
        <v>0</v>
      </c>
      <c r="H375">
        <v>776</v>
      </c>
      <c r="I375">
        <v>0</v>
      </c>
      <c r="J375">
        <v>0</v>
      </c>
      <c r="K375" s="1">
        <v>45778</v>
      </c>
      <c r="L375" t="s">
        <v>17</v>
      </c>
      <c r="M375" t="s">
        <v>18</v>
      </c>
      <c r="N375" s="2">
        <f>IFERROR(NHS_A_E[[#This Row],[T1_Over4hrs]]/NHS_A_E[[#This Row],[T1_Attendances]], 0)</f>
        <v>0</v>
      </c>
      <c r="O375">
        <f>NHS_A_E[[#This Row],[T1_Attendances]]+NHS_A_E[[#This Row],[Other_Attendances]]</f>
        <v>3404</v>
      </c>
      <c r="P375">
        <f>MATCH(LEFT(A375,FIND("-",A375)-1),{"April","May","June","July","August","September","October","November","December","January","February","March"},0)</f>
        <v>2</v>
      </c>
      <c r="Q375" s="3">
        <f t="shared" si="10"/>
        <v>0</v>
      </c>
      <c r="R375" t="str">
        <f t="shared" si="11"/>
        <v>May</v>
      </c>
    </row>
    <row r="376" spans="1:18" x14ac:dyDescent="0.35">
      <c r="A376" t="s">
        <v>419</v>
      </c>
      <c r="B376" t="s">
        <v>345</v>
      </c>
      <c r="C376" t="s">
        <v>23</v>
      </c>
      <c r="D376" t="s">
        <v>346</v>
      </c>
      <c r="E376">
        <v>16670</v>
      </c>
      <c r="F376">
        <v>8159</v>
      </c>
      <c r="G376">
        <v>6174</v>
      </c>
      <c r="H376">
        <v>0</v>
      </c>
      <c r="I376">
        <v>82</v>
      </c>
      <c r="J376">
        <v>5</v>
      </c>
      <c r="K376" s="1">
        <v>45778</v>
      </c>
      <c r="L376" t="s">
        <v>17</v>
      </c>
      <c r="M376" t="s">
        <v>18</v>
      </c>
      <c r="N376" s="2">
        <f>IFERROR(NHS_A_E[[#This Row],[T1_Over4hrs]]/NHS_A_E[[#This Row],[T1_Attendances]], 0)</f>
        <v>0.37036592681463709</v>
      </c>
      <c r="O376">
        <f>NHS_A_E[[#This Row],[T1_Attendances]]+NHS_A_E[[#This Row],[Other_Attendances]]</f>
        <v>24829</v>
      </c>
      <c r="P376">
        <f>MATCH(LEFT(A376,FIND("-",A376)-1),{"April","May","June","July","August","September","October","November","December","January","February","March"},0)</f>
        <v>2</v>
      </c>
      <c r="Q376" s="3">
        <f t="shared" si="10"/>
        <v>2.9994001199760045E-4</v>
      </c>
      <c r="R376" t="str">
        <f t="shared" si="11"/>
        <v>May</v>
      </c>
    </row>
    <row r="377" spans="1:18" x14ac:dyDescent="0.35">
      <c r="A377" t="s">
        <v>419</v>
      </c>
      <c r="B377" t="s">
        <v>89</v>
      </c>
      <c r="C377" t="s">
        <v>35</v>
      </c>
      <c r="D377" t="s">
        <v>90</v>
      </c>
      <c r="E377">
        <v>25947</v>
      </c>
      <c r="F377">
        <v>16664</v>
      </c>
      <c r="G377">
        <v>9265</v>
      </c>
      <c r="H377">
        <v>774</v>
      </c>
      <c r="I377">
        <v>1234</v>
      </c>
      <c r="J377">
        <v>1606</v>
      </c>
      <c r="K377" s="1">
        <v>45778</v>
      </c>
      <c r="L377" t="s">
        <v>17</v>
      </c>
      <c r="M377" t="s">
        <v>18</v>
      </c>
      <c r="N377" s="2">
        <f>IFERROR(NHS_A_E[[#This Row],[T1_Over4hrs]]/NHS_A_E[[#This Row],[T1_Attendances]], 0)</f>
        <v>0.3570740355339731</v>
      </c>
      <c r="O377">
        <f>NHS_A_E[[#This Row],[T1_Attendances]]+NHS_A_E[[#This Row],[Other_Attendances]]</f>
        <v>42611</v>
      </c>
      <c r="P377">
        <f>MATCH(LEFT(A377,FIND("-",A377)-1),{"April","May","June","July","August","September","October","November","December","January","February","March"},0)</f>
        <v>2</v>
      </c>
      <c r="Q377" s="3">
        <f t="shared" si="10"/>
        <v>6.1895402165953677E-2</v>
      </c>
      <c r="R377" t="str">
        <f t="shared" si="11"/>
        <v>May</v>
      </c>
    </row>
    <row r="378" spans="1:18" x14ac:dyDescent="0.35">
      <c r="A378" t="s">
        <v>419</v>
      </c>
      <c r="B378" t="s">
        <v>203</v>
      </c>
      <c r="C378" t="s">
        <v>40</v>
      </c>
      <c r="D378" t="s">
        <v>204</v>
      </c>
      <c r="E378">
        <v>0</v>
      </c>
      <c r="F378">
        <v>0</v>
      </c>
      <c r="G378">
        <v>0</v>
      </c>
      <c r="H378">
        <v>0</v>
      </c>
      <c r="I378">
        <v>0</v>
      </c>
      <c r="J378">
        <v>0</v>
      </c>
      <c r="K378" s="1">
        <v>45778</v>
      </c>
      <c r="L378" t="s">
        <v>17</v>
      </c>
      <c r="M378" t="s">
        <v>18</v>
      </c>
      <c r="N378" s="2">
        <f>IFERROR(NHS_A_E[[#This Row],[T1_Over4hrs]]/NHS_A_E[[#This Row],[T1_Attendances]], 0)</f>
        <v>0</v>
      </c>
      <c r="O378">
        <f>NHS_A_E[[#This Row],[T1_Attendances]]+NHS_A_E[[#This Row],[Other_Attendances]]</f>
        <v>0</v>
      </c>
      <c r="P378">
        <f>MATCH(LEFT(A378,FIND("-",A378)-1),{"April","May","June","July","August","September","October","November","December","January","February","March"},0)</f>
        <v>2</v>
      </c>
      <c r="Q378" s="3">
        <f t="shared" si="10"/>
        <v>0</v>
      </c>
      <c r="R378" t="str">
        <f t="shared" si="11"/>
        <v>May</v>
      </c>
    </row>
    <row r="379" spans="1:18" x14ac:dyDescent="0.35">
      <c r="A379" t="s">
        <v>419</v>
      </c>
      <c r="B379" t="s">
        <v>367</v>
      </c>
      <c r="C379" t="s">
        <v>23</v>
      </c>
      <c r="D379" t="s">
        <v>368</v>
      </c>
      <c r="E379">
        <v>0</v>
      </c>
      <c r="F379">
        <v>1194</v>
      </c>
      <c r="G379">
        <v>0</v>
      </c>
      <c r="H379">
        <v>91</v>
      </c>
      <c r="I379">
        <v>0</v>
      </c>
      <c r="J379">
        <v>0</v>
      </c>
      <c r="K379" s="1">
        <v>45778</v>
      </c>
      <c r="L379" t="s">
        <v>17</v>
      </c>
      <c r="M379" t="s">
        <v>18</v>
      </c>
      <c r="N379" s="2">
        <f>IFERROR(NHS_A_E[[#This Row],[T1_Over4hrs]]/NHS_A_E[[#This Row],[T1_Attendances]], 0)</f>
        <v>0</v>
      </c>
      <c r="O379">
        <f>NHS_A_E[[#This Row],[T1_Attendances]]+NHS_A_E[[#This Row],[Other_Attendances]]</f>
        <v>1194</v>
      </c>
      <c r="P379">
        <f>MATCH(LEFT(A379,FIND("-",A379)-1),{"April","May","June","July","August","September","October","November","December","January","February","March"},0)</f>
        <v>2</v>
      </c>
      <c r="Q379" s="3">
        <f t="shared" si="10"/>
        <v>0</v>
      </c>
      <c r="R379" t="str">
        <f t="shared" si="11"/>
        <v>May</v>
      </c>
    </row>
    <row r="380" spans="1:18" x14ac:dyDescent="0.35">
      <c r="A380" t="s">
        <v>419</v>
      </c>
      <c r="B380" t="s">
        <v>199</v>
      </c>
      <c r="C380" t="s">
        <v>40</v>
      </c>
      <c r="D380" t="s">
        <v>200</v>
      </c>
      <c r="E380">
        <v>11139</v>
      </c>
      <c r="F380">
        <v>2719</v>
      </c>
      <c r="G380">
        <v>6432</v>
      </c>
      <c r="H380">
        <v>567</v>
      </c>
      <c r="I380">
        <v>488</v>
      </c>
      <c r="J380">
        <v>1379</v>
      </c>
      <c r="K380" s="1">
        <v>45778</v>
      </c>
      <c r="L380" t="s">
        <v>17</v>
      </c>
      <c r="M380" t="s">
        <v>18</v>
      </c>
      <c r="N380" s="2">
        <f>IFERROR(NHS_A_E[[#This Row],[T1_Over4hrs]]/NHS_A_E[[#This Row],[T1_Attendances]], 0)</f>
        <v>0.57743064907083219</v>
      </c>
      <c r="O380">
        <f>NHS_A_E[[#This Row],[T1_Attendances]]+NHS_A_E[[#This Row],[Other_Attendances]]</f>
        <v>13858</v>
      </c>
      <c r="P380">
        <f>MATCH(LEFT(A380,FIND("-",A380)-1),{"April","May","June","July","August","September","October","November","December","January","February","March"},0)</f>
        <v>2</v>
      </c>
      <c r="Q380" s="3">
        <f t="shared" si="10"/>
        <v>0.12379926384774216</v>
      </c>
      <c r="R380" t="str">
        <f t="shared" si="11"/>
        <v>May</v>
      </c>
    </row>
    <row r="381" spans="1:18" x14ac:dyDescent="0.35">
      <c r="A381" t="s">
        <v>419</v>
      </c>
      <c r="B381" t="s">
        <v>189</v>
      </c>
      <c r="C381" t="s">
        <v>30</v>
      </c>
      <c r="D381" t="s">
        <v>190</v>
      </c>
      <c r="E381">
        <v>7196</v>
      </c>
      <c r="F381">
        <v>3319</v>
      </c>
      <c r="G381">
        <v>3702</v>
      </c>
      <c r="H381">
        <v>45</v>
      </c>
      <c r="I381">
        <v>804</v>
      </c>
      <c r="J381">
        <v>760</v>
      </c>
      <c r="K381" s="1">
        <v>45778</v>
      </c>
      <c r="L381" t="s">
        <v>17</v>
      </c>
      <c r="M381" t="s">
        <v>18</v>
      </c>
      <c r="N381" s="2">
        <f>IFERROR(NHS_A_E[[#This Row],[T1_Over4hrs]]/NHS_A_E[[#This Row],[T1_Attendances]], 0)</f>
        <v>0.51445247359644242</v>
      </c>
      <c r="O381">
        <f>NHS_A_E[[#This Row],[T1_Attendances]]+NHS_A_E[[#This Row],[Other_Attendances]]</f>
        <v>10515</v>
      </c>
      <c r="P381">
        <f>MATCH(LEFT(A381,FIND("-",A381)-1),{"April","May","June","July","August","September","October","November","December","January","February","March"},0)</f>
        <v>2</v>
      </c>
      <c r="Q381" s="3">
        <f t="shared" si="10"/>
        <v>0.1056142301278488</v>
      </c>
      <c r="R381" t="str">
        <f t="shared" si="11"/>
        <v>May</v>
      </c>
    </row>
    <row r="382" spans="1:18" x14ac:dyDescent="0.35">
      <c r="A382" t="s">
        <v>419</v>
      </c>
      <c r="B382" t="s">
        <v>183</v>
      </c>
      <c r="C382" t="s">
        <v>23</v>
      </c>
      <c r="D382" t="s">
        <v>184</v>
      </c>
      <c r="E382">
        <v>8361</v>
      </c>
      <c r="F382">
        <v>7948</v>
      </c>
      <c r="G382">
        <v>2756</v>
      </c>
      <c r="H382">
        <v>33</v>
      </c>
      <c r="I382">
        <v>762</v>
      </c>
      <c r="J382">
        <v>30</v>
      </c>
      <c r="K382" s="1">
        <v>45778</v>
      </c>
      <c r="L382" t="s">
        <v>17</v>
      </c>
      <c r="M382" t="s">
        <v>18</v>
      </c>
      <c r="N382" s="2">
        <f>IFERROR(NHS_A_E[[#This Row],[T1_Over4hrs]]/NHS_A_E[[#This Row],[T1_Attendances]], 0)</f>
        <v>0.32962564286568591</v>
      </c>
      <c r="O382">
        <f>NHS_A_E[[#This Row],[T1_Attendances]]+NHS_A_E[[#This Row],[Other_Attendances]]</f>
        <v>16309</v>
      </c>
      <c r="P382">
        <f>MATCH(LEFT(A382,FIND("-",A382)-1),{"April","May","June","July","August","September","October","November","December","January","February","March"},0)</f>
        <v>2</v>
      </c>
      <c r="Q382" s="3">
        <f t="shared" si="10"/>
        <v>3.5880875493362039E-3</v>
      </c>
      <c r="R382" t="str">
        <f t="shared" si="11"/>
        <v>May</v>
      </c>
    </row>
    <row r="383" spans="1:18" x14ac:dyDescent="0.35">
      <c r="A383" t="s">
        <v>419</v>
      </c>
      <c r="B383" t="s">
        <v>179</v>
      </c>
      <c r="C383" t="s">
        <v>40</v>
      </c>
      <c r="D383" t="s">
        <v>180</v>
      </c>
      <c r="E383">
        <v>17298</v>
      </c>
      <c r="F383">
        <v>3864</v>
      </c>
      <c r="G383">
        <v>6855</v>
      </c>
      <c r="H383">
        <v>350</v>
      </c>
      <c r="I383">
        <v>1075</v>
      </c>
      <c r="J383">
        <v>942</v>
      </c>
      <c r="K383" s="1">
        <v>45778</v>
      </c>
      <c r="L383" t="s">
        <v>17</v>
      </c>
      <c r="M383" t="s">
        <v>18</v>
      </c>
      <c r="N383" s="2">
        <f>IFERROR(NHS_A_E[[#This Row],[T1_Over4hrs]]/NHS_A_E[[#This Row],[T1_Attendances]], 0)</f>
        <v>0.39628858827610131</v>
      </c>
      <c r="O383">
        <f>NHS_A_E[[#This Row],[T1_Attendances]]+NHS_A_E[[#This Row],[Other_Attendances]]</f>
        <v>21162</v>
      </c>
      <c r="P383">
        <f>MATCH(LEFT(A383,FIND("-",A383)-1),{"April","May","June","July","August","September","October","November","December","January","February","March"},0)</f>
        <v>2</v>
      </c>
      <c r="Q383" s="3">
        <f t="shared" si="10"/>
        <v>5.4457162677766215E-2</v>
      </c>
      <c r="R383" t="str">
        <f t="shared" si="11"/>
        <v>May</v>
      </c>
    </row>
    <row r="384" spans="1:18" x14ac:dyDescent="0.35">
      <c r="A384" t="s">
        <v>419</v>
      </c>
      <c r="B384" t="s">
        <v>131</v>
      </c>
      <c r="C384" t="s">
        <v>40</v>
      </c>
      <c r="D384" t="s">
        <v>132</v>
      </c>
      <c r="E384">
        <v>18783</v>
      </c>
      <c r="F384">
        <v>9789</v>
      </c>
      <c r="G384">
        <v>8654</v>
      </c>
      <c r="H384">
        <v>3</v>
      </c>
      <c r="I384">
        <v>1123</v>
      </c>
      <c r="J384">
        <v>850</v>
      </c>
      <c r="K384" s="1">
        <v>45778</v>
      </c>
      <c r="L384" t="s">
        <v>17</v>
      </c>
      <c r="M384" t="s">
        <v>18</v>
      </c>
      <c r="N384" s="2">
        <f>IFERROR(NHS_A_E[[#This Row],[T1_Over4hrs]]/NHS_A_E[[#This Row],[T1_Attendances]], 0)</f>
        <v>0.46073577170845975</v>
      </c>
      <c r="O384">
        <f>NHS_A_E[[#This Row],[T1_Attendances]]+NHS_A_E[[#This Row],[Other_Attendances]]</f>
        <v>28572</v>
      </c>
      <c r="P384">
        <f>MATCH(LEFT(A384,FIND("-",A384)-1),{"April","May","June","July","August","September","October","November","December","January","February","March"},0)</f>
        <v>2</v>
      </c>
      <c r="Q384" s="3">
        <f t="shared" si="10"/>
        <v>4.5253686844487037E-2</v>
      </c>
      <c r="R384" t="str">
        <f t="shared" si="11"/>
        <v>May</v>
      </c>
    </row>
    <row r="385" spans="1:18" x14ac:dyDescent="0.35">
      <c r="A385" t="s">
        <v>419</v>
      </c>
      <c r="B385" t="s">
        <v>69</v>
      </c>
      <c r="C385" t="s">
        <v>20</v>
      </c>
      <c r="D385" t="s">
        <v>70</v>
      </c>
      <c r="E385">
        <v>13825</v>
      </c>
      <c r="F385">
        <v>0</v>
      </c>
      <c r="G385">
        <v>5194</v>
      </c>
      <c r="H385">
        <v>0</v>
      </c>
      <c r="I385">
        <v>451</v>
      </c>
      <c r="J385">
        <v>395</v>
      </c>
      <c r="K385" s="1">
        <v>45778</v>
      </c>
      <c r="L385" t="s">
        <v>17</v>
      </c>
      <c r="M385" t="s">
        <v>18</v>
      </c>
      <c r="N385" s="2">
        <f>IFERROR(NHS_A_E[[#This Row],[T1_Over4hrs]]/NHS_A_E[[#This Row],[T1_Attendances]], 0)</f>
        <v>0.3756962025316456</v>
      </c>
      <c r="O385">
        <f>NHS_A_E[[#This Row],[T1_Attendances]]+NHS_A_E[[#This Row],[Other_Attendances]]</f>
        <v>13825</v>
      </c>
      <c r="P385">
        <f>MATCH(LEFT(A385,FIND("-",A385)-1),{"April","May","June","July","August","September","October","November","December","January","February","March"},0)</f>
        <v>2</v>
      </c>
      <c r="Q385" s="3">
        <f t="shared" si="10"/>
        <v>2.8571428571428571E-2</v>
      </c>
      <c r="R385" t="str">
        <f t="shared" si="11"/>
        <v>May</v>
      </c>
    </row>
    <row r="386" spans="1:18" x14ac:dyDescent="0.35">
      <c r="A386" t="s">
        <v>419</v>
      </c>
      <c r="B386" t="s">
        <v>157</v>
      </c>
      <c r="C386" t="s">
        <v>40</v>
      </c>
      <c r="D386" t="s">
        <v>158</v>
      </c>
      <c r="E386">
        <v>35801</v>
      </c>
      <c r="F386">
        <v>1955</v>
      </c>
      <c r="G386">
        <v>14957</v>
      </c>
      <c r="H386">
        <v>134</v>
      </c>
      <c r="I386">
        <v>2720</v>
      </c>
      <c r="J386">
        <v>1863</v>
      </c>
      <c r="K386" s="1">
        <v>45778</v>
      </c>
      <c r="L386" t="s">
        <v>17</v>
      </c>
      <c r="M386" t="s">
        <v>18</v>
      </c>
      <c r="N386" s="2">
        <f>IFERROR(NHS_A_E[[#This Row],[T1_Over4hrs]]/NHS_A_E[[#This Row],[T1_Attendances]], 0)</f>
        <v>0.41778162621155834</v>
      </c>
      <c r="O386">
        <f>NHS_A_E[[#This Row],[T1_Attendances]]+NHS_A_E[[#This Row],[Other_Attendances]]</f>
        <v>37756</v>
      </c>
      <c r="P386">
        <f>MATCH(LEFT(A386,FIND("-",A386)-1),{"April","May","June","July","August","September","October","November","December","January","February","March"},0)</f>
        <v>2</v>
      </c>
      <c r="Q386" s="3">
        <f t="shared" ref="Q386:Q449" si="12">IFERROR(J386/E386,0)</f>
        <v>5.2037652579536887E-2</v>
      </c>
      <c r="R386" t="str">
        <f t="shared" ref="R386:R449" si="13">TEXT(A386, "mmmm")</f>
        <v>May</v>
      </c>
    </row>
    <row r="387" spans="1:18" x14ac:dyDescent="0.35">
      <c r="A387" t="s">
        <v>419</v>
      </c>
      <c r="B387" t="s">
        <v>62</v>
      </c>
      <c r="C387" t="s">
        <v>63</v>
      </c>
      <c r="D387" t="s">
        <v>64</v>
      </c>
      <c r="E387">
        <v>18042</v>
      </c>
      <c r="F387">
        <v>12282</v>
      </c>
      <c r="G387">
        <v>7129</v>
      </c>
      <c r="H387">
        <v>236</v>
      </c>
      <c r="I387">
        <v>1663</v>
      </c>
      <c r="J387">
        <v>331</v>
      </c>
      <c r="K387" s="1">
        <v>45778</v>
      </c>
      <c r="L387" t="s">
        <v>17</v>
      </c>
      <c r="M387" t="s">
        <v>18</v>
      </c>
      <c r="N387" s="2">
        <f>IFERROR(NHS_A_E[[#This Row],[T1_Over4hrs]]/NHS_A_E[[#This Row],[T1_Attendances]], 0)</f>
        <v>0.39513357720873515</v>
      </c>
      <c r="O387">
        <f>NHS_A_E[[#This Row],[T1_Attendances]]+NHS_A_E[[#This Row],[Other_Attendances]]</f>
        <v>30324</v>
      </c>
      <c r="P387">
        <f>MATCH(LEFT(A387,FIND("-",A387)-1),{"April","May","June","July","August","September","October","November","December","January","February","March"},0)</f>
        <v>2</v>
      </c>
      <c r="Q387" s="3">
        <f t="shared" si="12"/>
        <v>1.834608136570225E-2</v>
      </c>
      <c r="R387" t="str">
        <f t="shared" si="13"/>
        <v>May</v>
      </c>
    </row>
    <row r="388" spans="1:18" x14ac:dyDescent="0.35">
      <c r="A388" t="s">
        <v>419</v>
      </c>
      <c r="B388" t="s">
        <v>267</v>
      </c>
      <c r="C388" t="s">
        <v>15</v>
      </c>
      <c r="D388" t="s">
        <v>268</v>
      </c>
      <c r="E388">
        <v>0</v>
      </c>
      <c r="F388">
        <v>9707</v>
      </c>
      <c r="G388">
        <v>0</v>
      </c>
      <c r="H388">
        <v>26</v>
      </c>
      <c r="I388">
        <v>0</v>
      </c>
      <c r="J388">
        <v>0</v>
      </c>
      <c r="K388" s="1">
        <v>45778</v>
      </c>
      <c r="L388" t="s">
        <v>17</v>
      </c>
      <c r="M388" t="s">
        <v>18</v>
      </c>
      <c r="N388" s="2">
        <f>IFERROR(NHS_A_E[[#This Row],[T1_Over4hrs]]/NHS_A_E[[#This Row],[T1_Attendances]], 0)</f>
        <v>0</v>
      </c>
      <c r="O388">
        <f>NHS_A_E[[#This Row],[T1_Attendances]]+NHS_A_E[[#This Row],[Other_Attendances]]</f>
        <v>9707</v>
      </c>
      <c r="P388">
        <f>MATCH(LEFT(A388,FIND("-",A388)-1),{"April","May","June","July","August","September","October","November","December","January","February","March"},0)</f>
        <v>2</v>
      </c>
      <c r="Q388" s="3">
        <f t="shared" si="12"/>
        <v>0</v>
      </c>
      <c r="R388" t="str">
        <f t="shared" si="13"/>
        <v>May</v>
      </c>
    </row>
    <row r="389" spans="1:18" x14ac:dyDescent="0.35">
      <c r="A389" t="s">
        <v>419</v>
      </c>
      <c r="B389" t="s">
        <v>60</v>
      </c>
      <c r="C389" t="s">
        <v>35</v>
      </c>
      <c r="D389" t="s">
        <v>61</v>
      </c>
      <c r="E389">
        <v>20275</v>
      </c>
      <c r="F389">
        <v>6380</v>
      </c>
      <c r="G389">
        <v>5543</v>
      </c>
      <c r="H389">
        <v>65</v>
      </c>
      <c r="I389">
        <v>733</v>
      </c>
      <c r="J389">
        <v>55</v>
      </c>
      <c r="K389" s="1">
        <v>45778</v>
      </c>
      <c r="L389" t="s">
        <v>17</v>
      </c>
      <c r="M389" t="s">
        <v>18</v>
      </c>
      <c r="N389" s="2">
        <f>IFERROR(NHS_A_E[[#This Row],[T1_Over4hrs]]/NHS_A_E[[#This Row],[T1_Attendances]], 0)</f>
        <v>0.2733908754623921</v>
      </c>
      <c r="O389">
        <f>NHS_A_E[[#This Row],[T1_Attendances]]+NHS_A_E[[#This Row],[Other_Attendances]]</f>
        <v>26655</v>
      </c>
      <c r="P389">
        <f>MATCH(LEFT(A389,FIND("-",A389)-1),{"April","May","June","July","August","September","October","November","December","January","February","March"},0)</f>
        <v>2</v>
      </c>
      <c r="Q389" s="3">
        <f t="shared" si="12"/>
        <v>2.7127003699136867E-3</v>
      </c>
      <c r="R389" t="str">
        <f t="shared" si="13"/>
        <v>May</v>
      </c>
    </row>
    <row r="390" spans="1:18" x14ac:dyDescent="0.35">
      <c r="A390" t="s">
        <v>419</v>
      </c>
      <c r="B390" t="s">
        <v>253</v>
      </c>
      <c r="C390" t="s">
        <v>63</v>
      </c>
      <c r="D390" t="s">
        <v>254</v>
      </c>
      <c r="E390">
        <v>5902</v>
      </c>
      <c r="F390">
        <v>4034</v>
      </c>
      <c r="G390">
        <v>2036</v>
      </c>
      <c r="H390">
        <v>50</v>
      </c>
      <c r="I390">
        <v>459</v>
      </c>
      <c r="J390">
        <v>1</v>
      </c>
      <c r="K390" s="1">
        <v>45778</v>
      </c>
      <c r="L390" t="s">
        <v>17</v>
      </c>
      <c r="M390" t="s">
        <v>18</v>
      </c>
      <c r="N390" s="2">
        <f>IFERROR(NHS_A_E[[#This Row],[T1_Over4hrs]]/NHS_A_E[[#This Row],[T1_Attendances]], 0)</f>
        <v>0.34496780752287359</v>
      </c>
      <c r="O390">
        <f>NHS_A_E[[#This Row],[T1_Attendances]]+NHS_A_E[[#This Row],[Other_Attendances]]</f>
        <v>9936</v>
      </c>
      <c r="P390">
        <f>MATCH(LEFT(A390,FIND("-",A390)-1),{"April","May","June","July","August","September","October","November","December","January","February","March"},0)</f>
        <v>2</v>
      </c>
      <c r="Q390" s="3">
        <f t="shared" si="12"/>
        <v>1.6943409013893597E-4</v>
      </c>
      <c r="R390" t="str">
        <f t="shared" si="13"/>
        <v>May</v>
      </c>
    </row>
    <row r="391" spans="1:18" x14ac:dyDescent="0.35">
      <c r="A391" t="s">
        <v>419</v>
      </c>
      <c r="B391" t="s">
        <v>349</v>
      </c>
      <c r="C391" t="s">
        <v>20</v>
      </c>
      <c r="D391" t="s">
        <v>350</v>
      </c>
      <c r="E391">
        <v>13179</v>
      </c>
      <c r="F391">
        <v>4543</v>
      </c>
      <c r="G391">
        <v>5256</v>
      </c>
      <c r="H391">
        <v>19</v>
      </c>
      <c r="I391">
        <v>861</v>
      </c>
      <c r="J391">
        <v>170</v>
      </c>
      <c r="K391" s="1">
        <v>45778</v>
      </c>
      <c r="L391" t="s">
        <v>17</v>
      </c>
      <c r="M391" t="s">
        <v>18</v>
      </c>
      <c r="N391" s="2">
        <f>IFERROR(NHS_A_E[[#This Row],[T1_Over4hrs]]/NHS_A_E[[#This Row],[T1_Attendances]], 0)</f>
        <v>0.39881629865695423</v>
      </c>
      <c r="O391">
        <f>NHS_A_E[[#This Row],[T1_Attendances]]+NHS_A_E[[#This Row],[Other_Attendances]]</f>
        <v>17722</v>
      </c>
      <c r="P391">
        <f>MATCH(LEFT(A391,FIND("-",A391)-1),{"April","May","June","July","August","September","October","November","December","January","February","March"},0)</f>
        <v>2</v>
      </c>
      <c r="Q391" s="3">
        <f t="shared" si="12"/>
        <v>1.289930950754989E-2</v>
      </c>
      <c r="R391" t="str">
        <f t="shared" si="13"/>
        <v>May</v>
      </c>
    </row>
    <row r="392" spans="1:18" x14ac:dyDescent="0.35">
      <c r="A392" t="s">
        <v>419</v>
      </c>
      <c r="B392" t="s">
        <v>107</v>
      </c>
      <c r="C392" t="s">
        <v>63</v>
      </c>
      <c r="D392" t="s">
        <v>108</v>
      </c>
      <c r="E392">
        <v>8804</v>
      </c>
      <c r="F392">
        <v>7663</v>
      </c>
      <c r="G392">
        <v>4571</v>
      </c>
      <c r="H392">
        <v>217</v>
      </c>
      <c r="I392">
        <v>865</v>
      </c>
      <c r="J392">
        <v>9</v>
      </c>
      <c r="K392" s="1">
        <v>45778</v>
      </c>
      <c r="L392" t="s">
        <v>17</v>
      </c>
      <c r="M392" t="s">
        <v>18</v>
      </c>
      <c r="N392" s="2">
        <f>IFERROR(NHS_A_E[[#This Row],[T1_Over4hrs]]/NHS_A_E[[#This Row],[T1_Attendances]], 0)</f>
        <v>0.519195820081781</v>
      </c>
      <c r="O392">
        <f>NHS_A_E[[#This Row],[T1_Attendances]]+NHS_A_E[[#This Row],[Other_Attendances]]</f>
        <v>16467</v>
      </c>
      <c r="P392">
        <f>MATCH(LEFT(A392,FIND("-",A392)-1),{"April","May","June","July","August","September","October","November","December","January","February","March"},0)</f>
        <v>2</v>
      </c>
      <c r="Q392" s="3">
        <f t="shared" si="12"/>
        <v>1.0222626079054976E-3</v>
      </c>
      <c r="R392" t="str">
        <f t="shared" si="13"/>
        <v>May</v>
      </c>
    </row>
    <row r="393" spans="1:18" x14ac:dyDescent="0.35">
      <c r="A393" t="s">
        <v>419</v>
      </c>
      <c r="B393" t="s">
        <v>37</v>
      </c>
      <c r="C393" t="s">
        <v>35</v>
      </c>
      <c r="D393" t="s">
        <v>38</v>
      </c>
      <c r="E393">
        <v>15988</v>
      </c>
      <c r="F393">
        <v>9699</v>
      </c>
      <c r="G393">
        <v>8024</v>
      </c>
      <c r="H393">
        <v>258</v>
      </c>
      <c r="I393">
        <v>1305</v>
      </c>
      <c r="J393">
        <v>726</v>
      </c>
      <c r="K393" s="1">
        <v>45778</v>
      </c>
      <c r="L393" t="s">
        <v>17</v>
      </c>
      <c r="M393" t="s">
        <v>18</v>
      </c>
      <c r="N393" s="2">
        <f>IFERROR(NHS_A_E[[#This Row],[T1_Over4hrs]]/NHS_A_E[[#This Row],[T1_Attendances]], 0)</f>
        <v>0.50187640730547911</v>
      </c>
      <c r="O393">
        <f>NHS_A_E[[#This Row],[T1_Attendances]]+NHS_A_E[[#This Row],[Other_Attendances]]</f>
        <v>25687</v>
      </c>
      <c r="P393">
        <f>MATCH(LEFT(A393,FIND("-",A393)-1),{"April","May","June","July","August","September","October","November","December","January","February","March"},0)</f>
        <v>2</v>
      </c>
      <c r="Q393" s="3">
        <f t="shared" si="12"/>
        <v>4.5409056792594445E-2</v>
      </c>
      <c r="R393" t="str">
        <f t="shared" si="13"/>
        <v>May</v>
      </c>
    </row>
    <row r="394" spans="1:18" x14ac:dyDescent="0.35">
      <c r="A394" t="s">
        <v>419</v>
      </c>
      <c r="B394" t="s">
        <v>44</v>
      </c>
      <c r="C394" t="s">
        <v>40</v>
      </c>
      <c r="D394" t="s">
        <v>45</v>
      </c>
      <c r="E394">
        <v>12377</v>
      </c>
      <c r="F394">
        <v>6215</v>
      </c>
      <c r="G394">
        <v>5168</v>
      </c>
      <c r="H394">
        <v>184</v>
      </c>
      <c r="I394">
        <v>90</v>
      </c>
      <c r="J394">
        <v>31</v>
      </c>
      <c r="K394" s="1">
        <v>45778</v>
      </c>
      <c r="L394" t="s">
        <v>17</v>
      </c>
      <c r="M394" t="s">
        <v>18</v>
      </c>
      <c r="N394" s="2">
        <f>IFERROR(NHS_A_E[[#This Row],[T1_Over4hrs]]/NHS_A_E[[#This Row],[T1_Attendances]], 0)</f>
        <v>0.41754867900137349</v>
      </c>
      <c r="O394">
        <f>NHS_A_E[[#This Row],[T1_Attendances]]+NHS_A_E[[#This Row],[Other_Attendances]]</f>
        <v>18592</v>
      </c>
      <c r="P394">
        <f>MATCH(LEFT(A394,FIND("-",A394)-1),{"April","May","June","July","August","September","October","November","December","January","February","March"},0)</f>
        <v>2</v>
      </c>
      <c r="Q394" s="3">
        <f t="shared" si="12"/>
        <v>2.5046457138240283E-3</v>
      </c>
      <c r="R394" t="str">
        <f t="shared" si="13"/>
        <v>May</v>
      </c>
    </row>
    <row r="395" spans="1:18" x14ac:dyDescent="0.35">
      <c r="A395" t="s">
        <v>419</v>
      </c>
      <c r="B395" t="s">
        <v>95</v>
      </c>
      <c r="C395" t="s">
        <v>23</v>
      </c>
      <c r="D395" t="s">
        <v>96</v>
      </c>
      <c r="E395">
        <v>8137</v>
      </c>
      <c r="F395">
        <v>4920</v>
      </c>
      <c r="G395">
        <v>2996</v>
      </c>
      <c r="H395">
        <v>18</v>
      </c>
      <c r="I395">
        <v>726</v>
      </c>
      <c r="J395">
        <v>0</v>
      </c>
      <c r="K395" s="1">
        <v>45778</v>
      </c>
      <c r="L395" t="s">
        <v>17</v>
      </c>
      <c r="M395" t="s">
        <v>18</v>
      </c>
      <c r="N395" s="2">
        <f>IFERROR(NHS_A_E[[#This Row],[T1_Over4hrs]]/NHS_A_E[[#This Row],[T1_Attendances]], 0)</f>
        <v>0.36819466633894554</v>
      </c>
      <c r="O395">
        <f>NHS_A_E[[#This Row],[T1_Attendances]]+NHS_A_E[[#This Row],[Other_Attendances]]</f>
        <v>13057</v>
      </c>
      <c r="P395">
        <f>MATCH(LEFT(A395,FIND("-",A395)-1),{"April","May","June","July","August","September","October","November","December","January","February","March"},0)</f>
        <v>2</v>
      </c>
      <c r="Q395" s="3">
        <f t="shared" si="12"/>
        <v>0</v>
      </c>
      <c r="R395" t="str">
        <f t="shared" si="13"/>
        <v>May</v>
      </c>
    </row>
    <row r="396" spans="1:18" x14ac:dyDescent="0.35">
      <c r="A396" t="s">
        <v>419</v>
      </c>
      <c r="B396" t="s">
        <v>417</v>
      </c>
      <c r="C396" t="s">
        <v>63</v>
      </c>
      <c r="D396" t="s">
        <v>418</v>
      </c>
      <c r="E396">
        <v>9176</v>
      </c>
      <c r="F396">
        <v>2193</v>
      </c>
      <c r="G396">
        <v>3794</v>
      </c>
      <c r="H396">
        <v>16</v>
      </c>
      <c r="I396">
        <v>657</v>
      </c>
      <c r="J396">
        <v>426</v>
      </c>
      <c r="K396" s="1">
        <v>45778</v>
      </c>
      <c r="L396" t="s">
        <v>17</v>
      </c>
      <c r="M396" t="s">
        <v>18</v>
      </c>
      <c r="N396" s="2">
        <f>IFERROR(NHS_A_E[[#This Row],[T1_Over4hrs]]/NHS_A_E[[#This Row],[T1_Attendances]], 0)</f>
        <v>0.41346992153443768</v>
      </c>
      <c r="O396">
        <f>NHS_A_E[[#This Row],[T1_Attendances]]+NHS_A_E[[#This Row],[Other_Attendances]]</f>
        <v>11369</v>
      </c>
      <c r="P396">
        <f>MATCH(LEFT(A396,FIND("-",A396)-1),{"April","May","June","July","August","September","October","November","December","January","February","March"},0)</f>
        <v>2</v>
      </c>
      <c r="Q396" s="3">
        <f t="shared" si="12"/>
        <v>4.6425457715780299E-2</v>
      </c>
      <c r="R396" t="str">
        <f t="shared" si="13"/>
        <v>May</v>
      </c>
    </row>
    <row r="397" spans="1:18" x14ac:dyDescent="0.35">
      <c r="A397" t="s">
        <v>419</v>
      </c>
      <c r="B397" t="s">
        <v>52</v>
      </c>
      <c r="C397" t="s">
        <v>40</v>
      </c>
      <c r="D397" t="s">
        <v>53</v>
      </c>
      <c r="E397">
        <v>10430</v>
      </c>
      <c r="F397">
        <v>2171</v>
      </c>
      <c r="G397">
        <v>4313</v>
      </c>
      <c r="H397">
        <v>83</v>
      </c>
      <c r="I397">
        <v>746</v>
      </c>
      <c r="J397">
        <v>622</v>
      </c>
      <c r="K397" s="1">
        <v>45778</v>
      </c>
      <c r="L397" t="s">
        <v>17</v>
      </c>
      <c r="M397" t="s">
        <v>18</v>
      </c>
      <c r="N397" s="2">
        <f>IFERROR(NHS_A_E[[#This Row],[T1_Over4hrs]]/NHS_A_E[[#This Row],[T1_Attendances]], 0)</f>
        <v>0.41351869606903163</v>
      </c>
      <c r="O397">
        <f>NHS_A_E[[#This Row],[T1_Attendances]]+NHS_A_E[[#This Row],[Other_Attendances]]</f>
        <v>12601</v>
      </c>
      <c r="P397">
        <f>MATCH(LEFT(A397,FIND("-",A397)-1),{"April","May","June","July","August","September","October","November","December","January","February","March"},0)</f>
        <v>2</v>
      </c>
      <c r="Q397" s="3">
        <f t="shared" si="12"/>
        <v>5.963566634707574E-2</v>
      </c>
      <c r="R397" t="str">
        <f t="shared" si="13"/>
        <v>May</v>
      </c>
    </row>
    <row r="398" spans="1:18" x14ac:dyDescent="0.35">
      <c r="A398" t="s">
        <v>419</v>
      </c>
      <c r="B398" t="s">
        <v>56</v>
      </c>
      <c r="C398" t="s">
        <v>20</v>
      </c>
      <c r="D398" t="s">
        <v>57</v>
      </c>
      <c r="E398">
        <v>4928</v>
      </c>
      <c r="F398">
        <v>1925</v>
      </c>
      <c r="G398">
        <v>2094</v>
      </c>
      <c r="H398">
        <v>0</v>
      </c>
      <c r="I398">
        <v>430</v>
      </c>
      <c r="J398">
        <v>53</v>
      </c>
      <c r="K398" s="1">
        <v>45778</v>
      </c>
      <c r="L398" t="s">
        <v>17</v>
      </c>
      <c r="M398" t="s">
        <v>18</v>
      </c>
      <c r="N398" s="2">
        <f>IFERROR(NHS_A_E[[#This Row],[T1_Over4hrs]]/NHS_A_E[[#This Row],[T1_Attendances]], 0)</f>
        <v>0.42491883116883117</v>
      </c>
      <c r="O398">
        <f>NHS_A_E[[#This Row],[T1_Attendances]]+NHS_A_E[[#This Row],[Other_Attendances]]</f>
        <v>6853</v>
      </c>
      <c r="P398">
        <f>MATCH(LEFT(A398,FIND("-",A398)-1),{"April","May","June","July","August","September","October","November","December","January","February","March"},0)</f>
        <v>2</v>
      </c>
      <c r="Q398" s="3">
        <f t="shared" si="12"/>
        <v>1.075487012987013E-2</v>
      </c>
      <c r="R398" t="str">
        <f t="shared" si="13"/>
        <v>May</v>
      </c>
    </row>
    <row r="399" spans="1:18" x14ac:dyDescent="0.35">
      <c r="A399" t="s">
        <v>419</v>
      </c>
      <c r="B399" t="s">
        <v>411</v>
      </c>
      <c r="C399" t="s">
        <v>35</v>
      </c>
      <c r="D399" t="s">
        <v>412</v>
      </c>
      <c r="E399">
        <v>9198</v>
      </c>
      <c r="F399">
        <v>0</v>
      </c>
      <c r="G399">
        <v>2615</v>
      </c>
      <c r="H399">
        <v>0</v>
      </c>
      <c r="I399">
        <v>256</v>
      </c>
      <c r="J399">
        <v>167</v>
      </c>
      <c r="K399" s="1">
        <v>45778</v>
      </c>
      <c r="L399" t="s">
        <v>17</v>
      </c>
      <c r="M399" t="s">
        <v>18</v>
      </c>
      <c r="N399" s="2">
        <f>IFERROR(NHS_A_E[[#This Row],[T1_Over4hrs]]/NHS_A_E[[#This Row],[T1_Attendances]], 0)</f>
        <v>0.2843009349858665</v>
      </c>
      <c r="O399">
        <f>NHS_A_E[[#This Row],[T1_Attendances]]+NHS_A_E[[#This Row],[Other_Attendances]]</f>
        <v>9198</v>
      </c>
      <c r="P399">
        <f>MATCH(LEFT(A399,FIND("-",A399)-1),{"April","May","June","July","August","September","October","November","December","January","February","March"},0)</f>
        <v>2</v>
      </c>
      <c r="Q399" s="3">
        <f t="shared" si="12"/>
        <v>1.8156120895846922E-2</v>
      </c>
      <c r="R399" t="str">
        <f t="shared" si="13"/>
        <v>May</v>
      </c>
    </row>
    <row r="400" spans="1:18" x14ac:dyDescent="0.35">
      <c r="A400" t="s">
        <v>426</v>
      </c>
      <c r="B400" t="s">
        <v>315</v>
      </c>
      <c r="C400" t="s">
        <v>23</v>
      </c>
      <c r="D400" t="s">
        <v>316</v>
      </c>
      <c r="E400">
        <v>7615</v>
      </c>
      <c r="F400">
        <v>1279</v>
      </c>
      <c r="G400">
        <v>2981</v>
      </c>
      <c r="H400">
        <v>0</v>
      </c>
      <c r="I400">
        <v>503</v>
      </c>
      <c r="J400">
        <v>202</v>
      </c>
      <c r="K400" s="1">
        <v>45809</v>
      </c>
      <c r="L400" t="s">
        <v>17</v>
      </c>
      <c r="M400" t="s">
        <v>427</v>
      </c>
      <c r="N400" s="2">
        <f>IFERROR(NHS_A_E[[#This Row],[T1_Over4hrs]]/NHS_A_E[[#This Row],[T1_Attendances]], 0)</f>
        <v>0.39146421536441234</v>
      </c>
      <c r="O400">
        <f>NHS_A_E[[#This Row],[T1_Attendances]]+NHS_A_E[[#This Row],[Other_Attendances]]</f>
        <v>8894</v>
      </c>
      <c r="P400">
        <f>MATCH(LEFT(A400,FIND("-",A400)-1),{"April","May","June","July","August","September","October","November","December","January","February","March"},0)</f>
        <v>3</v>
      </c>
      <c r="Q400" s="3">
        <f t="shared" si="12"/>
        <v>2.6526592252133947E-2</v>
      </c>
      <c r="R400" t="str">
        <f t="shared" si="13"/>
        <v>June</v>
      </c>
    </row>
    <row r="401" spans="1:18" x14ac:dyDescent="0.35">
      <c r="A401" t="s">
        <v>426</v>
      </c>
      <c r="B401" t="s">
        <v>201</v>
      </c>
      <c r="C401" t="s">
        <v>20</v>
      </c>
      <c r="D401" t="s">
        <v>202</v>
      </c>
      <c r="E401">
        <v>0</v>
      </c>
      <c r="F401">
        <v>2009</v>
      </c>
      <c r="G401">
        <v>0</v>
      </c>
      <c r="H401">
        <v>24</v>
      </c>
      <c r="I401">
        <v>0</v>
      </c>
      <c r="J401">
        <v>0</v>
      </c>
      <c r="K401" s="1">
        <v>45809</v>
      </c>
      <c r="L401" t="s">
        <v>17</v>
      </c>
      <c r="M401" t="s">
        <v>427</v>
      </c>
      <c r="N401" s="2">
        <f>IFERROR(NHS_A_E[[#This Row],[T1_Over4hrs]]/NHS_A_E[[#This Row],[T1_Attendances]], 0)</f>
        <v>0</v>
      </c>
      <c r="O401">
        <f>NHS_A_E[[#This Row],[T1_Attendances]]+NHS_A_E[[#This Row],[Other_Attendances]]</f>
        <v>2009</v>
      </c>
      <c r="P401">
        <f>MATCH(LEFT(A401,FIND("-",A401)-1),{"April","May","June","July","August","September","October","November","December","January","February","March"},0)</f>
        <v>3</v>
      </c>
      <c r="Q401" s="3">
        <f t="shared" si="12"/>
        <v>0</v>
      </c>
      <c r="R401" t="str">
        <f t="shared" si="13"/>
        <v>June</v>
      </c>
    </row>
    <row r="402" spans="1:18" x14ac:dyDescent="0.35">
      <c r="A402" t="s">
        <v>426</v>
      </c>
      <c r="B402" t="s">
        <v>327</v>
      </c>
      <c r="C402" t="s">
        <v>40</v>
      </c>
      <c r="D402" t="s">
        <v>328</v>
      </c>
      <c r="E402">
        <v>0</v>
      </c>
      <c r="F402">
        <v>8156</v>
      </c>
      <c r="G402">
        <v>0</v>
      </c>
      <c r="H402">
        <v>248</v>
      </c>
      <c r="I402">
        <v>0</v>
      </c>
      <c r="J402">
        <v>0</v>
      </c>
      <c r="K402" s="1">
        <v>45809</v>
      </c>
      <c r="L402" t="s">
        <v>17</v>
      </c>
      <c r="M402" t="s">
        <v>427</v>
      </c>
      <c r="N402" s="2">
        <f>IFERROR(NHS_A_E[[#This Row],[T1_Over4hrs]]/NHS_A_E[[#This Row],[T1_Attendances]], 0)</f>
        <v>0</v>
      </c>
      <c r="O402">
        <f>NHS_A_E[[#This Row],[T1_Attendances]]+NHS_A_E[[#This Row],[Other_Attendances]]</f>
        <v>8156</v>
      </c>
      <c r="P402">
        <f>MATCH(LEFT(A402,FIND("-",A402)-1),{"April","May","June","July","August","September","October","November","December","January","February","March"},0)</f>
        <v>3</v>
      </c>
      <c r="Q402" s="3">
        <f t="shared" si="12"/>
        <v>0</v>
      </c>
      <c r="R402" t="str">
        <f t="shared" si="13"/>
        <v>June</v>
      </c>
    </row>
    <row r="403" spans="1:18" x14ac:dyDescent="0.35">
      <c r="A403" t="s">
        <v>426</v>
      </c>
      <c r="B403" t="s">
        <v>375</v>
      </c>
      <c r="C403" t="s">
        <v>40</v>
      </c>
      <c r="D403" t="s">
        <v>376</v>
      </c>
      <c r="E403">
        <v>11589</v>
      </c>
      <c r="F403">
        <v>8183</v>
      </c>
      <c r="G403">
        <v>4324</v>
      </c>
      <c r="H403">
        <v>257</v>
      </c>
      <c r="I403">
        <v>629</v>
      </c>
      <c r="J403">
        <v>87</v>
      </c>
      <c r="K403" s="1">
        <v>45809</v>
      </c>
      <c r="L403" t="s">
        <v>17</v>
      </c>
      <c r="M403" t="s">
        <v>427</v>
      </c>
      <c r="N403" s="2">
        <f>IFERROR(NHS_A_E[[#This Row],[T1_Over4hrs]]/NHS_A_E[[#This Row],[T1_Attendances]], 0)</f>
        <v>0.37311243420484941</v>
      </c>
      <c r="O403">
        <f>NHS_A_E[[#This Row],[T1_Attendances]]+NHS_A_E[[#This Row],[Other_Attendances]]</f>
        <v>19772</v>
      </c>
      <c r="P403">
        <f>MATCH(LEFT(A403,FIND("-",A403)-1),{"April","May","June","July","August","September","October","November","December","January","February","March"},0)</f>
        <v>3</v>
      </c>
      <c r="Q403" s="3">
        <f t="shared" si="12"/>
        <v>7.5071188195702824E-3</v>
      </c>
      <c r="R403" t="str">
        <f t="shared" si="13"/>
        <v>June</v>
      </c>
    </row>
    <row r="404" spans="1:18" x14ac:dyDescent="0.35">
      <c r="A404" t="s">
        <v>426</v>
      </c>
      <c r="B404" t="s">
        <v>275</v>
      </c>
      <c r="C404" t="s">
        <v>20</v>
      </c>
      <c r="D404" t="s">
        <v>276</v>
      </c>
      <c r="E404">
        <v>0</v>
      </c>
      <c r="F404">
        <v>8850</v>
      </c>
      <c r="G404">
        <v>0</v>
      </c>
      <c r="H404">
        <v>172</v>
      </c>
      <c r="I404">
        <v>0</v>
      </c>
      <c r="J404">
        <v>0</v>
      </c>
      <c r="K404" s="1">
        <v>45809</v>
      </c>
      <c r="L404" t="s">
        <v>17</v>
      </c>
      <c r="M404" t="s">
        <v>427</v>
      </c>
      <c r="N404" s="2">
        <f>IFERROR(NHS_A_E[[#This Row],[T1_Over4hrs]]/NHS_A_E[[#This Row],[T1_Attendances]], 0)</f>
        <v>0</v>
      </c>
      <c r="O404">
        <f>NHS_A_E[[#This Row],[T1_Attendances]]+NHS_A_E[[#This Row],[Other_Attendances]]</f>
        <v>8850</v>
      </c>
      <c r="P404">
        <f>MATCH(LEFT(A404,FIND("-",A404)-1),{"April","May","June","July","August","September","October","November","December","January","February","March"},0)</f>
        <v>3</v>
      </c>
      <c r="Q404" s="3">
        <f t="shared" si="12"/>
        <v>0</v>
      </c>
      <c r="R404" t="str">
        <f t="shared" si="13"/>
        <v>June</v>
      </c>
    </row>
    <row r="405" spans="1:18" x14ac:dyDescent="0.35">
      <c r="A405" t="s">
        <v>426</v>
      </c>
      <c r="B405" t="s">
        <v>253</v>
      </c>
      <c r="C405" t="s">
        <v>63</v>
      </c>
      <c r="D405" t="s">
        <v>254</v>
      </c>
      <c r="E405">
        <v>6051</v>
      </c>
      <c r="F405">
        <v>3871</v>
      </c>
      <c r="G405">
        <v>2269</v>
      </c>
      <c r="H405">
        <v>40</v>
      </c>
      <c r="I405">
        <v>614</v>
      </c>
      <c r="J405">
        <v>2</v>
      </c>
      <c r="K405" s="1">
        <v>45809</v>
      </c>
      <c r="L405" t="s">
        <v>17</v>
      </c>
      <c r="M405" t="s">
        <v>427</v>
      </c>
      <c r="N405" s="2">
        <f>IFERROR(NHS_A_E[[#This Row],[T1_Over4hrs]]/NHS_A_E[[#This Row],[T1_Attendances]], 0)</f>
        <v>0.37497934225747809</v>
      </c>
      <c r="O405">
        <f>NHS_A_E[[#This Row],[T1_Attendances]]+NHS_A_E[[#This Row],[Other_Attendances]]</f>
        <v>9922</v>
      </c>
      <c r="P405">
        <f>MATCH(LEFT(A405,FIND("-",A405)-1),{"April","May","June","July","August","September","October","November","December","January","February","March"},0)</f>
        <v>3</v>
      </c>
      <c r="Q405" s="3">
        <f t="shared" si="12"/>
        <v>3.3052388035035532E-4</v>
      </c>
      <c r="R405" t="str">
        <f t="shared" si="13"/>
        <v>June</v>
      </c>
    </row>
    <row r="406" spans="1:18" x14ac:dyDescent="0.35">
      <c r="A406" t="s">
        <v>426</v>
      </c>
      <c r="B406" t="s">
        <v>203</v>
      </c>
      <c r="C406" t="s">
        <v>40</v>
      </c>
      <c r="D406" t="s">
        <v>204</v>
      </c>
      <c r="E406">
        <v>0</v>
      </c>
      <c r="F406">
        <v>0</v>
      </c>
      <c r="G406">
        <v>0</v>
      </c>
      <c r="H406">
        <v>0</v>
      </c>
      <c r="I406">
        <v>0</v>
      </c>
      <c r="J406">
        <v>0</v>
      </c>
      <c r="K406" s="1">
        <v>45809</v>
      </c>
      <c r="L406" t="s">
        <v>17</v>
      </c>
      <c r="M406" t="s">
        <v>427</v>
      </c>
      <c r="N406" s="2">
        <f>IFERROR(NHS_A_E[[#This Row],[T1_Over4hrs]]/NHS_A_E[[#This Row],[T1_Attendances]], 0)</f>
        <v>0</v>
      </c>
      <c r="O406">
        <f>NHS_A_E[[#This Row],[T1_Attendances]]+NHS_A_E[[#This Row],[Other_Attendances]]</f>
        <v>0</v>
      </c>
      <c r="P406">
        <f>MATCH(LEFT(A406,FIND("-",A406)-1),{"April","May","June","July","August","September","October","November","December","January","February","March"},0)</f>
        <v>3</v>
      </c>
      <c r="Q406" s="3">
        <f t="shared" si="12"/>
        <v>0</v>
      </c>
      <c r="R406" t="str">
        <f t="shared" si="13"/>
        <v>June</v>
      </c>
    </row>
    <row r="407" spans="1:18" x14ac:dyDescent="0.35">
      <c r="A407" t="s">
        <v>426</v>
      </c>
      <c r="B407" t="s">
        <v>417</v>
      </c>
      <c r="C407" t="s">
        <v>63</v>
      </c>
      <c r="D407" t="s">
        <v>418</v>
      </c>
      <c r="E407">
        <v>8759</v>
      </c>
      <c r="F407">
        <v>2068</v>
      </c>
      <c r="G407">
        <v>3932</v>
      </c>
      <c r="H407">
        <v>37</v>
      </c>
      <c r="I407">
        <v>701</v>
      </c>
      <c r="J407">
        <v>403</v>
      </c>
      <c r="K407" s="1">
        <v>45809</v>
      </c>
      <c r="L407" t="s">
        <v>17</v>
      </c>
      <c r="M407" t="s">
        <v>427</v>
      </c>
      <c r="N407" s="2">
        <f>IFERROR(NHS_A_E[[#This Row],[T1_Over4hrs]]/NHS_A_E[[#This Row],[T1_Attendances]], 0)</f>
        <v>0.44890969288731591</v>
      </c>
      <c r="O407">
        <f>NHS_A_E[[#This Row],[T1_Attendances]]+NHS_A_E[[#This Row],[Other_Attendances]]</f>
        <v>10827</v>
      </c>
      <c r="P407">
        <f>MATCH(LEFT(A407,FIND("-",A407)-1),{"April","May","June","July","August","September","October","November","December","January","February","March"},0)</f>
        <v>3</v>
      </c>
      <c r="Q407" s="3">
        <f t="shared" si="12"/>
        <v>4.6009818472428361E-2</v>
      </c>
      <c r="R407" t="str">
        <f t="shared" si="13"/>
        <v>June</v>
      </c>
    </row>
    <row r="408" spans="1:18" x14ac:dyDescent="0.35">
      <c r="A408" t="s">
        <v>426</v>
      </c>
      <c r="B408" t="s">
        <v>413</v>
      </c>
      <c r="C408" t="s">
        <v>20</v>
      </c>
      <c r="D408" t="s">
        <v>414</v>
      </c>
      <c r="E408">
        <v>9169</v>
      </c>
      <c r="F408">
        <v>5765</v>
      </c>
      <c r="G408">
        <v>4584</v>
      </c>
      <c r="H408">
        <v>85</v>
      </c>
      <c r="I408">
        <v>477</v>
      </c>
      <c r="J408">
        <v>658</v>
      </c>
      <c r="K408" s="1">
        <v>45809</v>
      </c>
      <c r="L408" t="s">
        <v>17</v>
      </c>
      <c r="M408" t="s">
        <v>427</v>
      </c>
      <c r="N408" s="2">
        <f>IFERROR(NHS_A_E[[#This Row],[T1_Over4hrs]]/NHS_A_E[[#This Row],[T1_Attendances]], 0)</f>
        <v>0.49994546842621879</v>
      </c>
      <c r="O408">
        <f>NHS_A_E[[#This Row],[T1_Attendances]]+NHS_A_E[[#This Row],[Other_Attendances]]</f>
        <v>14934</v>
      </c>
      <c r="P408">
        <f>MATCH(LEFT(A408,FIND("-",A408)-1),{"April","May","June","July","August","September","October","November","December","January","February","March"},0)</f>
        <v>3</v>
      </c>
      <c r="Q408" s="3">
        <f t="shared" si="12"/>
        <v>7.1763551096084635E-2</v>
      </c>
      <c r="R408" t="str">
        <f t="shared" si="13"/>
        <v>June</v>
      </c>
    </row>
    <row r="409" spans="1:18" x14ac:dyDescent="0.35">
      <c r="A409" t="s">
        <v>426</v>
      </c>
      <c r="B409" t="s">
        <v>347</v>
      </c>
      <c r="C409" t="s">
        <v>63</v>
      </c>
      <c r="D409" t="s">
        <v>348</v>
      </c>
      <c r="E409">
        <v>6194</v>
      </c>
      <c r="F409">
        <v>0</v>
      </c>
      <c r="G409">
        <v>2095</v>
      </c>
      <c r="H409">
        <v>0</v>
      </c>
      <c r="I409">
        <v>328</v>
      </c>
      <c r="J409">
        <v>99</v>
      </c>
      <c r="K409" s="1">
        <v>45809</v>
      </c>
      <c r="L409" t="s">
        <v>17</v>
      </c>
      <c r="M409" t="s">
        <v>427</v>
      </c>
      <c r="N409" s="2">
        <f>IFERROR(NHS_A_E[[#This Row],[T1_Over4hrs]]/NHS_A_E[[#This Row],[T1_Attendances]], 0)</f>
        <v>0.33823054568937683</v>
      </c>
      <c r="O409">
        <f>NHS_A_E[[#This Row],[T1_Attendances]]+NHS_A_E[[#This Row],[Other_Attendances]]</f>
        <v>6194</v>
      </c>
      <c r="P409">
        <f>MATCH(LEFT(A409,FIND("-",A409)-1),{"April","May","June","July","August","September","October","November","December","January","February","March"},0)</f>
        <v>3</v>
      </c>
      <c r="Q409" s="3">
        <f t="shared" si="12"/>
        <v>1.5983209557636421E-2</v>
      </c>
      <c r="R409" t="str">
        <f t="shared" si="13"/>
        <v>June</v>
      </c>
    </row>
    <row r="410" spans="1:18" x14ac:dyDescent="0.35">
      <c r="A410" t="s">
        <v>426</v>
      </c>
      <c r="B410" t="s">
        <v>79</v>
      </c>
      <c r="C410" t="s">
        <v>63</v>
      </c>
      <c r="D410" t="s">
        <v>80</v>
      </c>
      <c r="E410">
        <v>0</v>
      </c>
      <c r="F410">
        <v>3038</v>
      </c>
      <c r="G410">
        <v>0</v>
      </c>
      <c r="H410">
        <v>212</v>
      </c>
      <c r="I410">
        <v>0</v>
      </c>
      <c r="J410">
        <v>0</v>
      </c>
      <c r="K410" s="1">
        <v>45809</v>
      </c>
      <c r="L410" t="s">
        <v>17</v>
      </c>
      <c r="M410" t="s">
        <v>427</v>
      </c>
      <c r="N410" s="2">
        <f>IFERROR(NHS_A_E[[#This Row],[T1_Over4hrs]]/NHS_A_E[[#This Row],[T1_Attendances]], 0)</f>
        <v>0</v>
      </c>
      <c r="O410">
        <f>NHS_A_E[[#This Row],[T1_Attendances]]+NHS_A_E[[#This Row],[Other_Attendances]]</f>
        <v>3038</v>
      </c>
      <c r="P410">
        <f>MATCH(LEFT(A410,FIND("-",A410)-1),{"April","May","June","July","August","September","October","November","December","January","February","March"},0)</f>
        <v>3</v>
      </c>
      <c r="Q410" s="3">
        <f t="shared" si="12"/>
        <v>0</v>
      </c>
      <c r="R410" t="str">
        <f t="shared" si="13"/>
        <v>June</v>
      </c>
    </row>
    <row r="411" spans="1:18" x14ac:dyDescent="0.35">
      <c r="A411" t="s">
        <v>426</v>
      </c>
      <c r="B411" t="s">
        <v>251</v>
      </c>
      <c r="C411" t="s">
        <v>35</v>
      </c>
      <c r="D411" t="s">
        <v>252</v>
      </c>
      <c r="E411">
        <v>6808</v>
      </c>
      <c r="F411">
        <v>8564</v>
      </c>
      <c r="G411">
        <v>3230</v>
      </c>
      <c r="H411">
        <v>243</v>
      </c>
      <c r="I411">
        <v>298</v>
      </c>
      <c r="J411">
        <v>221</v>
      </c>
      <c r="K411" s="1">
        <v>45809</v>
      </c>
      <c r="L411" t="s">
        <v>17</v>
      </c>
      <c r="M411" t="s">
        <v>427</v>
      </c>
      <c r="N411" s="2">
        <f>IFERROR(NHS_A_E[[#This Row],[T1_Over4hrs]]/NHS_A_E[[#This Row],[T1_Attendances]], 0)</f>
        <v>0.47444183313748534</v>
      </c>
      <c r="O411">
        <f>NHS_A_E[[#This Row],[T1_Attendances]]+NHS_A_E[[#This Row],[Other_Attendances]]</f>
        <v>15372</v>
      </c>
      <c r="P411">
        <f>MATCH(LEFT(A411,FIND("-",A411)-1),{"April","May","June","July","August","September","October","November","December","January","February","March"},0)</f>
        <v>3</v>
      </c>
      <c r="Q411" s="3">
        <f t="shared" si="12"/>
        <v>3.2461809635722677E-2</v>
      </c>
      <c r="R411" t="str">
        <f t="shared" si="13"/>
        <v>June</v>
      </c>
    </row>
    <row r="412" spans="1:18" x14ac:dyDescent="0.35">
      <c r="A412" t="s">
        <v>426</v>
      </c>
      <c r="B412" t="s">
        <v>309</v>
      </c>
      <c r="C412" t="s">
        <v>30</v>
      </c>
      <c r="D412" t="s">
        <v>310</v>
      </c>
      <c r="E412">
        <v>0</v>
      </c>
      <c r="F412">
        <v>1587</v>
      </c>
      <c r="G412">
        <v>0</v>
      </c>
      <c r="H412">
        <v>9</v>
      </c>
      <c r="I412">
        <v>0</v>
      </c>
      <c r="J412">
        <v>0</v>
      </c>
      <c r="K412" s="1">
        <v>45809</v>
      </c>
      <c r="L412" t="s">
        <v>17</v>
      </c>
      <c r="M412" t="s">
        <v>427</v>
      </c>
      <c r="N412" s="2">
        <f>IFERROR(NHS_A_E[[#This Row],[T1_Over4hrs]]/NHS_A_E[[#This Row],[T1_Attendances]], 0)</f>
        <v>0</v>
      </c>
      <c r="O412">
        <f>NHS_A_E[[#This Row],[T1_Attendances]]+NHS_A_E[[#This Row],[Other_Attendances]]</f>
        <v>1587</v>
      </c>
      <c r="P412">
        <f>MATCH(LEFT(A412,FIND("-",A412)-1),{"April","May","June","July","August","September","October","November","December","January","February","March"},0)</f>
        <v>3</v>
      </c>
      <c r="Q412" s="3">
        <f t="shared" si="12"/>
        <v>0</v>
      </c>
      <c r="R412" t="str">
        <f t="shared" si="13"/>
        <v>June</v>
      </c>
    </row>
    <row r="413" spans="1:18" x14ac:dyDescent="0.35">
      <c r="A413" t="s">
        <v>426</v>
      </c>
      <c r="B413" t="s">
        <v>424</v>
      </c>
      <c r="C413" t="s">
        <v>20</v>
      </c>
      <c r="D413" t="s">
        <v>425</v>
      </c>
      <c r="E413">
        <v>0</v>
      </c>
      <c r="F413">
        <v>1833</v>
      </c>
      <c r="G413">
        <v>0</v>
      </c>
      <c r="H413">
        <v>37</v>
      </c>
      <c r="I413">
        <v>0</v>
      </c>
      <c r="J413">
        <v>0</v>
      </c>
      <c r="K413" s="1">
        <v>45809</v>
      </c>
      <c r="L413" t="s">
        <v>17</v>
      </c>
      <c r="M413" t="s">
        <v>427</v>
      </c>
      <c r="N413" s="2">
        <f>IFERROR(NHS_A_E[[#This Row],[T1_Over4hrs]]/NHS_A_E[[#This Row],[T1_Attendances]], 0)</f>
        <v>0</v>
      </c>
      <c r="O413">
        <f>NHS_A_E[[#This Row],[T1_Attendances]]+NHS_A_E[[#This Row],[Other_Attendances]]</f>
        <v>1833</v>
      </c>
      <c r="P413">
        <f>MATCH(LEFT(A413,FIND("-",A413)-1),{"April","May","June","July","August","September","October","November","December","January","February","March"},0)</f>
        <v>3</v>
      </c>
      <c r="Q413" s="3">
        <f t="shared" si="12"/>
        <v>0</v>
      </c>
      <c r="R413" t="str">
        <f t="shared" si="13"/>
        <v>June</v>
      </c>
    </row>
    <row r="414" spans="1:18" x14ac:dyDescent="0.35">
      <c r="A414" t="s">
        <v>426</v>
      </c>
      <c r="B414" t="s">
        <v>81</v>
      </c>
      <c r="C414" t="s">
        <v>63</v>
      </c>
      <c r="D414" t="s">
        <v>82</v>
      </c>
      <c r="E414">
        <v>0</v>
      </c>
      <c r="F414">
        <v>1790</v>
      </c>
      <c r="G414">
        <v>0</v>
      </c>
      <c r="H414">
        <v>5</v>
      </c>
      <c r="I414">
        <v>0</v>
      </c>
      <c r="J414">
        <v>0</v>
      </c>
      <c r="K414" s="1">
        <v>45809</v>
      </c>
      <c r="L414" t="s">
        <v>17</v>
      </c>
      <c r="M414" t="s">
        <v>427</v>
      </c>
      <c r="N414" s="2">
        <f>IFERROR(NHS_A_E[[#This Row],[T1_Over4hrs]]/NHS_A_E[[#This Row],[T1_Attendances]], 0)</f>
        <v>0</v>
      </c>
      <c r="O414">
        <f>NHS_A_E[[#This Row],[T1_Attendances]]+NHS_A_E[[#This Row],[Other_Attendances]]</f>
        <v>1790</v>
      </c>
      <c r="P414">
        <f>MATCH(LEFT(A414,FIND("-",A414)-1),{"April","May","June","July","August","September","October","November","December","January","February","March"},0)</f>
        <v>3</v>
      </c>
      <c r="Q414" s="3">
        <f t="shared" si="12"/>
        <v>0</v>
      </c>
      <c r="R414" t="str">
        <f t="shared" si="13"/>
        <v>June</v>
      </c>
    </row>
    <row r="415" spans="1:18" x14ac:dyDescent="0.35">
      <c r="A415" t="s">
        <v>426</v>
      </c>
      <c r="B415" t="s">
        <v>77</v>
      </c>
      <c r="C415" t="s">
        <v>63</v>
      </c>
      <c r="D415" t="s">
        <v>78</v>
      </c>
      <c r="E415">
        <v>0</v>
      </c>
      <c r="F415">
        <v>1526</v>
      </c>
      <c r="G415">
        <v>0</v>
      </c>
      <c r="H415">
        <v>62</v>
      </c>
      <c r="I415">
        <v>0</v>
      </c>
      <c r="J415">
        <v>0</v>
      </c>
      <c r="K415" s="1">
        <v>45809</v>
      </c>
      <c r="L415" t="s">
        <v>17</v>
      </c>
      <c r="M415" t="s">
        <v>427</v>
      </c>
      <c r="N415" s="2">
        <f>IFERROR(NHS_A_E[[#This Row],[T1_Over4hrs]]/NHS_A_E[[#This Row],[T1_Attendances]], 0)</f>
        <v>0</v>
      </c>
      <c r="O415">
        <f>NHS_A_E[[#This Row],[T1_Attendances]]+NHS_A_E[[#This Row],[Other_Attendances]]</f>
        <v>1526</v>
      </c>
      <c r="P415">
        <f>MATCH(LEFT(A415,FIND("-",A415)-1),{"April","May","June","July","August","September","October","November","December","January","February","March"},0)</f>
        <v>3</v>
      </c>
      <c r="Q415" s="3">
        <f t="shared" si="12"/>
        <v>0</v>
      </c>
      <c r="R415" t="str">
        <f t="shared" si="13"/>
        <v>June</v>
      </c>
    </row>
    <row r="416" spans="1:18" x14ac:dyDescent="0.35">
      <c r="A416" t="s">
        <v>426</v>
      </c>
      <c r="B416" t="s">
        <v>75</v>
      </c>
      <c r="C416" t="s">
        <v>63</v>
      </c>
      <c r="D416" t="s">
        <v>76</v>
      </c>
      <c r="E416">
        <v>0</v>
      </c>
      <c r="F416">
        <v>3846</v>
      </c>
      <c r="G416">
        <v>0</v>
      </c>
      <c r="H416">
        <v>525</v>
      </c>
      <c r="I416">
        <v>0</v>
      </c>
      <c r="J416">
        <v>0</v>
      </c>
      <c r="K416" s="1">
        <v>45809</v>
      </c>
      <c r="L416" t="s">
        <v>17</v>
      </c>
      <c r="M416" t="s">
        <v>427</v>
      </c>
      <c r="N416" s="2">
        <f>IFERROR(NHS_A_E[[#This Row],[T1_Over4hrs]]/NHS_A_E[[#This Row],[T1_Attendances]], 0)</f>
        <v>0</v>
      </c>
      <c r="O416">
        <f>NHS_A_E[[#This Row],[T1_Attendances]]+NHS_A_E[[#This Row],[Other_Attendances]]</f>
        <v>3846</v>
      </c>
      <c r="P416">
        <f>MATCH(LEFT(A416,FIND("-",A416)-1),{"April","May","June","July","August","September","October","November","December","January","February","March"},0)</f>
        <v>3</v>
      </c>
      <c r="Q416" s="3">
        <f t="shared" si="12"/>
        <v>0</v>
      </c>
      <c r="R416" t="str">
        <f t="shared" si="13"/>
        <v>June</v>
      </c>
    </row>
    <row r="417" spans="1:18" x14ac:dyDescent="0.35">
      <c r="A417" t="s">
        <v>426</v>
      </c>
      <c r="B417" t="s">
        <v>385</v>
      </c>
      <c r="C417" t="s">
        <v>20</v>
      </c>
      <c r="D417" t="s">
        <v>386</v>
      </c>
      <c r="E417">
        <v>0</v>
      </c>
      <c r="F417">
        <v>9376</v>
      </c>
      <c r="G417">
        <v>0</v>
      </c>
      <c r="H417">
        <v>417</v>
      </c>
      <c r="I417">
        <v>0</v>
      </c>
      <c r="J417">
        <v>0</v>
      </c>
      <c r="K417" s="1">
        <v>45809</v>
      </c>
      <c r="L417" t="s">
        <v>17</v>
      </c>
      <c r="M417" t="s">
        <v>427</v>
      </c>
      <c r="N417" s="2">
        <f>IFERROR(NHS_A_E[[#This Row],[T1_Over4hrs]]/NHS_A_E[[#This Row],[T1_Attendances]], 0)</f>
        <v>0</v>
      </c>
      <c r="O417">
        <f>NHS_A_E[[#This Row],[T1_Attendances]]+NHS_A_E[[#This Row],[Other_Attendances]]</f>
        <v>9376</v>
      </c>
      <c r="P417">
        <f>MATCH(LEFT(A417,FIND("-",A417)-1),{"April","May","June","July","August","September","October","November","December","January","February","March"},0)</f>
        <v>3</v>
      </c>
      <c r="Q417" s="3">
        <f t="shared" si="12"/>
        <v>0</v>
      </c>
      <c r="R417" t="str">
        <f t="shared" si="13"/>
        <v>June</v>
      </c>
    </row>
    <row r="418" spans="1:18" x14ac:dyDescent="0.35">
      <c r="A418" t="s">
        <v>426</v>
      </c>
      <c r="B418" t="s">
        <v>383</v>
      </c>
      <c r="C418" t="s">
        <v>20</v>
      </c>
      <c r="D418" t="s">
        <v>384</v>
      </c>
      <c r="E418">
        <v>0</v>
      </c>
      <c r="F418">
        <v>99</v>
      </c>
      <c r="G418">
        <v>0</v>
      </c>
      <c r="H418">
        <v>0</v>
      </c>
      <c r="I418">
        <v>0</v>
      </c>
      <c r="J418">
        <v>0</v>
      </c>
      <c r="K418" s="1">
        <v>45809</v>
      </c>
      <c r="L418" t="s">
        <v>17</v>
      </c>
      <c r="M418" t="s">
        <v>427</v>
      </c>
      <c r="N418" s="2">
        <f>IFERROR(NHS_A_E[[#This Row],[T1_Over4hrs]]/NHS_A_E[[#This Row],[T1_Attendances]], 0)</f>
        <v>0</v>
      </c>
      <c r="O418">
        <f>NHS_A_E[[#This Row],[T1_Attendances]]+NHS_A_E[[#This Row],[Other_Attendances]]</f>
        <v>99</v>
      </c>
      <c r="P418">
        <f>MATCH(LEFT(A418,FIND("-",A418)-1),{"April","May","June","July","August","September","October","November","December","January","February","March"},0)</f>
        <v>3</v>
      </c>
      <c r="Q418" s="3">
        <f t="shared" si="12"/>
        <v>0</v>
      </c>
      <c r="R418" t="str">
        <f t="shared" si="13"/>
        <v>June</v>
      </c>
    </row>
    <row r="419" spans="1:18" x14ac:dyDescent="0.35">
      <c r="A419" t="s">
        <v>426</v>
      </c>
      <c r="B419" t="s">
        <v>422</v>
      </c>
      <c r="C419" t="s">
        <v>20</v>
      </c>
      <c r="D419" t="s">
        <v>423</v>
      </c>
      <c r="E419">
        <v>0</v>
      </c>
      <c r="F419">
        <v>1048</v>
      </c>
      <c r="G419">
        <v>0</v>
      </c>
      <c r="H419">
        <v>1</v>
      </c>
      <c r="I419">
        <v>0</v>
      </c>
      <c r="J419">
        <v>0</v>
      </c>
      <c r="K419" s="1">
        <v>45809</v>
      </c>
      <c r="L419" t="s">
        <v>17</v>
      </c>
      <c r="M419" t="s">
        <v>427</v>
      </c>
      <c r="N419" s="2">
        <f>IFERROR(NHS_A_E[[#This Row],[T1_Over4hrs]]/NHS_A_E[[#This Row],[T1_Attendances]], 0)</f>
        <v>0</v>
      </c>
      <c r="O419">
        <f>NHS_A_E[[#This Row],[T1_Attendances]]+NHS_A_E[[#This Row],[Other_Attendances]]</f>
        <v>1048</v>
      </c>
      <c r="P419">
        <f>MATCH(LEFT(A419,FIND("-",A419)-1),{"April","May","June","July","August","September","October","November","December","January","February","March"},0)</f>
        <v>3</v>
      </c>
      <c r="Q419" s="3">
        <f t="shared" si="12"/>
        <v>0</v>
      </c>
      <c r="R419" t="str">
        <f t="shared" si="13"/>
        <v>June</v>
      </c>
    </row>
    <row r="420" spans="1:18" x14ac:dyDescent="0.35">
      <c r="A420" t="s">
        <v>426</v>
      </c>
      <c r="B420" t="s">
        <v>420</v>
      </c>
      <c r="C420" t="s">
        <v>15</v>
      </c>
      <c r="D420" t="s">
        <v>421</v>
      </c>
      <c r="E420">
        <v>0</v>
      </c>
      <c r="F420">
        <v>2755</v>
      </c>
      <c r="G420">
        <v>0</v>
      </c>
      <c r="H420">
        <v>0</v>
      </c>
      <c r="I420">
        <v>0</v>
      </c>
      <c r="J420">
        <v>0</v>
      </c>
      <c r="K420" s="1">
        <v>45809</v>
      </c>
      <c r="L420" t="s">
        <v>17</v>
      </c>
      <c r="M420" t="s">
        <v>427</v>
      </c>
      <c r="N420" s="2">
        <f>IFERROR(NHS_A_E[[#This Row],[T1_Over4hrs]]/NHS_A_E[[#This Row],[T1_Attendances]], 0)</f>
        <v>0</v>
      </c>
      <c r="O420">
        <f>NHS_A_E[[#This Row],[T1_Attendances]]+NHS_A_E[[#This Row],[Other_Attendances]]</f>
        <v>2755</v>
      </c>
      <c r="P420">
        <f>MATCH(LEFT(A420,FIND("-",A420)-1),{"April","May","June","July","August","September","October","November","December","January","February","March"},0)</f>
        <v>3</v>
      </c>
      <c r="Q420" s="3">
        <f t="shared" si="12"/>
        <v>0</v>
      </c>
      <c r="R420" t="str">
        <f t="shared" si="13"/>
        <v>June</v>
      </c>
    </row>
    <row r="421" spans="1:18" x14ac:dyDescent="0.35">
      <c r="A421" t="s">
        <v>426</v>
      </c>
      <c r="B421" t="s">
        <v>389</v>
      </c>
      <c r="C421" t="s">
        <v>20</v>
      </c>
      <c r="D421" t="s">
        <v>390</v>
      </c>
      <c r="E421">
        <v>4556</v>
      </c>
      <c r="F421">
        <v>0</v>
      </c>
      <c r="G421">
        <v>1499</v>
      </c>
      <c r="H421">
        <v>0</v>
      </c>
      <c r="I421">
        <v>208</v>
      </c>
      <c r="J421">
        <v>18</v>
      </c>
      <c r="K421" s="1">
        <v>45809</v>
      </c>
      <c r="L421" t="s">
        <v>17</v>
      </c>
      <c r="M421" t="s">
        <v>427</v>
      </c>
      <c r="N421" s="2">
        <f>IFERROR(NHS_A_E[[#This Row],[T1_Over4hrs]]/NHS_A_E[[#This Row],[T1_Attendances]], 0)</f>
        <v>0.32901668129938544</v>
      </c>
      <c r="O421">
        <f>NHS_A_E[[#This Row],[T1_Attendances]]+NHS_A_E[[#This Row],[Other_Attendances]]</f>
        <v>4556</v>
      </c>
      <c r="P421">
        <f>MATCH(LEFT(A421,FIND("-",A421)-1),{"April","May","June","July","August","September","October","November","December","January","February","March"},0)</f>
        <v>3</v>
      </c>
      <c r="Q421" s="3">
        <f t="shared" si="12"/>
        <v>3.9508340649692716E-3</v>
      </c>
      <c r="R421" t="str">
        <f t="shared" si="13"/>
        <v>June</v>
      </c>
    </row>
    <row r="422" spans="1:18" x14ac:dyDescent="0.35">
      <c r="A422" t="s">
        <v>426</v>
      </c>
      <c r="B422" t="s">
        <v>311</v>
      </c>
      <c r="C422" t="s">
        <v>20</v>
      </c>
      <c r="D422" t="s">
        <v>312</v>
      </c>
      <c r="E422">
        <v>0</v>
      </c>
      <c r="F422">
        <v>1290</v>
      </c>
      <c r="G422">
        <v>0</v>
      </c>
      <c r="H422">
        <v>5</v>
      </c>
      <c r="I422">
        <v>0</v>
      </c>
      <c r="J422">
        <v>0</v>
      </c>
      <c r="K422" s="1">
        <v>45809</v>
      </c>
      <c r="L422" t="s">
        <v>17</v>
      </c>
      <c r="M422" t="s">
        <v>427</v>
      </c>
      <c r="N422" s="2">
        <f>IFERROR(NHS_A_E[[#This Row],[T1_Over4hrs]]/NHS_A_E[[#This Row],[T1_Attendances]], 0)</f>
        <v>0</v>
      </c>
      <c r="O422">
        <f>NHS_A_E[[#This Row],[T1_Attendances]]+NHS_A_E[[#This Row],[Other_Attendances]]</f>
        <v>1290</v>
      </c>
      <c r="P422">
        <f>MATCH(LEFT(A422,FIND("-",A422)-1),{"April","May","June","July","August","September","October","November","December","January","February","March"},0)</f>
        <v>3</v>
      </c>
      <c r="Q422" s="3">
        <f t="shared" si="12"/>
        <v>0</v>
      </c>
      <c r="R422" t="str">
        <f t="shared" si="13"/>
        <v>June</v>
      </c>
    </row>
    <row r="423" spans="1:18" x14ac:dyDescent="0.35">
      <c r="A423" t="s">
        <v>426</v>
      </c>
      <c r="B423" t="s">
        <v>195</v>
      </c>
      <c r="C423" t="s">
        <v>30</v>
      </c>
      <c r="D423" t="s">
        <v>196</v>
      </c>
      <c r="E423">
        <v>8886</v>
      </c>
      <c r="F423">
        <v>10078</v>
      </c>
      <c r="G423">
        <v>4182</v>
      </c>
      <c r="H423">
        <v>45</v>
      </c>
      <c r="I423">
        <v>750</v>
      </c>
      <c r="J423">
        <v>310</v>
      </c>
      <c r="K423" s="1">
        <v>45809</v>
      </c>
      <c r="L423" t="s">
        <v>17</v>
      </c>
      <c r="M423" t="s">
        <v>427</v>
      </c>
      <c r="N423" s="2">
        <f>IFERROR(NHS_A_E[[#This Row],[T1_Over4hrs]]/NHS_A_E[[#This Row],[T1_Attendances]], 0)</f>
        <v>0.47062795408507763</v>
      </c>
      <c r="O423">
        <f>NHS_A_E[[#This Row],[T1_Attendances]]+NHS_A_E[[#This Row],[Other_Attendances]]</f>
        <v>18964</v>
      </c>
      <c r="P423">
        <f>MATCH(LEFT(A423,FIND("-",A423)-1),{"April","May","June","July","August","September","October","November","December","January","February","March"},0)</f>
        <v>3</v>
      </c>
      <c r="Q423" s="3">
        <f t="shared" si="12"/>
        <v>3.4886338059869459E-2</v>
      </c>
      <c r="R423" t="str">
        <f t="shared" si="13"/>
        <v>June</v>
      </c>
    </row>
    <row r="424" spans="1:18" x14ac:dyDescent="0.35">
      <c r="A424" t="s">
        <v>426</v>
      </c>
      <c r="B424" t="s">
        <v>117</v>
      </c>
      <c r="C424" t="s">
        <v>15</v>
      </c>
      <c r="D424" t="s">
        <v>118</v>
      </c>
      <c r="E424">
        <v>6763</v>
      </c>
      <c r="F424">
        <v>1944</v>
      </c>
      <c r="G424">
        <v>1863</v>
      </c>
      <c r="H424">
        <v>0</v>
      </c>
      <c r="I424">
        <v>296</v>
      </c>
      <c r="J424">
        <v>5</v>
      </c>
      <c r="K424" s="1">
        <v>45809</v>
      </c>
      <c r="L424" t="s">
        <v>17</v>
      </c>
      <c r="M424" t="s">
        <v>427</v>
      </c>
      <c r="N424" s="2">
        <f>IFERROR(NHS_A_E[[#This Row],[T1_Over4hrs]]/NHS_A_E[[#This Row],[T1_Attendances]], 0)</f>
        <v>0.27546946621321899</v>
      </c>
      <c r="O424">
        <f>NHS_A_E[[#This Row],[T1_Attendances]]+NHS_A_E[[#This Row],[Other_Attendances]]</f>
        <v>8707</v>
      </c>
      <c r="P424">
        <f>MATCH(LEFT(A424,FIND("-",A424)-1),{"April","May","June","July","August","September","October","November","December","January","February","March"},0)</f>
        <v>3</v>
      </c>
      <c r="Q424" s="3">
        <f t="shared" si="12"/>
        <v>7.3931687121100108E-4</v>
      </c>
      <c r="R424" t="str">
        <f t="shared" si="13"/>
        <v>June</v>
      </c>
    </row>
    <row r="425" spans="1:18" x14ac:dyDescent="0.35">
      <c r="A425" t="s">
        <v>426</v>
      </c>
      <c r="B425" t="s">
        <v>377</v>
      </c>
      <c r="C425" t="s">
        <v>63</v>
      </c>
      <c r="D425" t="s">
        <v>378</v>
      </c>
      <c r="E425">
        <v>16824</v>
      </c>
      <c r="F425">
        <v>6620</v>
      </c>
      <c r="G425">
        <v>6283</v>
      </c>
      <c r="H425">
        <v>170</v>
      </c>
      <c r="I425">
        <v>1584</v>
      </c>
      <c r="J425">
        <v>49</v>
      </c>
      <c r="K425" s="1">
        <v>45809</v>
      </c>
      <c r="L425" t="s">
        <v>17</v>
      </c>
      <c r="M425" t="s">
        <v>427</v>
      </c>
      <c r="N425" s="2">
        <f>IFERROR(NHS_A_E[[#This Row],[T1_Over4hrs]]/NHS_A_E[[#This Row],[T1_Attendances]], 0)</f>
        <v>0.37345458868283404</v>
      </c>
      <c r="O425">
        <f>NHS_A_E[[#This Row],[T1_Attendances]]+NHS_A_E[[#This Row],[Other_Attendances]]</f>
        <v>23444</v>
      </c>
      <c r="P425">
        <f>MATCH(LEFT(A425,FIND("-",A425)-1),{"April","May","June","July","August","September","October","November","December","January","February","March"},0)</f>
        <v>3</v>
      </c>
      <c r="Q425" s="3">
        <f t="shared" si="12"/>
        <v>2.9125059438896814E-3</v>
      </c>
      <c r="R425" t="str">
        <f t="shared" si="13"/>
        <v>June</v>
      </c>
    </row>
    <row r="426" spans="1:18" x14ac:dyDescent="0.35">
      <c r="A426" t="s">
        <v>426</v>
      </c>
      <c r="B426" t="s">
        <v>373</v>
      </c>
      <c r="C426" t="s">
        <v>40</v>
      </c>
      <c r="D426" t="s">
        <v>374</v>
      </c>
      <c r="E426">
        <v>13038</v>
      </c>
      <c r="F426">
        <v>0</v>
      </c>
      <c r="G426">
        <v>6606</v>
      </c>
      <c r="H426">
        <v>0</v>
      </c>
      <c r="I426">
        <v>282</v>
      </c>
      <c r="J426">
        <v>518</v>
      </c>
      <c r="K426" s="1">
        <v>45809</v>
      </c>
      <c r="L426" t="s">
        <v>17</v>
      </c>
      <c r="M426" t="s">
        <v>427</v>
      </c>
      <c r="N426" s="2">
        <f>IFERROR(NHS_A_E[[#This Row],[T1_Over4hrs]]/NHS_A_E[[#This Row],[T1_Attendances]], 0)</f>
        <v>0.50667280257708236</v>
      </c>
      <c r="O426">
        <f>NHS_A_E[[#This Row],[T1_Attendances]]+NHS_A_E[[#This Row],[Other_Attendances]]</f>
        <v>13038</v>
      </c>
      <c r="P426">
        <f>MATCH(LEFT(A426,FIND("-",A426)-1),{"April","May","June","July","August","September","October","November","December","January","February","March"},0)</f>
        <v>3</v>
      </c>
      <c r="Q426" s="3">
        <f t="shared" si="12"/>
        <v>3.9730019941708848E-2</v>
      </c>
      <c r="R426" t="str">
        <f t="shared" si="13"/>
        <v>June</v>
      </c>
    </row>
    <row r="427" spans="1:18" x14ac:dyDescent="0.35">
      <c r="A427" t="s">
        <v>426</v>
      </c>
      <c r="B427" t="s">
        <v>409</v>
      </c>
      <c r="C427" t="s">
        <v>15</v>
      </c>
      <c r="D427" t="s">
        <v>410</v>
      </c>
      <c r="E427">
        <v>18050</v>
      </c>
      <c r="F427">
        <v>2451</v>
      </c>
      <c r="G427">
        <v>3527</v>
      </c>
      <c r="H427">
        <v>70</v>
      </c>
      <c r="I427">
        <v>985</v>
      </c>
      <c r="J427">
        <v>172</v>
      </c>
      <c r="K427" s="1">
        <v>45809</v>
      </c>
      <c r="L427" t="s">
        <v>17</v>
      </c>
      <c r="M427" t="s">
        <v>427</v>
      </c>
      <c r="N427" s="2">
        <f>IFERROR(NHS_A_E[[#This Row],[T1_Over4hrs]]/NHS_A_E[[#This Row],[T1_Attendances]], 0)</f>
        <v>0.19540166204986151</v>
      </c>
      <c r="O427">
        <f>NHS_A_E[[#This Row],[T1_Attendances]]+NHS_A_E[[#This Row],[Other_Attendances]]</f>
        <v>20501</v>
      </c>
      <c r="P427">
        <f>MATCH(LEFT(A427,FIND("-",A427)-1),{"April","May","June","July","August","September","October","November","December","January","February","March"},0)</f>
        <v>3</v>
      </c>
      <c r="Q427" s="3">
        <f t="shared" si="12"/>
        <v>9.5290858725761776E-3</v>
      </c>
      <c r="R427" t="str">
        <f t="shared" si="13"/>
        <v>June</v>
      </c>
    </row>
    <row r="428" spans="1:18" x14ac:dyDescent="0.35">
      <c r="A428" t="s">
        <v>426</v>
      </c>
      <c r="B428" t="s">
        <v>177</v>
      </c>
      <c r="C428" t="s">
        <v>63</v>
      </c>
      <c r="D428" t="s">
        <v>178</v>
      </c>
      <c r="E428">
        <v>9584</v>
      </c>
      <c r="F428">
        <v>4415</v>
      </c>
      <c r="G428">
        <v>5539</v>
      </c>
      <c r="H428">
        <v>532</v>
      </c>
      <c r="I428">
        <v>1105</v>
      </c>
      <c r="J428">
        <v>408</v>
      </c>
      <c r="K428" s="1">
        <v>45809</v>
      </c>
      <c r="L428" t="s">
        <v>17</v>
      </c>
      <c r="M428" t="s">
        <v>427</v>
      </c>
      <c r="N428" s="2">
        <f>IFERROR(NHS_A_E[[#This Row],[T1_Over4hrs]]/NHS_A_E[[#This Row],[T1_Attendances]], 0)</f>
        <v>0.57794240400667785</v>
      </c>
      <c r="O428">
        <f>NHS_A_E[[#This Row],[T1_Attendances]]+NHS_A_E[[#This Row],[Other_Attendances]]</f>
        <v>13999</v>
      </c>
      <c r="P428">
        <f>MATCH(LEFT(A428,FIND("-",A428)-1),{"April","May","June","July","August","September","October","November","December","January","February","March"},0)</f>
        <v>3</v>
      </c>
      <c r="Q428" s="3">
        <f t="shared" si="12"/>
        <v>4.2570951585976631E-2</v>
      </c>
      <c r="R428" t="str">
        <f t="shared" si="13"/>
        <v>June</v>
      </c>
    </row>
    <row r="429" spans="1:18" x14ac:dyDescent="0.35">
      <c r="A429" t="s">
        <v>426</v>
      </c>
      <c r="B429" t="s">
        <v>175</v>
      </c>
      <c r="C429" t="s">
        <v>63</v>
      </c>
      <c r="D429" t="s">
        <v>176</v>
      </c>
      <c r="E429">
        <v>4778</v>
      </c>
      <c r="F429">
        <v>11254</v>
      </c>
      <c r="G429">
        <v>2497</v>
      </c>
      <c r="H429">
        <v>49</v>
      </c>
      <c r="I429">
        <v>233</v>
      </c>
      <c r="J429">
        <v>11</v>
      </c>
      <c r="K429" s="1">
        <v>45809</v>
      </c>
      <c r="L429" t="s">
        <v>17</v>
      </c>
      <c r="M429" t="s">
        <v>427</v>
      </c>
      <c r="N429" s="2">
        <f>IFERROR(NHS_A_E[[#This Row],[T1_Over4hrs]]/NHS_A_E[[#This Row],[T1_Attendances]], 0)</f>
        <v>0.52260359983256588</v>
      </c>
      <c r="O429">
        <f>NHS_A_E[[#This Row],[T1_Attendances]]+NHS_A_E[[#This Row],[Other_Attendances]]</f>
        <v>16032</v>
      </c>
      <c r="P429">
        <f>MATCH(LEFT(A429,FIND("-",A429)-1),{"April","May","June","July","August","September","October","November","December","January","February","March"},0)</f>
        <v>3</v>
      </c>
      <c r="Q429" s="3">
        <f t="shared" si="12"/>
        <v>2.3022185014650483E-3</v>
      </c>
      <c r="R429" t="str">
        <f t="shared" si="13"/>
        <v>June</v>
      </c>
    </row>
    <row r="430" spans="1:18" x14ac:dyDescent="0.35">
      <c r="A430" t="s">
        <v>426</v>
      </c>
      <c r="B430" t="s">
        <v>121</v>
      </c>
      <c r="C430" t="s">
        <v>15</v>
      </c>
      <c r="D430" t="s">
        <v>122</v>
      </c>
      <c r="E430">
        <v>7124</v>
      </c>
      <c r="F430">
        <v>3048</v>
      </c>
      <c r="G430">
        <v>3452</v>
      </c>
      <c r="H430">
        <v>26</v>
      </c>
      <c r="I430">
        <v>584</v>
      </c>
      <c r="J430">
        <v>183</v>
      </c>
      <c r="K430" s="1">
        <v>45809</v>
      </c>
      <c r="L430" t="s">
        <v>17</v>
      </c>
      <c r="M430" t="s">
        <v>427</v>
      </c>
      <c r="N430" s="2">
        <f>IFERROR(NHS_A_E[[#This Row],[T1_Over4hrs]]/NHS_A_E[[#This Row],[T1_Attendances]], 0)</f>
        <v>0.4845592363840539</v>
      </c>
      <c r="O430">
        <f>NHS_A_E[[#This Row],[T1_Attendances]]+NHS_A_E[[#This Row],[Other_Attendances]]</f>
        <v>10172</v>
      </c>
      <c r="P430">
        <f>MATCH(LEFT(A430,FIND("-",A430)-1),{"April","May","June","July","August","September","October","November","December","January","February","March"},0)</f>
        <v>3</v>
      </c>
      <c r="Q430" s="3">
        <f t="shared" si="12"/>
        <v>2.5687815833801236E-2</v>
      </c>
      <c r="R430" t="str">
        <f t="shared" si="13"/>
        <v>June</v>
      </c>
    </row>
    <row r="431" spans="1:18" x14ac:dyDescent="0.35">
      <c r="A431" t="s">
        <v>426</v>
      </c>
      <c r="B431" t="s">
        <v>131</v>
      </c>
      <c r="C431" t="s">
        <v>40</v>
      </c>
      <c r="D431" t="s">
        <v>132</v>
      </c>
      <c r="E431">
        <v>18581</v>
      </c>
      <c r="F431">
        <v>9680</v>
      </c>
      <c r="G431">
        <v>8586</v>
      </c>
      <c r="H431">
        <v>0</v>
      </c>
      <c r="I431">
        <v>1059</v>
      </c>
      <c r="J431">
        <v>709</v>
      </c>
      <c r="K431" s="1">
        <v>45809</v>
      </c>
      <c r="L431" t="s">
        <v>17</v>
      </c>
      <c r="M431" t="s">
        <v>427</v>
      </c>
      <c r="N431" s="2">
        <f>IFERROR(NHS_A_E[[#This Row],[T1_Over4hrs]]/NHS_A_E[[#This Row],[T1_Attendances]], 0)</f>
        <v>0.46208492546149293</v>
      </c>
      <c r="O431">
        <f>NHS_A_E[[#This Row],[T1_Attendances]]+NHS_A_E[[#This Row],[Other_Attendances]]</f>
        <v>28261</v>
      </c>
      <c r="P431">
        <f>MATCH(LEFT(A431,FIND("-",A431)-1),{"April","May","June","July","August","September","October","November","December","January","February","March"},0)</f>
        <v>3</v>
      </c>
      <c r="Q431" s="3">
        <f t="shared" si="12"/>
        <v>3.8157257413486897E-2</v>
      </c>
      <c r="R431" t="str">
        <f t="shared" si="13"/>
        <v>June</v>
      </c>
    </row>
    <row r="432" spans="1:18" x14ac:dyDescent="0.35">
      <c r="A432" t="s">
        <v>426</v>
      </c>
      <c r="B432" t="s">
        <v>365</v>
      </c>
      <c r="C432" t="s">
        <v>35</v>
      </c>
      <c r="D432" t="s">
        <v>366</v>
      </c>
      <c r="E432">
        <v>13449</v>
      </c>
      <c r="F432">
        <v>0</v>
      </c>
      <c r="G432">
        <v>3610</v>
      </c>
      <c r="H432">
        <v>0</v>
      </c>
      <c r="I432">
        <v>252</v>
      </c>
      <c r="J432">
        <v>55</v>
      </c>
      <c r="K432" s="1">
        <v>45809</v>
      </c>
      <c r="L432" t="s">
        <v>17</v>
      </c>
      <c r="M432" t="s">
        <v>427</v>
      </c>
      <c r="N432" s="2">
        <f>IFERROR(NHS_A_E[[#This Row],[T1_Over4hrs]]/NHS_A_E[[#This Row],[T1_Attendances]], 0)</f>
        <v>0.26842144397352963</v>
      </c>
      <c r="O432">
        <f>NHS_A_E[[#This Row],[T1_Attendances]]+NHS_A_E[[#This Row],[Other_Attendances]]</f>
        <v>13449</v>
      </c>
      <c r="P432">
        <f>MATCH(LEFT(A432,FIND("-",A432)-1),{"April","May","June","July","August","September","October","November","December","January","February","March"},0)</f>
        <v>3</v>
      </c>
      <c r="Q432" s="3">
        <f t="shared" si="12"/>
        <v>4.0895233846382634E-3</v>
      </c>
      <c r="R432" t="str">
        <f t="shared" si="13"/>
        <v>June</v>
      </c>
    </row>
    <row r="433" spans="1:18" x14ac:dyDescent="0.35">
      <c r="A433" t="s">
        <v>426</v>
      </c>
      <c r="B433" t="s">
        <v>129</v>
      </c>
      <c r="C433" t="s">
        <v>63</v>
      </c>
      <c r="D433" t="s">
        <v>130</v>
      </c>
      <c r="E433">
        <v>14268</v>
      </c>
      <c r="F433">
        <v>4315</v>
      </c>
      <c r="G433">
        <v>4511</v>
      </c>
      <c r="H433">
        <v>15</v>
      </c>
      <c r="I433">
        <v>987</v>
      </c>
      <c r="J433">
        <v>80</v>
      </c>
      <c r="K433" s="1">
        <v>45809</v>
      </c>
      <c r="L433" t="s">
        <v>17</v>
      </c>
      <c r="M433" t="s">
        <v>427</v>
      </c>
      <c r="N433" s="2">
        <f>IFERROR(NHS_A_E[[#This Row],[T1_Over4hrs]]/NHS_A_E[[#This Row],[T1_Attendances]], 0)</f>
        <v>0.31616204093075412</v>
      </c>
      <c r="O433">
        <f>NHS_A_E[[#This Row],[T1_Attendances]]+NHS_A_E[[#This Row],[Other_Attendances]]</f>
        <v>18583</v>
      </c>
      <c r="P433">
        <f>MATCH(LEFT(A433,FIND("-",A433)-1),{"April","May","June","July","August","September","October","November","December","January","February","March"},0)</f>
        <v>3</v>
      </c>
      <c r="Q433" s="3">
        <f t="shared" si="12"/>
        <v>5.6069526212503508E-3</v>
      </c>
      <c r="R433" t="str">
        <f t="shared" si="13"/>
        <v>June</v>
      </c>
    </row>
    <row r="434" spans="1:18" x14ac:dyDescent="0.35">
      <c r="A434" t="s">
        <v>426</v>
      </c>
      <c r="B434" t="s">
        <v>361</v>
      </c>
      <c r="C434" t="s">
        <v>40</v>
      </c>
      <c r="D434" t="s">
        <v>362</v>
      </c>
      <c r="E434">
        <v>9895</v>
      </c>
      <c r="F434">
        <v>8172</v>
      </c>
      <c r="G434">
        <v>3673</v>
      </c>
      <c r="H434">
        <v>135</v>
      </c>
      <c r="I434">
        <v>724</v>
      </c>
      <c r="J434">
        <v>556</v>
      </c>
      <c r="K434" s="1">
        <v>45809</v>
      </c>
      <c r="L434" t="s">
        <v>17</v>
      </c>
      <c r="M434" t="s">
        <v>427</v>
      </c>
      <c r="N434" s="2">
        <f>IFERROR(NHS_A_E[[#This Row],[T1_Over4hrs]]/NHS_A_E[[#This Row],[T1_Attendances]], 0)</f>
        <v>0.37119757453259222</v>
      </c>
      <c r="O434">
        <f>NHS_A_E[[#This Row],[T1_Attendances]]+NHS_A_E[[#This Row],[Other_Attendances]]</f>
        <v>18067</v>
      </c>
      <c r="P434">
        <f>MATCH(LEFT(A434,FIND("-",A434)-1),{"April","May","June","July","August","September","October","November","December","January","February","March"},0)</f>
        <v>3</v>
      </c>
      <c r="Q434" s="3">
        <f t="shared" si="12"/>
        <v>5.6189994946942899E-2</v>
      </c>
      <c r="R434" t="str">
        <f t="shared" si="13"/>
        <v>June</v>
      </c>
    </row>
    <row r="435" spans="1:18" x14ac:dyDescent="0.35">
      <c r="A435" t="s">
        <v>426</v>
      </c>
      <c r="B435" t="s">
        <v>359</v>
      </c>
      <c r="C435" t="s">
        <v>40</v>
      </c>
      <c r="D435" t="s">
        <v>360</v>
      </c>
      <c r="E435">
        <v>10299</v>
      </c>
      <c r="F435">
        <v>3929</v>
      </c>
      <c r="G435">
        <v>2978</v>
      </c>
      <c r="H435">
        <v>25</v>
      </c>
      <c r="I435">
        <v>1724</v>
      </c>
      <c r="J435">
        <v>78</v>
      </c>
      <c r="K435" s="1">
        <v>45809</v>
      </c>
      <c r="L435" t="s">
        <v>17</v>
      </c>
      <c r="M435" t="s">
        <v>427</v>
      </c>
      <c r="N435" s="2">
        <f>IFERROR(NHS_A_E[[#This Row],[T1_Over4hrs]]/NHS_A_E[[#This Row],[T1_Attendances]], 0)</f>
        <v>0.28915428682396349</v>
      </c>
      <c r="O435">
        <f>NHS_A_E[[#This Row],[T1_Attendances]]+NHS_A_E[[#This Row],[Other_Attendances]]</f>
        <v>14228</v>
      </c>
      <c r="P435">
        <f>MATCH(LEFT(A435,FIND("-",A435)-1),{"April","May","June","July","August","September","October","November","December","January","February","March"},0)</f>
        <v>3</v>
      </c>
      <c r="Q435" s="3">
        <f t="shared" si="12"/>
        <v>7.5735508301776871E-3</v>
      </c>
      <c r="R435" t="str">
        <f t="shared" si="13"/>
        <v>June</v>
      </c>
    </row>
    <row r="436" spans="1:18" x14ac:dyDescent="0.35">
      <c r="A436" t="s">
        <v>426</v>
      </c>
      <c r="B436" t="s">
        <v>355</v>
      </c>
      <c r="C436" t="s">
        <v>30</v>
      </c>
      <c r="D436" t="s">
        <v>356</v>
      </c>
      <c r="E436">
        <v>8629</v>
      </c>
      <c r="F436">
        <v>2431</v>
      </c>
      <c r="G436">
        <v>4721</v>
      </c>
      <c r="H436">
        <v>22</v>
      </c>
      <c r="I436">
        <v>376</v>
      </c>
      <c r="J436">
        <v>705</v>
      </c>
      <c r="K436" s="1">
        <v>45809</v>
      </c>
      <c r="L436" t="s">
        <v>17</v>
      </c>
      <c r="M436" t="s">
        <v>427</v>
      </c>
      <c r="N436" s="2">
        <f>IFERROR(NHS_A_E[[#This Row],[T1_Over4hrs]]/NHS_A_E[[#This Row],[T1_Attendances]], 0)</f>
        <v>0.54710858732182177</v>
      </c>
      <c r="O436">
        <f>NHS_A_E[[#This Row],[T1_Attendances]]+NHS_A_E[[#This Row],[Other_Attendances]]</f>
        <v>11060</v>
      </c>
      <c r="P436">
        <f>MATCH(LEFT(A436,FIND("-",A436)-1),{"April","May","June","July","August","September","October","November","December","January","February","March"},0)</f>
        <v>3</v>
      </c>
      <c r="Q436" s="3">
        <f t="shared" si="12"/>
        <v>8.1701240004635536E-2</v>
      </c>
      <c r="R436" t="str">
        <f t="shared" si="13"/>
        <v>June</v>
      </c>
    </row>
    <row r="437" spans="1:18" x14ac:dyDescent="0.35">
      <c r="A437" t="s">
        <v>426</v>
      </c>
      <c r="B437" t="s">
        <v>167</v>
      </c>
      <c r="C437" t="s">
        <v>30</v>
      </c>
      <c r="D437" t="s">
        <v>168</v>
      </c>
      <c r="E437">
        <v>7988</v>
      </c>
      <c r="F437">
        <v>3979</v>
      </c>
      <c r="G437">
        <v>3910</v>
      </c>
      <c r="H437">
        <v>288</v>
      </c>
      <c r="I437">
        <v>545</v>
      </c>
      <c r="J437">
        <v>245</v>
      </c>
      <c r="K437" s="1">
        <v>45809</v>
      </c>
      <c r="L437" t="s">
        <v>17</v>
      </c>
      <c r="M437" t="s">
        <v>427</v>
      </c>
      <c r="N437" s="2">
        <f>IFERROR(NHS_A_E[[#This Row],[T1_Over4hrs]]/NHS_A_E[[#This Row],[T1_Attendances]], 0)</f>
        <v>0.48948422633950928</v>
      </c>
      <c r="O437">
        <f>NHS_A_E[[#This Row],[T1_Attendances]]+NHS_A_E[[#This Row],[Other_Attendances]]</f>
        <v>11967</v>
      </c>
      <c r="P437">
        <f>MATCH(LEFT(A437,FIND("-",A437)-1),{"April","May","June","July","August","September","October","November","December","January","February","March"},0)</f>
        <v>3</v>
      </c>
      <c r="Q437" s="3">
        <f t="shared" si="12"/>
        <v>3.0671006509764648E-2</v>
      </c>
      <c r="R437" t="str">
        <f t="shared" si="13"/>
        <v>June</v>
      </c>
    </row>
    <row r="438" spans="1:18" x14ac:dyDescent="0.35">
      <c r="A438" t="s">
        <v>426</v>
      </c>
      <c r="B438" t="s">
        <v>269</v>
      </c>
      <c r="C438" t="s">
        <v>40</v>
      </c>
      <c r="D438" t="s">
        <v>270</v>
      </c>
      <c r="E438">
        <v>6098</v>
      </c>
      <c r="F438">
        <v>217</v>
      </c>
      <c r="G438">
        <v>2576</v>
      </c>
      <c r="H438">
        <v>0</v>
      </c>
      <c r="I438">
        <v>411</v>
      </c>
      <c r="J438">
        <v>234</v>
      </c>
      <c r="K438" s="1">
        <v>45809</v>
      </c>
      <c r="L438" t="s">
        <v>17</v>
      </c>
      <c r="M438" t="s">
        <v>427</v>
      </c>
      <c r="N438" s="2">
        <f>IFERROR(NHS_A_E[[#This Row],[T1_Over4hrs]]/NHS_A_E[[#This Row],[T1_Attendances]], 0)</f>
        <v>0.42243358478189569</v>
      </c>
      <c r="O438">
        <f>NHS_A_E[[#This Row],[T1_Attendances]]+NHS_A_E[[#This Row],[Other_Attendances]]</f>
        <v>6315</v>
      </c>
      <c r="P438">
        <f>MATCH(LEFT(A438,FIND("-",A438)-1),{"April","May","June","July","August","September","October","November","December","January","February","March"},0)</f>
        <v>3</v>
      </c>
      <c r="Q438" s="3">
        <f t="shared" si="12"/>
        <v>3.8373237126926862E-2</v>
      </c>
      <c r="R438" t="str">
        <f t="shared" si="13"/>
        <v>June</v>
      </c>
    </row>
    <row r="439" spans="1:18" x14ac:dyDescent="0.35">
      <c r="A439" t="s">
        <v>426</v>
      </c>
      <c r="B439" t="s">
        <v>415</v>
      </c>
      <c r="C439" t="s">
        <v>35</v>
      </c>
      <c r="D439" t="s">
        <v>416</v>
      </c>
      <c r="E439">
        <v>15041</v>
      </c>
      <c r="F439">
        <v>9358</v>
      </c>
      <c r="G439">
        <v>6741</v>
      </c>
      <c r="H439">
        <v>547</v>
      </c>
      <c r="I439">
        <v>1619</v>
      </c>
      <c r="J439">
        <v>931</v>
      </c>
      <c r="K439" s="1">
        <v>45809</v>
      </c>
      <c r="L439" t="s">
        <v>17</v>
      </c>
      <c r="M439" t="s">
        <v>427</v>
      </c>
      <c r="N439" s="2">
        <f>IFERROR(NHS_A_E[[#This Row],[T1_Over4hrs]]/NHS_A_E[[#This Row],[T1_Attendances]], 0)</f>
        <v>0.44817498836513531</v>
      </c>
      <c r="O439">
        <f>NHS_A_E[[#This Row],[T1_Attendances]]+NHS_A_E[[#This Row],[Other_Attendances]]</f>
        <v>24399</v>
      </c>
      <c r="P439">
        <f>MATCH(LEFT(A439,FIND("-",A439)-1),{"April","May","June","July","August","September","October","November","December","January","February","March"},0)</f>
        <v>3</v>
      </c>
      <c r="Q439" s="3">
        <f t="shared" si="12"/>
        <v>6.1897480220730001E-2</v>
      </c>
      <c r="R439" t="str">
        <f t="shared" si="13"/>
        <v>June</v>
      </c>
    </row>
    <row r="440" spans="1:18" x14ac:dyDescent="0.35">
      <c r="A440" t="s">
        <v>426</v>
      </c>
      <c r="B440" t="s">
        <v>399</v>
      </c>
      <c r="C440" t="s">
        <v>40</v>
      </c>
      <c r="D440" t="s">
        <v>400</v>
      </c>
      <c r="E440">
        <v>8366</v>
      </c>
      <c r="F440">
        <v>397</v>
      </c>
      <c r="G440">
        <v>2124</v>
      </c>
      <c r="H440">
        <v>0</v>
      </c>
      <c r="I440">
        <v>334</v>
      </c>
      <c r="J440">
        <v>11</v>
      </c>
      <c r="K440" s="1">
        <v>45809</v>
      </c>
      <c r="L440" t="s">
        <v>17</v>
      </c>
      <c r="M440" t="s">
        <v>427</v>
      </c>
      <c r="N440" s="2">
        <f>IFERROR(NHS_A_E[[#This Row],[T1_Over4hrs]]/NHS_A_E[[#This Row],[T1_Attendances]], 0)</f>
        <v>0.25388477169495577</v>
      </c>
      <c r="O440">
        <f>NHS_A_E[[#This Row],[T1_Attendances]]+NHS_A_E[[#This Row],[Other_Attendances]]</f>
        <v>8763</v>
      </c>
      <c r="P440">
        <f>MATCH(LEFT(A440,FIND("-",A440)-1),{"April","May","June","July","August","September","October","November","December","January","February","March"},0)</f>
        <v>3</v>
      </c>
      <c r="Q440" s="3">
        <f t="shared" si="12"/>
        <v>1.3148458044465695E-3</v>
      </c>
      <c r="R440" t="str">
        <f t="shared" si="13"/>
        <v>June</v>
      </c>
    </row>
    <row r="441" spans="1:18" x14ac:dyDescent="0.35">
      <c r="A441" t="s">
        <v>426</v>
      </c>
      <c r="B441" t="s">
        <v>27</v>
      </c>
      <c r="C441" t="s">
        <v>20</v>
      </c>
      <c r="D441" t="s">
        <v>28</v>
      </c>
      <c r="E441">
        <v>7034</v>
      </c>
      <c r="F441">
        <v>13590</v>
      </c>
      <c r="G441">
        <v>3980</v>
      </c>
      <c r="H441">
        <v>916</v>
      </c>
      <c r="I441">
        <v>735</v>
      </c>
      <c r="J441">
        <v>429</v>
      </c>
      <c r="K441" s="1">
        <v>45809</v>
      </c>
      <c r="L441" t="s">
        <v>17</v>
      </c>
      <c r="M441" t="s">
        <v>427</v>
      </c>
      <c r="N441" s="2">
        <f>IFERROR(NHS_A_E[[#This Row],[T1_Over4hrs]]/NHS_A_E[[#This Row],[T1_Attendances]], 0)</f>
        <v>0.56582314472561845</v>
      </c>
      <c r="O441">
        <f>NHS_A_E[[#This Row],[T1_Attendances]]+NHS_A_E[[#This Row],[Other_Attendances]]</f>
        <v>20624</v>
      </c>
      <c r="P441">
        <f>MATCH(LEFT(A441,FIND("-",A441)-1),{"April","May","June","July","August","September","October","November","December","January","February","March"},0)</f>
        <v>3</v>
      </c>
      <c r="Q441" s="3">
        <f t="shared" si="12"/>
        <v>6.0989479670173444E-2</v>
      </c>
      <c r="R441" t="str">
        <f t="shared" si="13"/>
        <v>June</v>
      </c>
    </row>
    <row r="442" spans="1:18" x14ac:dyDescent="0.35">
      <c r="A442" t="s">
        <v>426</v>
      </c>
      <c r="B442" t="s">
        <v>95</v>
      </c>
      <c r="C442" t="s">
        <v>23</v>
      </c>
      <c r="D442" t="s">
        <v>96</v>
      </c>
      <c r="E442">
        <v>8358</v>
      </c>
      <c r="F442">
        <v>4975</v>
      </c>
      <c r="G442">
        <v>3075</v>
      </c>
      <c r="H442">
        <v>10</v>
      </c>
      <c r="I442">
        <v>647</v>
      </c>
      <c r="J442">
        <v>0</v>
      </c>
      <c r="K442" s="1">
        <v>45809</v>
      </c>
      <c r="L442" t="s">
        <v>17</v>
      </c>
      <c r="M442" t="s">
        <v>427</v>
      </c>
      <c r="N442" s="2">
        <f>IFERROR(NHS_A_E[[#This Row],[T1_Over4hrs]]/NHS_A_E[[#This Row],[T1_Attendances]], 0)</f>
        <v>0.36791098348887291</v>
      </c>
      <c r="O442">
        <f>NHS_A_E[[#This Row],[T1_Attendances]]+NHS_A_E[[#This Row],[Other_Attendances]]</f>
        <v>13333</v>
      </c>
      <c r="P442">
        <f>MATCH(LEFT(A442,FIND("-",A442)-1),{"April","May","June","July","August","September","October","November","December","January","February","March"},0)</f>
        <v>3</v>
      </c>
      <c r="Q442" s="3">
        <f t="shared" si="12"/>
        <v>0</v>
      </c>
      <c r="R442" t="str">
        <f t="shared" si="13"/>
        <v>June</v>
      </c>
    </row>
    <row r="443" spans="1:18" x14ac:dyDescent="0.35">
      <c r="A443" t="s">
        <v>426</v>
      </c>
      <c r="B443" t="s">
        <v>161</v>
      </c>
      <c r="C443" t="s">
        <v>30</v>
      </c>
      <c r="D443" t="s">
        <v>162</v>
      </c>
      <c r="E443">
        <v>7306</v>
      </c>
      <c r="F443">
        <v>2848</v>
      </c>
      <c r="G443">
        <v>4083</v>
      </c>
      <c r="H443">
        <v>90</v>
      </c>
      <c r="I443">
        <v>511</v>
      </c>
      <c r="J443">
        <v>427</v>
      </c>
      <c r="K443" s="1">
        <v>45809</v>
      </c>
      <c r="L443" t="s">
        <v>17</v>
      </c>
      <c r="M443" t="s">
        <v>427</v>
      </c>
      <c r="N443" s="2">
        <f>IFERROR(NHS_A_E[[#This Row],[T1_Over4hrs]]/NHS_A_E[[#This Row],[T1_Attendances]], 0)</f>
        <v>0.55885573501231867</v>
      </c>
      <c r="O443">
        <f>NHS_A_E[[#This Row],[T1_Attendances]]+NHS_A_E[[#This Row],[Other_Attendances]]</f>
        <v>10154</v>
      </c>
      <c r="P443">
        <f>MATCH(LEFT(A443,FIND("-",A443)-1),{"April","May","June","July","August","September","October","November","December","January","February","March"},0)</f>
        <v>3</v>
      </c>
      <c r="Q443" s="3">
        <f t="shared" si="12"/>
        <v>5.8445113605255956E-2</v>
      </c>
      <c r="R443" t="str">
        <f t="shared" si="13"/>
        <v>June</v>
      </c>
    </row>
    <row r="444" spans="1:18" x14ac:dyDescent="0.35">
      <c r="A444" t="s">
        <v>426</v>
      </c>
      <c r="B444" t="s">
        <v>387</v>
      </c>
      <c r="C444" t="s">
        <v>35</v>
      </c>
      <c r="D444" t="s">
        <v>388</v>
      </c>
      <c r="E444">
        <v>0</v>
      </c>
      <c r="F444">
        <v>1728</v>
      </c>
      <c r="G444">
        <v>0</v>
      </c>
      <c r="H444">
        <v>60</v>
      </c>
      <c r="I444">
        <v>0</v>
      </c>
      <c r="J444">
        <v>0</v>
      </c>
      <c r="K444" s="1">
        <v>45809</v>
      </c>
      <c r="L444" t="s">
        <v>17</v>
      </c>
      <c r="M444" t="s">
        <v>427</v>
      </c>
      <c r="N444" s="2">
        <f>IFERROR(NHS_A_E[[#This Row],[T1_Over4hrs]]/NHS_A_E[[#This Row],[T1_Attendances]], 0)</f>
        <v>0</v>
      </c>
      <c r="O444">
        <f>NHS_A_E[[#This Row],[T1_Attendances]]+NHS_A_E[[#This Row],[Other_Attendances]]</f>
        <v>1728</v>
      </c>
      <c r="P444">
        <f>MATCH(LEFT(A444,FIND("-",A444)-1),{"April","May","June","July","August","September","October","November","December","January","February","March"},0)</f>
        <v>3</v>
      </c>
      <c r="Q444" s="3">
        <f t="shared" si="12"/>
        <v>0</v>
      </c>
      <c r="R444" t="str">
        <f t="shared" si="13"/>
        <v>June</v>
      </c>
    </row>
    <row r="445" spans="1:18" x14ac:dyDescent="0.35">
      <c r="A445" t="s">
        <v>426</v>
      </c>
      <c r="B445" t="s">
        <v>87</v>
      </c>
      <c r="C445" t="s">
        <v>23</v>
      </c>
      <c r="D445" t="s">
        <v>88</v>
      </c>
      <c r="E445">
        <v>30471</v>
      </c>
      <c r="F445">
        <v>3900</v>
      </c>
      <c r="G445">
        <v>8343</v>
      </c>
      <c r="H445">
        <v>120</v>
      </c>
      <c r="I445">
        <v>2177</v>
      </c>
      <c r="J445">
        <v>165</v>
      </c>
      <c r="K445" s="1">
        <v>45809</v>
      </c>
      <c r="L445" t="s">
        <v>17</v>
      </c>
      <c r="M445" t="s">
        <v>427</v>
      </c>
      <c r="N445" s="2">
        <f>IFERROR(NHS_A_E[[#This Row],[T1_Over4hrs]]/NHS_A_E[[#This Row],[T1_Attendances]], 0)</f>
        <v>0.27380131928719109</v>
      </c>
      <c r="O445">
        <f>NHS_A_E[[#This Row],[T1_Attendances]]+NHS_A_E[[#This Row],[Other_Attendances]]</f>
        <v>34371</v>
      </c>
      <c r="P445">
        <f>MATCH(LEFT(A445,FIND("-",A445)-1),{"April","May","June","July","August","September","October","November","December","January","February","March"},0)</f>
        <v>3</v>
      </c>
      <c r="Q445" s="3">
        <f t="shared" si="12"/>
        <v>5.4149847395884611E-3</v>
      </c>
      <c r="R445" t="str">
        <f t="shared" si="13"/>
        <v>June</v>
      </c>
    </row>
    <row r="446" spans="1:18" x14ac:dyDescent="0.35">
      <c r="A446" t="s">
        <v>426</v>
      </c>
      <c r="B446" t="s">
        <v>333</v>
      </c>
      <c r="C446" t="s">
        <v>30</v>
      </c>
      <c r="D446" t="s">
        <v>334</v>
      </c>
      <c r="E446">
        <v>24752</v>
      </c>
      <c r="F446">
        <v>11652</v>
      </c>
      <c r="G446">
        <v>10611</v>
      </c>
      <c r="H446">
        <v>600</v>
      </c>
      <c r="I446">
        <v>3081</v>
      </c>
      <c r="J446">
        <v>108</v>
      </c>
      <c r="K446" s="1">
        <v>45809</v>
      </c>
      <c r="L446" t="s">
        <v>17</v>
      </c>
      <c r="M446" t="s">
        <v>427</v>
      </c>
      <c r="N446" s="2">
        <f>IFERROR(NHS_A_E[[#This Row],[T1_Over4hrs]]/NHS_A_E[[#This Row],[T1_Attendances]], 0)</f>
        <v>0.42869263089851323</v>
      </c>
      <c r="O446">
        <f>NHS_A_E[[#This Row],[T1_Attendances]]+NHS_A_E[[#This Row],[Other_Attendances]]</f>
        <v>36404</v>
      </c>
      <c r="P446">
        <f>MATCH(LEFT(A446,FIND("-",A446)-1),{"April","May","June","July","August","September","October","November","December","January","February","March"},0)</f>
        <v>3</v>
      </c>
      <c r="Q446" s="3">
        <f t="shared" si="12"/>
        <v>4.363283775048481E-3</v>
      </c>
      <c r="R446" t="str">
        <f t="shared" si="13"/>
        <v>June</v>
      </c>
    </row>
    <row r="447" spans="1:18" x14ac:dyDescent="0.35">
      <c r="A447" t="s">
        <v>426</v>
      </c>
      <c r="B447" t="s">
        <v>379</v>
      </c>
      <c r="C447" t="s">
        <v>63</v>
      </c>
      <c r="D447" t="s">
        <v>380</v>
      </c>
      <c r="E447">
        <v>0</v>
      </c>
      <c r="F447">
        <v>2174</v>
      </c>
      <c r="G447">
        <v>0</v>
      </c>
      <c r="H447">
        <v>9</v>
      </c>
      <c r="I447">
        <v>0</v>
      </c>
      <c r="J447">
        <v>0</v>
      </c>
      <c r="K447" s="1">
        <v>45809</v>
      </c>
      <c r="L447" t="s">
        <v>17</v>
      </c>
      <c r="M447" t="s">
        <v>427</v>
      </c>
      <c r="N447" s="2">
        <f>IFERROR(NHS_A_E[[#This Row],[T1_Over4hrs]]/NHS_A_E[[#This Row],[T1_Attendances]], 0)</f>
        <v>0</v>
      </c>
      <c r="O447">
        <f>NHS_A_E[[#This Row],[T1_Attendances]]+NHS_A_E[[#This Row],[Other_Attendances]]</f>
        <v>2174</v>
      </c>
      <c r="P447">
        <f>MATCH(LEFT(A447,FIND("-",A447)-1),{"April","May","June","July","August","September","October","November","December","January","February","March"},0)</f>
        <v>3</v>
      </c>
      <c r="Q447" s="3">
        <f t="shared" si="12"/>
        <v>0</v>
      </c>
      <c r="R447" t="str">
        <f t="shared" si="13"/>
        <v>June</v>
      </c>
    </row>
    <row r="448" spans="1:18" x14ac:dyDescent="0.35">
      <c r="A448" t="s">
        <v>426</v>
      </c>
      <c r="B448" t="s">
        <v>281</v>
      </c>
      <c r="C448" t="s">
        <v>40</v>
      </c>
      <c r="D448" t="s">
        <v>282</v>
      </c>
      <c r="E448">
        <v>0</v>
      </c>
      <c r="F448">
        <v>6125</v>
      </c>
      <c r="G448">
        <v>0</v>
      </c>
      <c r="H448">
        <v>0</v>
      </c>
      <c r="I448">
        <v>0</v>
      </c>
      <c r="J448">
        <v>0</v>
      </c>
      <c r="K448" s="1">
        <v>45809</v>
      </c>
      <c r="L448" t="s">
        <v>17</v>
      </c>
      <c r="M448" t="s">
        <v>427</v>
      </c>
      <c r="N448" s="2">
        <f>IFERROR(NHS_A_E[[#This Row],[T1_Over4hrs]]/NHS_A_E[[#This Row],[T1_Attendances]], 0)</f>
        <v>0</v>
      </c>
      <c r="O448">
        <f>NHS_A_E[[#This Row],[T1_Attendances]]+NHS_A_E[[#This Row],[Other_Attendances]]</f>
        <v>6125</v>
      </c>
      <c r="P448">
        <f>MATCH(LEFT(A448,FIND("-",A448)-1),{"April","May","June","July","August","September","October","November","December","January","February","March"},0)</f>
        <v>3</v>
      </c>
      <c r="Q448" s="3">
        <f t="shared" si="12"/>
        <v>0</v>
      </c>
      <c r="R448" t="str">
        <f t="shared" si="13"/>
        <v>June</v>
      </c>
    </row>
    <row r="449" spans="1:18" x14ac:dyDescent="0.35">
      <c r="A449" t="s">
        <v>426</v>
      </c>
      <c r="B449" t="s">
        <v>235</v>
      </c>
      <c r="C449" t="s">
        <v>35</v>
      </c>
      <c r="D449" t="s">
        <v>236</v>
      </c>
      <c r="E449">
        <v>11079</v>
      </c>
      <c r="F449">
        <v>0</v>
      </c>
      <c r="G449">
        <v>2188</v>
      </c>
      <c r="H449">
        <v>0</v>
      </c>
      <c r="I449">
        <v>185</v>
      </c>
      <c r="J449">
        <v>23</v>
      </c>
      <c r="K449" s="1">
        <v>45809</v>
      </c>
      <c r="L449" t="s">
        <v>17</v>
      </c>
      <c r="M449" t="s">
        <v>427</v>
      </c>
      <c r="N449" s="2">
        <f>IFERROR(NHS_A_E[[#This Row],[T1_Over4hrs]]/NHS_A_E[[#This Row],[T1_Attendances]], 0)</f>
        <v>0.19749074826247856</v>
      </c>
      <c r="O449">
        <f>NHS_A_E[[#This Row],[T1_Attendances]]+NHS_A_E[[#This Row],[Other_Attendances]]</f>
        <v>11079</v>
      </c>
      <c r="P449">
        <f>MATCH(LEFT(A449,FIND("-",A449)-1),{"April","May","June","July","August","September","October","November","December","January","February","March"},0)</f>
        <v>3</v>
      </c>
      <c r="Q449" s="3">
        <f t="shared" si="12"/>
        <v>2.0759996389565845E-3</v>
      </c>
      <c r="R449" t="str">
        <f t="shared" si="13"/>
        <v>June</v>
      </c>
    </row>
    <row r="450" spans="1:18" x14ac:dyDescent="0.35">
      <c r="A450" t="s">
        <v>426</v>
      </c>
      <c r="B450" t="s">
        <v>261</v>
      </c>
      <c r="C450" t="s">
        <v>15</v>
      </c>
      <c r="D450" t="s">
        <v>262</v>
      </c>
      <c r="E450">
        <v>0</v>
      </c>
      <c r="F450">
        <v>4942</v>
      </c>
      <c r="G450">
        <v>0</v>
      </c>
      <c r="H450">
        <v>0</v>
      </c>
      <c r="I450">
        <v>0</v>
      </c>
      <c r="J450">
        <v>0</v>
      </c>
      <c r="K450" s="1">
        <v>45809</v>
      </c>
      <c r="L450" t="s">
        <v>17</v>
      </c>
      <c r="M450" t="s">
        <v>427</v>
      </c>
      <c r="N450" s="2">
        <f>IFERROR(NHS_A_E[[#This Row],[T1_Over4hrs]]/NHS_A_E[[#This Row],[T1_Attendances]], 0)</f>
        <v>0</v>
      </c>
      <c r="O450">
        <f>NHS_A_E[[#This Row],[T1_Attendances]]+NHS_A_E[[#This Row],[Other_Attendances]]</f>
        <v>4942</v>
      </c>
      <c r="P450">
        <f>MATCH(LEFT(A450,FIND("-",A450)-1),{"April","May","June","July","August","September","October","November","December","January","February","March"},0)</f>
        <v>3</v>
      </c>
      <c r="Q450" s="3">
        <f t="shared" ref="Q450:Q513" si="14">IFERROR(J450/E450,0)</f>
        <v>0</v>
      </c>
      <c r="R450" t="str">
        <f t="shared" ref="R450:R513" si="15">TEXT(A450, "mmmm")</f>
        <v>June</v>
      </c>
    </row>
    <row r="451" spans="1:18" x14ac:dyDescent="0.35">
      <c r="A451" t="s">
        <v>426</v>
      </c>
      <c r="B451" t="s">
        <v>225</v>
      </c>
      <c r="C451" t="s">
        <v>15</v>
      </c>
      <c r="D451" t="s">
        <v>226</v>
      </c>
      <c r="E451">
        <v>0</v>
      </c>
      <c r="F451">
        <v>1793</v>
      </c>
      <c r="G451">
        <v>0</v>
      </c>
      <c r="H451">
        <v>0</v>
      </c>
      <c r="I451">
        <v>0</v>
      </c>
      <c r="J451">
        <v>0</v>
      </c>
      <c r="K451" s="1">
        <v>45809</v>
      </c>
      <c r="L451" t="s">
        <v>17</v>
      </c>
      <c r="M451" t="s">
        <v>427</v>
      </c>
      <c r="N451" s="2">
        <f>IFERROR(NHS_A_E[[#This Row],[T1_Over4hrs]]/NHS_A_E[[#This Row],[T1_Attendances]], 0)</f>
        <v>0</v>
      </c>
      <c r="O451">
        <f>NHS_A_E[[#This Row],[T1_Attendances]]+NHS_A_E[[#This Row],[Other_Attendances]]</f>
        <v>1793</v>
      </c>
      <c r="P451">
        <f>MATCH(LEFT(A451,FIND("-",A451)-1),{"April","May","June","July","August","September","October","November","December","January","February","March"},0)</f>
        <v>3</v>
      </c>
      <c r="Q451" s="3">
        <f t="shared" si="14"/>
        <v>0</v>
      </c>
      <c r="R451" t="str">
        <f t="shared" si="15"/>
        <v>June</v>
      </c>
    </row>
    <row r="452" spans="1:18" x14ac:dyDescent="0.35">
      <c r="A452" t="s">
        <v>426</v>
      </c>
      <c r="B452" t="s">
        <v>239</v>
      </c>
      <c r="C452" t="s">
        <v>35</v>
      </c>
      <c r="D452" t="s">
        <v>240</v>
      </c>
      <c r="E452">
        <v>0</v>
      </c>
      <c r="F452">
        <v>822</v>
      </c>
      <c r="G452">
        <v>0</v>
      </c>
      <c r="H452">
        <v>0</v>
      </c>
      <c r="I452">
        <v>0</v>
      </c>
      <c r="J452">
        <v>0</v>
      </c>
      <c r="K452" s="1">
        <v>45809</v>
      </c>
      <c r="L452" t="s">
        <v>17</v>
      </c>
      <c r="M452" t="s">
        <v>427</v>
      </c>
      <c r="N452" s="2">
        <f>IFERROR(NHS_A_E[[#This Row],[T1_Over4hrs]]/NHS_A_E[[#This Row],[T1_Attendances]], 0)</f>
        <v>0</v>
      </c>
      <c r="O452">
        <f>NHS_A_E[[#This Row],[T1_Attendances]]+NHS_A_E[[#This Row],[Other_Attendances]]</f>
        <v>822</v>
      </c>
      <c r="P452">
        <f>MATCH(LEFT(A452,FIND("-",A452)-1),{"April","May","June","July","August","September","October","November","December","January","February","March"},0)</f>
        <v>3</v>
      </c>
      <c r="Q452" s="3">
        <f t="shared" si="14"/>
        <v>0</v>
      </c>
      <c r="R452" t="str">
        <f t="shared" si="15"/>
        <v>June</v>
      </c>
    </row>
    <row r="453" spans="1:18" x14ac:dyDescent="0.35">
      <c r="A453" t="s">
        <v>426</v>
      </c>
      <c r="B453" t="s">
        <v>305</v>
      </c>
      <c r="C453" t="s">
        <v>30</v>
      </c>
      <c r="D453" t="s">
        <v>306</v>
      </c>
      <c r="E453">
        <v>0</v>
      </c>
      <c r="F453">
        <v>1611</v>
      </c>
      <c r="G453">
        <v>0</v>
      </c>
      <c r="H453">
        <v>0</v>
      </c>
      <c r="I453">
        <v>0</v>
      </c>
      <c r="J453">
        <v>0</v>
      </c>
      <c r="K453" s="1">
        <v>45809</v>
      </c>
      <c r="L453" t="s">
        <v>17</v>
      </c>
      <c r="M453" t="s">
        <v>427</v>
      </c>
      <c r="N453" s="2">
        <f>IFERROR(NHS_A_E[[#This Row],[T1_Over4hrs]]/NHS_A_E[[#This Row],[T1_Attendances]], 0)</f>
        <v>0</v>
      </c>
      <c r="O453">
        <f>NHS_A_E[[#This Row],[T1_Attendances]]+NHS_A_E[[#This Row],[Other_Attendances]]</f>
        <v>1611</v>
      </c>
      <c r="P453">
        <f>MATCH(LEFT(A453,FIND("-",A453)-1),{"April","May","June","July","August","September","October","November","December","January","February","March"},0)</f>
        <v>3</v>
      </c>
      <c r="Q453" s="3">
        <f t="shared" si="14"/>
        <v>0</v>
      </c>
      <c r="R453" t="str">
        <f t="shared" si="15"/>
        <v>June</v>
      </c>
    </row>
    <row r="454" spans="1:18" x14ac:dyDescent="0.35">
      <c r="A454" t="s">
        <v>426</v>
      </c>
      <c r="B454" t="s">
        <v>303</v>
      </c>
      <c r="C454" t="s">
        <v>23</v>
      </c>
      <c r="D454" t="s">
        <v>304</v>
      </c>
      <c r="E454">
        <v>0</v>
      </c>
      <c r="F454">
        <v>2269</v>
      </c>
      <c r="G454">
        <v>0</v>
      </c>
      <c r="H454">
        <v>0</v>
      </c>
      <c r="I454">
        <v>0</v>
      </c>
      <c r="J454">
        <v>0</v>
      </c>
      <c r="K454" s="1">
        <v>45809</v>
      </c>
      <c r="L454" t="s">
        <v>17</v>
      </c>
      <c r="M454" t="s">
        <v>427</v>
      </c>
      <c r="N454" s="2">
        <f>IFERROR(NHS_A_E[[#This Row],[T1_Over4hrs]]/NHS_A_E[[#This Row],[T1_Attendances]], 0)</f>
        <v>0</v>
      </c>
      <c r="O454">
        <f>NHS_A_E[[#This Row],[T1_Attendances]]+NHS_A_E[[#This Row],[Other_Attendances]]</f>
        <v>2269</v>
      </c>
      <c r="P454">
        <f>MATCH(LEFT(A454,FIND("-",A454)-1),{"April","May","June","July","August","September","October","November","December","January","February","March"},0)</f>
        <v>3</v>
      </c>
      <c r="Q454" s="3">
        <f t="shared" si="14"/>
        <v>0</v>
      </c>
      <c r="R454" t="str">
        <f t="shared" si="15"/>
        <v>June</v>
      </c>
    </row>
    <row r="455" spans="1:18" x14ac:dyDescent="0.35">
      <c r="A455" t="s">
        <v>426</v>
      </c>
      <c r="B455" t="s">
        <v>255</v>
      </c>
      <c r="C455" t="s">
        <v>15</v>
      </c>
      <c r="D455" t="s">
        <v>256</v>
      </c>
      <c r="E455">
        <v>0</v>
      </c>
      <c r="F455">
        <v>0</v>
      </c>
      <c r="G455">
        <v>0</v>
      </c>
      <c r="H455">
        <v>0</v>
      </c>
      <c r="I455">
        <v>0</v>
      </c>
      <c r="J455">
        <v>0</v>
      </c>
      <c r="K455" s="1">
        <v>45809</v>
      </c>
      <c r="L455" t="s">
        <v>17</v>
      </c>
      <c r="M455" t="s">
        <v>427</v>
      </c>
      <c r="N455" s="2">
        <f>IFERROR(NHS_A_E[[#This Row],[T1_Over4hrs]]/NHS_A_E[[#This Row],[T1_Attendances]], 0)</f>
        <v>0</v>
      </c>
      <c r="O455">
        <f>NHS_A_E[[#This Row],[T1_Attendances]]+NHS_A_E[[#This Row],[Other_Attendances]]</f>
        <v>0</v>
      </c>
      <c r="P455">
        <f>MATCH(LEFT(A455,FIND("-",A455)-1),{"April","May","June","July","August","September","October","November","December","January","February","March"},0)</f>
        <v>3</v>
      </c>
      <c r="Q455" s="3">
        <f t="shared" si="14"/>
        <v>0</v>
      </c>
      <c r="R455" t="str">
        <f t="shared" si="15"/>
        <v>June</v>
      </c>
    </row>
    <row r="456" spans="1:18" x14ac:dyDescent="0.35">
      <c r="A456" t="s">
        <v>426</v>
      </c>
      <c r="B456" t="s">
        <v>301</v>
      </c>
      <c r="C456" t="s">
        <v>30</v>
      </c>
      <c r="D456" t="s">
        <v>302</v>
      </c>
      <c r="E456">
        <v>0</v>
      </c>
      <c r="F456">
        <v>4352</v>
      </c>
      <c r="G456">
        <v>0</v>
      </c>
      <c r="H456">
        <v>273</v>
      </c>
      <c r="I456">
        <v>0</v>
      </c>
      <c r="J456">
        <v>0</v>
      </c>
      <c r="K456" s="1">
        <v>45809</v>
      </c>
      <c r="L456" t="s">
        <v>17</v>
      </c>
      <c r="M456" t="s">
        <v>427</v>
      </c>
      <c r="N456" s="2">
        <f>IFERROR(NHS_A_E[[#This Row],[T1_Over4hrs]]/NHS_A_E[[#This Row],[T1_Attendances]], 0)</f>
        <v>0</v>
      </c>
      <c r="O456">
        <f>NHS_A_E[[#This Row],[T1_Attendances]]+NHS_A_E[[#This Row],[Other_Attendances]]</f>
        <v>4352</v>
      </c>
      <c r="P456">
        <f>MATCH(LEFT(A456,FIND("-",A456)-1),{"April","May","June","July","August","September","October","November","December","January","February","March"},0)</f>
        <v>3</v>
      </c>
      <c r="Q456" s="3">
        <f t="shared" si="14"/>
        <v>0</v>
      </c>
      <c r="R456" t="str">
        <f t="shared" si="15"/>
        <v>June</v>
      </c>
    </row>
    <row r="457" spans="1:18" x14ac:dyDescent="0.35">
      <c r="A457" t="s">
        <v>426</v>
      </c>
      <c r="B457" t="s">
        <v>299</v>
      </c>
      <c r="C457" t="s">
        <v>63</v>
      </c>
      <c r="D457" t="s">
        <v>300</v>
      </c>
      <c r="E457">
        <v>16287</v>
      </c>
      <c r="F457">
        <v>0</v>
      </c>
      <c r="G457">
        <v>2692</v>
      </c>
      <c r="H457">
        <v>0</v>
      </c>
      <c r="I457">
        <v>652</v>
      </c>
      <c r="J457">
        <v>7</v>
      </c>
      <c r="K457" s="1">
        <v>45809</v>
      </c>
      <c r="L457" t="s">
        <v>17</v>
      </c>
      <c r="M457" t="s">
        <v>427</v>
      </c>
      <c r="N457" s="2">
        <f>IFERROR(NHS_A_E[[#This Row],[T1_Over4hrs]]/NHS_A_E[[#This Row],[T1_Attendances]], 0)</f>
        <v>0.16528519678271014</v>
      </c>
      <c r="O457">
        <f>NHS_A_E[[#This Row],[T1_Attendances]]+NHS_A_E[[#This Row],[Other_Attendances]]</f>
        <v>16287</v>
      </c>
      <c r="P457">
        <f>MATCH(LEFT(A457,FIND("-",A457)-1),{"April","May","June","July","August","September","October","November","December","January","February","March"},0)</f>
        <v>3</v>
      </c>
      <c r="Q457" s="3">
        <f t="shared" si="14"/>
        <v>4.2979063056425369E-4</v>
      </c>
      <c r="R457" t="str">
        <f t="shared" si="15"/>
        <v>June</v>
      </c>
    </row>
    <row r="458" spans="1:18" x14ac:dyDescent="0.35">
      <c r="A458" t="s">
        <v>426</v>
      </c>
      <c r="B458" t="s">
        <v>295</v>
      </c>
      <c r="C458" t="s">
        <v>15</v>
      </c>
      <c r="D458" t="s">
        <v>296</v>
      </c>
      <c r="E458">
        <v>10423</v>
      </c>
      <c r="F458">
        <v>0</v>
      </c>
      <c r="G458">
        <v>3709</v>
      </c>
      <c r="H458">
        <v>0</v>
      </c>
      <c r="I458">
        <v>486</v>
      </c>
      <c r="J458">
        <v>587</v>
      </c>
      <c r="K458" s="1">
        <v>45809</v>
      </c>
      <c r="L458" t="s">
        <v>17</v>
      </c>
      <c r="M458" t="s">
        <v>427</v>
      </c>
      <c r="N458" s="2">
        <f>IFERROR(NHS_A_E[[#This Row],[T1_Over4hrs]]/NHS_A_E[[#This Row],[T1_Attendances]], 0)</f>
        <v>0.3558476446320637</v>
      </c>
      <c r="O458">
        <f>NHS_A_E[[#This Row],[T1_Attendances]]+NHS_A_E[[#This Row],[Other_Attendances]]</f>
        <v>10423</v>
      </c>
      <c r="P458">
        <f>MATCH(LEFT(A458,FIND("-",A458)-1),{"April","May","June","July","August","September","October","November","December","January","February","March"},0)</f>
        <v>3</v>
      </c>
      <c r="Q458" s="3">
        <f t="shared" si="14"/>
        <v>5.6317758802647992E-2</v>
      </c>
      <c r="R458" t="str">
        <f t="shared" si="15"/>
        <v>June</v>
      </c>
    </row>
    <row r="459" spans="1:18" x14ac:dyDescent="0.35">
      <c r="A459" t="s">
        <v>426</v>
      </c>
      <c r="B459" t="s">
        <v>313</v>
      </c>
      <c r="C459" t="s">
        <v>20</v>
      </c>
      <c r="D459" t="s">
        <v>314</v>
      </c>
      <c r="E459">
        <v>0</v>
      </c>
      <c r="F459">
        <v>0</v>
      </c>
      <c r="G459">
        <v>0</v>
      </c>
      <c r="H459">
        <v>0</v>
      </c>
      <c r="I459">
        <v>0</v>
      </c>
      <c r="J459">
        <v>0</v>
      </c>
      <c r="K459" s="1">
        <v>45809</v>
      </c>
      <c r="L459" t="s">
        <v>17</v>
      </c>
      <c r="M459" t="s">
        <v>427</v>
      </c>
      <c r="N459" s="2">
        <f>IFERROR(NHS_A_E[[#This Row],[T1_Over4hrs]]/NHS_A_E[[#This Row],[T1_Attendances]], 0)</f>
        <v>0</v>
      </c>
      <c r="O459">
        <f>NHS_A_E[[#This Row],[T1_Attendances]]+NHS_A_E[[#This Row],[Other_Attendances]]</f>
        <v>0</v>
      </c>
      <c r="P459">
        <f>MATCH(LEFT(A459,FIND("-",A459)-1),{"April","May","June","July","August","September","October","November","December","January","February","March"},0)</f>
        <v>3</v>
      </c>
      <c r="Q459" s="3">
        <f t="shared" si="14"/>
        <v>0</v>
      </c>
      <c r="R459" t="str">
        <f t="shared" si="15"/>
        <v>June</v>
      </c>
    </row>
    <row r="460" spans="1:18" x14ac:dyDescent="0.35">
      <c r="A460" t="s">
        <v>426</v>
      </c>
      <c r="B460" t="s">
        <v>291</v>
      </c>
      <c r="C460" t="s">
        <v>63</v>
      </c>
      <c r="D460" t="s">
        <v>292</v>
      </c>
      <c r="E460">
        <v>5412</v>
      </c>
      <c r="F460">
        <v>1105</v>
      </c>
      <c r="G460">
        <v>1498</v>
      </c>
      <c r="H460">
        <v>0</v>
      </c>
      <c r="I460">
        <v>165</v>
      </c>
      <c r="J460">
        <v>5</v>
      </c>
      <c r="K460" s="1">
        <v>45809</v>
      </c>
      <c r="L460" t="s">
        <v>17</v>
      </c>
      <c r="M460" t="s">
        <v>427</v>
      </c>
      <c r="N460" s="2">
        <f>IFERROR(NHS_A_E[[#This Row],[T1_Over4hrs]]/NHS_A_E[[#This Row],[T1_Attendances]], 0)</f>
        <v>0.27679231337767923</v>
      </c>
      <c r="O460">
        <f>NHS_A_E[[#This Row],[T1_Attendances]]+NHS_A_E[[#This Row],[Other_Attendances]]</f>
        <v>6517</v>
      </c>
      <c r="P460">
        <f>MATCH(LEFT(A460,FIND("-",A460)-1),{"April","May","June","July","August","September","October","November","December","January","February","March"},0)</f>
        <v>3</v>
      </c>
      <c r="Q460" s="3">
        <f t="shared" si="14"/>
        <v>9.2387287509238729E-4</v>
      </c>
      <c r="R460" t="str">
        <f t="shared" si="15"/>
        <v>June</v>
      </c>
    </row>
    <row r="461" spans="1:18" x14ac:dyDescent="0.35">
      <c r="A461" t="s">
        <v>426</v>
      </c>
      <c r="B461" t="s">
        <v>289</v>
      </c>
      <c r="C461" t="s">
        <v>30</v>
      </c>
      <c r="D461" t="s">
        <v>290</v>
      </c>
      <c r="E461">
        <v>0</v>
      </c>
      <c r="F461">
        <v>0</v>
      </c>
      <c r="G461">
        <v>0</v>
      </c>
      <c r="H461">
        <v>0</v>
      </c>
      <c r="I461">
        <v>0</v>
      </c>
      <c r="J461">
        <v>0</v>
      </c>
      <c r="K461" s="1">
        <v>45809</v>
      </c>
      <c r="L461" t="s">
        <v>17</v>
      </c>
      <c r="M461" t="s">
        <v>427</v>
      </c>
      <c r="N461" s="2">
        <f>IFERROR(NHS_A_E[[#This Row],[T1_Over4hrs]]/NHS_A_E[[#This Row],[T1_Attendances]], 0)</f>
        <v>0</v>
      </c>
      <c r="O461">
        <f>NHS_A_E[[#This Row],[T1_Attendances]]+NHS_A_E[[#This Row],[Other_Attendances]]</f>
        <v>0</v>
      </c>
      <c r="P461">
        <f>MATCH(LEFT(A461,FIND("-",A461)-1),{"April","May","June","July","August","September","October","November","December","January","February","March"},0)</f>
        <v>3</v>
      </c>
      <c r="Q461" s="3">
        <f t="shared" si="14"/>
        <v>0</v>
      </c>
      <c r="R461" t="str">
        <f t="shared" si="15"/>
        <v>June</v>
      </c>
    </row>
    <row r="462" spans="1:18" x14ac:dyDescent="0.35">
      <c r="A462" t="s">
        <v>426</v>
      </c>
      <c r="B462" t="s">
        <v>249</v>
      </c>
      <c r="C462" t="s">
        <v>20</v>
      </c>
      <c r="D462" t="s">
        <v>250</v>
      </c>
      <c r="E462">
        <v>6570</v>
      </c>
      <c r="F462">
        <v>3704</v>
      </c>
      <c r="G462">
        <v>2841</v>
      </c>
      <c r="H462">
        <v>8</v>
      </c>
      <c r="I462">
        <v>273</v>
      </c>
      <c r="J462">
        <v>70</v>
      </c>
      <c r="K462" s="1">
        <v>45809</v>
      </c>
      <c r="L462" t="s">
        <v>17</v>
      </c>
      <c r="M462" t="s">
        <v>427</v>
      </c>
      <c r="N462" s="2">
        <f>IFERROR(NHS_A_E[[#This Row],[T1_Over4hrs]]/NHS_A_E[[#This Row],[T1_Attendances]], 0)</f>
        <v>0.43242009132420089</v>
      </c>
      <c r="O462">
        <f>NHS_A_E[[#This Row],[T1_Attendances]]+NHS_A_E[[#This Row],[Other_Attendances]]</f>
        <v>10274</v>
      </c>
      <c r="P462">
        <f>MATCH(LEFT(A462,FIND("-",A462)-1),{"April","May","June","July","August","September","October","November","December","January","February","March"},0)</f>
        <v>3</v>
      </c>
      <c r="Q462" s="3">
        <f t="shared" si="14"/>
        <v>1.06544901065449E-2</v>
      </c>
      <c r="R462" t="str">
        <f t="shared" si="15"/>
        <v>June</v>
      </c>
    </row>
    <row r="463" spans="1:18" x14ac:dyDescent="0.35">
      <c r="A463" t="s">
        <v>426</v>
      </c>
      <c r="B463" t="s">
        <v>279</v>
      </c>
      <c r="C463" t="s">
        <v>15</v>
      </c>
      <c r="D463" t="s">
        <v>280</v>
      </c>
      <c r="E463">
        <v>0</v>
      </c>
      <c r="F463">
        <v>2655</v>
      </c>
      <c r="G463">
        <v>0</v>
      </c>
      <c r="H463">
        <v>195</v>
      </c>
      <c r="I463">
        <v>0</v>
      </c>
      <c r="J463">
        <v>0</v>
      </c>
      <c r="K463" s="1">
        <v>45809</v>
      </c>
      <c r="L463" t="s">
        <v>17</v>
      </c>
      <c r="M463" t="s">
        <v>427</v>
      </c>
      <c r="N463" s="2">
        <f>IFERROR(NHS_A_E[[#This Row],[T1_Over4hrs]]/NHS_A_E[[#This Row],[T1_Attendances]], 0)</f>
        <v>0</v>
      </c>
      <c r="O463">
        <f>NHS_A_E[[#This Row],[T1_Attendances]]+NHS_A_E[[#This Row],[Other_Attendances]]</f>
        <v>2655</v>
      </c>
      <c r="P463">
        <f>MATCH(LEFT(A463,FIND("-",A463)-1),{"April","May","June","July","August","September","October","November","December","January","February","March"},0)</f>
        <v>3</v>
      </c>
      <c r="Q463" s="3">
        <f t="shared" si="14"/>
        <v>0</v>
      </c>
      <c r="R463" t="str">
        <f t="shared" si="15"/>
        <v>June</v>
      </c>
    </row>
    <row r="464" spans="1:18" x14ac:dyDescent="0.35">
      <c r="A464" t="s">
        <v>426</v>
      </c>
      <c r="B464" t="s">
        <v>277</v>
      </c>
      <c r="C464" t="s">
        <v>15</v>
      </c>
      <c r="D464" t="s">
        <v>278</v>
      </c>
      <c r="E464">
        <v>0</v>
      </c>
      <c r="F464">
        <v>2273</v>
      </c>
      <c r="G464">
        <v>0</v>
      </c>
      <c r="H464">
        <v>278</v>
      </c>
      <c r="I464">
        <v>0</v>
      </c>
      <c r="J464">
        <v>0</v>
      </c>
      <c r="K464" s="1">
        <v>45809</v>
      </c>
      <c r="L464" t="s">
        <v>17</v>
      </c>
      <c r="M464" t="s">
        <v>427</v>
      </c>
      <c r="N464" s="2">
        <f>IFERROR(NHS_A_E[[#This Row],[T1_Over4hrs]]/NHS_A_E[[#This Row],[T1_Attendances]], 0)</f>
        <v>0</v>
      </c>
      <c r="O464">
        <f>NHS_A_E[[#This Row],[T1_Attendances]]+NHS_A_E[[#This Row],[Other_Attendances]]</f>
        <v>2273</v>
      </c>
      <c r="P464">
        <f>MATCH(LEFT(A464,FIND("-",A464)-1),{"April","May","June","July","August","September","October","November","December","January","February","March"},0)</f>
        <v>3</v>
      </c>
      <c r="Q464" s="3">
        <f t="shared" si="14"/>
        <v>0</v>
      </c>
      <c r="R464" t="str">
        <f t="shared" si="15"/>
        <v>June</v>
      </c>
    </row>
    <row r="465" spans="1:18" x14ac:dyDescent="0.35">
      <c r="A465" t="s">
        <v>426</v>
      </c>
      <c r="B465" t="s">
        <v>287</v>
      </c>
      <c r="C465" t="s">
        <v>40</v>
      </c>
      <c r="D465" t="s">
        <v>288</v>
      </c>
      <c r="E465">
        <v>0</v>
      </c>
      <c r="F465">
        <v>2962</v>
      </c>
      <c r="G465">
        <v>0</v>
      </c>
      <c r="H465">
        <v>0</v>
      </c>
      <c r="I465">
        <v>0</v>
      </c>
      <c r="J465">
        <v>0</v>
      </c>
      <c r="K465" s="1">
        <v>45809</v>
      </c>
      <c r="L465" t="s">
        <v>17</v>
      </c>
      <c r="M465" t="s">
        <v>427</v>
      </c>
      <c r="N465" s="2">
        <f>IFERROR(NHS_A_E[[#This Row],[T1_Over4hrs]]/NHS_A_E[[#This Row],[T1_Attendances]], 0)</f>
        <v>0</v>
      </c>
      <c r="O465">
        <f>NHS_A_E[[#This Row],[T1_Attendances]]+NHS_A_E[[#This Row],[Other_Attendances]]</f>
        <v>2962</v>
      </c>
      <c r="P465">
        <f>MATCH(LEFT(A465,FIND("-",A465)-1),{"April","May","June","July","August","September","October","November","December","January","February","March"},0)</f>
        <v>3</v>
      </c>
      <c r="Q465" s="3">
        <f t="shared" si="14"/>
        <v>0</v>
      </c>
      <c r="R465" t="str">
        <f t="shared" si="15"/>
        <v>June</v>
      </c>
    </row>
    <row r="466" spans="1:18" x14ac:dyDescent="0.35">
      <c r="A466" t="s">
        <v>426</v>
      </c>
      <c r="B466" t="s">
        <v>285</v>
      </c>
      <c r="C466" t="s">
        <v>40</v>
      </c>
      <c r="D466" t="s">
        <v>286</v>
      </c>
      <c r="E466">
        <v>0</v>
      </c>
      <c r="F466">
        <v>426</v>
      </c>
      <c r="G466">
        <v>0</v>
      </c>
      <c r="H466">
        <v>0</v>
      </c>
      <c r="I466">
        <v>0</v>
      </c>
      <c r="J466">
        <v>0</v>
      </c>
      <c r="K466" s="1">
        <v>45809</v>
      </c>
      <c r="L466" t="s">
        <v>17</v>
      </c>
      <c r="M466" t="s">
        <v>427</v>
      </c>
      <c r="N466" s="2">
        <f>IFERROR(NHS_A_E[[#This Row],[T1_Over4hrs]]/NHS_A_E[[#This Row],[T1_Attendances]], 0)</f>
        <v>0</v>
      </c>
      <c r="O466">
        <f>NHS_A_E[[#This Row],[T1_Attendances]]+NHS_A_E[[#This Row],[Other_Attendances]]</f>
        <v>426</v>
      </c>
      <c r="P466">
        <f>MATCH(LEFT(A466,FIND("-",A466)-1),{"April","May","June","July","August","September","October","November","December","January","February","March"},0)</f>
        <v>3</v>
      </c>
      <c r="Q466" s="3">
        <f t="shared" si="14"/>
        <v>0</v>
      </c>
      <c r="R466" t="str">
        <f t="shared" si="15"/>
        <v>June</v>
      </c>
    </row>
    <row r="467" spans="1:18" x14ac:dyDescent="0.35">
      <c r="A467" t="s">
        <v>426</v>
      </c>
      <c r="B467" t="s">
        <v>283</v>
      </c>
      <c r="C467" t="s">
        <v>15</v>
      </c>
      <c r="D467" t="s">
        <v>284</v>
      </c>
      <c r="E467">
        <v>0</v>
      </c>
      <c r="F467">
        <v>3421</v>
      </c>
      <c r="G467">
        <v>0</v>
      </c>
      <c r="H467">
        <v>104</v>
      </c>
      <c r="I467">
        <v>0</v>
      </c>
      <c r="J467">
        <v>0</v>
      </c>
      <c r="K467" s="1">
        <v>45809</v>
      </c>
      <c r="L467" t="s">
        <v>17</v>
      </c>
      <c r="M467" t="s">
        <v>427</v>
      </c>
      <c r="N467" s="2">
        <f>IFERROR(NHS_A_E[[#This Row],[T1_Over4hrs]]/NHS_A_E[[#This Row],[T1_Attendances]], 0)</f>
        <v>0</v>
      </c>
      <c r="O467">
        <f>NHS_A_E[[#This Row],[T1_Attendances]]+NHS_A_E[[#This Row],[Other_Attendances]]</f>
        <v>3421</v>
      </c>
      <c r="P467">
        <f>MATCH(LEFT(A467,FIND("-",A467)-1),{"April","May","June","July","August","September","October","November","December","January","February","March"},0)</f>
        <v>3</v>
      </c>
      <c r="Q467" s="3">
        <f t="shared" si="14"/>
        <v>0</v>
      </c>
      <c r="R467" t="str">
        <f t="shared" si="15"/>
        <v>June</v>
      </c>
    </row>
    <row r="468" spans="1:18" x14ac:dyDescent="0.35">
      <c r="A468" t="s">
        <v>426</v>
      </c>
      <c r="B468" t="s">
        <v>321</v>
      </c>
      <c r="C468" t="s">
        <v>20</v>
      </c>
      <c r="D468" t="s">
        <v>322</v>
      </c>
      <c r="E468">
        <v>0</v>
      </c>
      <c r="F468">
        <v>611</v>
      </c>
      <c r="G468">
        <v>0</v>
      </c>
      <c r="H468">
        <v>0</v>
      </c>
      <c r="I468">
        <v>0</v>
      </c>
      <c r="J468">
        <v>0</v>
      </c>
      <c r="K468" s="1">
        <v>45809</v>
      </c>
      <c r="L468" t="s">
        <v>17</v>
      </c>
      <c r="M468" t="s">
        <v>427</v>
      </c>
      <c r="N468" s="2">
        <f>IFERROR(NHS_A_E[[#This Row],[T1_Over4hrs]]/NHS_A_E[[#This Row],[T1_Attendances]], 0)</f>
        <v>0</v>
      </c>
      <c r="O468">
        <f>NHS_A_E[[#This Row],[T1_Attendances]]+NHS_A_E[[#This Row],[Other_Attendances]]</f>
        <v>611</v>
      </c>
      <c r="P468">
        <f>MATCH(LEFT(A468,FIND("-",A468)-1),{"April","May","June","July","August","September","October","November","December","January","February","March"},0)</f>
        <v>3</v>
      </c>
      <c r="Q468" s="3">
        <f t="shared" si="14"/>
        <v>0</v>
      </c>
      <c r="R468" t="str">
        <f t="shared" si="15"/>
        <v>June</v>
      </c>
    </row>
    <row r="469" spans="1:18" x14ac:dyDescent="0.35">
      <c r="A469" t="s">
        <v>426</v>
      </c>
      <c r="B469" t="s">
        <v>127</v>
      </c>
      <c r="C469" t="s">
        <v>15</v>
      </c>
      <c r="D469" t="s">
        <v>128</v>
      </c>
      <c r="E469">
        <v>0</v>
      </c>
      <c r="F469">
        <v>1793</v>
      </c>
      <c r="G469">
        <v>0</v>
      </c>
      <c r="H469">
        <v>1</v>
      </c>
      <c r="I469">
        <v>0</v>
      </c>
      <c r="J469">
        <v>0</v>
      </c>
      <c r="K469" s="1">
        <v>45809</v>
      </c>
      <c r="L469" t="s">
        <v>17</v>
      </c>
      <c r="M469" t="s">
        <v>427</v>
      </c>
      <c r="N469" s="2">
        <f>IFERROR(NHS_A_E[[#This Row],[T1_Over4hrs]]/NHS_A_E[[#This Row],[T1_Attendances]], 0)</f>
        <v>0</v>
      </c>
      <c r="O469">
        <f>NHS_A_E[[#This Row],[T1_Attendances]]+NHS_A_E[[#This Row],[Other_Attendances]]</f>
        <v>1793</v>
      </c>
      <c r="P469">
        <f>MATCH(LEFT(A469,FIND("-",A469)-1),{"April","May","June","July","August","September","October","November","December","January","February","March"},0)</f>
        <v>3</v>
      </c>
      <c r="Q469" s="3">
        <f t="shared" si="14"/>
        <v>0</v>
      </c>
      <c r="R469" t="str">
        <f t="shared" si="15"/>
        <v>June</v>
      </c>
    </row>
    <row r="470" spans="1:18" x14ac:dyDescent="0.35">
      <c r="A470" t="s">
        <v>426</v>
      </c>
      <c r="B470" t="s">
        <v>207</v>
      </c>
      <c r="C470" t="s">
        <v>15</v>
      </c>
      <c r="D470" t="s">
        <v>208</v>
      </c>
      <c r="E470">
        <v>26467</v>
      </c>
      <c r="F470">
        <v>1927</v>
      </c>
      <c r="G470">
        <v>9334</v>
      </c>
      <c r="H470">
        <v>217</v>
      </c>
      <c r="I470">
        <v>663</v>
      </c>
      <c r="J470">
        <v>514</v>
      </c>
      <c r="K470" s="1">
        <v>45809</v>
      </c>
      <c r="L470" t="s">
        <v>17</v>
      </c>
      <c r="M470" t="s">
        <v>427</v>
      </c>
      <c r="N470" s="2">
        <f>IFERROR(NHS_A_E[[#This Row],[T1_Over4hrs]]/NHS_A_E[[#This Row],[T1_Attendances]], 0)</f>
        <v>0.35266558355688216</v>
      </c>
      <c r="O470">
        <f>NHS_A_E[[#This Row],[T1_Attendances]]+NHS_A_E[[#This Row],[Other_Attendances]]</f>
        <v>28394</v>
      </c>
      <c r="P470">
        <f>MATCH(LEFT(A470,FIND("-",A470)-1),{"April","May","June","July","August","September","October","November","December","January","February","March"},0)</f>
        <v>3</v>
      </c>
      <c r="Q470" s="3">
        <f t="shared" si="14"/>
        <v>1.9420410322288133E-2</v>
      </c>
      <c r="R470" t="str">
        <f t="shared" si="15"/>
        <v>June</v>
      </c>
    </row>
    <row r="471" spans="1:18" x14ac:dyDescent="0.35">
      <c r="A471" t="s">
        <v>426</v>
      </c>
      <c r="B471" t="s">
        <v>381</v>
      </c>
      <c r="C471" t="s">
        <v>40</v>
      </c>
      <c r="D471" t="s">
        <v>382</v>
      </c>
      <c r="E471">
        <v>0</v>
      </c>
      <c r="F471">
        <v>336</v>
      </c>
      <c r="G471">
        <v>0</v>
      </c>
      <c r="H471">
        <v>0</v>
      </c>
      <c r="I471">
        <v>0</v>
      </c>
      <c r="J471">
        <v>0</v>
      </c>
      <c r="K471" s="1">
        <v>45809</v>
      </c>
      <c r="L471" t="s">
        <v>17</v>
      </c>
      <c r="M471" t="s">
        <v>427</v>
      </c>
      <c r="N471" s="2">
        <f>IFERROR(NHS_A_E[[#This Row],[T1_Over4hrs]]/NHS_A_E[[#This Row],[T1_Attendances]], 0)</f>
        <v>0</v>
      </c>
      <c r="O471">
        <f>NHS_A_E[[#This Row],[T1_Attendances]]+NHS_A_E[[#This Row],[Other_Attendances]]</f>
        <v>336</v>
      </c>
      <c r="P471">
        <f>MATCH(LEFT(A471,FIND("-",A471)-1),{"April","May","June","July","August","September","October","November","December","January","February","March"},0)</f>
        <v>3</v>
      </c>
      <c r="Q471" s="3">
        <f t="shared" si="14"/>
        <v>0</v>
      </c>
      <c r="R471" t="str">
        <f t="shared" si="15"/>
        <v>June</v>
      </c>
    </row>
    <row r="472" spans="1:18" x14ac:dyDescent="0.35">
      <c r="A472" t="s">
        <v>426</v>
      </c>
      <c r="B472" t="s">
        <v>14</v>
      </c>
      <c r="C472" t="s">
        <v>15</v>
      </c>
      <c r="D472" t="s">
        <v>16</v>
      </c>
      <c r="E472">
        <v>0</v>
      </c>
      <c r="F472">
        <v>2636</v>
      </c>
      <c r="G472">
        <v>0</v>
      </c>
      <c r="H472">
        <v>0</v>
      </c>
      <c r="I472">
        <v>0</v>
      </c>
      <c r="J472">
        <v>0</v>
      </c>
      <c r="K472" s="1">
        <v>45809</v>
      </c>
      <c r="L472" t="s">
        <v>17</v>
      </c>
      <c r="M472" t="s">
        <v>427</v>
      </c>
      <c r="N472" s="2">
        <f>IFERROR(NHS_A_E[[#This Row],[T1_Over4hrs]]/NHS_A_E[[#This Row],[T1_Attendances]], 0)</f>
        <v>0</v>
      </c>
      <c r="O472">
        <f>NHS_A_E[[#This Row],[T1_Attendances]]+NHS_A_E[[#This Row],[Other_Attendances]]</f>
        <v>2636</v>
      </c>
      <c r="P472">
        <f>MATCH(LEFT(A472,FIND("-",A472)-1),{"April","May","June","July","August","September","October","November","December","January","February","March"},0)</f>
        <v>3</v>
      </c>
      <c r="Q472" s="3">
        <f t="shared" si="14"/>
        <v>0</v>
      </c>
      <c r="R472" t="str">
        <f t="shared" si="15"/>
        <v>June</v>
      </c>
    </row>
    <row r="473" spans="1:18" x14ac:dyDescent="0.35">
      <c r="A473" t="s">
        <v>426</v>
      </c>
      <c r="B473" t="s">
        <v>371</v>
      </c>
      <c r="C473" t="s">
        <v>35</v>
      </c>
      <c r="D473" t="s">
        <v>372</v>
      </c>
      <c r="E473">
        <v>5813</v>
      </c>
      <c r="F473">
        <v>6820</v>
      </c>
      <c r="G473">
        <v>2574</v>
      </c>
      <c r="H473">
        <v>125</v>
      </c>
      <c r="I473">
        <v>324</v>
      </c>
      <c r="J473">
        <v>33</v>
      </c>
      <c r="K473" s="1">
        <v>45809</v>
      </c>
      <c r="L473" t="s">
        <v>17</v>
      </c>
      <c r="M473" t="s">
        <v>427</v>
      </c>
      <c r="N473" s="2">
        <f>IFERROR(NHS_A_E[[#This Row],[T1_Over4hrs]]/NHS_A_E[[#This Row],[T1_Attendances]], 0)</f>
        <v>0.44280061930156545</v>
      </c>
      <c r="O473">
        <f>NHS_A_E[[#This Row],[T1_Attendances]]+NHS_A_E[[#This Row],[Other_Attendances]]</f>
        <v>12633</v>
      </c>
      <c r="P473">
        <f>MATCH(LEFT(A473,FIND("-",A473)-1),{"April","May","June","July","August","September","October","November","December","January","February","March"},0)</f>
        <v>3</v>
      </c>
      <c r="Q473" s="3">
        <f t="shared" si="14"/>
        <v>5.6769310166867367E-3</v>
      </c>
      <c r="R473" t="str">
        <f t="shared" si="15"/>
        <v>June</v>
      </c>
    </row>
    <row r="474" spans="1:18" x14ac:dyDescent="0.35">
      <c r="A474" t="s">
        <v>426</v>
      </c>
      <c r="B474" t="s">
        <v>231</v>
      </c>
      <c r="C474" t="s">
        <v>63</v>
      </c>
      <c r="D474" t="s">
        <v>232</v>
      </c>
      <c r="E474">
        <v>9221</v>
      </c>
      <c r="F474">
        <v>0</v>
      </c>
      <c r="G474">
        <v>3419</v>
      </c>
      <c r="H474">
        <v>0</v>
      </c>
      <c r="I474">
        <v>429</v>
      </c>
      <c r="J474">
        <v>0</v>
      </c>
      <c r="K474" s="1">
        <v>45809</v>
      </c>
      <c r="L474" t="s">
        <v>17</v>
      </c>
      <c r="M474" t="s">
        <v>427</v>
      </c>
      <c r="N474" s="2">
        <f>IFERROR(NHS_A_E[[#This Row],[T1_Over4hrs]]/NHS_A_E[[#This Row],[T1_Attendances]], 0)</f>
        <v>0.3707840798178072</v>
      </c>
      <c r="O474">
        <f>NHS_A_E[[#This Row],[T1_Attendances]]+NHS_A_E[[#This Row],[Other_Attendances]]</f>
        <v>9221</v>
      </c>
      <c r="P474">
        <f>MATCH(LEFT(A474,FIND("-",A474)-1),{"April","May","June","July","August","September","October","November","December","January","February","March"},0)</f>
        <v>3</v>
      </c>
      <c r="Q474" s="3">
        <f t="shared" si="14"/>
        <v>0</v>
      </c>
      <c r="R474" t="str">
        <f t="shared" si="15"/>
        <v>June</v>
      </c>
    </row>
    <row r="475" spans="1:18" x14ac:dyDescent="0.35">
      <c r="A475" t="s">
        <v>426</v>
      </c>
      <c r="B475" t="s">
        <v>101</v>
      </c>
      <c r="C475" t="s">
        <v>63</v>
      </c>
      <c r="D475" t="s">
        <v>102</v>
      </c>
      <c r="E475">
        <v>9049</v>
      </c>
      <c r="F475">
        <v>0</v>
      </c>
      <c r="G475">
        <v>2401</v>
      </c>
      <c r="H475">
        <v>0</v>
      </c>
      <c r="I475">
        <v>275</v>
      </c>
      <c r="J475">
        <v>1</v>
      </c>
      <c r="K475" s="1">
        <v>45809</v>
      </c>
      <c r="L475" t="s">
        <v>17</v>
      </c>
      <c r="M475" t="s">
        <v>427</v>
      </c>
      <c r="N475" s="2">
        <f>IFERROR(NHS_A_E[[#This Row],[T1_Over4hrs]]/NHS_A_E[[#This Row],[T1_Attendances]], 0)</f>
        <v>0.26533318598740191</v>
      </c>
      <c r="O475">
        <f>NHS_A_E[[#This Row],[T1_Attendances]]+NHS_A_E[[#This Row],[Other_Attendances]]</f>
        <v>9049</v>
      </c>
      <c r="P475">
        <f>MATCH(LEFT(A475,FIND("-",A475)-1),{"April","May","June","July","August","September","October","November","December","January","February","March"},0)</f>
        <v>3</v>
      </c>
      <c r="Q475" s="3">
        <f t="shared" si="14"/>
        <v>1.1050944855785169E-4</v>
      </c>
      <c r="R475" t="str">
        <f t="shared" si="15"/>
        <v>June</v>
      </c>
    </row>
    <row r="476" spans="1:18" x14ac:dyDescent="0.35">
      <c r="A476" t="s">
        <v>426</v>
      </c>
      <c r="B476" t="s">
        <v>229</v>
      </c>
      <c r="C476" t="s">
        <v>23</v>
      </c>
      <c r="D476" t="s">
        <v>230</v>
      </c>
      <c r="E476">
        <v>6635</v>
      </c>
      <c r="F476">
        <v>1176</v>
      </c>
      <c r="G476">
        <v>2967</v>
      </c>
      <c r="H476">
        <v>0</v>
      </c>
      <c r="I476">
        <v>758</v>
      </c>
      <c r="J476">
        <v>95</v>
      </c>
      <c r="K476" s="1">
        <v>45809</v>
      </c>
      <c r="L476" t="s">
        <v>17</v>
      </c>
      <c r="M476" t="s">
        <v>427</v>
      </c>
      <c r="N476" s="2">
        <f>IFERROR(NHS_A_E[[#This Row],[T1_Over4hrs]]/NHS_A_E[[#This Row],[T1_Attendances]], 0)</f>
        <v>0.44717407686510929</v>
      </c>
      <c r="O476">
        <f>NHS_A_E[[#This Row],[T1_Attendances]]+NHS_A_E[[#This Row],[Other_Attendances]]</f>
        <v>7811</v>
      </c>
      <c r="P476">
        <f>MATCH(LEFT(A476,FIND("-",A476)-1),{"April","May","June","July","August","September","October","November","December","January","February","March"},0)</f>
        <v>3</v>
      </c>
      <c r="Q476" s="3">
        <f t="shared" si="14"/>
        <v>1.4318010550113038E-2</v>
      </c>
      <c r="R476" t="str">
        <f t="shared" si="15"/>
        <v>June</v>
      </c>
    </row>
    <row r="477" spans="1:18" x14ac:dyDescent="0.35">
      <c r="A477" t="s">
        <v>426</v>
      </c>
      <c r="B477" t="s">
        <v>335</v>
      </c>
      <c r="C477" t="s">
        <v>63</v>
      </c>
      <c r="D477" t="s">
        <v>336</v>
      </c>
      <c r="E477">
        <v>11137</v>
      </c>
      <c r="F477">
        <v>5843</v>
      </c>
      <c r="G477">
        <v>5337</v>
      </c>
      <c r="H477">
        <v>311</v>
      </c>
      <c r="I477">
        <v>779</v>
      </c>
      <c r="J477">
        <v>2</v>
      </c>
      <c r="K477" s="1">
        <v>45809</v>
      </c>
      <c r="L477" t="s">
        <v>17</v>
      </c>
      <c r="M477" t="s">
        <v>427</v>
      </c>
      <c r="N477" s="2">
        <f>IFERROR(NHS_A_E[[#This Row],[T1_Over4hrs]]/NHS_A_E[[#This Row],[T1_Attendances]], 0)</f>
        <v>0.47921343270180478</v>
      </c>
      <c r="O477">
        <f>NHS_A_E[[#This Row],[T1_Attendances]]+NHS_A_E[[#This Row],[Other_Attendances]]</f>
        <v>16980</v>
      </c>
      <c r="P477">
        <f>MATCH(LEFT(A477,FIND("-",A477)-1),{"April","May","June","July","August","September","October","November","December","January","February","March"},0)</f>
        <v>3</v>
      </c>
      <c r="Q477" s="3">
        <f t="shared" si="14"/>
        <v>1.7958157493041214E-4</v>
      </c>
      <c r="R477" t="str">
        <f t="shared" si="15"/>
        <v>June</v>
      </c>
    </row>
    <row r="478" spans="1:18" x14ac:dyDescent="0.35">
      <c r="A478" t="s">
        <v>426</v>
      </c>
      <c r="B478" t="s">
        <v>247</v>
      </c>
      <c r="C478" t="s">
        <v>15</v>
      </c>
      <c r="D478" t="s">
        <v>248</v>
      </c>
      <c r="E478">
        <v>0</v>
      </c>
      <c r="F478">
        <v>5372</v>
      </c>
      <c r="G478">
        <v>0</v>
      </c>
      <c r="H478">
        <v>171</v>
      </c>
      <c r="I478">
        <v>0</v>
      </c>
      <c r="J478">
        <v>0</v>
      </c>
      <c r="K478" s="1">
        <v>45809</v>
      </c>
      <c r="L478" t="s">
        <v>17</v>
      </c>
      <c r="M478" t="s">
        <v>427</v>
      </c>
      <c r="N478" s="2">
        <f>IFERROR(NHS_A_E[[#This Row],[T1_Over4hrs]]/NHS_A_E[[#This Row],[T1_Attendances]], 0)</f>
        <v>0</v>
      </c>
      <c r="O478">
        <f>NHS_A_E[[#This Row],[T1_Attendances]]+NHS_A_E[[#This Row],[Other_Attendances]]</f>
        <v>5372</v>
      </c>
      <c r="P478">
        <f>MATCH(LEFT(A478,FIND("-",A478)-1),{"April","May","June","July","August","September","October","November","December","January","February","March"},0)</f>
        <v>3</v>
      </c>
      <c r="Q478" s="3">
        <f t="shared" si="14"/>
        <v>0</v>
      </c>
      <c r="R478" t="str">
        <f t="shared" si="15"/>
        <v>June</v>
      </c>
    </row>
    <row r="479" spans="1:18" x14ac:dyDescent="0.35">
      <c r="A479" t="s">
        <v>426</v>
      </c>
      <c r="B479" t="s">
        <v>397</v>
      </c>
      <c r="C479" t="s">
        <v>63</v>
      </c>
      <c r="D479" t="s">
        <v>398</v>
      </c>
      <c r="E479">
        <v>0</v>
      </c>
      <c r="F479">
        <v>401</v>
      </c>
      <c r="G479">
        <v>0</v>
      </c>
      <c r="H479">
        <v>0</v>
      </c>
      <c r="I479">
        <v>0</v>
      </c>
      <c r="J479">
        <v>0</v>
      </c>
      <c r="K479" s="1">
        <v>45809</v>
      </c>
      <c r="L479" t="s">
        <v>17</v>
      </c>
      <c r="M479" t="s">
        <v>427</v>
      </c>
      <c r="N479" s="2">
        <f>IFERROR(NHS_A_E[[#This Row],[T1_Over4hrs]]/NHS_A_E[[#This Row],[T1_Attendances]], 0)</f>
        <v>0</v>
      </c>
      <c r="O479">
        <f>NHS_A_E[[#This Row],[T1_Attendances]]+NHS_A_E[[#This Row],[Other_Attendances]]</f>
        <v>401</v>
      </c>
      <c r="P479">
        <f>MATCH(LEFT(A479,FIND("-",A479)-1),{"April","May","June","July","August","September","October","November","December","January","February","March"},0)</f>
        <v>3</v>
      </c>
      <c r="Q479" s="3">
        <f t="shared" si="14"/>
        <v>0</v>
      </c>
      <c r="R479" t="str">
        <f t="shared" si="15"/>
        <v>June</v>
      </c>
    </row>
    <row r="480" spans="1:18" x14ac:dyDescent="0.35">
      <c r="A480" t="s">
        <v>426</v>
      </c>
      <c r="B480" t="s">
        <v>319</v>
      </c>
      <c r="C480" t="s">
        <v>63</v>
      </c>
      <c r="D480" t="s">
        <v>320</v>
      </c>
      <c r="E480">
        <v>0</v>
      </c>
      <c r="F480">
        <v>1256</v>
      </c>
      <c r="G480">
        <v>0</v>
      </c>
      <c r="H480">
        <v>4</v>
      </c>
      <c r="I480">
        <v>0</v>
      </c>
      <c r="J480">
        <v>0</v>
      </c>
      <c r="K480" s="1">
        <v>45809</v>
      </c>
      <c r="L480" t="s">
        <v>17</v>
      </c>
      <c r="M480" t="s">
        <v>427</v>
      </c>
      <c r="N480" s="2">
        <f>IFERROR(NHS_A_E[[#This Row],[T1_Over4hrs]]/NHS_A_E[[#This Row],[T1_Attendances]], 0)</f>
        <v>0</v>
      </c>
      <c r="O480">
        <f>NHS_A_E[[#This Row],[T1_Attendances]]+NHS_A_E[[#This Row],[Other_Attendances]]</f>
        <v>1256</v>
      </c>
      <c r="P480">
        <f>MATCH(LEFT(A480,FIND("-",A480)-1),{"April","May","June","July","August","September","October","November","December","January","February","March"},0)</f>
        <v>3</v>
      </c>
      <c r="Q480" s="3">
        <f t="shared" si="14"/>
        <v>0</v>
      </c>
      <c r="R480" t="str">
        <f t="shared" si="15"/>
        <v>June</v>
      </c>
    </row>
    <row r="481" spans="1:18" x14ac:dyDescent="0.35">
      <c r="A481" t="s">
        <v>426</v>
      </c>
      <c r="B481" t="s">
        <v>29</v>
      </c>
      <c r="C481" t="s">
        <v>30</v>
      </c>
      <c r="D481" t="s">
        <v>31</v>
      </c>
      <c r="E481">
        <v>15366</v>
      </c>
      <c r="F481">
        <v>7468</v>
      </c>
      <c r="G481">
        <v>7502</v>
      </c>
      <c r="H481">
        <v>223</v>
      </c>
      <c r="I481">
        <v>1873</v>
      </c>
      <c r="J481">
        <v>870</v>
      </c>
      <c r="K481" s="1">
        <v>45809</v>
      </c>
      <c r="L481" t="s">
        <v>17</v>
      </c>
      <c r="M481" t="s">
        <v>427</v>
      </c>
      <c r="N481" s="2">
        <f>IFERROR(NHS_A_E[[#This Row],[T1_Over4hrs]]/NHS_A_E[[#This Row],[T1_Attendances]], 0)</f>
        <v>0.48822074710399582</v>
      </c>
      <c r="O481">
        <f>NHS_A_E[[#This Row],[T1_Attendances]]+NHS_A_E[[#This Row],[Other_Attendances]]</f>
        <v>22834</v>
      </c>
      <c r="P481">
        <f>MATCH(LEFT(A481,FIND("-",A481)-1),{"April","May","June","July","August","September","October","November","December","January","February","March"},0)</f>
        <v>3</v>
      </c>
      <c r="Q481" s="3">
        <f t="shared" si="14"/>
        <v>5.661850839515814E-2</v>
      </c>
      <c r="R481" t="str">
        <f t="shared" si="15"/>
        <v>June</v>
      </c>
    </row>
    <row r="482" spans="1:18" x14ac:dyDescent="0.35">
      <c r="A482" t="s">
        <v>426</v>
      </c>
      <c r="B482" t="s">
        <v>245</v>
      </c>
      <c r="C482" t="s">
        <v>15</v>
      </c>
      <c r="D482" t="s">
        <v>246</v>
      </c>
      <c r="E482">
        <v>0</v>
      </c>
      <c r="F482">
        <v>987</v>
      </c>
      <c r="G482">
        <v>0</v>
      </c>
      <c r="H482">
        <v>0</v>
      </c>
      <c r="I482">
        <v>0</v>
      </c>
      <c r="J482">
        <v>0</v>
      </c>
      <c r="K482" s="1">
        <v>45809</v>
      </c>
      <c r="L482" t="s">
        <v>17</v>
      </c>
      <c r="M482" t="s">
        <v>427</v>
      </c>
      <c r="N482" s="2">
        <f>IFERROR(NHS_A_E[[#This Row],[T1_Over4hrs]]/NHS_A_E[[#This Row],[T1_Attendances]], 0)</f>
        <v>0</v>
      </c>
      <c r="O482">
        <f>NHS_A_E[[#This Row],[T1_Attendances]]+NHS_A_E[[#This Row],[Other_Attendances]]</f>
        <v>987</v>
      </c>
      <c r="P482">
        <f>MATCH(LEFT(A482,FIND("-",A482)-1),{"April","May","June","July","August","September","October","November","December","January","February","March"},0)</f>
        <v>3</v>
      </c>
      <c r="Q482" s="3">
        <f t="shared" si="14"/>
        <v>0</v>
      </c>
      <c r="R482" t="str">
        <f t="shared" si="15"/>
        <v>June</v>
      </c>
    </row>
    <row r="483" spans="1:18" x14ac:dyDescent="0.35">
      <c r="A483" t="s">
        <v>426</v>
      </c>
      <c r="B483" t="s">
        <v>307</v>
      </c>
      <c r="C483" t="s">
        <v>40</v>
      </c>
      <c r="D483" t="s">
        <v>308</v>
      </c>
      <c r="E483">
        <v>0</v>
      </c>
      <c r="F483">
        <v>2863</v>
      </c>
      <c r="G483">
        <v>0</v>
      </c>
      <c r="H483">
        <v>0</v>
      </c>
      <c r="I483">
        <v>0</v>
      </c>
      <c r="J483">
        <v>0</v>
      </c>
      <c r="K483" s="1">
        <v>45809</v>
      </c>
      <c r="L483" t="s">
        <v>17</v>
      </c>
      <c r="M483" t="s">
        <v>427</v>
      </c>
      <c r="N483" s="2">
        <f>IFERROR(NHS_A_E[[#This Row],[T1_Over4hrs]]/NHS_A_E[[#This Row],[T1_Attendances]], 0)</f>
        <v>0</v>
      </c>
      <c r="O483">
        <f>NHS_A_E[[#This Row],[T1_Attendances]]+NHS_A_E[[#This Row],[Other_Attendances]]</f>
        <v>2863</v>
      </c>
      <c r="P483">
        <f>MATCH(LEFT(A483,FIND("-",A483)-1),{"April","May","June","July","August","September","October","November","December","January","February","March"},0)</f>
        <v>3</v>
      </c>
      <c r="Q483" s="3">
        <f t="shared" si="14"/>
        <v>0</v>
      </c>
      <c r="R483" t="str">
        <f t="shared" si="15"/>
        <v>June</v>
      </c>
    </row>
    <row r="484" spans="1:18" x14ac:dyDescent="0.35">
      <c r="A484" t="s">
        <v>426</v>
      </c>
      <c r="B484" t="s">
        <v>265</v>
      </c>
      <c r="C484" t="s">
        <v>35</v>
      </c>
      <c r="D484" t="s">
        <v>266</v>
      </c>
      <c r="E484">
        <v>0</v>
      </c>
      <c r="F484">
        <v>2715</v>
      </c>
      <c r="G484">
        <v>0</v>
      </c>
      <c r="H484">
        <v>23</v>
      </c>
      <c r="I484">
        <v>0</v>
      </c>
      <c r="J484">
        <v>0</v>
      </c>
      <c r="K484" s="1">
        <v>45809</v>
      </c>
      <c r="L484" t="s">
        <v>17</v>
      </c>
      <c r="M484" t="s">
        <v>427</v>
      </c>
      <c r="N484" s="2">
        <f>IFERROR(NHS_A_E[[#This Row],[T1_Over4hrs]]/NHS_A_E[[#This Row],[T1_Attendances]], 0)</f>
        <v>0</v>
      </c>
      <c r="O484">
        <f>NHS_A_E[[#This Row],[T1_Attendances]]+NHS_A_E[[#This Row],[Other_Attendances]]</f>
        <v>2715</v>
      </c>
      <c r="P484">
        <f>MATCH(LEFT(A484,FIND("-",A484)-1),{"April","May","June","July","August","September","October","November","December","January","February","March"},0)</f>
        <v>3</v>
      </c>
      <c r="Q484" s="3">
        <f t="shared" si="14"/>
        <v>0</v>
      </c>
      <c r="R484" t="str">
        <f t="shared" si="15"/>
        <v>June</v>
      </c>
    </row>
    <row r="485" spans="1:18" x14ac:dyDescent="0.35">
      <c r="A485" t="s">
        <v>426</v>
      </c>
      <c r="B485" t="s">
        <v>329</v>
      </c>
      <c r="C485" t="s">
        <v>40</v>
      </c>
      <c r="D485" t="s">
        <v>330</v>
      </c>
      <c r="E485">
        <v>0</v>
      </c>
      <c r="F485">
        <v>3731</v>
      </c>
      <c r="G485">
        <v>0</v>
      </c>
      <c r="H485">
        <v>722</v>
      </c>
      <c r="I485">
        <v>0</v>
      </c>
      <c r="J485">
        <v>0</v>
      </c>
      <c r="K485" s="1">
        <v>45809</v>
      </c>
      <c r="L485" t="s">
        <v>17</v>
      </c>
      <c r="M485" t="s">
        <v>427</v>
      </c>
      <c r="N485" s="2">
        <f>IFERROR(NHS_A_E[[#This Row],[T1_Over4hrs]]/NHS_A_E[[#This Row],[T1_Attendances]], 0)</f>
        <v>0</v>
      </c>
      <c r="O485">
        <f>NHS_A_E[[#This Row],[T1_Attendances]]+NHS_A_E[[#This Row],[Other_Attendances]]</f>
        <v>3731</v>
      </c>
      <c r="P485">
        <f>MATCH(LEFT(A485,FIND("-",A485)-1),{"April","May","June","July","August","September","October","November","December","January","February","March"},0)</f>
        <v>3</v>
      </c>
      <c r="Q485" s="3">
        <f t="shared" si="14"/>
        <v>0</v>
      </c>
      <c r="R485" t="str">
        <f t="shared" si="15"/>
        <v>June</v>
      </c>
    </row>
    <row r="486" spans="1:18" x14ac:dyDescent="0.35">
      <c r="A486" t="s">
        <v>426</v>
      </c>
      <c r="B486" t="s">
        <v>263</v>
      </c>
      <c r="C486" t="s">
        <v>35</v>
      </c>
      <c r="D486" t="s">
        <v>264</v>
      </c>
      <c r="E486">
        <v>0</v>
      </c>
      <c r="F486">
        <v>2890</v>
      </c>
      <c r="G486">
        <v>0</v>
      </c>
      <c r="H486">
        <v>32</v>
      </c>
      <c r="I486">
        <v>0</v>
      </c>
      <c r="J486">
        <v>0</v>
      </c>
      <c r="K486" s="1">
        <v>45809</v>
      </c>
      <c r="L486" t="s">
        <v>17</v>
      </c>
      <c r="M486" t="s">
        <v>427</v>
      </c>
      <c r="N486" s="2">
        <f>IFERROR(NHS_A_E[[#This Row],[T1_Over4hrs]]/NHS_A_E[[#This Row],[T1_Attendances]], 0)</f>
        <v>0</v>
      </c>
      <c r="O486">
        <f>NHS_A_E[[#This Row],[T1_Attendances]]+NHS_A_E[[#This Row],[Other_Attendances]]</f>
        <v>2890</v>
      </c>
      <c r="P486">
        <f>MATCH(LEFT(A486,FIND("-",A486)-1),{"April","May","June","July","August","September","October","November","December","January","February","March"},0)</f>
        <v>3</v>
      </c>
      <c r="Q486" s="3">
        <f t="shared" si="14"/>
        <v>0</v>
      </c>
      <c r="R486" t="str">
        <f t="shared" si="15"/>
        <v>June</v>
      </c>
    </row>
    <row r="487" spans="1:18" x14ac:dyDescent="0.35">
      <c r="A487" t="s">
        <v>426</v>
      </c>
      <c r="B487" t="s">
        <v>257</v>
      </c>
      <c r="C487" t="s">
        <v>35</v>
      </c>
      <c r="D487" t="s">
        <v>258</v>
      </c>
      <c r="E487">
        <v>0</v>
      </c>
      <c r="F487">
        <v>8011</v>
      </c>
      <c r="G487">
        <v>0</v>
      </c>
      <c r="H487">
        <v>131</v>
      </c>
      <c r="I487">
        <v>0</v>
      </c>
      <c r="J487">
        <v>0</v>
      </c>
      <c r="K487" s="1">
        <v>45809</v>
      </c>
      <c r="L487" t="s">
        <v>17</v>
      </c>
      <c r="M487" t="s">
        <v>427</v>
      </c>
      <c r="N487" s="2">
        <f>IFERROR(NHS_A_E[[#This Row],[T1_Over4hrs]]/NHS_A_E[[#This Row],[T1_Attendances]], 0)</f>
        <v>0</v>
      </c>
      <c r="O487">
        <f>NHS_A_E[[#This Row],[T1_Attendances]]+NHS_A_E[[#This Row],[Other_Attendances]]</f>
        <v>8011</v>
      </c>
      <c r="P487">
        <f>MATCH(LEFT(A487,FIND("-",A487)-1),{"April","May","June","July","August","September","October","November","December","January","February","March"},0)</f>
        <v>3</v>
      </c>
      <c r="Q487" s="3">
        <f t="shared" si="14"/>
        <v>0</v>
      </c>
      <c r="R487" t="str">
        <f t="shared" si="15"/>
        <v>June</v>
      </c>
    </row>
    <row r="488" spans="1:18" x14ac:dyDescent="0.35">
      <c r="A488" t="s">
        <v>426</v>
      </c>
      <c r="B488" t="s">
        <v>237</v>
      </c>
      <c r="C488" t="s">
        <v>30</v>
      </c>
      <c r="D488" t="s">
        <v>238</v>
      </c>
      <c r="E488">
        <v>13323</v>
      </c>
      <c r="F488">
        <v>10988</v>
      </c>
      <c r="G488">
        <v>4409</v>
      </c>
      <c r="H488">
        <v>446</v>
      </c>
      <c r="I488">
        <v>514</v>
      </c>
      <c r="J488">
        <v>957</v>
      </c>
      <c r="K488" s="1">
        <v>45809</v>
      </c>
      <c r="L488" t="s">
        <v>17</v>
      </c>
      <c r="M488" t="s">
        <v>427</v>
      </c>
      <c r="N488" s="2">
        <f>IFERROR(NHS_A_E[[#This Row],[T1_Over4hrs]]/NHS_A_E[[#This Row],[T1_Attendances]], 0)</f>
        <v>0.33093147189071531</v>
      </c>
      <c r="O488">
        <f>NHS_A_E[[#This Row],[T1_Attendances]]+NHS_A_E[[#This Row],[Other_Attendances]]</f>
        <v>24311</v>
      </c>
      <c r="P488">
        <f>MATCH(LEFT(A488,FIND("-",A488)-1),{"April","May","June","July","August","September","October","November","December","January","February","March"},0)</f>
        <v>3</v>
      </c>
      <c r="Q488" s="3">
        <f t="shared" si="14"/>
        <v>7.1830668768295428E-2</v>
      </c>
      <c r="R488" t="str">
        <f t="shared" si="15"/>
        <v>June</v>
      </c>
    </row>
    <row r="489" spans="1:18" x14ac:dyDescent="0.35">
      <c r="A489" t="s">
        <v>426</v>
      </c>
      <c r="B489" t="s">
        <v>317</v>
      </c>
      <c r="C489" t="s">
        <v>63</v>
      </c>
      <c r="D489" t="s">
        <v>318</v>
      </c>
      <c r="E489">
        <v>7240</v>
      </c>
      <c r="F489">
        <v>9725</v>
      </c>
      <c r="G489">
        <v>3588</v>
      </c>
      <c r="H489">
        <v>734</v>
      </c>
      <c r="I489">
        <v>250</v>
      </c>
      <c r="J489">
        <v>6</v>
      </c>
      <c r="K489" s="1">
        <v>45809</v>
      </c>
      <c r="L489" t="s">
        <v>17</v>
      </c>
      <c r="M489" t="s">
        <v>427</v>
      </c>
      <c r="N489" s="2">
        <f>IFERROR(NHS_A_E[[#This Row],[T1_Over4hrs]]/NHS_A_E[[#This Row],[T1_Attendances]], 0)</f>
        <v>0.49558011049723755</v>
      </c>
      <c r="O489">
        <f>NHS_A_E[[#This Row],[T1_Attendances]]+NHS_A_E[[#This Row],[Other_Attendances]]</f>
        <v>16965</v>
      </c>
      <c r="P489">
        <f>MATCH(LEFT(A489,FIND("-",A489)-1),{"April","May","June","July","August","September","October","November","December","January","February","March"},0)</f>
        <v>3</v>
      </c>
      <c r="Q489" s="3">
        <f t="shared" si="14"/>
        <v>8.2872928176795581E-4</v>
      </c>
      <c r="R489" t="str">
        <f t="shared" si="15"/>
        <v>June</v>
      </c>
    </row>
    <row r="490" spans="1:18" x14ac:dyDescent="0.35">
      <c r="A490" t="s">
        <v>426</v>
      </c>
      <c r="B490" t="s">
        <v>351</v>
      </c>
      <c r="C490" t="s">
        <v>63</v>
      </c>
      <c r="D490" t="s">
        <v>352</v>
      </c>
      <c r="E490">
        <v>9049</v>
      </c>
      <c r="F490">
        <v>7383</v>
      </c>
      <c r="G490">
        <v>4843</v>
      </c>
      <c r="H490">
        <v>109</v>
      </c>
      <c r="I490">
        <v>728</v>
      </c>
      <c r="J490">
        <v>761</v>
      </c>
      <c r="K490" s="1">
        <v>45809</v>
      </c>
      <c r="L490" t="s">
        <v>17</v>
      </c>
      <c r="M490" t="s">
        <v>427</v>
      </c>
      <c r="N490" s="2">
        <f>IFERROR(NHS_A_E[[#This Row],[T1_Over4hrs]]/NHS_A_E[[#This Row],[T1_Attendances]], 0)</f>
        <v>0.53519725936567575</v>
      </c>
      <c r="O490">
        <f>NHS_A_E[[#This Row],[T1_Attendances]]+NHS_A_E[[#This Row],[Other_Attendances]]</f>
        <v>16432</v>
      </c>
      <c r="P490">
        <f>MATCH(LEFT(A490,FIND("-",A490)-1),{"April","May","June","July","August","September","October","November","December","January","February","March"},0)</f>
        <v>3</v>
      </c>
      <c r="Q490" s="3">
        <f t="shared" si="14"/>
        <v>8.4097690352525137E-2</v>
      </c>
      <c r="R490" t="str">
        <f t="shared" si="15"/>
        <v>June</v>
      </c>
    </row>
    <row r="491" spans="1:18" x14ac:dyDescent="0.35">
      <c r="A491" t="s">
        <v>426</v>
      </c>
      <c r="B491" t="s">
        <v>227</v>
      </c>
      <c r="C491" t="s">
        <v>30</v>
      </c>
      <c r="D491" t="s">
        <v>228</v>
      </c>
      <c r="E491">
        <v>0</v>
      </c>
      <c r="F491">
        <v>1112</v>
      </c>
      <c r="G491">
        <v>0</v>
      </c>
      <c r="H491">
        <v>1</v>
      </c>
      <c r="I491">
        <v>0</v>
      </c>
      <c r="J491">
        <v>0</v>
      </c>
      <c r="K491" s="1">
        <v>45809</v>
      </c>
      <c r="L491" t="s">
        <v>17</v>
      </c>
      <c r="M491" t="s">
        <v>427</v>
      </c>
      <c r="N491" s="2">
        <f>IFERROR(NHS_A_E[[#This Row],[T1_Over4hrs]]/NHS_A_E[[#This Row],[T1_Attendances]], 0)</f>
        <v>0</v>
      </c>
      <c r="O491">
        <f>NHS_A_E[[#This Row],[T1_Attendances]]+NHS_A_E[[#This Row],[Other_Attendances]]</f>
        <v>1112</v>
      </c>
      <c r="P491">
        <f>MATCH(LEFT(A491,FIND("-",A491)-1),{"April","May","June","July","August","September","October","November","December","January","February","March"},0)</f>
        <v>3</v>
      </c>
      <c r="Q491" s="3">
        <f t="shared" si="14"/>
        <v>0</v>
      </c>
      <c r="R491" t="str">
        <f t="shared" si="15"/>
        <v>June</v>
      </c>
    </row>
    <row r="492" spans="1:18" x14ac:dyDescent="0.35">
      <c r="A492" t="s">
        <v>426</v>
      </c>
      <c r="B492" t="s">
        <v>243</v>
      </c>
      <c r="C492" t="s">
        <v>23</v>
      </c>
      <c r="D492" t="s">
        <v>244</v>
      </c>
      <c r="E492">
        <v>0</v>
      </c>
      <c r="F492">
        <v>2403</v>
      </c>
      <c r="G492">
        <v>0</v>
      </c>
      <c r="H492">
        <v>111</v>
      </c>
      <c r="I492">
        <v>0</v>
      </c>
      <c r="J492">
        <v>0</v>
      </c>
      <c r="K492" s="1">
        <v>45809</v>
      </c>
      <c r="L492" t="s">
        <v>17</v>
      </c>
      <c r="M492" t="s">
        <v>427</v>
      </c>
      <c r="N492" s="2">
        <f>IFERROR(NHS_A_E[[#This Row],[T1_Over4hrs]]/NHS_A_E[[#This Row],[T1_Attendances]], 0)</f>
        <v>0</v>
      </c>
      <c r="O492">
        <f>NHS_A_E[[#This Row],[T1_Attendances]]+NHS_A_E[[#This Row],[Other_Attendances]]</f>
        <v>2403</v>
      </c>
      <c r="P492">
        <f>MATCH(LEFT(A492,FIND("-",A492)-1),{"April","May","June","July","August","September","October","November","December","January","February","March"},0)</f>
        <v>3</v>
      </c>
      <c r="Q492" s="3">
        <f t="shared" si="14"/>
        <v>0</v>
      </c>
      <c r="R492" t="str">
        <f t="shared" si="15"/>
        <v>June</v>
      </c>
    </row>
    <row r="493" spans="1:18" x14ac:dyDescent="0.35">
      <c r="A493" t="s">
        <v>426</v>
      </c>
      <c r="B493" t="s">
        <v>111</v>
      </c>
      <c r="C493" t="s">
        <v>40</v>
      </c>
      <c r="D493" t="s">
        <v>112</v>
      </c>
      <c r="E493">
        <v>0</v>
      </c>
      <c r="F493">
        <v>453</v>
      </c>
      <c r="G493">
        <v>0</v>
      </c>
      <c r="H493">
        <v>0</v>
      </c>
      <c r="I493">
        <v>0</v>
      </c>
      <c r="J493">
        <v>0</v>
      </c>
      <c r="K493" s="1">
        <v>45809</v>
      </c>
      <c r="L493" t="s">
        <v>17</v>
      </c>
      <c r="M493" t="s">
        <v>427</v>
      </c>
      <c r="N493" s="2">
        <f>IFERROR(NHS_A_E[[#This Row],[T1_Over4hrs]]/NHS_A_E[[#This Row],[T1_Attendances]], 0)</f>
        <v>0</v>
      </c>
      <c r="O493">
        <f>NHS_A_E[[#This Row],[T1_Attendances]]+NHS_A_E[[#This Row],[Other_Attendances]]</f>
        <v>453</v>
      </c>
      <c r="P493">
        <f>MATCH(LEFT(A493,FIND("-",A493)-1),{"April","May","June","July","August","September","October","November","December","January","February","March"},0)</f>
        <v>3</v>
      </c>
      <c r="Q493" s="3">
        <f t="shared" si="14"/>
        <v>0</v>
      </c>
      <c r="R493" t="str">
        <f t="shared" si="15"/>
        <v>June</v>
      </c>
    </row>
    <row r="494" spans="1:18" x14ac:dyDescent="0.35">
      <c r="A494" t="s">
        <v>426</v>
      </c>
      <c r="B494" t="s">
        <v>241</v>
      </c>
      <c r="C494" t="s">
        <v>40</v>
      </c>
      <c r="D494" t="s">
        <v>242</v>
      </c>
      <c r="E494">
        <v>0</v>
      </c>
      <c r="F494">
        <v>0</v>
      </c>
      <c r="G494">
        <v>0</v>
      </c>
      <c r="H494">
        <v>0</v>
      </c>
      <c r="I494">
        <v>0</v>
      </c>
      <c r="J494">
        <v>0</v>
      </c>
      <c r="K494" s="1">
        <v>45809</v>
      </c>
      <c r="L494" t="s">
        <v>17</v>
      </c>
      <c r="M494" t="s">
        <v>427</v>
      </c>
      <c r="N494" s="2">
        <f>IFERROR(NHS_A_E[[#This Row],[T1_Over4hrs]]/NHS_A_E[[#This Row],[T1_Attendances]], 0)</f>
        <v>0</v>
      </c>
      <c r="O494">
        <f>NHS_A_E[[#This Row],[T1_Attendances]]+NHS_A_E[[#This Row],[Other_Attendances]]</f>
        <v>0</v>
      </c>
      <c r="P494">
        <f>MATCH(LEFT(A494,FIND("-",A494)-1),{"April","May","June","July","August","September","October","November","December","January","February","March"},0)</f>
        <v>3</v>
      </c>
      <c r="Q494" s="3">
        <f t="shared" si="14"/>
        <v>0</v>
      </c>
      <c r="R494" t="str">
        <f t="shared" si="15"/>
        <v>June</v>
      </c>
    </row>
    <row r="495" spans="1:18" x14ac:dyDescent="0.35">
      <c r="A495" t="s">
        <v>426</v>
      </c>
      <c r="B495" t="s">
        <v>119</v>
      </c>
      <c r="C495" t="s">
        <v>15</v>
      </c>
      <c r="D495" t="s">
        <v>120</v>
      </c>
      <c r="E495">
        <v>10914</v>
      </c>
      <c r="F495">
        <v>3089</v>
      </c>
      <c r="G495">
        <v>3341</v>
      </c>
      <c r="H495">
        <v>58</v>
      </c>
      <c r="I495">
        <v>231</v>
      </c>
      <c r="J495">
        <v>223</v>
      </c>
      <c r="K495" s="1">
        <v>45809</v>
      </c>
      <c r="L495" t="s">
        <v>17</v>
      </c>
      <c r="M495" t="s">
        <v>427</v>
      </c>
      <c r="N495" s="2">
        <f>IFERROR(NHS_A_E[[#This Row],[T1_Over4hrs]]/NHS_A_E[[#This Row],[T1_Attendances]], 0)</f>
        <v>0.30612057907275059</v>
      </c>
      <c r="O495">
        <f>NHS_A_E[[#This Row],[T1_Attendances]]+NHS_A_E[[#This Row],[Other_Attendances]]</f>
        <v>14003</v>
      </c>
      <c r="P495">
        <f>MATCH(LEFT(A495,FIND("-",A495)-1),{"April","May","June","July","August","September","October","November","December","January","February","March"},0)</f>
        <v>3</v>
      </c>
      <c r="Q495" s="3">
        <f t="shared" si="14"/>
        <v>2.0432472054242257E-2</v>
      </c>
      <c r="R495" t="str">
        <f t="shared" si="15"/>
        <v>June</v>
      </c>
    </row>
    <row r="496" spans="1:18" x14ac:dyDescent="0.35">
      <c r="A496" t="s">
        <v>426</v>
      </c>
      <c r="B496" t="s">
        <v>363</v>
      </c>
      <c r="C496" t="s">
        <v>40</v>
      </c>
      <c r="D496" t="s">
        <v>364</v>
      </c>
      <c r="E496">
        <v>13862</v>
      </c>
      <c r="F496">
        <v>6476</v>
      </c>
      <c r="G496">
        <v>6811</v>
      </c>
      <c r="H496">
        <v>87</v>
      </c>
      <c r="I496">
        <v>684</v>
      </c>
      <c r="J496">
        <v>795</v>
      </c>
      <c r="K496" s="1">
        <v>45809</v>
      </c>
      <c r="L496" t="s">
        <v>17</v>
      </c>
      <c r="M496" t="s">
        <v>427</v>
      </c>
      <c r="N496" s="2">
        <f>IFERROR(NHS_A_E[[#This Row],[T1_Over4hrs]]/NHS_A_E[[#This Row],[T1_Attendances]], 0)</f>
        <v>0.49134324051363437</v>
      </c>
      <c r="O496">
        <f>NHS_A_E[[#This Row],[T1_Attendances]]+NHS_A_E[[#This Row],[Other_Attendances]]</f>
        <v>20338</v>
      </c>
      <c r="P496">
        <f>MATCH(LEFT(A496,FIND("-",A496)-1),{"April","May","June","July","August","September","October","November","December","January","February","March"},0)</f>
        <v>3</v>
      </c>
      <c r="Q496" s="3">
        <f t="shared" si="14"/>
        <v>5.7351031597172128E-2</v>
      </c>
      <c r="R496" t="str">
        <f t="shared" si="15"/>
        <v>June</v>
      </c>
    </row>
    <row r="497" spans="1:18" x14ac:dyDescent="0.35">
      <c r="A497" t="s">
        <v>426</v>
      </c>
      <c r="B497" t="s">
        <v>259</v>
      </c>
      <c r="C497" t="s">
        <v>40</v>
      </c>
      <c r="D497" t="s">
        <v>260</v>
      </c>
      <c r="E497">
        <v>0</v>
      </c>
      <c r="F497">
        <v>0</v>
      </c>
      <c r="G497">
        <v>0</v>
      </c>
      <c r="H497">
        <v>0</v>
      </c>
      <c r="I497">
        <v>0</v>
      </c>
      <c r="J497">
        <v>0</v>
      </c>
      <c r="K497" s="1">
        <v>45809</v>
      </c>
      <c r="L497" t="s">
        <v>17</v>
      </c>
      <c r="M497" t="s">
        <v>427</v>
      </c>
      <c r="N497" s="2">
        <f>IFERROR(NHS_A_E[[#This Row],[T1_Over4hrs]]/NHS_A_E[[#This Row],[T1_Attendances]], 0)</f>
        <v>0</v>
      </c>
      <c r="O497">
        <f>NHS_A_E[[#This Row],[T1_Attendances]]+NHS_A_E[[#This Row],[Other_Attendances]]</f>
        <v>0</v>
      </c>
      <c r="P497">
        <f>MATCH(LEFT(A497,FIND("-",A497)-1),{"April","May","June","July","August","September","October","November","December","January","February","March"},0)</f>
        <v>3</v>
      </c>
      <c r="Q497" s="3">
        <f t="shared" si="14"/>
        <v>0</v>
      </c>
      <c r="R497" t="str">
        <f t="shared" si="15"/>
        <v>June</v>
      </c>
    </row>
    <row r="498" spans="1:18" x14ac:dyDescent="0.35">
      <c r="A498" t="s">
        <v>426</v>
      </c>
      <c r="B498" t="s">
        <v>267</v>
      </c>
      <c r="C498" t="s">
        <v>15</v>
      </c>
      <c r="D498" t="s">
        <v>268</v>
      </c>
      <c r="E498">
        <v>0</v>
      </c>
      <c r="F498">
        <v>9813</v>
      </c>
      <c r="G498">
        <v>0</v>
      </c>
      <c r="H498">
        <v>28</v>
      </c>
      <c r="I498">
        <v>0</v>
      </c>
      <c r="J498">
        <v>0</v>
      </c>
      <c r="K498" s="1">
        <v>45809</v>
      </c>
      <c r="L498" t="s">
        <v>17</v>
      </c>
      <c r="M498" t="s">
        <v>427</v>
      </c>
      <c r="N498" s="2">
        <f>IFERROR(NHS_A_E[[#This Row],[T1_Over4hrs]]/NHS_A_E[[#This Row],[T1_Attendances]], 0)</f>
        <v>0</v>
      </c>
      <c r="O498">
        <f>NHS_A_E[[#This Row],[T1_Attendances]]+NHS_A_E[[#This Row],[Other_Attendances]]</f>
        <v>9813</v>
      </c>
      <c r="P498">
        <f>MATCH(LEFT(A498,FIND("-",A498)-1),{"April","May","June","July","August","September","October","November","December","January","February","March"},0)</f>
        <v>3</v>
      </c>
      <c r="Q498" s="3">
        <f t="shared" si="14"/>
        <v>0</v>
      </c>
      <c r="R498" t="str">
        <f t="shared" si="15"/>
        <v>June</v>
      </c>
    </row>
    <row r="499" spans="1:18" x14ac:dyDescent="0.35">
      <c r="A499" t="s">
        <v>426</v>
      </c>
      <c r="B499" t="s">
        <v>215</v>
      </c>
      <c r="C499" t="s">
        <v>35</v>
      </c>
      <c r="D499" t="s">
        <v>216</v>
      </c>
      <c r="E499">
        <v>8539</v>
      </c>
      <c r="F499">
        <v>4126</v>
      </c>
      <c r="G499">
        <v>2394</v>
      </c>
      <c r="H499">
        <v>150</v>
      </c>
      <c r="I499">
        <v>519</v>
      </c>
      <c r="J499">
        <v>694</v>
      </c>
      <c r="K499" s="1">
        <v>45809</v>
      </c>
      <c r="L499" t="s">
        <v>17</v>
      </c>
      <c r="M499" t="s">
        <v>427</v>
      </c>
      <c r="N499" s="2">
        <f>IFERROR(NHS_A_E[[#This Row],[T1_Over4hrs]]/NHS_A_E[[#This Row],[T1_Attendances]], 0)</f>
        <v>0.28036069797400165</v>
      </c>
      <c r="O499">
        <f>NHS_A_E[[#This Row],[T1_Attendances]]+NHS_A_E[[#This Row],[Other_Attendances]]</f>
        <v>12665</v>
      </c>
      <c r="P499">
        <f>MATCH(LEFT(A499,FIND("-",A499)-1),{"April","May","June","July","August","September","October","November","December","January","February","March"},0)</f>
        <v>3</v>
      </c>
      <c r="Q499" s="3">
        <f t="shared" si="14"/>
        <v>8.1274153882187616E-2</v>
      </c>
      <c r="R499" t="str">
        <f t="shared" si="15"/>
        <v>June</v>
      </c>
    </row>
    <row r="500" spans="1:18" x14ac:dyDescent="0.35">
      <c r="A500" t="s">
        <v>426</v>
      </c>
      <c r="B500" t="s">
        <v>331</v>
      </c>
      <c r="C500" t="s">
        <v>15</v>
      </c>
      <c r="D500" t="s">
        <v>332</v>
      </c>
      <c r="E500">
        <v>0</v>
      </c>
      <c r="F500">
        <v>5502</v>
      </c>
      <c r="G500">
        <v>0</v>
      </c>
      <c r="H500">
        <v>261</v>
      </c>
      <c r="I500">
        <v>0</v>
      </c>
      <c r="J500">
        <v>0</v>
      </c>
      <c r="K500" s="1">
        <v>45809</v>
      </c>
      <c r="L500" t="s">
        <v>17</v>
      </c>
      <c r="M500" t="s">
        <v>427</v>
      </c>
      <c r="N500" s="2">
        <f>IFERROR(NHS_A_E[[#This Row],[T1_Over4hrs]]/NHS_A_E[[#This Row],[T1_Attendances]], 0)</f>
        <v>0</v>
      </c>
      <c r="O500">
        <f>NHS_A_E[[#This Row],[T1_Attendances]]+NHS_A_E[[#This Row],[Other_Attendances]]</f>
        <v>5502</v>
      </c>
      <c r="P500">
        <f>MATCH(LEFT(A500,FIND("-",A500)-1),{"April","May","June","July","August","September","October","November","December","January","February","March"},0)</f>
        <v>3</v>
      </c>
      <c r="Q500" s="3">
        <f t="shared" si="14"/>
        <v>0</v>
      </c>
      <c r="R500" t="str">
        <f t="shared" si="15"/>
        <v>June</v>
      </c>
    </row>
    <row r="501" spans="1:18" x14ac:dyDescent="0.35">
      <c r="A501" t="s">
        <v>426</v>
      </c>
      <c r="B501" t="s">
        <v>223</v>
      </c>
      <c r="C501" t="s">
        <v>15</v>
      </c>
      <c r="D501" t="s">
        <v>224</v>
      </c>
      <c r="E501">
        <v>12268</v>
      </c>
      <c r="F501">
        <v>3750</v>
      </c>
      <c r="G501">
        <v>3498</v>
      </c>
      <c r="H501">
        <v>111</v>
      </c>
      <c r="I501">
        <v>511</v>
      </c>
      <c r="J501">
        <v>0</v>
      </c>
      <c r="K501" s="1">
        <v>45809</v>
      </c>
      <c r="L501" t="s">
        <v>17</v>
      </c>
      <c r="M501" t="s">
        <v>427</v>
      </c>
      <c r="N501" s="2">
        <f>IFERROR(NHS_A_E[[#This Row],[T1_Over4hrs]]/NHS_A_E[[#This Row],[T1_Attendances]], 0)</f>
        <v>0.28513205086403653</v>
      </c>
      <c r="O501">
        <f>NHS_A_E[[#This Row],[T1_Attendances]]+NHS_A_E[[#This Row],[Other_Attendances]]</f>
        <v>16018</v>
      </c>
      <c r="P501">
        <f>MATCH(LEFT(A501,FIND("-",A501)-1),{"April","May","June","July","August","September","October","November","December","January","February","March"},0)</f>
        <v>3</v>
      </c>
      <c r="Q501" s="3">
        <f t="shared" si="14"/>
        <v>0</v>
      </c>
      <c r="R501" t="str">
        <f t="shared" si="15"/>
        <v>June</v>
      </c>
    </row>
    <row r="502" spans="1:18" x14ac:dyDescent="0.35">
      <c r="A502" t="s">
        <v>426</v>
      </c>
      <c r="B502" t="s">
        <v>273</v>
      </c>
      <c r="C502" t="s">
        <v>30</v>
      </c>
      <c r="D502" t="s">
        <v>274</v>
      </c>
      <c r="E502">
        <v>4831</v>
      </c>
      <c r="F502">
        <v>0</v>
      </c>
      <c r="G502">
        <v>2575</v>
      </c>
      <c r="H502">
        <v>0</v>
      </c>
      <c r="I502">
        <v>172</v>
      </c>
      <c r="J502">
        <v>259</v>
      </c>
      <c r="K502" s="1">
        <v>45809</v>
      </c>
      <c r="L502" t="s">
        <v>17</v>
      </c>
      <c r="M502" t="s">
        <v>427</v>
      </c>
      <c r="N502" s="2">
        <f>IFERROR(NHS_A_E[[#This Row],[T1_Over4hrs]]/NHS_A_E[[#This Row],[T1_Attendances]], 0)</f>
        <v>0.53301593872904163</v>
      </c>
      <c r="O502">
        <f>NHS_A_E[[#This Row],[T1_Attendances]]+NHS_A_E[[#This Row],[Other_Attendances]]</f>
        <v>4831</v>
      </c>
      <c r="P502">
        <f>MATCH(LEFT(A502,FIND("-",A502)-1),{"April","May","June","July","August","September","October","November","December","January","February","March"},0)</f>
        <v>3</v>
      </c>
      <c r="Q502" s="3">
        <f t="shared" si="14"/>
        <v>5.3612088594493894E-2</v>
      </c>
      <c r="R502" t="str">
        <f t="shared" si="15"/>
        <v>June</v>
      </c>
    </row>
    <row r="503" spans="1:18" x14ac:dyDescent="0.35">
      <c r="A503" t="s">
        <v>426</v>
      </c>
      <c r="B503" t="s">
        <v>401</v>
      </c>
      <c r="C503" t="s">
        <v>35</v>
      </c>
      <c r="D503" t="s">
        <v>402</v>
      </c>
      <c r="E503">
        <v>12910</v>
      </c>
      <c r="F503">
        <v>5052</v>
      </c>
      <c r="G503">
        <v>4521</v>
      </c>
      <c r="H503">
        <v>0</v>
      </c>
      <c r="I503">
        <v>252</v>
      </c>
      <c r="J503">
        <v>0</v>
      </c>
      <c r="K503" s="1">
        <v>45809</v>
      </c>
      <c r="L503" t="s">
        <v>17</v>
      </c>
      <c r="M503" t="s">
        <v>427</v>
      </c>
      <c r="N503" s="2">
        <f>IFERROR(NHS_A_E[[#This Row],[T1_Over4hrs]]/NHS_A_E[[#This Row],[T1_Attendances]], 0)</f>
        <v>0.3501936483346243</v>
      </c>
      <c r="O503">
        <f>NHS_A_E[[#This Row],[T1_Attendances]]+NHS_A_E[[#This Row],[Other_Attendances]]</f>
        <v>17962</v>
      </c>
      <c r="P503">
        <f>MATCH(LEFT(A503,FIND("-",A503)-1),{"April","May","June","July","August","September","October","November","December","January","February","March"},0)</f>
        <v>3</v>
      </c>
      <c r="Q503" s="3">
        <f t="shared" si="14"/>
        <v>0</v>
      </c>
      <c r="R503" t="str">
        <f t="shared" si="15"/>
        <v>June</v>
      </c>
    </row>
    <row r="504" spans="1:18" x14ac:dyDescent="0.35">
      <c r="A504" t="s">
        <v>426</v>
      </c>
      <c r="B504" t="s">
        <v>105</v>
      </c>
      <c r="C504" t="s">
        <v>15</v>
      </c>
      <c r="D504" t="s">
        <v>106</v>
      </c>
      <c r="E504">
        <v>11765</v>
      </c>
      <c r="F504">
        <v>0</v>
      </c>
      <c r="G504">
        <v>5029</v>
      </c>
      <c r="H504">
        <v>0</v>
      </c>
      <c r="I504">
        <v>363</v>
      </c>
      <c r="J504">
        <v>9</v>
      </c>
      <c r="K504" s="1">
        <v>45809</v>
      </c>
      <c r="L504" t="s">
        <v>17</v>
      </c>
      <c r="M504" t="s">
        <v>427</v>
      </c>
      <c r="N504" s="2">
        <f>IFERROR(NHS_A_E[[#This Row],[T1_Over4hrs]]/NHS_A_E[[#This Row],[T1_Attendances]], 0)</f>
        <v>0.42745431364215897</v>
      </c>
      <c r="O504">
        <f>NHS_A_E[[#This Row],[T1_Attendances]]+NHS_A_E[[#This Row],[Other_Attendances]]</f>
        <v>11765</v>
      </c>
      <c r="P504">
        <f>MATCH(LEFT(A504,FIND("-",A504)-1),{"April","May","June","July","August","September","October","November","December","January","February","March"},0)</f>
        <v>3</v>
      </c>
      <c r="Q504" s="3">
        <f t="shared" si="14"/>
        <v>7.6498087547811303E-4</v>
      </c>
      <c r="R504" t="str">
        <f t="shared" si="15"/>
        <v>June</v>
      </c>
    </row>
    <row r="505" spans="1:18" x14ac:dyDescent="0.35">
      <c r="A505" t="s">
        <v>426</v>
      </c>
      <c r="B505" t="s">
        <v>213</v>
      </c>
      <c r="C505" t="s">
        <v>23</v>
      </c>
      <c r="D505" t="s">
        <v>214</v>
      </c>
      <c r="E505">
        <v>10891</v>
      </c>
      <c r="F505">
        <v>6055</v>
      </c>
      <c r="G505">
        <v>4397</v>
      </c>
      <c r="H505">
        <v>139</v>
      </c>
      <c r="I505">
        <v>519</v>
      </c>
      <c r="J505">
        <v>236</v>
      </c>
      <c r="K505" s="1">
        <v>45809</v>
      </c>
      <c r="L505" t="s">
        <v>17</v>
      </c>
      <c r="M505" t="s">
        <v>427</v>
      </c>
      <c r="N505" s="2">
        <f>IFERROR(NHS_A_E[[#This Row],[T1_Over4hrs]]/NHS_A_E[[#This Row],[T1_Attendances]], 0)</f>
        <v>0.4037278486823983</v>
      </c>
      <c r="O505">
        <f>NHS_A_E[[#This Row],[T1_Attendances]]+NHS_A_E[[#This Row],[Other_Attendances]]</f>
        <v>16946</v>
      </c>
      <c r="P505">
        <f>MATCH(LEFT(A505,FIND("-",A505)-1),{"April","May","June","July","August","September","October","November","December","January","February","March"},0)</f>
        <v>3</v>
      </c>
      <c r="Q505" s="3">
        <f t="shared" si="14"/>
        <v>2.166926820310348E-2</v>
      </c>
      <c r="R505" t="str">
        <f t="shared" si="15"/>
        <v>June</v>
      </c>
    </row>
    <row r="506" spans="1:18" x14ac:dyDescent="0.35">
      <c r="A506" t="s">
        <v>426</v>
      </c>
      <c r="B506" t="s">
        <v>345</v>
      </c>
      <c r="C506" t="s">
        <v>23</v>
      </c>
      <c r="D506" t="s">
        <v>346</v>
      </c>
      <c r="E506">
        <v>16839</v>
      </c>
      <c r="F506">
        <v>7673</v>
      </c>
      <c r="G506">
        <v>6761</v>
      </c>
      <c r="H506">
        <v>0</v>
      </c>
      <c r="I506">
        <v>81</v>
      </c>
      <c r="J506">
        <v>0</v>
      </c>
      <c r="K506" s="1">
        <v>45809</v>
      </c>
      <c r="L506" t="s">
        <v>17</v>
      </c>
      <c r="M506" t="s">
        <v>427</v>
      </c>
      <c r="N506" s="2">
        <f>IFERROR(NHS_A_E[[#This Row],[T1_Over4hrs]]/NHS_A_E[[#This Row],[T1_Attendances]], 0)</f>
        <v>0.40150840311182373</v>
      </c>
      <c r="O506">
        <f>NHS_A_E[[#This Row],[T1_Attendances]]+NHS_A_E[[#This Row],[Other_Attendances]]</f>
        <v>24512</v>
      </c>
      <c r="P506">
        <f>MATCH(LEFT(A506,FIND("-",A506)-1),{"April","May","June","July","August","September","October","November","December","January","February","March"},0)</f>
        <v>3</v>
      </c>
      <c r="Q506" s="3">
        <f t="shared" si="14"/>
        <v>0</v>
      </c>
      <c r="R506" t="str">
        <f t="shared" si="15"/>
        <v>June</v>
      </c>
    </row>
    <row r="507" spans="1:18" x14ac:dyDescent="0.35">
      <c r="A507" t="s">
        <v>426</v>
      </c>
      <c r="B507" t="s">
        <v>85</v>
      </c>
      <c r="C507" t="s">
        <v>63</v>
      </c>
      <c r="D507" t="s">
        <v>86</v>
      </c>
      <c r="E507">
        <v>9369</v>
      </c>
      <c r="F507">
        <v>3297</v>
      </c>
      <c r="G507">
        <v>2373</v>
      </c>
      <c r="H507">
        <v>1</v>
      </c>
      <c r="I507">
        <v>653</v>
      </c>
      <c r="J507">
        <v>63</v>
      </c>
      <c r="K507" s="1">
        <v>45809</v>
      </c>
      <c r="L507" t="s">
        <v>17</v>
      </c>
      <c r="M507" t="s">
        <v>427</v>
      </c>
      <c r="N507" s="2">
        <f>IFERROR(NHS_A_E[[#This Row],[T1_Over4hrs]]/NHS_A_E[[#This Row],[T1_Attendances]], 0)</f>
        <v>0.25328210054434841</v>
      </c>
      <c r="O507">
        <f>NHS_A_E[[#This Row],[T1_Attendances]]+NHS_A_E[[#This Row],[Other_Attendances]]</f>
        <v>12666</v>
      </c>
      <c r="P507">
        <f>MATCH(LEFT(A507,FIND("-",A507)-1),{"April","May","June","July","August","September","October","November","December","January","February","March"},0)</f>
        <v>3</v>
      </c>
      <c r="Q507" s="3">
        <f t="shared" si="14"/>
        <v>6.7243035542747355E-3</v>
      </c>
      <c r="R507" t="str">
        <f t="shared" si="15"/>
        <v>June</v>
      </c>
    </row>
    <row r="508" spans="1:18" x14ac:dyDescent="0.35">
      <c r="A508" t="s">
        <v>426</v>
      </c>
      <c r="B508" t="s">
        <v>73</v>
      </c>
      <c r="C508" t="s">
        <v>15</v>
      </c>
      <c r="D508" t="s">
        <v>74</v>
      </c>
      <c r="E508">
        <v>4192</v>
      </c>
      <c r="F508">
        <v>1567</v>
      </c>
      <c r="G508">
        <v>1754</v>
      </c>
      <c r="H508">
        <v>115</v>
      </c>
      <c r="I508">
        <v>264</v>
      </c>
      <c r="J508">
        <v>181</v>
      </c>
      <c r="K508" s="1">
        <v>45809</v>
      </c>
      <c r="L508" t="s">
        <v>17</v>
      </c>
      <c r="M508" t="s">
        <v>427</v>
      </c>
      <c r="N508" s="2">
        <f>IFERROR(NHS_A_E[[#This Row],[T1_Over4hrs]]/NHS_A_E[[#This Row],[T1_Attendances]], 0)</f>
        <v>0.41841603053435117</v>
      </c>
      <c r="O508">
        <f>NHS_A_E[[#This Row],[T1_Attendances]]+NHS_A_E[[#This Row],[Other_Attendances]]</f>
        <v>5759</v>
      </c>
      <c r="P508">
        <f>MATCH(LEFT(A508,FIND("-",A508)-1),{"April","May","June","July","August","September","October","November","December","January","February","March"},0)</f>
        <v>3</v>
      </c>
      <c r="Q508" s="3">
        <f t="shared" si="14"/>
        <v>4.3177480916030533E-2</v>
      </c>
      <c r="R508" t="str">
        <f t="shared" si="15"/>
        <v>June</v>
      </c>
    </row>
    <row r="509" spans="1:18" x14ac:dyDescent="0.35">
      <c r="A509" t="s">
        <v>426</v>
      </c>
      <c r="B509" t="s">
        <v>113</v>
      </c>
      <c r="C509" t="s">
        <v>40</v>
      </c>
      <c r="D509" t="s">
        <v>114</v>
      </c>
      <c r="E509">
        <v>0</v>
      </c>
      <c r="F509">
        <v>4946</v>
      </c>
      <c r="G509">
        <v>0</v>
      </c>
      <c r="H509">
        <v>377</v>
      </c>
      <c r="I509">
        <v>0</v>
      </c>
      <c r="J509">
        <v>0</v>
      </c>
      <c r="K509" s="1">
        <v>45809</v>
      </c>
      <c r="L509" t="s">
        <v>17</v>
      </c>
      <c r="M509" t="s">
        <v>427</v>
      </c>
      <c r="N509" s="2">
        <f>IFERROR(NHS_A_E[[#This Row],[T1_Over4hrs]]/NHS_A_E[[#This Row],[T1_Attendances]], 0)</f>
        <v>0</v>
      </c>
      <c r="O509">
        <f>NHS_A_E[[#This Row],[T1_Attendances]]+NHS_A_E[[#This Row],[Other_Attendances]]</f>
        <v>4946</v>
      </c>
      <c r="P509">
        <f>MATCH(LEFT(A509,FIND("-",A509)-1),{"April","May","June","July","August","September","October","November","December","January","February","March"},0)</f>
        <v>3</v>
      </c>
      <c r="Q509" s="3">
        <f t="shared" si="14"/>
        <v>0</v>
      </c>
      <c r="R509" t="str">
        <f t="shared" si="15"/>
        <v>June</v>
      </c>
    </row>
    <row r="510" spans="1:18" x14ac:dyDescent="0.35">
      <c r="A510" t="s">
        <v>426</v>
      </c>
      <c r="B510" t="s">
        <v>271</v>
      </c>
      <c r="C510" t="s">
        <v>30</v>
      </c>
      <c r="D510" t="s">
        <v>272</v>
      </c>
      <c r="E510">
        <v>0</v>
      </c>
      <c r="F510">
        <v>13175</v>
      </c>
      <c r="G510">
        <v>0</v>
      </c>
      <c r="H510">
        <v>244</v>
      </c>
      <c r="I510">
        <v>0</v>
      </c>
      <c r="J510">
        <v>0</v>
      </c>
      <c r="K510" s="1">
        <v>45809</v>
      </c>
      <c r="L510" t="s">
        <v>17</v>
      </c>
      <c r="M510" t="s">
        <v>427</v>
      </c>
      <c r="N510" s="2">
        <f>IFERROR(NHS_A_E[[#This Row],[T1_Over4hrs]]/NHS_A_E[[#This Row],[T1_Attendances]], 0)</f>
        <v>0</v>
      </c>
      <c r="O510">
        <f>NHS_A_E[[#This Row],[T1_Attendances]]+NHS_A_E[[#This Row],[Other_Attendances]]</f>
        <v>13175</v>
      </c>
      <c r="P510">
        <f>MATCH(LEFT(A510,FIND("-",A510)-1),{"April","May","June","July","August","September","October","November","December","January","February","March"},0)</f>
        <v>3</v>
      </c>
      <c r="Q510" s="3">
        <f t="shared" si="14"/>
        <v>0</v>
      </c>
      <c r="R510" t="str">
        <f t="shared" si="15"/>
        <v>June</v>
      </c>
    </row>
    <row r="511" spans="1:18" x14ac:dyDescent="0.35">
      <c r="A511" t="s">
        <v>426</v>
      </c>
      <c r="B511" t="s">
        <v>169</v>
      </c>
      <c r="C511" t="s">
        <v>20</v>
      </c>
      <c r="D511" t="s">
        <v>170</v>
      </c>
      <c r="E511">
        <v>9261</v>
      </c>
      <c r="F511">
        <v>0</v>
      </c>
      <c r="G511">
        <v>3498</v>
      </c>
      <c r="H511">
        <v>0</v>
      </c>
      <c r="I511">
        <v>576</v>
      </c>
      <c r="J511">
        <v>263</v>
      </c>
      <c r="K511" s="1">
        <v>45809</v>
      </c>
      <c r="L511" t="s">
        <v>17</v>
      </c>
      <c r="M511" t="s">
        <v>427</v>
      </c>
      <c r="N511" s="2">
        <f>IFERROR(NHS_A_E[[#This Row],[T1_Over4hrs]]/NHS_A_E[[#This Row],[T1_Attendances]], 0)</f>
        <v>0.37771298995788793</v>
      </c>
      <c r="O511">
        <f>NHS_A_E[[#This Row],[T1_Attendances]]+NHS_A_E[[#This Row],[Other_Attendances]]</f>
        <v>9261</v>
      </c>
      <c r="P511">
        <f>MATCH(LEFT(A511,FIND("-",A511)-1),{"April","May","June","July","August","September","October","November","December","January","February","March"},0)</f>
        <v>3</v>
      </c>
      <c r="Q511" s="3">
        <f t="shared" si="14"/>
        <v>2.8398661051722278E-2</v>
      </c>
      <c r="R511" t="str">
        <f t="shared" si="15"/>
        <v>June</v>
      </c>
    </row>
    <row r="512" spans="1:18" x14ac:dyDescent="0.35">
      <c r="A512" t="s">
        <v>426</v>
      </c>
      <c r="B512" t="s">
        <v>221</v>
      </c>
      <c r="C512" t="s">
        <v>63</v>
      </c>
      <c r="D512" t="s">
        <v>222</v>
      </c>
      <c r="E512">
        <v>9915</v>
      </c>
      <c r="F512">
        <v>13581</v>
      </c>
      <c r="G512">
        <v>1993</v>
      </c>
      <c r="H512">
        <v>7</v>
      </c>
      <c r="I512">
        <v>3</v>
      </c>
      <c r="J512">
        <v>0</v>
      </c>
      <c r="K512" s="1">
        <v>45809</v>
      </c>
      <c r="L512" t="s">
        <v>17</v>
      </c>
      <c r="M512" t="s">
        <v>427</v>
      </c>
      <c r="N512" s="2">
        <f>IFERROR(NHS_A_E[[#This Row],[T1_Over4hrs]]/NHS_A_E[[#This Row],[T1_Attendances]], 0)</f>
        <v>0.20100857286938981</v>
      </c>
      <c r="O512">
        <f>NHS_A_E[[#This Row],[T1_Attendances]]+NHS_A_E[[#This Row],[Other_Attendances]]</f>
        <v>23496</v>
      </c>
      <c r="P512">
        <f>MATCH(LEFT(A512,FIND("-",A512)-1),{"April","May","June","July","August","September","October","November","December","January","February","March"},0)</f>
        <v>3</v>
      </c>
      <c r="Q512" s="3">
        <f t="shared" si="14"/>
        <v>0</v>
      </c>
      <c r="R512" t="str">
        <f t="shared" si="15"/>
        <v>June</v>
      </c>
    </row>
    <row r="513" spans="1:18" x14ac:dyDescent="0.35">
      <c r="A513" t="s">
        <v>426</v>
      </c>
      <c r="B513" t="s">
        <v>157</v>
      </c>
      <c r="C513" t="s">
        <v>40</v>
      </c>
      <c r="D513" t="s">
        <v>158</v>
      </c>
      <c r="E513">
        <v>35162</v>
      </c>
      <c r="F513">
        <v>1864</v>
      </c>
      <c r="G513">
        <v>14726</v>
      </c>
      <c r="H513">
        <v>101</v>
      </c>
      <c r="I513">
        <v>2472</v>
      </c>
      <c r="J513">
        <v>1892</v>
      </c>
      <c r="K513" s="1">
        <v>45809</v>
      </c>
      <c r="L513" t="s">
        <v>17</v>
      </c>
      <c r="M513" t="s">
        <v>427</v>
      </c>
      <c r="N513" s="2">
        <f>IFERROR(NHS_A_E[[#This Row],[T1_Over4hrs]]/NHS_A_E[[#This Row],[T1_Attendances]], 0)</f>
        <v>0.41880439110403278</v>
      </c>
      <c r="O513">
        <f>NHS_A_E[[#This Row],[T1_Attendances]]+NHS_A_E[[#This Row],[Other_Attendances]]</f>
        <v>37026</v>
      </c>
      <c r="P513">
        <f>MATCH(LEFT(A513,FIND("-",A513)-1),{"April","May","June","July","August","September","October","November","December","January","February","March"},0)</f>
        <v>3</v>
      </c>
      <c r="Q513" s="3">
        <f t="shared" si="14"/>
        <v>5.380808827711734E-2</v>
      </c>
      <c r="R513" t="str">
        <f t="shared" si="15"/>
        <v>June</v>
      </c>
    </row>
    <row r="514" spans="1:18" x14ac:dyDescent="0.35">
      <c r="A514" t="s">
        <v>426</v>
      </c>
      <c r="B514" t="s">
        <v>65</v>
      </c>
      <c r="C514" t="s">
        <v>30</v>
      </c>
      <c r="D514" t="s">
        <v>66</v>
      </c>
      <c r="E514">
        <v>7384</v>
      </c>
      <c r="F514">
        <v>5202</v>
      </c>
      <c r="G514">
        <v>3512</v>
      </c>
      <c r="H514">
        <v>58</v>
      </c>
      <c r="I514">
        <v>626</v>
      </c>
      <c r="J514">
        <v>356</v>
      </c>
      <c r="K514" s="1">
        <v>45809</v>
      </c>
      <c r="L514" t="s">
        <v>17</v>
      </c>
      <c r="M514" t="s">
        <v>427</v>
      </c>
      <c r="N514" s="2">
        <f>IFERROR(NHS_A_E[[#This Row],[T1_Over4hrs]]/NHS_A_E[[#This Row],[T1_Attendances]], 0)</f>
        <v>0.47562296858071507</v>
      </c>
      <c r="O514">
        <f>NHS_A_E[[#This Row],[T1_Attendances]]+NHS_A_E[[#This Row],[Other_Attendances]]</f>
        <v>12586</v>
      </c>
      <c r="P514">
        <f>MATCH(LEFT(A514,FIND("-",A514)-1),{"April","May","June","July","August","September","October","November","December","January","February","March"},0)</f>
        <v>3</v>
      </c>
      <c r="Q514" s="3">
        <f t="shared" ref="Q514:Q577" si="16">IFERROR(J514/E514,0)</f>
        <v>4.8212351029252434E-2</v>
      </c>
      <c r="R514" t="str">
        <f t="shared" ref="R514:R577" si="17">TEXT(A514, "mmmm")</f>
        <v>June</v>
      </c>
    </row>
    <row r="515" spans="1:18" x14ac:dyDescent="0.35">
      <c r="A515" t="s">
        <v>426</v>
      </c>
      <c r="B515" t="s">
        <v>62</v>
      </c>
      <c r="C515" t="s">
        <v>63</v>
      </c>
      <c r="D515" t="s">
        <v>64</v>
      </c>
      <c r="E515">
        <v>17563</v>
      </c>
      <c r="F515">
        <v>11747</v>
      </c>
      <c r="G515">
        <v>6835</v>
      </c>
      <c r="H515">
        <v>196</v>
      </c>
      <c r="I515">
        <v>1759</v>
      </c>
      <c r="J515">
        <v>208</v>
      </c>
      <c r="K515" s="1">
        <v>45809</v>
      </c>
      <c r="L515" t="s">
        <v>17</v>
      </c>
      <c r="M515" t="s">
        <v>427</v>
      </c>
      <c r="N515" s="2">
        <f>IFERROR(NHS_A_E[[#This Row],[T1_Over4hrs]]/NHS_A_E[[#This Row],[T1_Attendances]], 0)</f>
        <v>0.38917041507715083</v>
      </c>
      <c r="O515">
        <f>NHS_A_E[[#This Row],[T1_Attendances]]+NHS_A_E[[#This Row],[Other_Attendances]]</f>
        <v>29310</v>
      </c>
      <c r="P515">
        <f>MATCH(LEFT(A515,FIND("-",A515)-1),{"April","May","June","July","August","September","October","November","December","January","February","March"},0)</f>
        <v>3</v>
      </c>
      <c r="Q515" s="3">
        <f t="shared" si="16"/>
        <v>1.1843079200592153E-2</v>
      </c>
      <c r="R515" t="str">
        <f t="shared" si="17"/>
        <v>June</v>
      </c>
    </row>
    <row r="516" spans="1:18" x14ac:dyDescent="0.35">
      <c r="A516" t="s">
        <v>426</v>
      </c>
      <c r="B516" t="s">
        <v>323</v>
      </c>
      <c r="C516" t="s">
        <v>23</v>
      </c>
      <c r="D516" t="s">
        <v>324</v>
      </c>
      <c r="E516">
        <v>8513</v>
      </c>
      <c r="F516">
        <v>1907</v>
      </c>
      <c r="G516">
        <v>3484</v>
      </c>
      <c r="H516">
        <v>0</v>
      </c>
      <c r="I516">
        <v>344</v>
      </c>
      <c r="J516">
        <v>99</v>
      </c>
      <c r="K516" s="1">
        <v>45809</v>
      </c>
      <c r="L516" t="s">
        <v>17</v>
      </c>
      <c r="M516" t="s">
        <v>427</v>
      </c>
      <c r="N516" s="2">
        <f>IFERROR(NHS_A_E[[#This Row],[T1_Over4hrs]]/NHS_A_E[[#This Row],[T1_Attendances]], 0)</f>
        <v>0.40925643134030304</v>
      </c>
      <c r="O516">
        <f>NHS_A_E[[#This Row],[T1_Attendances]]+NHS_A_E[[#This Row],[Other_Attendances]]</f>
        <v>10420</v>
      </c>
      <c r="P516">
        <f>MATCH(LEFT(A516,FIND("-",A516)-1),{"April","May","June","July","August","September","October","November","December","January","February","March"},0)</f>
        <v>3</v>
      </c>
      <c r="Q516" s="3">
        <f t="shared" si="16"/>
        <v>1.1629272876776694E-2</v>
      </c>
      <c r="R516" t="str">
        <f t="shared" si="17"/>
        <v>June</v>
      </c>
    </row>
    <row r="517" spans="1:18" x14ac:dyDescent="0.35">
      <c r="A517" t="s">
        <v>426</v>
      </c>
      <c r="B517" t="s">
        <v>60</v>
      </c>
      <c r="C517" t="s">
        <v>35</v>
      </c>
      <c r="D517" t="s">
        <v>61</v>
      </c>
      <c r="E517">
        <v>19980</v>
      </c>
      <c r="F517">
        <v>6091</v>
      </c>
      <c r="G517">
        <v>5149</v>
      </c>
      <c r="H517">
        <v>78</v>
      </c>
      <c r="I517">
        <v>508</v>
      </c>
      <c r="J517">
        <v>56</v>
      </c>
      <c r="K517" s="1">
        <v>45809</v>
      </c>
      <c r="L517" t="s">
        <v>17</v>
      </c>
      <c r="M517" t="s">
        <v>427</v>
      </c>
      <c r="N517" s="2">
        <f>IFERROR(NHS_A_E[[#This Row],[T1_Over4hrs]]/NHS_A_E[[#This Row],[T1_Attendances]], 0)</f>
        <v>0.25770770770770773</v>
      </c>
      <c r="O517">
        <f>NHS_A_E[[#This Row],[T1_Attendances]]+NHS_A_E[[#This Row],[Other_Attendances]]</f>
        <v>26071</v>
      </c>
      <c r="P517">
        <f>MATCH(LEFT(A517,FIND("-",A517)-1),{"April","May","June","July","August","September","October","November","December","January","February","March"},0)</f>
        <v>3</v>
      </c>
      <c r="Q517" s="3">
        <f t="shared" si="16"/>
        <v>2.8028028028028026E-3</v>
      </c>
      <c r="R517" t="str">
        <f t="shared" si="17"/>
        <v>June</v>
      </c>
    </row>
    <row r="518" spans="1:18" x14ac:dyDescent="0.35">
      <c r="A518" t="s">
        <v>426</v>
      </c>
      <c r="B518" t="s">
        <v>407</v>
      </c>
      <c r="C518" t="s">
        <v>35</v>
      </c>
      <c r="D518" t="s">
        <v>408</v>
      </c>
      <c r="E518">
        <v>0</v>
      </c>
      <c r="F518">
        <v>0</v>
      </c>
      <c r="G518">
        <v>0</v>
      </c>
      <c r="H518">
        <v>0</v>
      </c>
      <c r="I518">
        <v>0</v>
      </c>
      <c r="J518">
        <v>0</v>
      </c>
      <c r="K518" s="1">
        <v>45809</v>
      </c>
      <c r="L518" t="s">
        <v>17</v>
      </c>
      <c r="M518" t="s">
        <v>427</v>
      </c>
      <c r="N518" s="2">
        <f>IFERROR(NHS_A_E[[#This Row],[T1_Over4hrs]]/NHS_A_E[[#This Row],[T1_Attendances]], 0)</f>
        <v>0</v>
      </c>
      <c r="O518">
        <f>NHS_A_E[[#This Row],[T1_Attendances]]+NHS_A_E[[#This Row],[Other_Attendances]]</f>
        <v>0</v>
      </c>
      <c r="P518">
        <f>MATCH(LEFT(A518,FIND("-",A518)-1),{"April","May","June","July","August","September","October","November","December","January","February","March"},0)</f>
        <v>3</v>
      </c>
      <c r="Q518" s="3">
        <f t="shared" si="16"/>
        <v>0</v>
      </c>
      <c r="R518" t="str">
        <f t="shared" si="17"/>
        <v>June</v>
      </c>
    </row>
    <row r="519" spans="1:18" x14ac:dyDescent="0.35">
      <c r="A519" t="s">
        <v>426</v>
      </c>
      <c r="B519" t="s">
        <v>54</v>
      </c>
      <c r="C519" t="s">
        <v>15</v>
      </c>
      <c r="D519" t="s">
        <v>55</v>
      </c>
      <c r="E519">
        <v>0</v>
      </c>
      <c r="F519">
        <v>4643</v>
      </c>
      <c r="G519">
        <v>0</v>
      </c>
      <c r="H519">
        <v>219</v>
      </c>
      <c r="I519">
        <v>0</v>
      </c>
      <c r="J519">
        <v>0</v>
      </c>
      <c r="K519" s="1">
        <v>45809</v>
      </c>
      <c r="L519" t="s">
        <v>17</v>
      </c>
      <c r="M519" t="s">
        <v>427</v>
      </c>
      <c r="N519" s="2">
        <f>IFERROR(NHS_A_E[[#This Row],[T1_Over4hrs]]/NHS_A_E[[#This Row],[T1_Attendances]], 0)</f>
        <v>0</v>
      </c>
      <c r="O519">
        <f>NHS_A_E[[#This Row],[T1_Attendances]]+NHS_A_E[[#This Row],[Other_Attendances]]</f>
        <v>4643</v>
      </c>
      <c r="P519">
        <f>MATCH(LEFT(A519,FIND("-",A519)-1),{"April","May","June","July","August","September","October","November","December","January","February","March"},0)</f>
        <v>3</v>
      </c>
      <c r="Q519" s="3">
        <f t="shared" si="16"/>
        <v>0</v>
      </c>
      <c r="R519" t="str">
        <f t="shared" si="17"/>
        <v>June</v>
      </c>
    </row>
    <row r="520" spans="1:18" x14ac:dyDescent="0.35">
      <c r="A520" t="s">
        <v>426</v>
      </c>
      <c r="B520" t="s">
        <v>50</v>
      </c>
      <c r="C520" t="s">
        <v>15</v>
      </c>
      <c r="D520" t="s">
        <v>51</v>
      </c>
      <c r="E520">
        <v>11007</v>
      </c>
      <c r="F520">
        <v>4082</v>
      </c>
      <c r="G520">
        <v>3835</v>
      </c>
      <c r="H520">
        <v>5</v>
      </c>
      <c r="I520">
        <v>536</v>
      </c>
      <c r="J520">
        <v>297</v>
      </c>
      <c r="K520" s="1">
        <v>45809</v>
      </c>
      <c r="L520" t="s">
        <v>17</v>
      </c>
      <c r="M520" t="s">
        <v>427</v>
      </c>
      <c r="N520" s="2">
        <f>IFERROR(NHS_A_E[[#This Row],[T1_Over4hrs]]/NHS_A_E[[#This Row],[T1_Attendances]], 0)</f>
        <v>0.34841464522576543</v>
      </c>
      <c r="O520">
        <f>NHS_A_E[[#This Row],[T1_Attendances]]+NHS_A_E[[#This Row],[Other_Attendances]]</f>
        <v>15089</v>
      </c>
      <c r="P520">
        <f>MATCH(LEFT(A520,FIND("-",A520)-1),{"April","May","June","July","August","September","October","November","December","January","February","March"},0)</f>
        <v>3</v>
      </c>
      <c r="Q520" s="3">
        <f t="shared" si="16"/>
        <v>2.6982829108748978E-2</v>
      </c>
      <c r="R520" t="str">
        <f t="shared" si="17"/>
        <v>June</v>
      </c>
    </row>
    <row r="521" spans="1:18" x14ac:dyDescent="0.35">
      <c r="A521" t="s">
        <v>426</v>
      </c>
      <c r="B521" t="s">
        <v>173</v>
      </c>
      <c r="C521" t="s">
        <v>23</v>
      </c>
      <c r="D521" t="s">
        <v>174</v>
      </c>
      <c r="E521">
        <v>13020</v>
      </c>
      <c r="F521">
        <v>7591</v>
      </c>
      <c r="G521">
        <v>4102</v>
      </c>
      <c r="H521">
        <v>13</v>
      </c>
      <c r="I521">
        <v>937</v>
      </c>
      <c r="J521">
        <v>248</v>
      </c>
      <c r="K521" s="1">
        <v>45809</v>
      </c>
      <c r="L521" t="s">
        <v>17</v>
      </c>
      <c r="M521" t="s">
        <v>427</v>
      </c>
      <c r="N521" s="2">
        <f>IFERROR(NHS_A_E[[#This Row],[T1_Over4hrs]]/NHS_A_E[[#This Row],[T1_Attendances]], 0)</f>
        <v>0.31505376344086022</v>
      </c>
      <c r="O521">
        <f>NHS_A_E[[#This Row],[T1_Attendances]]+NHS_A_E[[#This Row],[Other_Attendances]]</f>
        <v>20611</v>
      </c>
      <c r="P521">
        <f>MATCH(LEFT(A521,FIND("-",A521)-1),{"April","May","June","July","August","September","October","November","December","January","February","March"},0)</f>
        <v>3</v>
      </c>
      <c r="Q521" s="3">
        <f t="shared" si="16"/>
        <v>1.9047619047619049E-2</v>
      </c>
      <c r="R521" t="str">
        <f t="shared" si="17"/>
        <v>June</v>
      </c>
    </row>
    <row r="522" spans="1:18" x14ac:dyDescent="0.35">
      <c r="A522" t="s">
        <v>426</v>
      </c>
      <c r="B522" t="s">
        <v>179</v>
      </c>
      <c r="C522" t="s">
        <v>40</v>
      </c>
      <c r="D522" t="s">
        <v>180</v>
      </c>
      <c r="E522">
        <v>16654</v>
      </c>
      <c r="F522">
        <v>3648</v>
      </c>
      <c r="G522">
        <v>6851</v>
      </c>
      <c r="H522">
        <v>343</v>
      </c>
      <c r="I522">
        <v>910</v>
      </c>
      <c r="J522">
        <v>1077</v>
      </c>
      <c r="K522" s="1">
        <v>45809</v>
      </c>
      <c r="L522" t="s">
        <v>17</v>
      </c>
      <c r="M522" t="s">
        <v>427</v>
      </c>
      <c r="N522" s="2">
        <f>IFERROR(NHS_A_E[[#This Row],[T1_Over4hrs]]/NHS_A_E[[#This Row],[T1_Attendances]], 0)</f>
        <v>0.41137264320883871</v>
      </c>
      <c r="O522">
        <f>NHS_A_E[[#This Row],[T1_Attendances]]+NHS_A_E[[#This Row],[Other_Attendances]]</f>
        <v>20302</v>
      </c>
      <c r="P522">
        <f>MATCH(LEFT(A522,FIND("-",A522)-1),{"April","May","June","July","August","September","October","November","December","January","February","March"},0)</f>
        <v>3</v>
      </c>
      <c r="Q522" s="3">
        <f t="shared" si="16"/>
        <v>6.4669148552900207E-2</v>
      </c>
      <c r="R522" t="str">
        <f t="shared" si="17"/>
        <v>June</v>
      </c>
    </row>
    <row r="523" spans="1:18" x14ac:dyDescent="0.35">
      <c r="A523" t="s">
        <v>426</v>
      </c>
      <c r="B523" t="s">
        <v>48</v>
      </c>
      <c r="C523" t="s">
        <v>40</v>
      </c>
      <c r="D523" t="s">
        <v>49</v>
      </c>
      <c r="E523">
        <v>6939</v>
      </c>
      <c r="F523">
        <v>1693</v>
      </c>
      <c r="G523">
        <v>2566</v>
      </c>
      <c r="H523">
        <v>64</v>
      </c>
      <c r="I523">
        <v>261</v>
      </c>
      <c r="J523">
        <v>484</v>
      </c>
      <c r="K523" s="1">
        <v>45809</v>
      </c>
      <c r="L523" t="s">
        <v>17</v>
      </c>
      <c r="M523" t="s">
        <v>427</v>
      </c>
      <c r="N523" s="2">
        <f>IFERROR(NHS_A_E[[#This Row],[T1_Over4hrs]]/NHS_A_E[[#This Row],[T1_Attendances]], 0)</f>
        <v>0.36979391843205073</v>
      </c>
      <c r="O523">
        <f>NHS_A_E[[#This Row],[T1_Attendances]]+NHS_A_E[[#This Row],[Other_Attendances]]</f>
        <v>8632</v>
      </c>
      <c r="P523">
        <f>MATCH(LEFT(A523,FIND("-",A523)-1),{"April","May","June","July","August","September","October","November","December","January","February","March"},0)</f>
        <v>3</v>
      </c>
      <c r="Q523" s="3">
        <f t="shared" si="16"/>
        <v>6.9750684536676752E-2</v>
      </c>
      <c r="R523" t="str">
        <f t="shared" si="17"/>
        <v>June</v>
      </c>
    </row>
    <row r="524" spans="1:18" x14ac:dyDescent="0.35">
      <c r="A524" t="s">
        <v>426</v>
      </c>
      <c r="B524" t="s">
        <v>183</v>
      </c>
      <c r="C524" t="s">
        <v>23</v>
      </c>
      <c r="D524" t="s">
        <v>184</v>
      </c>
      <c r="E524">
        <v>8116</v>
      </c>
      <c r="F524">
        <v>7881</v>
      </c>
      <c r="G524">
        <v>2374</v>
      </c>
      <c r="H524">
        <v>39</v>
      </c>
      <c r="I524">
        <v>654</v>
      </c>
      <c r="J524">
        <v>21</v>
      </c>
      <c r="K524" s="1">
        <v>45809</v>
      </c>
      <c r="L524" t="s">
        <v>17</v>
      </c>
      <c r="M524" t="s">
        <v>427</v>
      </c>
      <c r="N524" s="2">
        <f>IFERROR(NHS_A_E[[#This Row],[T1_Over4hrs]]/NHS_A_E[[#This Row],[T1_Attendances]], 0)</f>
        <v>0.2925086249383933</v>
      </c>
      <c r="O524">
        <f>NHS_A_E[[#This Row],[T1_Attendances]]+NHS_A_E[[#This Row],[Other_Attendances]]</f>
        <v>15997</v>
      </c>
      <c r="P524">
        <f>MATCH(LEFT(A524,FIND("-",A524)-1),{"April","May","June","July","August","September","October","November","December","January","February","March"},0)</f>
        <v>3</v>
      </c>
      <c r="Q524" s="3">
        <f t="shared" si="16"/>
        <v>2.5874815179891572E-3</v>
      </c>
      <c r="R524" t="str">
        <f t="shared" si="17"/>
        <v>June</v>
      </c>
    </row>
    <row r="525" spans="1:18" x14ac:dyDescent="0.35">
      <c r="A525" t="s">
        <v>426</v>
      </c>
      <c r="B525" t="s">
        <v>133</v>
      </c>
      <c r="C525" t="s">
        <v>15</v>
      </c>
      <c r="D525" t="s">
        <v>134</v>
      </c>
      <c r="E525">
        <v>0</v>
      </c>
      <c r="F525">
        <v>1624</v>
      </c>
      <c r="G525">
        <v>0</v>
      </c>
      <c r="H525">
        <v>20</v>
      </c>
      <c r="I525">
        <v>0</v>
      </c>
      <c r="J525">
        <v>0</v>
      </c>
      <c r="K525" s="1">
        <v>45809</v>
      </c>
      <c r="L525" t="s">
        <v>17</v>
      </c>
      <c r="M525" t="s">
        <v>427</v>
      </c>
      <c r="N525" s="2">
        <f>IFERROR(NHS_A_E[[#This Row],[T1_Over4hrs]]/NHS_A_E[[#This Row],[T1_Attendances]], 0)</f>
        <v>0</v>
      </c>
      <c r="O525">
        <f>NHS_A_E[[#This Row],[T1_Attendances]]+NHS_A_E[[#This Row],[Other_Attendances]]</f>
        <v>1624</v>
      </c>
      <c r="P525">
        <f>MATCH(LEFT(A525,FIND("-",A525)-1),{"April","May","June","July","August","September","October","November","December","January","February","March"},0)</f>
        <v>3</v>
      </c>
      <c r="Q525" s="3">
        <f t="shared" si="16"/>
        <v>0</v>
      </c>
      <c r="R525" t="str">
        <f t="shared" si="17"/>
        <v>June</v>
      </c>
    </row>
    <row r="526" spans="1:18" x14ac:dyDescent="0.35">
      <c r="A526" t="s">
        <v>426</v>
      </c>
      <c r="B526" t="s">
        <v>165</v>
      </c>
      <c r="C526" t="s">
        <v>63</v>
      </c>
      <c r="D526" t="s">
        <v>166</v>
      </c>
      <c r="E526">
        <v>12288</v>
      </c>
      <c r="F526">
        <v>6292</v>
      </c>
      <c r="G526">
        <v>4473</v>
      </c>
      <c r="H526">
        <v>1</v>
      </c>
      <c r="I526">
        <v>595</v>
      </c>
      <c r="J526">
        <v>48</v>
      </c>
      <c r="K526" s="1">
        <v>45809</v>
      </c>
      <c r="L526" t="s">
        <v>17</v>
      </c>
      <c r="M526" t="s">
        <v>427</v>
      </c>
      <c r="N526" s="2">
        <f>IFERROR(NHS_A_E[[#This Row],[T1_Over4hrs]]/NHS_A_E[[#This Row],[T1_Attendances]], 0)</f>
        <v>0.364013671875</v>
      </c>
      <c r="O526">
        <f>NHS_A_E[[#This Row],[T1_Attendances]]+NHS_A_E[[#This Row],[Other_Attendances]]</f>
        <v>18580</v>
      </c>
      <c r="P526">
        <f>MATCH(LEFT(A526,FIND("-",A526)-1),{"April","May","June","July","August","September","October","November","December","January","February","March"},0)</f>
        <v>3</v>
      </c>
      <c r="Q526" s="3">
        <f t="shared" si="16"/>
        <v>3.90625E-3</v>
      </c>
      <c r="R526" t="str">
        <f t="shared" si="17"/>
        <v>June</v>
      </c>
    </row>
    <row r="527" spans="1:18" x14ac:dyDescent="0.35">
      <c r="A527" t="s">
        <v>426</v>
      </c>
      <c r="B527" t="s">
        <v>159</v>
      </c>
      <c r="C527" t="s">
        <v>40</v>
      </c>
      <c r="D527" t="s">
        <v>160</v>
      </c>
      <c r="E527">
        <v>6588</v>
      </c>
      <c r="F527">
        <v>6045</v>
      </c>
      <c r="G527">
        <v>3702</v>
      </c>
      <c r="H527">
        <v>435</v>
      </c>
      <c r="I527">
        <v>564</v>
      </c>
      <c r="J527">
        <v>78</v>
      </c>
      <c r="K527" s="1">
        <v>45809</v>
      </c>
      <c r="L527" t="s">
        <v>17</v>
      </c>
      <c r="M527" t="s">
        <v>427</v>
      </c>
      <c r="N527" s="2">
        <f>IFERROR(NHS_A_E[[#This Row],[T1_Over4hrs]]/NHS_A_E[[#This Row],[T1_Attendances]], 0)</f>
        <v>0.56193078324225865</v>
      </c>
      <c r="O527">
        <f>NHS_A_E[[#This Row],[T1_Attendances]]+NHS_A_E[[#This Row],[Other_Attendances]]</f>
        <v>12633</v>
      </c>
      <c r="P527">
        <f>MATCH(LEFT(A527,FIND("-",A527)-1),{"April","May","June","July","August","September","October","November","December","January","February","March"},0)</f>
        <v>3</v>
      </c>
      <c r="Q527" s="3">
        <f t="shared" si="16"/>
        <v>1.1839708561020037E-2</v>
      </c>
      <c r="R527" t="str">
        <f t="shared" si="17"/>
        <v>June</v>
      </c>
    </row>
    <row r="528" spans="1:18" x14ac:dyDescent="0.35">
      <c r="A528" t="s">
        <v>426</v>
      </c>
      <c r="B528" t="s">
        <v>339</v>
      </c>
      <c r="C528" t="s">
        <v>20</v>
      </c>
      <c r="D528" t="s">
        <v>340</v>
      </c>
      <c r="E528">
        <v>15491</v>
      </c>
      <c r="F528">
        <v>0</v>
      </c>
      <c r="G528">
        <v>5239</v>
      </c>
      <c r="H528">
        <v>0</v>
      </c>
      <c r="I528">
        <v>917</v>
      </c>
      <c r="J528">
        <v>137</v>
      </c>
      <c r="K528" s="1">
        <v>45809</v>
      </c>
      <c r="L528" t="s">
        <v>17</v>
      </c>
      <c r="M528" t="s">
        <v>427</v>
      </c>
      <c r="N528" s="2">
        <f>IFERROR(NHS_A_E[[#This Row],[T1_Over4hrs]]/NHS_A_E[[#This Row],[T1_Attendances]], 0)</f>
        <v>0.33819637208701825</v>
      </c>
      <c r="O528">
        <f>NHS_A_E[[#This Row],[T1_Attendances]]+NHS_A_E[[#This Row],[Other_Attendances]]</f>
        <v>15491</v>
      </c>
      <c r="P528">
        <f>MATCH(LEFT(A528,FIND("-",A528)-1),{"April","May","June","July","August","September","October","November","December","January","February","March"},0)</f>
        <v>3</v>
      </c>
      <c r="Q528" s="3">
        <f t="shared" si="16"/>
        <v>8.843844813117294E-3</v>
      </c>
      <c r="R528" t="str">
        <f t="shared" si="17"/>
        <v>June</v>
      </c>
    </row>
    <row r="529" spans="1:18" x14ac:dyDescent="0.35">
      <c r="A529" t="s">
        <v>426</v>
      </c>
      <c r="B529" t="s">
        <v>143</v>
      </c>
      <c r="C529" t="s">
        <v>40</v>
      </c>
      <c r="D529" t="s">
        <v>144</v>
      </c>
      <c r="E529">
        <v>0</v>
      </c>
      <c r="F529">
        <v>518</v>
      </c>
      <c r="G529">
        <v>0</v>
      </c>
      <c r="H529">
        <v>0</v>
      </c>
      <c r="I529">
        <v>0</v>
      </c>
      <c r="J529">
        <v>0</v>
      </c>
      <c r="K529" s="1">
        <v>45809</v>
      </c>
      <c r="L529" t="s">
        <v>17</v>
      </c>
      <c r="M529" t="s">
        <v>427</v>
      </c>
      <c r="N529" s="2">
        <f>IFERROR(NHS_A_E[[#This Row],[T1_Over4hrs]]/NHS_A_E[[#This Row],[T1_Attendances]], 0)</f>
        <v>0</v>
      </c>
      <c r="O529">
        <f>NHS_A_E[[#This Row],[T1_Attendances]]+NHS_A_E[[#This Row],[Other_Attendances]]</f>
        <v>518</v>
      </c>
      <c r="P529">
        <f>MATCH(LEFT(A529,FIND("-",A529)-1),{"April","May","June","July","August","September","October","November","December","January","February","March"},0)</f>
        <v>3</v>
      </c>
      <c r="Q529" s="3">
        <f t="shared" si="16"/>
        <v>0</v>
      </c>
      <c r="R529" t="str">
        <f t="shared" si="17"/>
        <v>June</v>
      </c>
    </row>
    <row r="530" spans="1:18" x14ac:dyDescent="0.35">
      <c r="A530" t="s">
        <v>426</v>
      </c>
      <c r="B530" t="s">
        <v>405</v>
      </c>
      <c r="C530" t="s">
        <v>15</v>
      </c>
      <c r="D530" t="s">
        <v>406</v>
      </c>
      <c r="E530">
        <v>10049</v>
      </c>
      <c r="F530">
        <v>6470</v>
      </c>
      <c r="G530">
        <v>3353</v>
      </c>
      <c r="H530">
        <v>596</v>
      </c>
      <c r="I530">
        <v>396</v>
      </c>
      <c r="J530">
        <v>454</v>
      </c>
      <c r="K530" s="1">
        <v>45809</v>
      </c>
      <c r="L530" t="s">
        <v>17</v>
      </c>
      <c r="M530" t="s">
        <v>427</v>
      </c>
      <c r="N530" s="2">
        <f>IFERROR(NHS_A_E[[#This Row],[T1_Over4hrs]]/NHS_A_E[[#This Row],[T1_Attendances]], 0)</f>
        <v>0.33366504129764157</v>
      </c>
      <c r="O530">
        <f>NHS_A_E[[#This Row],[T1_Attendances]]+NHS_A_E[[#This Row],[Other_Attendances]]</f>
        <v>16519</v>
      </c>
      <c r="P530">
        <f>MATCH(LEFT(A530,FIND("-",A530)-1),{"April","May","June","July","August","September","October","November","December","January","February","March"},0)</f>
        <v>3</v>
      </c>
      <c r="Q530" s="3">
        <f t="shared" si="16"/>
        <v>4.5178624738779975E-2</v>
      </c>
      <c r="R530" t="str">
        <f t="shared" si="17"/>
        <v>June</v>
      </c>
    </row>
    <row r="531" spans="1:18" x14ac:dyDescent="0.35">
      <c r="A531" t="s">
        <v>426</v>
      </c>
      <c r="B531" t="s">
        <v>189</v>
      </c>
      <c r="C531" t="s">
        <v>30</v>
      </c>
      <c r="D531" t="s">
        <v>190</v>
      </c>
      <c r="E531">
        <v>6822</v>
      </c>
      <c r="F531">
        <v>3174</v>
      </c>
      <c r="G531">
        <v>3501</v>
      </c>
      <c r="H531">
        <v>41</v>
      </c>
      <c r="I531">
        <v>654</v>
      </c>
      <c r="J531">
        <v>854</v>
      </c>
      <c r="K531" s="1">
        <v>45809</v>
      </c>
      <c r="L531" t="s">
        <v>17</v>
      </c>
      <c r="M531" t="s">
        <v>427</v>
      </c>
      <c r="N531" s="2">
        <f>IFERROR(NHS_A_E[[#This Row],[T1_Over4hrs]]/NHS_A_E[[#This Row],[T1_Attendances]], 0)</f>
        <v>0.51319261213720313</v>
      </c>
      <c r="O531">
        <f>NHS_A_E[[#This Row],[T1_Attendances]]+NHS_A_E[[#This Row],[Other_Attendances]]</f>
        <v>9996</v>
      </c>
      <c r="P531">
        <f>MATCH(LEFT(A531,FIND("-",A531)-1),{"April","May","June","July","August","September","October","November","December","January","February","March"},0)</f>
        <v>3</v>
      </c>
      <c r="Q531" s="3">
        <f t="shared" si="16"/>
        <v>0.12518323072412782</v>
      </c>
      <c r="R531" t="str">
        <f t="shared" si="17"/>
        <v>June</v>
      </c>
    </row>
    <row r="532" spans="1:18" x14ac:dyDescent="0.35">
      <c r="A532" t="s">
        <v>426</v>
      </c>
      <c r="B532" t="s">
        <v>149</v>
      </c>
      <c r="C532" t="s">
        <v>15</v>
      </c>
      <c r="D532" t="s">
        <v>150</v>
      </c>
      <c r="E532">
        <v>10271</v>
      </c>
      <c r="F532">
        <v>3213</v>
      </c>
      <c r="G532">
        <v>3677</v>
      </c>
      <c r="H532">
        <v>77</v>
      </c>
      <c r="I532">
        <v>847</v>
      </c>
      <c r="J532">
        <v>838</v>
      </c>
      <c r="K532" s="1">
        <v>45809</v>
      </c>
      <c r="L532" t="s">
        <v>17</v>
      </c>
      <c r="M532" t="s">
        <v>427</v>
      </c>
      <c r="N532" s="2">
        <f>IFERROR(NHS_A_E[[#This Row],[T1_Over4hrs]]/NHS_A_E[[#This Row],[T1_Attendances]], 0)</f>
        <v>0.35799824749294129</v>
      </c>
      <c r="O532">
        <f>NHS_A_E[[#This Row],[T1_Attendances]]+NHS_A_E[[#This Row],[Other_Attendances]]</f>
        <v>13484</v>
      </c>
      <c r="P532">
        <f>MATCH(LEFT(A532,FIND("-",A532)-1),{"April","May","June","July","August","September","October","November","December","January","February","March"},0)</f>
        <v>3</v>
      </c>
      <c r="Q532" s="3">
        <f t="shared" si="16"/>
        <v>8.1588939733229476E-2</v>
      </c>
      <c r="R532" t="str">
        <f t="shared" si="17"/>
        <v>June</v>
      </c>
    </row>
    <row r="533" spans="1:18" x14ac:dyDescent="0.35">
      <c r="A533" t="s">
        <v>426</v>
      </c>
      <c r="B533" t="s">
        <v>209</v>
      </c>
      <c r="C533" t="s">
        <v>35</v>
      </c>
      <c r="D533" t="s">
        <v>210</v>
      </c>
      <c r="E533">
        <v>25464</v>
      </c>
      <c r="F533">
        <v>18454</v>
      </c>
      <c r="G533">
        <v>11582</v>
      </c>
      <c r="H533">
        <v>2205</v>
      </c>
      <c r="I533">
        <v>1234</v>
      </c>
      <c r="J533">
        <v>960</v>
      </c>
      <c r="K533" s="1">
        <v>45809</v>
      </c>
      <c r="L533" t="s">
        <v>17</v>
      </c>
      <c r="M533" t="s">
        <v>427</v>
      </c>
      <c r="N533" s="2">
        <f>IFERROR(NHS_A_E[[#This Row],[T1_Over4hrs]]/NHS_A_E[[#This Row],[T1_Attendances]], 0)</f>
        <v>0.45483820295318883</v>
      </c>
      <c r="O533">
        <f>NHS_A_E[[#This Row],[T1_Attendances]]+NHS_A_E[[#This Row],[Other_Attendances]]</f>
        <v>43918</v>
      </c>
      <c r="P533">
        <f>MATCH(LEFT(A533,FIND("-",A533)-1),{"April","May","June","July","August","September","October","November","December","January","February","March"},0)</f>
        <v>3</v>
      </c>
      <c r="Q533" s="3">
        <f t="shared" si="16"/>
        <v>3.7700282752120638E-2</v>
      </c>
      <c r="R533" t="str">
        <f t="shared" si="17"/>
        <v>June</v>
      </c>
    </row>
    <row r="534" spans="1:18" x14ac:dyDescent="0.35">
      <c r="A534" t="s">
        <v>426</v>
      </c>
      <c r="B534" t="s">
        <v>52</v>
      </c>
      <c r="C534" t="s">
        <v>40</v>
      </c>
      <c r="D534" t="s">
        <v>53</v>
      </c>
      <c r="E534">
        <v>11008</v>
      </c>
      <c r="F534">
        <v>1990</v>
      </c>
      <c r="G534">
        <v>4131</v>
      </c>
      <c r="H534">
        <v>205</v>
      </c>
      <c r="I534">
        <v>709</v>
      </c>
      <c r="J534">
        <v>697</v>
      </c>
      <c r="K534" s="1">
        <v>45809</v>
      </c>
      <c r="L534" t="s">
        <v>17</v>
      </c>
      <c r="M534" t="s">
        <v>427</v>
      </c>
      <c r="N534" s="2">
        <f>IFERROR(NHS_A_E[[#This Row],[T1_Over4hrs]]/NHS_A_E[[#This Row],[T1_Attendances]], 0)</f>
        <v>0.37527252906976744</v>
      </c>
      <c r="O534">
        <f>NHS_A_E[[#This Row],[T1_Attendances]]+NHS_A_E[[#This Row],[Other_Attendances]]</f>
        <v>12998</v>
      </c>
      <c r="P534">
        <f>MATCH(LEFT(A534,FIND("-",A534)-1),{"April","May","June","July","August","September","October","November","December","January","February","March"},0)</f>
        <v>3</v>
      </c>
      <c r="Q534" s="3">
        <f t="shared" si="16"/>
        <v>6.331758720930232E-2</v>
      </c>
      <c r="R534" t="str">
        <f t="shared" si="17"/>
        <v>June</v>
      </c>
    </row>
    <row r="535" spans="1:18" x14ac:dyDescent="0.35">
      <c r="A535" t="s">
        <v>426</v>
      </c>
      <c r="B535" t="s">
        <v>32</v>
      </c>
      <c r="C535" t="s">
        <v>30</v>
      </c>
      <c r="D535" t="s">
        <v>33</v>
      </c>
      <c r="E535">
        <v>0</v>
      </c>
      <c r="F535">
        <v>0</v>
      </c>
      <c r="G535">
        <v>0</v>
      </c>
      <c r="H535">
        <v>0</v>
      </c>
      <c r="I535">
        <v>0</v>
      </c>
      <c r="J535">
        <v>0</v>
      </c>
      <c r="K535" s="1">
        <v>45809</v>
      </c>
      <c r="L535" t="s">
        <v>17</v>
      </c>
      <c r="M535" t="s">
        <v>427</v>
      </c>
      <c r="N535" s="2">
        <f>IFERROR(NHS_A_E[[#This Row],[T1_Over4hrs]]/NHS_A_E[[#This Row],[T1_Attendances]], 0)</f>
        <v>0</v>
      </c>
      <c r="O535">
        <f>NHS_A_E[[#This Row],[T1_Attendances]]+NHS_A_E[[#This Row],[Other_Attendances]]</f>
        <v>0</v>
      </c>
      <c r="P535">
        <f>MATCH(LEFT(A535,FIND("-",A535)-1),{"April","May","June","July","August","September","October","November","December","January","February","March"},0)</f>
        <v>3</v>
      </c>
      <c r="Q535" s="3">
        <f t="shared" si="16"/>
        <v>0</v>
      </c>
      <c r="R535" t="str">
        <f t="shared" si="17"/>
        <v>June</v>
      </c>
    </row>
    <row r="536" spans="1:18" x14ac:dyDescent="0.35">
      <c r="A536" t="s">
        <v>426</v>
      </c>
      <c r="B536" t="s">
        <v>67</v>
      </c>
      <c r="C536" t="s">
        <v>30</v>
      </c>
      <c r="D536" t="s">
        <v>68</v>
      </c>
      <c r="E536">
        <v>0</v>
      </c>
      <c r="F536">
        <v>0</v>
      </c>
      <c r="G536">
        <v>0</v>
      </c>
      <c r="H536">
        <v>0</v>
      </c>
      <c r="I536">
        <v>0</v>
      </c>
      <c r="J536">
        <v>0</v>
      </c>
      <c r="K536" s="1">
        <v>45809</v>
      </c>
      <c r="L536" t="s">
        <v>17</v>
      </c>
      <c r="M536" t="s">
        <v>427</v>
      </c>
      <c r="N536" s="2">
        <f>IFERROR(NHS_A_E[[#This Row],[T1_Over4hrs]]/NHS_A_E[[#This Row],[T1_Attendances]], 0)</f>
        <v>0</v>
      </c>
      <c r="O536">
        <f>NHS_A_E[[#This Row],[T1_Attendances]]+NHS_A_E[[#This Row],[Other_Attendances]]</f>
        <v>0</v>
      </c>
      <c r="P536">
        <f>MATCH(LEFT(A536,FIND("-",A536)-1),{"April","May","June","July","August","September","October","November","December","January","February","March"},0)</f>
        <v>3</v>
      </c>
      <c r="Q536" s="3">
        <f t="shared" si="16"/>
        <v>0</v>
      </c>
      <c r="R536" t="str">
        <f t="shared" si="17"/>
        <v>June</v>
      </c>
    </row>
    <row r="537" spans="1:18" x14ac:dyDescent="0.35">
      <c r="A537" t="s">
        <v>426</v>
      </c>
      <c r="B537" t="s">
        <v>211</v>
      </c>
      <c r="C537" t="s">
        <v>30</v>
      </c>
      <c r="D537" t="s">
        <v>212</v>
      </c>
      <c r="E537">
        <v>7932</v>
      </c>
      <c r="F537">
        <v>2929</v>
      </c>
      <c r="G537">
        <v>4151</v>
      </c>
      <c r="H537">
        <v>84</v>
      </c>
      <c r="I537">
        <v>508</v>
      </c>
      <c r="J537">
        <v>816</v>
      </c>
      <c r="K537" s="1">
        <v>45809</v>
      </c>
      <c r="L537" t="s">
        <v>17</v>
      </c>
      <c r="M537" t="s">
        <v>427</v>
      </c>
      <c r="N537" s="2">
        <f>IFERROR(NHS_A_E[[#This Row],[T1_Over4hrs]]/NHS_A_E[[#This Row],[T1_Attendances]], 0)</f>
        <v>0.52332324760463944</v>
      </c>
      <c r="O537">
        <f>NHS_A_E[[#This Row],[T1_Attendances]]+NHS_A_E[[#This Row],[Other_Attendances]]</f>
        <v>10861</v>
      </c>
      <c r="P537">
        <f>MATCH(LEFT(A537,FIND("-",A537)-1),{"April","May","June","July","August","September","October","November","December","January","February","March"},0)</f>
        <v>3</v>
      </c>
      <c r="Q537" s="3">
        <f t="shared" si="16"/>
        <v>0.10287443267776097</v>
      </c>
      <c r="R537" t="str">
        <f t="shared" si="17"/>
        <v>June</v>
      </c>
    </row>
    <row r="538" spans="1:18" x14ac:dyDescent="0.35">
      <c r="A538" t="s">
        <v>426</v>
      </c>
      <c r="B538" t="s">
        <v>171</v>
      </c>
      <c r="C538" t="s">
        <v>35</v>
      </c>
      <c r="D538" t="s">
        <v>172</v>
      </c>
      <c r="E538">
        <v>10881</v>
      </c>
      <c r="F538">
        <v>1978</v>
      </c>
      <c r="G538">
        <v>4160</v>
      </c>
      <c r="H538">
        <v>298</v>
      </c>
      <c r="I538">
        <v>472</v>
      </c>
      <c r="J538">
        <v>994</v>
      </c>
      <c r="K538" s="1">
        <v>45809</v>
      </c>
      <c r="L538" t="s">
        <v>17</v>
      </c>
      <c r="M538" t="s">
        <v>427</v>
      </c>
      <c r="N538" s="2">
        <f>IFERROR(NHS_A_E[[#This Row],[T1_Over4hrs]]/NHS_A_E[[#This Row],[T1_Attendances]], 0)</f>
        <v>0.3823178016726404</v>
      </c>
      <c r="O538">
        <f>NHS_A_E[[#This Row],[T1_Attendances]]+NHS_A_E[[#This Row],[Other_Attendances]]</f>
        <v>12859</v>
      </c>
      <c r="P538">
        <f>MATCH(LEFT(A538,FIND("-",A538)-1),{"April","May","June","July","August","September","October","November","December","January","February","March"},0)</f>
        <v>3</v>
      </c>
      <c r="Q538" s="3">
        <f t="shared" si="16"/>
        <v>9.1351897803510704E-2</v>
      </c>
      <c r="R538" t="str">
        <f t="shared" si="17"/>
        <v>June</v>
      </c>
    </row>
    <row r="539" spans="1:18" x14ac:dyDescent="0.35">
      <c r="A539" t="s">
        <v>426</v>
      </c>
      <c r="B539" t="s">
        <v>151</v>
      </c>
      <c r="C539" t="s">
        <v>30</v>
      </c>
      <c r="D539" t="s">
        <v>152</v>
      </c>
      <c r="E539">
        <v>25985</v>
      </c>
      <c r="F539">
        <v>8713</v>
      </c>
      <c r="G539">
        <v>10696</v>
      </c>
      <c r="H539">
        <v>380</v>
      </c>
      <c r="I539">
        <v>1054</v>
      </c>
      <c r="J539">
        <v>1179</v>
      </c>
      <c r="K539" s="1">
        <v>45809</v>
      </c>
      <c r="L539" t="s">
        <v>17</v>
      </c>
      <c r="M539" t="s">
        <v>427</v>
      </c>
      <c r="N539" s="2">
        <f>IFERROR(NHS_A_E[[#This Row],[T1_Over4hrs]]/NHS_A_E[[#This Row],[T1_Attendances]], 0)</f>
        <v>0.41162208966711566</v>
      </c>
      <c r="O539">
        <f>NHS_A_E[[#This Row],[T1_Attendances]]+NHS_A_E[[#This Row],[Other_Attendances]]</f>
        <v>34698</v>
      </c>
      <c r="P539">
        <f>MATCH(LEFT(A539,FIND("-",A539)-1),{"April","May","June","July","August","September","October","November","December","January","February","March"},0)</f>
        <v>3</v>
      </c>
      <c r="Q539" s="3">
        <f t="shared" si="16"/>
        <v>4.5372330190494518E-2</v>
      </c>
      <c r="R539" t="str">
        <f t="shared" si="17"/>
        <v>June</v>
      </c>
    </row>
    <row r="540" spans="1:18" x14ac:dyDescent="0.35">
      <c r="A540" t="s">
        <v>426</v>
      </c>
      <c r="B540" t="s">
        <v>109</v>
      </c>
      <c r="C540" t="s">
        <v>35</v>
      </c>
      <c r="D540" t="s">
        <v>110</v>
      </c>
      <c r="E540">
        <v>10089</v>
      </c>
      <c r="F540">
        <v>7093</v>
      </c>
      <c r="G540">
        <v>3363</v>
      </c>
      <c r="H540">
        <v>203</v>
      </c>
      <c r="I540">
        <v>108</v>
      </c>
      <c r="J540">
        <v>68</v>
      </c>
      <c r="K540" s="1">
        <v>45809</v>
      </c>
      <c r="L540" t="s">
        <v>17</v>
      </c>
      <c r="M540" t="s">
        <v>427</v>
      </c>
      <c r="N540" s="2">
        <f>IFERROR(NHS_A_E[[#This Row],[T1_Over4hrs]]/NHS_A_E[[#This Row],[T1_Attendances]], 0)</f>
        <v>0.33333333333333331</v>
      </c>
      <c r="O540">
        <f>NHS_A_E[[#This Row],[T1_Attendances]]+NHS_A_E[[#This Row],[Other_Attendances]]</f>
        <v>17182</v>
      </c>
      <c r="P540">
        <f>MATCH(LEFT(A540,FIND("-",A540)-1),{"April","May","June","July","August","September","October","November","December","January","February","March"},0)</f>
        <v>3</v>
      </c>
      <c r="Q540" s="3">
        <f t="shared" si="16"/>
        <v>6.7400138764991575E-3</v>
      </c>
      <c r="R540" t="str">
        <f t="shared" si="17"/>
        <v>June</v>
      </c>
    </row>
    <row r="541" spans="1:18" x14ac:dyDescent="0.35">
      <c r="A541" t="s">
        <v>426</v>
      </c>
      <c r="B541" t="s">
        <v>97</v>
      </c>
      <c r="C541" t="s">
        <v>15</v>
      </c>
      <c r="D541" t="s">
        <v>98</v>
      </c>
      <c r="E541">
        <v>22355</v>
      </c>
      <c r="F541">
        <v>12806</v>
      </c>
      <c r="G541">
        <v>9517</v>
      </c>
      <c r="H541">
        <v>393</v>
      </c>
      <c r="I541">
        <v>1435</v>
      </c>
      <c r="J541">
        <v>414</v>
      </c>
      <c r="K541" s="1">
        <v>45809</v>
      </c>
      <c r="L541" t="s">
        <v>17</v>
      </c>
      <c r="M541" t="s">
        <v>427</v>
      </c>
      <c r="N541" s="2">
        <f>IFERROR(NHS_A_E[[#This Row],[T1_Over4hrs]]/NHS_A_E[[#This Row],[T1_Attendances]], 0)</f>
        <v>0.42572131514202638</v>
      </c>
      <c r="O541">
        <f>NHS_A_E[[#This Row],[T1_Attendances]]+NHS_A_E[[#This Row],[Other_Attendances]]</f>
        <v>35161</v>
      </c>
      <c r="P541">
        <f>MATCH(LEFT(A541,FIND("-",A541)-1),{"April","May","June","July","August","September","October","November","December","January","February","March"},0)</f>
        <v>3</v>
      </c>
      <c r="Q541" s="3">
        <f t="shared" si="16"/>
        <v>1.8519346902259003E-2</v>
      </c>
      <c r="R541" t="str">
        <f t="shared" si="17"/>
        <v>June</v>
      </c>
    </row>
    <row r="542" spans="1:18" x14ac:dyDescent="0.35">
      <c r="A542" t="s">
        <v>426</v>
      </c>
      <c r="B542" t="s">
        <v>83</v>
      </c>
      <c r="C542" t="s">
        <v>35</v>
      </c>
      <c r="D542" t="s">
        <v>84</v>
      </c>
      <c r="E542">
        <v>13432</v>
      </c>
      <c r="F542">
        <v>15614</v>
      </c>
      <c r="G542">
        <v>6122</v>
      </c>
      <c r="H542">
        <v>213</v>
      </c>
      <c r="I542">
        <v>451</v>
      </c>
      <c r="J542">
        <v>196</v>
      </c>
      <c r="K542" s="1">
        <v>45809</v>
      </c>
      <c r="L542" t="s">
        <v>17</v>
      </c>
      <c r="M542" t="s">
        <v>427</v>
      </c>
      <c r="N542" s="2">
        <f>IFERROR(NHS_A_E[[#This Row],[T1_Over4hrs]]/NHS_A_E[[#This Row],[T1_Attendances]], 0)</f>
        <v>0.4557772483621203</v>
      </c>
      <c r="O542">
        <f>NHS_A_E[[#This Row],[T1_Attendances]]+NHS_A_E[[#This Row],[Other_Attendances]]</f>
        <v>29046</v>
      </c>
      <c r="P542">
        <f>MATCH(LEFT(A542,FIND("-",A542)-1),{"April","May","June","July","August","September","October","November","December","January","February","March"},0)</f>
        <v>3</v>
      </c>
      <c r="Q542" s="3">
        <f t="shared" si="16"/>
        <v>1.4592019058963668E-2</v>
      </c>
      <c r="R542" t="str">
        <f t="shared" si="17"/>
        <v>June</v>
      </c>
    </row>
    <row r="543" spans="1:18" x14ac:dyDescent="0.35">
      <c r="A543" t="s">
        <v>426</v>
      </c>
      <c r="B543" t="s">
        <v>155</v>
      </c>
      <c r="C543" t="s">
        <v>15</v>
      </c>
      <c r="D543" t="s">
        <v>156</v>
      </c>
      <c r="E543">
        <v>11860</v>
      </c>
      <c r="F543">
        <v>1911</v>
      </c>
      <c r="G543">
        <v>3985</v>
      </c>
      <c r="H543">
        <v>0</v>
      </c>
      <c r="I543">
        <v>439</v>
      </c>
      <c r="J543">
        <v>5</v>
      </c>
      <c r="K543" s="1">
        <v>45809</v>
      </c>
      <c r="L543" t="s">
        <v>17</v>
      </c>
      <c r="M543" t="s">
        <v>427</v>
      </c>
      <c r="N543" s="2">
        <f>IFERROR(NHS_A_E[[#This Row],[T1_Over4hrs]]/NHS_A_E[[#This Row],[T1_Attendances]], 0)</f>
        <v>0.33600337268128161</v>
      </c>
      <c r="O543">
        <f>NHS_A_E[[#This Row],[T1_Attendances]]+NHS_A_E[[#This Row],[Other_Attendances]]</f>
        <v>13771</v>
      </c>
      <c r="P543">
        <f>MATCH(LEFT(A543,FIND("-",A543)-1),{"April","May","June","July","August","September","October","November","December","January","February","March"},0)</f>
        <v>3</v>
      </c>
      <c r="Q543" s="3">
        <f t="shared" si="16"/>
        <v>4.2158516020236085E-4</v>
      </c>
      <c r="R543" t="str">
        <f t="shared" si="17"/>
        <v>June</v>
      </c>
    </row>
    <row r="544" spans="1:18" x14ac:dyDescent="0.35">
      <c r="A544" t="s">
        <v>426</v>
      </c>
      <c r="B544" t="s">
        <v>205</v>
      </c>
      <c r="C544" t="s">
        <v>35</v>
      </c>
      <c r="D544" t="s">
        <v>206</v>
      </c>
      <c r="E544">
        <v>12099</v>
      </c>
      <c r="F544">
        <v>7565</v>
      </c>
      <c r="G544">
        <v>5345</v>
      </c>
      <c r="H544">
        <v>353</v>
      </c>
      <c r="I544">
        <v>676</v>
      </c>
      <c r="J544">
        <v>0</v>
      </c>
      <c r="K544" s="1">
        <v>45809</v>
      </c>
      <c r="L544" t="s">
        <v>17</v>
      </c>
      <c r="M544" t="s">
        <v>427</v>
      </c>
      <c r="N544" s="2">
        <f>IFERROR(NHS_A_E[[#This Row],[T1_Over4hrs]]/NHS_A_E[[#This Row],[T1_Attendances]], 0)</f>
        <v>0.44177204727663444</v>
      </c>
      <c r="O544">
        <f>NHS_A_E[[#This Row],[T1_Attendances]]+NHS_A_E[[#This Row],[Other_Attendances]]</f>
        <v>19664</v>
      </c>
      <c r="P544">
        <f>MATCH(LEFT(A544,FIND("-",A544)-1),{"April","May","June","July","August","September","October","November","December","January","February","March"},0)</f>
        <v>3</v>
      </c>
      <c r="Q544" s="3">
        <f t="shared" si="16"/>
        <v>0</v>
      </c>
      <c r="R544" t="str">
        <f t="shared" si="17"/>
        <v>June</v>
      </c>
    </row>
    <row r="545" spans="1:18" x14ac:dyDescent="0.35">
      <c r="A545" t="s">
        <v>426</v>
      </c>
      <c r="B545" t="s">
        <v>369</v>
      </c>
      <c r="C545" t="s">
        <v>30</v>
      </c>
      <c r="D545" t="s">
        <v>370</v>
      </c>
      <c r="E545">
        <v>0</v>
      </c>
      <c r="F545">
        <v>2903</v>
      </c>
      <c r="G545">
        <v>0</v>
      </c>
      <c r="H545">
        <v>39</v>
      </c>
      <c r="I545">
        <v>0</v>
      </c>
      <c r="J545">
        <v>0</v>
      </c>
      <c r="K545" s="1">
        <v>45809</v>
      </c>
      <c r="L545" t="s">
        <v>17</v>
      </c>
      <c r="M545" t="s">
        <v>427</v>
      </c>
      <c r="N545" s="2">
        <f>IFERROR(NHS_A_E[[#This Row],[T1_Over4hrs]]/NHS_A_E[[#This Row],[T1_Attendances]], 0)</f>
        <v>0</v>
      </c>
      <c r="O545">
        <f>NHS_A_E[[#This Row],[T1_Attendances]]+NHS_A_E[[#This Row],[Other_Attendances]]</f>
        <v>2903</v>
      </c>
      <c r="P545">
        <f>MATCH(LEFT(A545,FIND("-",A545)-1),{"April","May","June","July","August","September","October","November","December","January","February","March"},0)</f>
        <v>3</v>
      </c>
      <c r="Q545" s="3">
        <f t="shared" si="16"/>
        <v>0</v>
      </c>
      <c r="R545" t="str">
        <f t="shared" si="17"/>
        <v>June</v>
      </c>
    </row>
    <row r="546" spans="1:18" x14ac:dyDescent="0.35">
      <c r="A546" t="s">
        <v>426</v>
      </c>
      <c r="B546" t="s">
        <v>153</v>
      </c>
      <c r="C546" t="s">
        <v>30</v>
      </c>
      <c r="D546" t="s">
        <v>154</v>
      </c>
      <c r="E546">
        <v>11836</v>
      </c>
      <c r="F546">
        <v>3418</v>
      </c>
      <c r="G546">
        <v>4494</v>
      </c>
      <c r="H546">
        <v>142</v>
      </c>
      <c r="I546">
        <v>995</v>
      </c>
      <c r="J546">
        <v>476</v>
      </c>
      <c r="K546" s="1">
        <v>45809</v>
      </c>
      <c r="L546" t="s">
        <v>17</v>
      </c>
      <c r="M546" t="s">
        <v>427</v>
      </c>
      <c r="N546" s="2">
        <f>IFERROR(NHS_A_E[[#This Row],[T1_Over4hrs]]/NHS_A_E[[#This Row],[T1_Attendances]], 0)</f>
        <v>0.3796890841500507</v>
      </c>
      <c r="O546">
        <f>NHS_A_E[[#This Row],[T1_Attendances]]+NHS_A_E[[#This Row],[Other_Attendances]]</f>
        <v>15254</v>
      </c>
      <c r="P546">
        <f>MATCH(LEFT(A546,FIND("-",A546)-1),{"April","May","June","July","August","September","October","November","December","January","February","March"},0)</f>
        <v>3</v>
      </c>
      <c r="Q546" s="3">
        <f t="shared" si="16"/>
        <v>4.021628928692126E-2</v>
      </c>
      <c r="R546" t="str">
        <f t="shared" si="17"/>
        <v>June</v>
      </c>
    </row>
    <row r="547" spans="1:18" x14ac:dyDescent="0.35">
      <c r="A547" t="s">
        <v>426</v>
      </c>
      <c r="B547" t="s">
        <v>187</v>
      </c>
      <c r="C547" t="s">
        <v>30</v>
      </c>
      <c r="D547" t="s">
        <v>188</v>
      </c>
      <c r="E547">
        <v>7886</v>
      </c>
      <c r="F547">
        <v>1086</v>
      </c>
      <c r="G547">
        <v>2551</v>
      </c>
      <c r="H547">
        <v>68</v>
      </c>
      <c r="I547">
        <v>558</v>
      </c>
      <c r="J547">
        <v>95</v>
      </c>
      <c r="K547" s="1">
        <v>45809</v>
      </c>
      <c r="L547" t="s">
        <v>17</v>
      </c>
      <c r="M547" t="s">
        <v>427</v>
      </c>
      <c r="N547" s="2">
        <f>IFERROR(NHS_A_E[[#This Row],[T1_Over4hrs]]/NHS_A_E[[#This Row],[T1_Attendances]], 0)</f>
        <v>0.3234846563530307</v>
      </c>
      <c r="O547">
        <f>NHS_A_E[[#This Row],[T1_Attendances]]+NHS_A_E[[#This Row],[Other_Attendances]]</f>
        <v>8972</v>
      </c>
      <c r="P547">
        <f>MATCH(LEFT(A547,FIND("-",A547)-1),{"April","May","June","July","August","September","October","November","December","January","February","March"},0)</f>
        <v>3</v>
      </c>
      <c r="Q547" s="3">
        <f t="shared" si="16"/>
        <v>1.204666497590667E-2</v>
      </c>
      <c r="R547" t="str">
        <f t="shared" si="17"/>
        <v>June</v>
      </c>
    </row>
    <row r="548" spans="1:18" x14ac:dyDescent="0.35">
      <c r="A548" t="s">
        <v>426</v>
      </c>
      <c r="B548" t="s">
        <v>44</v>
      </c>
      <c r="C548" t="s">
        <v>40</v>
      </c>
      <c r="D548" t="s">
        <v>45</v>
      </c>
      <c r="E548">
        <v>12391</v>
      </c>
      <c r="F548">
        <v>5969</v>
      </c>
      <c r="G548">
        <v>5555</v>
      </c>
      <c r="H548">
        <v>190</v>
      </c>
      <c r="I548">
        <v>70</v>
      </c>
      <c r="J548">
        <v>14</v>
      </c>
      <c r="K548" s="1">
        <v>45809</v>
      </c>
      <c r="L548" t="s">
        <v>17</v>
      </c>
      <c r="M548" t="s">
        <v>427</v>
      </c>
      <c r="N548" s="2">
        <f>IFERROR(NHS_A_E[[#This Row],[T1_Over4hrs]]/NHS_A_E[[#This Row],[T1_Attendances]], 0)</f>
        <v>0.44830925671858607</v>
      </c>
      <c r="O548">
        <f>NHS_A_E[[#This Row],[T1_Attendances]]+NHS_A_E[[#This Row],[Other_Attendances]]</f>
        <v>18360</v>
      </c>
      <c r="P548">
        <f>MATCH(LEFT(A548,FIND("-",A548)-1),{"April","May","June","July","August","September","October","November","December","January","February","March"},0)</f>
        <v>3</v>
      </c>
      <c r="Q548" s="3">
        <f t="shared" si="16"/>
        <v>1.1298523121620531E-3</v>
      </c>
      <c r="R548" t="str">
        <f t="shared" si="17"/>
        <v>June</v>
      </c>
    </row>
    <row r="549" spans="1:18" x14ac:dyDescent="0.35">
      <c r="A549" t="s">
        <v>426</v>
      </c>
      <c r="B549" t="s">
        <v>39</v>
      </c>
      <c r="C549" t="s">
        <v>40</v>
      </c>
      <c r="D549" t="s">
        <v>41</v>
      </c>
      <c r="E549">
        <v>14177</v>
      </c>
      <c r="F549">
        <v>8630</v>
      </c>
      <c r="G549">
        <v>7382</v>
      </c>
      <c r="H549">
        <v>105</v>
      </c>
      <c r="I549">
        <v>1032</v>
      </c>
      <c r="J549">
        <v>942</v>
      </c>
      <c r="K549" s="1">
        <v>45809</v>
      </c>
      <c r="L549" t="s">
        <v>17</v>
      </c>
      <c r="M549" t="s">
        <v>427</v>
      </c>
      <c r="N549" s="2">
        <f>IFERROR(NHS_A_E[[#This Row],[T1_Over4hrs]]/NHS_A_E[[#This Row],[T1_Attendances]], 0)</f>
        <v>0.52070254637793612</v>
      </c>
      <c r="O549">
        <f>NHS_A_E[[#This Row],[T1_Attendances]]+NHS_A_E[[#This Row],[Other_Attendances]]</f>
        <v>22807</v>
      </c>
      <c r="P549">
        <f>MATCH(LEFT(A549,FIND("-",A549)-1),{"April","May","June","July","August","September","October","November","December","January","February","March"},0)</f>
        <v>3</v>
      </c>
      <c r="Q549" s="3">
        <f t="shared" si="16"/>
        <v>6.6445651407208858E-2</v>
      </c>
      <c r="R549" t="str">
        <f t="shared" si="17"/>
        <v>June</v>
      </c>
    </row>
    <row r="550" spans="1:18" x14ac:dyDescent="0.35">
      <c r="A550" t="s">
        <v>426</v>
      </c>
      <c r="B550" t="s">
        <v>107</v>
      </c>
      <c r="C550" t="s">
        <v>63</v>
      </c>
      <c r="D550" t="s">
        <v>108</v>
      </c>
      <c r="E550">
        <v>8756</v>
      </c>
      <c r="F550">
        <v>7199</v>
      </c>
      <c r="G550">
        <v>3872</v>
      </c>
      <c r="H550">
        <v>196</v>
      </c>
      <c r="I550">
        <v>524</v>
      </c>
      <c r="J550">
        <v>4</v>
      </c>
      <c r="K550" s="1">
        <v>45809</v>
      </c>
      <c r="L550" t="s">
        <v>17</v>
      </c>
      <c r="M550" t="s">
        <v>427</v>
      </c>
      <c r="N550" s="2">
        <f>IFERROR(NHS_A_E[[#This Row],[T1_Over4hrs]]/NHS_A_E[[#This Row],[T1_Attendances]], 0)</f>
        <v>0.44221105527638194</v>
      </c>
      <c r="O550">
        <f>NHS_A_E[[#This Row],[T1_Attendances]]+NHS_A_E[[#This Row],[Other_Attendances]]</f>
        <v>15955</v>
      </c>
      <c r="P550">
        <f>MATCH(LEFT(A550,FIND("-",A550)-1),{"April","May","June","July","August","September","October","November","December","January","February","March"},0)</f>
        <v>3</v>
      </c>
      <c r="Q550" s="3">
        <f t="shared" si="16"/>
        <v>4.5682960255824577E-4</v>
      </c>
      <c r="R550" t="str">
        <f t="shared" si="17"/>
        <v>June</v>
      </c>
    </row>
    <row r="551" spans="1:18" x14ac:dyDescent="0.35">
      <c r="A551" t="s">
        <v>426</v>
      </c>
      <c r="B551" t="s">
        <v>185</v>
      </c>
      <c r="C551" t="s">
        <v>23</v>
      </c>
      <c r="D551" t="s">
        <v>186</v>
      </c>
      <c r="E551">
        <v>8595</v>
      </c>
      <c r="F551">
        <v>8439</v>
      </c>
      <c r="G551">
        <v>3738</v>
      </c>
      <c r="H551">
        <v>109</v>
      </c>
      <c r="I551">
        <v>81</v>
      </c>
      <c r="J551">
        <v>23</v>
      </c>
      <c r="K551" s="1">
        <v>45809</v>
      </c>
      <c r="L551" t="s">
        <v>17</v>
      </c>
      <c r="M551" t="s">
        <v>427</v>
      </c>
      <c r="N551" s="2">
        <f>IFERROR(NHS_A_E[[#This Row],[T1_Over4hrs]]/NHS_A_E[[#This Row],[T1_Attendances]], 0)</f>
        <v>0.43490401396160561</v>
      </c>
      <c r="O551">
        <f>NHS_A_E[[#This Row],[T1_Attendances]]+NHS_A_E[[#This Row],[Other_Attendances]]</f>
        <v>17034</v>
      </c>
      <c r="P551">
        <f>MATCH(LEFT(A551,FIND("-",A551)-1),{"April","May","June","July","August","September","October","November","December","January","February","March"},0)</f>
        <v>3</v>
      </c>
      <c r="Q551" s="3">
        <f t="shared" si="16"/>
        <v>2.6759744037230947E-3</v>
      </c>
      <c r="R551" t="str">
        <f t="shared" si="17"/>
        <v>June</v>
      </c>
    </row>
    <row r="552" spans="1:18" x14ac:dyDescent="0.35">
      <c r="A552" t="s">
        <v>426</v>
      </c>
      <c r="B552" t="s">
        <v>181</v>
      </c>
      <c r="C552" t="s">
        <v>40</v>
      </c>
      <c r="D552" t="s">
        <v>182</v>
      </c>
      <c r="E552">
        <v>21814</v>
      </c>
      <c r="F552">
        <v>0</v>
      </c>
      <c r="G552">
        <v>9128</v>
      </c>
      <c r="H552">
        <v>0</v>
      </c>
      <c r="I552">
        <v>1207</v>
      </c>
      <c r="J552">
        <v>569</v>
      </c>
      <c r="K552" s="1">
        <v>45809</v>
      </c>
      <c r="L552" t="s">
        <v>17</v>
      </c>
      <c r="M552" t="s">
        <v>427</v>
      </c>
      <c r="N552" s="2">
        <f>IFERROR(NHS_A_E[[#This Row],[T1_Over4hrs]]/NHS_A_E[[#This Row],[T1_Attendances]], 0)</f>
        <v>0.41844686898322181</v>
      </c>
      <c r="O552">
        <f>NHS_A_E[[#This Row],[T1_Attendances]]+NHS_A_E[[#This Row],[Other_Attendances]]</f>
        <v>21814</v>
      </c>
      <c r="P552">
        <f>MATCH(LEFT(A552,FIND("-",A552)-1),{"April","May","June","July","August","September","October","November","December","January","February","March"},0)</f>
        <v>3</v>
      </c>
      <c r="Q552" s="3">
        <f t="shared" si="16"/>
        <v>2.6084166131841936E-2</v>
      </c>
      <c r="R552" t="str">
        <f t="shared" si="17"/>
        <v>June</v>
      </c>
    </row>
    <row r="553" spans="1:18" x14ac:dyDescent="0.35">
      <c r="A553" t="s">
        <v>426</v>
      </c>
      <c r="B553" t="s">
        <v>123</v>
      </c>
      <c r="C553" t="s">
        <v>15</v>
      </c>
      <c r="D553" t="s">
        <v>124</v>
      </c>
      <c r="E553">
        <v>12129</v>
      </c>
      <c r="F553">
        <v>13137</v>
      </c>
      <c r="G553">
        <v>5583</v>
      </c>
      <c r="H553">
        <v>374</v>
      </c>
      <c r="I553">
        <v>535</v>
      </c>
      <c r="J553">
        <v>1150</v>
      </c>
      <c r="K553" s="1">
        <v>45809</v>
      </c>
      <c r="L553" t="s">
        <v>17</v>
      </c>
      <c r="M553" t="s">
        <v>427</v>
      </c>
      <c r="N553" s="2">
        <f>IFERROR(NHS_A_E[[#This Row],[T1_Over4hrs]]/NHS_A_E[[#This Row],[T1_Attendances]], 0)</f>
        <v>0.46030175612169183</v>
      </c>
      <c r="O553">
        <f>NHS_A_E[[#This Row],[T1_Attendances]]+NHS_A_E[[#This Row],[Other_Attendances]]</f>
        <v>25266</v>
      </c>
      <c r="P553">
        <f>MATCH(LEFT(A553,FIND("-",A553)-1),{"April","May","June","July","August","September","October","November","December","January","February","March"},0)</f>
        <v>3</v>
      </c>
      <c r="Q553" s="3">
        <f t="shared" si="16"/>
        <v>9.4814081952345614E-2</v>
      </c>
      <c r="R553" t="str">
        <f t="shared" si="17"/>
        <v>June</v>
      </c>
    </row>
    <row r="554" spans="1:18" x14ac:dyDescent="0.35">
      <c r="A554" t="s">
        <v>426</v>
      </c>
      <c r="B554" t="s">
        <v>219</v>
      </c>
      <c r="C554" t="s">
        <v>30</v>
      </c>
      <c r="D554" t="s">
        <v>220</v>
      </c>
      <c r="E554">
        <v>9300</v>
      </c>
      <c r="F554">
        <v>2951</v>
      </c>
      <c r="G554">
        <v>3208</v>
      </c>
      <c r="H554">
        <v>94</v>
      </c>
      <c r="I554">
        <v>622</v>
      </c>
      <c r="J554">
        <v>264</v>
      </c>
      <c r="K554" s="1">
        <v>45809</v>
      </c>
      <c r="L554" t="s">
        <v>17</v>
      </c>
      <c r="M554" t="s">
        <v>427</v>
      </c>
      <c r="N554" s="2">
        <f>IFERROR(NHS_A_E[[#This Row],[T1_Over4hrs]]/NHS_A_E[[#This Row],[T1_Attendances]], 0)</f>
        <v>0.34494623655913981</v>
      </c>
      <c r="O554">
        <f>NHS_A_E[[#This Row],[T1_Attendances]]+NHS_A_E[[#This Row],[Other_Attendances]]</f>
        <v>12251</v>
      </c>
      <c r="P554">
        <f>MATCH(LEFT(A554,FIND("-",A554)-1),{"April","May","June","July","August","September","October","November","December","January","February","March"},0)</f>
        <v>3</v>
      </c>
      <c r="Q554" s="3">
        <f t="shared" si="16"/>
        <v>2.838709677419355E-2</v>
      </c>
      <c r="R554" t="str">
        <f t="shared" si="17"/>
        <v>June</v>
      </c>
    </row>
    <row r="555" spans="1:18" x14ac:dyDescent="0.35">
      <c r="A555" t="s">
        <v>426</v>
      </c>
      <c r="B555" t="s">
        <v>69</v>
      </c>
      <c r="C555" t="s">
        <v>20</v>
      </c>
      <c r="D555" t="s">
        <v>70</v>
      </c>
      <c r="E555">
        <v>13546</v>
      </c>
      <c r="F555">
        <v>0</v>
      </c>
      <c r="G555">
        <v>5020</v>
      </c>
      <c r="H555">
        <v>0</v>
      </c>
      <c r="I555">
        <v>430</v>
      </c>
      <c r="J555">
        <v>223</v>
      </c>
      <c r="K555" s="1">
        <v>45809</v>
      </c>
      <c r="L555" t="s">
        <v>17</v>
      </c>
      <c r="M555" t="s">
        <v>427</v>
      </c>
      <c r="N555" s="2">
        <f>IFERROR(NHS_A_E[[#This Row],[T1_Over4hrs]]/NHS_A_E[[#This Row],[T1_Attendances]], 0)</f>
        <v>0.37058910379447807</v>
      </c>
      <c r="O555">
        <f>NHS_A_E[[#This Row],[T1_Attendances]]+NHS_A_E[[#This Row],[Other_Attendances]]</f>
        <v>13546</v>
      </c>
      <c r="P555">
        <f>MATCH(LEFT(A555,FIND("-",A555)-1),{"April","May","June","July","August","September","October","November","December","January","February","March"},0)</f>
        <v>3</v>
      </c>
      <c r="Q555" s="3">
        <f t="shared" si="16"/>
        <v>1.6462424331906096E-2</v>
      </c>
      <c r="R555" t="str">
        <f t="shared" si="17"/>
        <v>June</v>
      </c>
    </row>
    <row r="556" spans="1:18" x14ac:dyDescent="0.35">
      <c r="A556" t="s">
        <v>426</v>
      </c>
      <c r="B556" t="s">
        <v>58</v>
      </c>
      <c r="C556" t="s">
        <v>40</v>
      </c>
      <c r="D556" t="s">
        <v>59</v>
      </c>
      <c r="E556">
        <v>4831</v>
      </c>
      <c r="F556">
        <v>0</v>
      </c>
      <c r="G556">
        <v>791</v>
      </c>
      <c r="H556">
        <v>0</v>
      </c>
      <c r="I556">
        <v>9</v>
      </c>
      <c r="J556">
        <v>2</v>
      </c>
      <c r="K556" s="1">
        <v>45809</v>
      </c>
      <c r="L556" t="s">
        <v>17</v>
      </c>
      <c r="M556" t="s">
        <v>427</v>
      </c>
      <c r="N556" s="2">
        <f>IFERROR(NHS_A_E[[#This Row],[T1_Over4hrs]]/NHS_A_E[[#This Row],[T1_Attendances]], 0)</f>
        <v>0.16373421651831918</v>
      </c>
      <c r="O556">
        <f>NHS_A_E[[#This Row],[T1_Attendances]]+NHS_A_E[[#This Row],[Other_Attendances]]</f>
        <v>4831</v>
      </c>
      <c r="P556">
        <f>MATCH(LEFT(A556,FIND("-",A556)-1),{"April","May","June","July","August","September","October","November","December","January","February","March"},0)</f>
        <v>3</v>
      </c>
      <c r="Q556" s="3">
        <f t="shared" si="16"/>
        <v>4.1399296211964395E-4</v>
      </c>
      <c r="R556" t="str">
        <f t="shared" si="17"/>
        <v>June</v>
      </c>
    </row>
    <row r="557" spans="1:18" x14ac:dyDescent="0.35">
      <c r="A557" t="s">
        <v>426</v>
      </c>
      <c r="B557" t="s">
        <v>403</v>
      </c>
      <c r="C557" t="s">
        <v>15</v>
      </c>
      <c r="D557" t="s">
        <v>404</v>
      </c>
      <c r="E557">
        <v>0</v>
      </c>
      <c r="F557">
        <v>1488</v>
      </c>
      <c r="G557">
        <v>0</v>
      </c>
      <c r="H557">
        <v>53</v>
      </c>
      <c r="I557">
        <v>0</v>
      </c>
      <c r="J557">
        <v>0</v>
      </c>
      <c r="K557" s="1">
        <v>45809</v>
      </c>
      <c r="L557" t="s">
        <v>17</v>
      </c>
      <c r="M557" t="s">
        <v>427</v>
      </c>
      <c r="N557" s="2">
        <f>IFERROR(NHS_A_E[[#This Row],[T1_Over4hrs]]/NHS_A_E[[#This Row],[T1_Attendances]], 0)</f>
        <v>0</v>
      </c>
      <c r="O557">
        <f>NHS_A_E[[#This Row],[T1_Attendances]]+NHS_A_E[[#This Row],[Other_Attendances]]</f>
        <v>1488</v>
      </c>
      <c r="P557">
        <f>MATCH(LEFT(A557,FIND("-",A557)-1),{"April","May","June","July","August","September","October","November","December","January","February","March"},0)</f>
        <v>3</v>
      </c>
      <c r="Q557" s="3">
        <f t="shared" si="16"/>
        <v>0</v>
      </c>
      <c r="R557" t="str">
        <f t="shared" si="17"/>
        <v>June</v>
      </c>
    </row>
    <row r="558" spans="1:18" x14ac:dyDescent="0.35">
      <c r="A558" t="s">
        <v>426</v>
      </c>
      <c r="B558" t="s">
        <v>56</v>
      </c>
      <c r="C558" t="s">
        <v>20</v>
      </c>
      <c r="D558" t="s">
        <v>57</v>
      </c>
      <c r="E558">
        <v>4881</v>
      </c>
      <c r="F558">
        <v>1925</v>
      </c>
      <c r="G558">
        <v>2178</v>
      </c>
      <c r="H558">
        <v>0</v>
      </c>
      <c r="I558">
        <v>351</v>
      </c>
      <c r="J558">
        <v>31</v>
      </c>
      <c r="K558" s="1">
        <v>45809</v>
      </c>
      <c r="L558" t="s">
        <v>17</v>
      </c>
      <c r="M558" t="s">
        <v>427</v>
      </c>
      <c r="N558" s="2">
        <f>IFERROR(NHS_A_E[[#This Row],[T1_Over4hrs]]/NHS_A_E[[#This Row],[T1_Attendances]], 0)</f>
        <v>0.44622003687768902</v>
      </c>
      <c r="O558">
        <f>NHS_A_E[[#This Row],[T1_Attendances]]+NHS_A_E[[#This Row],[Other_Attendances]]</f>
        <v>6806</v>
      </c>
      <c r="P558">
        <f>MATCH(LEFT(A558,FIND("-",A558)-1),{"April","May","June","July","August","September","October","November","December","January","February","March"},0)</f>
        <v>3</v>
      </c>
      <c r="Q558" s="3">
        <f t="shared" si="16"/>
        <v>6.3511575496824424E-3</v>
      </c>
      <c r="R558" t="str">
        <f t="shared" si="17"/>
        <v>June</v>
      </c>
    </row>
    <row r="559" spans="1:18" x14ac:dyDescent="0.35">
      <c r="A559" t="s">
        <v>426</v>
      </c>
      <c r="B559" t="s">
        <v>217</v>
      </c>
      <c r="C559" t="s">
        <v>15</v>
      </c>
      <c r="D559" t="s">
        <v>218</v>
      </c>
      <c r="E559">
        <v>10496</v>
      </c>
      <c r="F559">
        <v>3490</v>
      </c>
      <c r="G559">
        <v>4268</v>
      </c>
      <c r="H559">
        <v>106</v>
      </c>
      <c r="I559">
        <v>83</v>
      </c>
      <c r="J559">
        <v>23</v>
      </c>
      <c r="K559" s="1">
        <v>45809</v>
      </c>
      <c r="L559" t="s">
        <v>17</v>
      </c>
      <c r="M559" t="s">
        <v>427</v>
      </c>
      <c r="N559" s="2">
        <f>IFERROR(NHS_A_E[[#This Row],[T1_Over4hrs]]/NHS_A_E[[#This Row],[T1_Attendances]], 0)</f>
        <v>0.4066310975609756</v>
      </c>
      <c r="O559">
        <f>NHS_A_E[[#This Row],[T1_Attendances]]+NHS_A_E[[#This Row],[Other_Attendances]]</f>
        <v>13986</v>
      </c>
      <c r="P559">
        <f>MATCH(LEFT(A559,FIND("-",A559)-1),{"April","May","June","July","August","September","October","November","December","January","February","March"},0)</f>
        <v>3</v>
      </c>
      <c r="Q559" s="3">
        <f t="shared" si="16"/>
        <v>2.1913109756097563E-3</v>
      </c>
      <c r="R559" t="str">
        <f t="shared" si="17"/>
        <v>June</v>
      </c>
    </row>
    <row r="560" spans="1:18" x14ac:dyDescent="0.35">
      <c r="A560" t="s">
        <v>426</v>
      </c>
      <c r="B560" t="s">
        <v>357</v>
      </c>
      <c r="C560" t="s">
        <v>20</v>
      </c>
      <c r="D560" t="s">
        <v>358</v>
      </c>
      <c r="E560">
        <v>5709</v>
      </c>
      <c r="F560">
        <v>5661</v>
      </c>
      <c r="G560">
        <v>2897</v>
      </c>
      <c r="H560">
        <v>617</v>
      </c>
      <c r="I560">
        <v>702</v>
      </c>
      <c r="J560">
        <v>164</v>
      </c>
      <c r="K560" s="1">
        <v>45809</v>
      </c>
      <c r="L560" t="s">
        <v>17</v>
      </c>
      <c r="M560" t="s">
        <v>427</v>
      </c>
      <c r="N560" s="2">
        <f>IFERROR(NHS_A_E[[#This Row],[T1_Over4hrs]]/NHS_A_E[[#This Row],[T1_Attendances]], 0)</f>
        <v>0.50744438605710285</v>
      </c>
      <c r="O560">
        <f>NHS_A_E[[#This Row],[T1_Attendances]]+NHS_A_E[[#This Row],[Other_Attendances]]</f>
        <v>11370</v>
      </c>
      <c r="P560">
        <f>MATCH(LEFT(A560,FIND("-",A560)-1),{"April","May","June","July","August","September","October","November","December","January","February","March"},0)</f>
        <v>3</v>
      </c>
      <c r="Q560" s="3">
        <f t="shared" si="16"/>
        <v>2.8726572079173236E-2</v>
      </c>
      <c r="R560" t="str">
        <f t="shared" si="17"/>
        <v>June</v>
      </c>
    </row>
    <row r="561" spans="1:18" x14ac:dyDescent="0.35">
      <c r="A561" t="s">
        <v>426</v>
      </c>
      <c r="B561" t="s">
        <v>353</v>
      </c>
      <c r="C561" t="s">
        <v>40</v>
      </c>
      <c r="D561" t="s">
        <v>354</v>
      </c>
      <c r="E561">
        <v>13220</v>
      </c>
      <c r="F561">
        <v>7273</v>
      </c>
      <c r="G561">
        <v>3509</v>
      </c>
      <c r="H561">
        <v>140</v>
      </c>
      <c r="I561">
        <v>1040</v>
      </c>
      <c r="J561">
        <v>212</v>
      </c>
      <c r="K561" s="1">
        <v>45809</v>
      </c>
      <c r="L561" t="s">
        <v>17</v>
      </c>
      <c r="M561" t="s">
        <v>427</v>
      </c>
      <c r="N561" s="2">
        <f>IFERROR(NHS_A_E[[#This Row],[T1_Over4hrs]]/NHS_A_E[[#This Row],[T1_Attendances]], 0)</f>
        <v>0.26543116490166413</v>
      </c>
      <c r="O561">
        <f>NHS_A_E[[#This Row],[T1_Attendances]]+NHS_A_E[[#This Row],[Other_Attendances]]</f>
        <v>20493</v>
      </c>
      <c r="P561">
        <f>MATCH(LEFT(A561,FIND("-",A561)-1),{"April","May","June","July","August","September","October","November","December","January","February","March"},0)</f>
        <v>3</v>
      </c>
      <c r="Q561" s="3">
        <f t="shared" si="16"/>
        <v>1.6036308623298034E-2</v>
      </c>
      <c r="R561" t="str">
        <f t="shared" si="17"/>
        <v>June</v>
      </c>
    </row>
    <row r="562" spans="1:18" x14ac:dyDescent="0.35">
      <c r="A562" t="s">
        <v>426</v>
      </c>
      <c r="B562" t="s">
        <v>46</v>
      </c>
      <c r="C562" t="s">
        <v>40</v>
      </c>
      <c r="D562" t="s">
        <v>47</v>
      </c>
      <c r="E562">
        <v>0</v>
      </c>
      <c r="F562">
        <v>0</v>
      </c>
      <c r="G562">
        <v>0</v>
      </c>
      <c r="H562">
        <v>0</v>
      </c>
      <c r="I562">
        <v>0</v>
      </c>
      <c r="J562">
        <v>0</v>
      </c>
      <c r="K562" s="1">
        <v>45809</v>
      </c>
      <c r="L562" t="s">
        <v>17</v>
      </c>
      <c r="M562" t="s">
        <v>427</v>
      </c>
      <c r="N562" s="2">
        <f>IFERROR(NHS_A_E[[#This Row],[T1_Over4hrs]]/NHS_A_E[[#This Row],[T1_Attendances]], 0)</f>
        <v>0</v>
      </c>
      <c r="O562">
        <f>NHS_A_E[[#This Row],[T1_Attendances]]+NHS_A_E[[#This Row],[Other_Attendances]]</f>
        <v>0</v>
      </c>
      <c r="P562">
        <f>MATCH(LEFT(A562,FIND("-",A562)-1),{"April","May","June","July","August","September","October","November","December","January","February","March"},0)</f>
        <v>3</v>
      </c>
      <c r="Q562" s="3">
        <f t="shared" si="16"/>
        <v>0</v>
      </c>
      <c r="R562" t="str">
        <f t="shared" si="17"/>
        <v>June</v>
      </c>
    </row>
    <row r="563" spans="1:18" x14ac:dyDescent="0.35">
      <c r="A563" t="s">
        <v>426</v>
      </c>
      <c r="B563" t="s">
        <v>411</v>
      </c>
      <c r="C563" t="s">
        <v>35</v>
      </c>
      <c r="D563" t="s">
        <v>412</v>
      </c>
      <c r="E563">
        <v>9127</v>
      </c>
      <c r="F563">
        <v>0</v>
      </c>
      <c r="G563">
        <v>2445</v>
      </c>
      <c r="H563">
        <v>0</v>
      </c>
      <c r="I563">
        <v>234</v>
      </c>
      <c r="J563">
        <v>140</v>
      </c>
      <c r="K563" s="1">
        <v>45809</v>
      </c>
      <c r="L563" t="s">
        <v>17</v>
      </c>
      <c r="M563" t="s">
        <v>427</v>
      </c>
      <c r="N563" s="2">
        <f>IFERROR(NHS_A_E[[#This Row],[T1_Over4hrs]]/NHS_A_E[[#This Row],[T1_Attendances]], 0)</f>
        <v>0.26788649063219022</v>
      </c>
      <c r="O563">
        <f>NHS_A_E[[#This Row],[T1_Attendances]]+NHS_A_E[[#This Row],[Other_Attendances]]</f>
        <v>9127</v>
      </c>
      <c r="P563">
        <f>MATCH(LEFT(A563,FIND("-",A563)-1),{"April","May","June","July","August","September","October","November","December","January","February","March"},0)</f>
        <v>3</v>
      </c>
      <c r="Q563" s="3">
        <f t="shared" si="16"/>
        <v>1.5339103758080421E-2</v>
      </c>
      <c r="R563" t="str">
        <f t="shared" si="17"/>
        <v>June</v>
      </c>
    </row>
    <row r="564" spans="1:18" x14ac:dyDescent="0.35">
      <c r="A564" t="s">
        <v>426</v>
      </c>
      <c r="B564" t="s">
        <v>42</v>
      </c>
      <c r="C564" t="s">
        <v>40</v>
      </c>
      <c r="D564" t="s">
        <v>43</v>
      </c>
      <c r="E564">
        <v>11174</v>
      </c>
      <c r="F564">
        <v>5696</v>
      </c>
      <c r="G564">
        <v>3627</v>
      </c>
      <c r="H564">
        <v>266</v>
      </c>
      <c r="I564">
        <v>574</v>
      </c>
      <c r="J564">
        <v>43</v>
      </c>
      <c r="K564" s="1">
        <v>45809</v>
      </c>
      <c r="L564" t="s">
        <v>17</v>
      </c>
      <c r="M564" t="s">
        <v>427</v>
      </c>
      <c r="N564" s="2">
        <f>IFERROR(NHS_A_E[[#This Row],[T1_Over4hrs]]/NHS_A_E[[#This Row],[T1_Attendances]], 0)</f>
        <v>0.32459280472525504</v>
      </c>
      <c r="O564">
        <f>NHS_A_E[[#This Row],[T1_Attendances]]+NHS_A_E[[#This Row],[Other_Attendances]]</f>
        <v>16870</v>
      </c>
      <c r="P564">
        <f>MATCH(LEFT(A564,FIND("-",A564)-1),{"April","May","June","July","August","September","October","November","December","January","February","March"},0)</f>
        <v>3</v>
      </c>
      <c r="Q564" s="3">
        <f t="shared" si="16"/>
        <v>3.8482190800071593E-3</v>
      </c>
      <c r="R564" t="str">
        <f t="shared" si="17"/>
        <v>June</v>
      </c>
    </row>
    <row r="565" spans="1:18" x14ac:dyDescent="0.35">
      <c r="A565" t="s">
        <v>426</v>
      </c>
      <c r="B565" t="s">
        <v>233</v>
      </c>
      <c r="C565" t="s">
        <v>30</v>
      </c>
      <c r="D565" t="s">
        <v>234</v>
      </c>
      <c r="E565">
        <v>5245</v>
      </c>
      <c r="F565">
        <v>2400</v>
      </c>
      <c r="G565">
        <v>2572</v>
      </c>
      <c r="H565">
        <v>206</v>
      </c>
      <c r="I565">
        <v>381</v>
      </c>
      <c r="J565">
        <v>577</v>
      </c>
      <c r="K565" s="1">
        <v>45809</v>
      </c>
      <c r="L565" t="s">
        <v>17</v>
      </c>
      <c r="M565" t="s">
        <v>427</v>
      </c>
      <c r="N565" s="2">
        <f>IFERROR(NHS_A_E[[#This Row],[T1_Over4hrs]]/NHS_A_E[[#This Row],[T1_Attendances]], 0)</f>
        <v>0.49037178265014297</v>
      </c>
      <c r="O565">
        <f>NHS_A_E[[#This Row],[T1_Attendances]]+NHS_A_E[[#This Row],[Other_Attendances]]</f>
        <v>7645</v>
      </c>
      <c r="P565">
        <f>MATCH(LEFT(A565,FIND("-",A565)-1),{"April","May","June","July","August","September","October","November","December","January","February","March"},0)</f>
        <v>3</v>
      </c>
      <c r="Q565" s="3">
        <f t="shared" si="16"/>
        <v>0.11000953288846521</v>
      </c>
      <c r="R565" t="str">
        <f t="shared" si="17"/>
        <v>June</v>
      </c>
    </row>
    <row r="566" spans="1:18" x14ac:dyDescent="0.35">
      <c r="A566" t="s">
        <v>426</v>
      </c>
      <c r="B566" t="s">
        <v>37</v>
      </c>
      <c r="C566" t="s">
        <v>35</v>
      </c>
      <c r="D566" t="s">
        <v>38</v>
      </c>
      <c r="E566">
        <v>15546</v>
      </c>
      <c r="F566">
        <v>9786</v>
      </c>
      <c r="G566">
        <v>7695</v>
      </c>
      <c r="H566">
        <v>276</v>
      </c>
      <c r="I566">
        <v>1251</v>
      </c>
      <c r="J566">
        <v>712</v>
      </c>
      <c r="K566" s="1">
        <v>45809</v>
      </c>
      <c r="L566" t="s">
        <v>17</v>
      </c>
      <c r="M566" t="s">
        <v>427</v>
      </c>
      <c r="N566" s="2">
        <f>IFERROR(NHS_A_E[[#This Row],[T1_Over4hrs]]/NHS_A_E[[#This Row],[T1_Attendances]], 0)</f>
        <v>0.49498263218834426</v>
      </c>
      <c r="O566">
        <f>NHS_A_E[[#This Row],[T1_Attendances]]+NHS_A_E[[#This Row],[Other_Attendances]]</f>
        <v>25332</v>
      </c>
      <c r="P566">
        <f>MATCH(LEFT(A566,FIND("-",A566)-1),{"April","May","June","July","August","September","October","November","December","January","February","March"},0)</f>
        <v>3</v>
      </c>
      <c r="Q566" s="3">
        <f t="shared" si="16"/>
        <v>4.5799562588447189E-2</v>
      </c>
      <c r="R566" t="str">
        <f t="shared" si="17"/>
        <v>June</v>
      </c>
    </row>
    <row r="567" spans="1:18" x14ac:dyDescent="0.35">
      <c r="A567" t="s">
        <v>426</v>
      </c>
      <c r="B567" t="s">
        <v>34</v>
      </c>
      <c r="C567" t="s">
        <v>35</v>
      </c>
      <c r="D567" t="s">
        <v>36</v>
      </c>
      <c r="E567">
        <v>13369</v>
      </c>
      <c r="F567">
        <v>14694</v>
      </c>
      <c r="G567">
        <v>5954</v>
      </c>
      <c r="H567">
        <v>240</v>
      </c>
      <c r="I567">
        <v>712</v>
      </c>
      <c r="J567">
        <v>586</v>
      </c>
      <c r="K567" s="1">
        <v>45809</v>
      </c>
      <c r="L567" t="s">
        <v>17</v>
      </c>
      <c r="M567" t="s">
        <v>427</v>
      </c>
      <c r="N567" s="2">
        <f>IFERROR(NHS_A_E[[#This Row],[T1_Over4hrs]]/NHS_A_E[[#This Row],[T1_Attendances]], 0)</f>
        <v>0.4453586655696013</v>
      </c>
      <c r="O567">
        <f>NHS_A_E[[#This Row],[T1_Attendances]]+NHS_A_E[[#This Row],[Other_Attendances]]</f>
        <v>28063</v>
      </c>
      <c r="P567">
        <f>MATCH(LEFT(A567,FIND("-",A567)-1),{"April","May","June","July","August","September","October","November","December","January","February","March"},0)</f>
        <v>3</v>
      </c>
      <c r="Q567" s="3">
        <f t="shared" si="16"/>
        <v>4.3832747400703122E-2</v>
      </c>
      <c r="R567" t="str">
        <f t="shared" si="17"/>
        <v>June</v>
      </c>
    </row>
    <row r="568" spans="1:18" x14ac:dyDescent="0.35">
      <c r="A568" t="s">
        <v>426</v>
      </c>
      <c r="B568" t="s">
        <v>93</v>
      </c>
      <c r="C568" t="s">
        <v>63</v>
      </c>
      <c r="D568" t="s">
        <v>94</v>
      </c>
      <c r="E568">
        <v>10773</v>
      </c>
      <c r="F568">
        <v>7682</v>
      </c>
      <c r="G568">
        <v>5365</v>
      </c>
      <c r="H568">
        <v>383</v>
      </c>
      <c r="I568">
        <v>750</v>
      </c>
      <c r="J568">
        <v>377</v>
      </c>
      <c r="K568" s="1">
        <v>45809</v>
      </c>
      <c r="L568" t="s">
        <v>17</v>
      </c>
      <c r="M568" t="s">
        <v>427</v>
      </c>
      <c r="N568" s="2">
        <f>IFERROR(NHS_A_E[[#This Row],[T1_Over4hrs]]/NHS_A_E[[#This Row],[T1_Attendances]], 0)</f>
        <v>0.49800426993409447</v>
      </c>
      <c r="O568">
        <f>NHS_A_E[[#This Row],[T1_Attendances]]+NHS_A_E[[#This Row],[Other_Attendances]]</f>
        <v>18455</v>
      </c>
      <c r="P568">
        <f>MATCH(LEFT(A568,FIND("-",A568)-1),{"April","May","June","July","August","September","October","November","December","January","February","March"},0)</f>
        <v>3</v>
      </c>
      <c r="Q568" s="3">
        <f t="shared" si="16"/>
        <v>3.4994894644017449E-2</v>
      </c>
      <c r="R568" t="str">
        <f t="shared" si="17"/>
        <v>June</v>
      </c>
    </row>
    <row r="569" spans="1:18" x14ac:dyDescent="0.35">
      <c r="A569" t="s">
        <v>426</v>
      </c>
      <c r="B569" t="s">
        <v>343</v>
      </c>
      <c r="C569" t="s">
        <v>30</v>
      </c>
      <c r="D569" t="s">
        <v>344</v>
      </c>
      <c r="E569">
        <v>5785</v>
      </c>
      <c r="F569">
        <v>0</v>
      </c>
      <c r="G569">
        <v>867</v>
      </c>
      <c r="H569">
        <v>0</v>
      </c>
      <c r="I569">
        <v>0</v>
      </c>
      <c r="J569">
        <v>0</v>
      </c>
      <c r="K569" s="1">
        <v>45809</v>
      </c>
      <c r="L569" t="s">
        <v>17</v>
      </c>
      <c r="M569" t="s">
        <v>427</v>
      </c>
      <c r="N569" s="2">
        <f>IFERROR(NHS_A_E[[#This Row],[T1_Over4hrs]]/NHS_A_E[[#This Row],[T1_Attendances]], 0)</f>
        <v>0.14987035436473639</v>
      </c>
      <c r="O569">
        <f>NHS_A_E[[#This Row],[T1_Attendances]]+NHS_A_E[[#This Row],[Other_Attendances]]</f>
        <v>5785</v>
      </c>
      <c r="P569">
        <f>MATCH(LEFT(A569,FIND("-",A569)-1),{"April","May","June","July","August","September","October","November","December","January","February","March"},0)</f>
        <v>3</v>
      </c>
      <c r="Q569" s="3">
        <f t="shared" si="16"/>
        <v>0</v>
      </c>
      <c r="R569" t="str">
        <f t="shared" si="17"/>
        <v>June</v>
      </c>
    </row>
    <row r="570" spans="1:18" x14ac:dyDescent="0.35">
      <c r="A570" t="s">
        <v>426</v>
      </c>
      <c r="B570" t="s">
        <v>91</v>
      </c>
      <c r="C570" t="s">
        <v>30</v>
      </c>
      <c r="D570" t="s">
        <v>92</v>
      </c>
      <c r="E570">
        <v>17147</v>
      </c>
      <c r="F570">
        <v>7253</v>
      </c>
      <c r="G570">
        <v>6357</v>
      </c>
      <c r="H570">
        <v>98</v>
      </c>
      <c r="I570">
        <v>597</v>
      </c>
      <c r="J570">
        <v>264</v>
      </c>
      <c r="K570" s="1">
        <v>45809</v>
      </c>
      <c r="L570" t="s">
        <v>17</v>
      </c>
      <c r="M570" t="s">
        <v>427</v>
      </c>
      <c r="N570" s="2">
        <f>IFERROR(NHS_A_E[[#This Row],[T1_Over4hrs]]/NHS_A_E[[#This Row],[T1_Attendances]], 0)</f>
        <v>0.37073540561031082</v>
      </c>
      <c r="O570">
        <f>NHS_A_E[[#This Row],[T1_Attendances]]+NHS_A_E[[#This Row],[Other_Attendances]]</f>
        <v>24400</v>
      </c>
      <c r="P570">
        <f>MATCH(LEFT(A570,FIND("-",A570)-1),{"April","May","June","July","August","September","October","November","December","January","February","March"},0)</f>
        <v>3</v>
      </c>
      <c r="Q570" s="3">
        <f t="shared" si="16"/>
        <v>1.5396279232518809E-2</v>
      </c>
      <c r="R570" t="str">
        <f t="shared" si="17"/>
        <v>June</v>
      </c>
    </row>
    <row r="571" spans="1:18" x14ac:dyDescent="0.35">
      <c r="A571" t="s">
        <v>426</v>
      </c>
      <c r="B571" t="s">
        <v>115</v>
      </c>
      <c r="C571" t="s">
        <v>40</v>
      </c>
      <c r="D571" t="s">
        <v>116</v>
      </c>
      <c r="E571">
        <v>0</v>
      </c>
      <c r="F571">
        <v>3487</v>
      </c>
      <c r="G571">
        <v>0</v>
      </c>
      <c r="H571">
        <v>51</v>
      </c>
      <c r="I571">
        <v>0</v>
      </c>
      <c r="J571">
        <v>0</v>
      </c>
      <c r="K571" s="1">
        <v>45809</v>
      </c>
      <c r="L571" t="s">
        <v>17</v>
      </c>
      <c r="M571" t="s">
        <v>427</v>
      </c>
      <c r="N571" s="2">
        <f>IFERROR(NHS_A_E[[#This Row],[T1_Over4hrs]]/NHS_A_E[[#This Row],[T1_Attendances]], 0)</f>
        <v>0</v>
      </c>
      <c r="O571">
        <f>NHS_A_E[[#This Row],[T1_Attendances]]+NHS_A_E[[#This Row],[Other_Attendances]]</f>
        <v>3487</v>
      </c>
      <c r="P571">
        <f>MATCH(LEFT(A571,FIND("-",A571)-1),{"April","May","June","July","August","September","October","November","December","January","February","March"},0)</f>
        <v>3</v>
      </c>
      <c r="Q571" s="3">
        <f t="shared" si="16"/>
        <v>0</v>
      </c>
      <c r="R571" t="str">
        <f t="shared" si="17"/>
        <v>June</v>
      </c>
    </row>
    <row r="572" spans="1:18" x14ac:dyDescent="0.35">
      <c r="A572" t="s">
        <v>426</v>
      </c>
      <c r="B572" t="s">
        <v>191</v>
      </c>
      <c r="C572" t="s">
        <v>15</v>
      </c>
      <c r="D572" t="s">
        <v>192</v>
      </c>
      <c r="E572">
        <v>8606</v>
      </c>
      <c r="F572">
        <v>2753</v>
      </c>
      <c r="G572">
        <v>3532</v>
      </c>
      <c r="H572">
        <v>54</v>
      </c>
      <c r="I572">
        <v>208</v>
      </c>
      <c r="J572">
        <v>31</v>
      </c>
      <c r="K572" s="1">
        <v>45809</v>
      </c>
      <c r="L572" t="s">
        <v>17</v>
      </c>
      <c r="M572" t="s">
        <v>427</v>
      </c>
      <c r="N572" s="2">
        <f>IFERROR(NHS_A_E[[#This Row],[T1_Over4hrs]]/NHS_A_E[[#This Row],[T1_Attendances]], 0)</f>
        <v>0.41041134092493609</v>
      </c>
      <c r="O572">
        <f>NHS_A_E[[#This Row],[T1_Attendances]]+NHS_A_E[[#This Row],[Other_Attendances]]</f>
        <v>11359</v>
      </c>
      <c r="P572">
        <f>MATCH(LEFT(A572,FIND("-",A572)-1),{"April","May","June","July","August","September","October","November","December","January","February","March"},0)</f>
        <v>3</v>
      </c>
      <c r="Q572" s="3">
        <f t="shared" si="16"/>
        <v>3.6021380432256565E-3</v>
      </c>
      <c r="R572" t="str">
        <f t="shared" si="17"/>
        <v>June</v>
      </c>
    </row>
    <row r="573" spans="1:18" x14ac:dyDescent="0.35">
      <c r="A573" t="s">
        <v>426</v>
      </c>
      <c r="B573" t="s">
        <v>193</v>
      </c>
      <c r="C573" t="s">
        <v>63</v>
      </c>
      <c r="D573" t="s">
        <v>194</v>
      </c>
      <c r="E573">
        <v>0</v>
      </c>
      <c r="F573">
        <v>0</v>
      </c>
      <c r="G573">
        <v>0</v>
      </c>
      <c r="H573">
        <v>0</v>
      </c>
      <c r="I573">
        <v>0</v>
      </c>
      <c r="J573">
        <v>0</v>
      </c>
      <c r="K573" s="1">
        <v>45809</v>
      </c>
      <c r="L573" t="s">
        <v>17</v>
      </c>
      <c r="M573" t="s">
        <v>427</v>
      </c>
      <c r="N573" s="2">
        <f>IFERROR(NHS_A_E[[#This Row],[T1_Over4hrs]]/NHS_A_E[[#This Row],[T1_Attendances]], 0)</f>
        <v>0</v>
      </c>
      <c r="O573">
        <f>NHS_A_E[[#This Row],[T1_Attendances]]+NHS_A_E[[#This Row],[Other_Attendances]]</f>
        <v>0</v>
      </c>
      <c r="P573">
        <f>MATCH(LEFT(A573,FIND("-",A573)-1),{"April","May","June","July","August","September","October","November","December","January","February","March"},0)</f>
        <v>3</v>
      </c>
      <c r="Q573" s="3">
        <f t="shared" si="16"/>
        <v>0</v>
      </c>
      <c r="R573" t="str">
        <f t="shared" si="17"/>
        <v>June</v>
      </c>
    </row>
    <row r="574" spans="1:18" x14ac:dyDescent="0.35">
      <c r="A574" t="s">
        <v>426</v>
      </c>
      <c r="B574" t="s">
        <v>197</v>
      </c>
      <c r="C574" t="s">
        <v>63</v>
      </c>
      <c r="D574" t="s">
        <v>198</v>
      </c>
      <c r="E574">
        <v>13150</v>
      </c>
      <c r="F574">
        <v>4516</v>
      </c>
      <c r="G574">
        <v>4718</v>
      </c>
      <c r="H574">
        <v>0</v>
      </c>
      <c r="I574">
        <v>1589</v>
      </c>
      <c r="J574">
        <v>0</v>
      </c>
      <c r="K574" s="1">
        <v>45809</v>
      </c>
      <c r="L574" t="s">
        <v>17</v>
      </c>
      <c r="M574" t="s">
        <v>427</v>
      </c>
      <c r="N574" s="2">
        <f>IFERROR(NHS_A_E[[#This Row],[T1_Over4hrs]]/NHS_A_E[[#This Row],[T1_Attendances]], 0)</f>
        <v>0.35878326996197718</v>
      </c>
      <c r="O574">
        <f>NHS_A_E[[#This Row],[T1_Attendances]]+NHS_A_E[[#This Row],[Other_Attendances]]</f>
        <v>17666</v>
      </c>
      <c r="P574">
        <f>MATCH(LEFT(A574,FIND("-",A574)-1),{"April","May","June","July","August","September","October","November","December","January","February","March"},0)</f>
        <v>3</v>
      </c>
      <c r="Q574" s="3">
        <f t="shared" si="16"/>
        <v>0</v>
      </c>
      <c r="R574" t="str">
        <f t="shared" si="17"/>
        <v>June</v>
      </c>
    </row>
    <row r="575" spans="1:18" x14ac:dyDescent="0.35">
      <c r="A575" t="s">
        <v>426</v>
      </c>
      <c r="B575" t="s">
        <v>199</v>
      </c>
      <c r="C575" t="s">
        <v>40</v>
      </c>
      <c r="D575" t="s">
        <v>200</v>
      </c>
      <c r="E575">
        <v>10883</v>
      </c>
      <c r="F575">
        <v>2669</v>
      </c>
      <c r="G575">
        <v>5918</v>
      </c>
      <c r="H575">
        <v>448</v>
      </c>
      <c r="I575">
        <v>450</v>
      </c>
      <c r="J575">
        <v>1334</v>
      </c>
      <c r="K575" s="1">
        <v>45809</v>
      </c>
      <c r="L575" t="s">
        <v>17</v>
      </c>
      <c r="M575" t="s">
        <v>427</v>
      </c>
      <c r="N575" s="2">
        <f>IFERROR(NHS_A_E[[#This Row],[T1_Over4hrs]]/NHS_A_E[[#This Row],[T1_Attendances]], 0)</f>
        <v>0.54378388312046311</v>
      </c>
      <c r="O575">
        <f>NHS_A_E[[#This Row],[T1_Attendances]]+NHS_A_E[[#This Row],[Other_Attendances]]</f>
        <v>13552</v>
      </c>
      <c r="P575">
        <f>MATCH(LEFT(A575,FIND("-",A575)-1),{"April","May","June","July","August","September","October","November","December","January","February","March"},0)</f>
        <v>3</v>
      </c>
      <c r="Q575" s="3">
        <f t="shared" si="16"/>
        <v>0.12257649545162179</v>
      </c>
      <c r="R575" t="str">
        <f t="shared" si="17"/>
        <v>June</v>
      </c>
    </row>
    <row r="576" spans="1:18" x14ac:dyDescent="0.35">
      <c r="A576" t="s">
        <v>426</v>
      </c>
      <c r="B576" t="s">
        <v>349</v>
      </c>
      <c r="C576" t="s">
        <v>20</v>
      </c>
      <c r="D576" t="s">
        <v>350</v>
      </c>
      <c r="E576">
        <v>12847</v>
      </c>
      <c r="F576">
        <v>4358</v>
      </c>
      <c r="G576">
        <v>4809</v>
      </c>
      <c r="H576">
        <v>23</v>
      </c>
      <c r="I576">
        <v>639</v>
      </c>
      <c r="J576">
        <v>90</v>
      </c>
      <c r="K576" s="1">
        <v>45809</v>
      </c>
      <c r="L576" t="s">
        <v>17</v>
      </c>
      <c r="M576" t="s">
        <v>427</v>
      </c>
      <c r="N576" s="2">
        <f>IFERROR(NHS_A_E[[#This Row],[T1_Over4hrs]]/NHS_A_E[[#This Row],[T1_Attendances]], 0)</f>
        <v>0.37432863703588387</v>
      </c>
      <c r="O576">
        <f>NHS_A_E[[#This Row],[T1_Attendances]]+NHS_A_E[[#This Row],[Other_Attendances]]</f>
        <v>17205</v>
      </c>
      <c r="P576">
        <f>MATCH(LEFT(A576,FIND("-",A576)-1),{"April","May","June","July","August","September","October","November","December","January","February","March"},0)</f>
        <v>3</v>
      </c>
      <c r="Q576" s="3">
        <f t="shared" si="16"/>
        <v>7.0055265820814202E-3</v>
      </c>
      <c r="R576" t="str">
        <f t="shared" si="17"/>
        <v>June</v>
      </c>
    </row>
    <row r="577" spans="1:18" x14ac:dyDescent="0.35">
      <c r="A577" t="s">
        <v>426</v>
      </c>
      <c r="B577" t="s">
        <v>103</v>
      </c>
      <c r="C577" t="s">
        <v>20</v>
      </c>
      <c r="D577" t="s">
        <v>104</v>
      </c>
      <c r="E577">
        <v>12738</v>
      </c>
      <c r="F577">
        <v>9378</v>
      </c>
      <c r="G577">
        <v>5173</v>
      </c>
      <c r="H577">
        <v>210</v>
      </c>
      <c r="I577">
        <v>283</v>
      </c>
      <c r="J577">
        <v>66</v>
      </c>
      <c r="K577" s="1">
        <v>45809</v>
      </c>
      <c r="L577" t="s">
        <v>17</v>
      </c>
      <c r="M577" t="s">
        <v>427</v>
      </c>
      <c r="N577" s="2">
        <f>IFERROR(NHS_A_E[[#This Row],[T1_Over4hrs]]/NHS_A_E[[#This Row],[T1_Attendances]], 0)</f>
        <v>0.40610770921651751</v>
      </c>
      <c r="O577">
        <f>NHS_A_E[[#This Row],[T1_Attendances]]+NHS_A_E[[#This Row],[Other_Attendances]]</f>
        <v>22116</v>
      </c>
      <c r="P577">
        <f>MATCH(LEFT(A577,FIND("-",A577)-1),{"April","May","June","July","August","September","October","November","December","January","February","March"},0)</f>
        <v>3</v>
      </c>
      <c r="Q577" s="3">
        <f t="shared" si="16"/>
        <v>5.1813471502590676E-3</v>
      </c>
      <c r="R577" t="str">
        <f t="shared" si="17"/>
        <v>June</v>
      </c>
    </row>
    <row r="578" spans="1:18" x14ac:dyDescent="0.35">
      <c r="A578" t="s">
        <v>426</v>
      </c>
      <c r="B578" t="s">
        <v>395</v>
      </c>
      <c r="C578" t="s">
        <v>23</v>
      </c>
      <c r="D578" t="s">
        <v>396</v>
      </c>
      <c r="E578">
        <v>8040</v>
      </c>
      <c r="F578">
        <v>685</v>
      </c>
      <c r="G578">
        <v>2548</v>
      </c>
      <c r="H578">
        <v>0</v>
      </c>
      <c r="I578">
        <v>505</v>
      </c>
      <c r="J578">
        <v>240</v>
      </c>
      <c r="K578" s="1">
        <v>45809</v>
      </c>
      <c r="L578" t="s">
        <v>17</v>
      </c>
      <c r="M578" t="s">
        <v>427</v>
      </c>
      <c r="N578" s="2">
        <f>IFERROR(NHS_A_E[[#This Row],[T1_Over4hrs]]/NHS_A_E[[#This Row],[T1_Attendances]], 0)</f>
        <v>0.31691542288557212</v>
      </c>
      <c r="O578">
        <f>NHS_A_E[[#This Row],[T1_Attendances]]+NHS_A_E[[#This Row],[Other_Attendances]]</f>
        <v>8725</v>
      </c>
      <c r="P578">
        <f>MATCH(LEFT(A578,FIND("-",A578)-1),{"April","May","June","July","August","September","October","November","December","January","February","March"},0)</f>
        <v>3</v>
      </c>
      <c r="Q578" s="3">
        <f t="shared" ref="Q578:Q641" si="18">IFERROR(J578/E578,0)</f>
        <v>2.9850746268656716E-2</v>
      </c>
      <c r="R578" t="str">
        <f t="shared" ref="R578:R641" si="19">TEXT(A578, "mmmm")</f>
        <v>June</v>
      </c>
    </row>
    <row r="579" spans="1:18" x14ac:dyDescent="0.35">
      <c r="A579" t="s">
        <v>426</v>
      </c>
      <c r="B579" t="s">
        <v>393</v>
      </c>
      <c r="C579" t="s">
        <v>23</v>
      </c>
      <c r="D579" t="s">
        <v>394</v>
      </c>
      <c r="E579">
        <v>14646</v>
      </c>
      <c r="F579">
        <v>4740</v>
      </c>
      <c r="G579">
        <v>5338</v>
      </c>
      <c r="H579">
        <v>181</v>
      </c>
      <c r="I579">
        <v>643</v>
      </c>
      <c r="J579">
        <v>519</v>
      </c>
      <c r="K579" s="1">
        <v>45809</v>
      </c>
      <c r="L579" t="s">
        <v>17</v>
      </c>
      <c r="M579" t="s">
        <v>427</v>
      </c>
      <c r="N579" s="2">
        <f>IFERROR(NHS_A_E[[#This Row],[T1_Over4hrs]]/NHS_A_E[[#This Row],[T1_Attendances]], 0)</f>
        <v>0.36446811416086305</v>
      </c>
      <c r="O579">
        <f>NHS_A_E[[#This Row],[T1_Attendances]]+NHS_A_E[[#This Row],[Other_Attendances]]</f>
        <v>19386</v>
      </c>
      <c r="P579">
        <f>MATCH(LEFT(A579,FIND("-",A579)-1),{"April","May","June","July","August","September","October","November","December","January","February","March"},0)</f>
        <v>3</v>
      </c>
      <c r="Q579" s="3">
        <f t="shared" si="18"/>
        <v>3.5436296599754197E-2</v>
      </c>
      <c r="R579" t="str">
        <f t="shared" si="19"/>
        <v>June</v>
      </c>
    </row>
    <row r="580" spans="1:18" x14ac:dyDescent="0.35">
      <c r="A580" t="s">
        <v>426</v>
      </c>
      <c r="B580" t="s">
        <v>99</v>
      </c>
      <c r="C580" t="s">
        <v>30</v>
      </c>
      <c r="D580" t="s">
        <v>100</v>
      </c>
      <c r="E580">
        <v>0</v>
      </c>
      <c r="F580">
        <v>0</v>
      </c>
      <c r="G580">
        <v>0</v>
      </c>
      <c r="H580">
        <v>0</v>
      </c>
      <c r="I580">
        <v>0</v>
      </c>
      <c r="J580">
        <v>0</v>
      </c>
      <c r="K580" s="1">
        <v>45809</v>
      </c>
      <c r="L580" t="s">
        <v>17</v>
      </c>
      <c r="M580" t="s">
        <v>427</v>
      </c>
      <c r="N580" s="2">
        <f>IFERROR(NHS_A_E[[#This Row],[T1_Over4hrs]]/NHS_A_E[[#This Row],[T1_Attendances]], 0)</f>
        <v>0</v>
      </c>
      <c r="O580">
        <f>NHS_A_E[[#This Row],[T1_Attendances]]+NHS_A_E[[#This Row],[Other_Attendances]]</f>
        <v>0</v>
      </c>
      <c r="P580">
        <f>MATCH(LEFT(A580,FIND("-",A580)-1),{"April","May","June","July","August","September","October","November","December","January","February","March"},0)</f>
        <v>3</v>
      </c>
      <c r="Q580" s="3">
        <f t="shared" si="18"/>
        <v>0</v>
      </c>
      <c r="R580" t="str">
        <f t="shared" si="19"/>
        <v>June</v>
      </c>
    </row>
    <row r="581" spans="1:18" x14ac:dyDescent="0.35">
      <c r="A581" t="s">
        <v>426</v>
      </c>
      <c r="B581" t="s">
        <v>25</v>
      </c>
      <c r="C581" t="s">
        <v>15</v>
      </c>
      <c r="D581" t="s">
        <v>26</v>
      </c>
      <c r="E581">
        <v>0</v>
      </c>
      <c r="F581">
        <v>12342</v>
      </c>
      <c r="G581">
        <v>0</v>
      </c>
      <c r="H581">
        <v>137</v>
      </c>
      <c r="I581">
        <v>0</v>
      </c>
      <c r="J581">
        <v>0</v>
      </c>
      <c r="K581" s="1">
        <v>45809</v>
      </c>
      <c r="L581" t="s">
        <v>17</v>
      </c>
      <c r="M581" t="s">
        <v>427</v>
      </c>
      <c r="N581" s="2">
        <f>IFERROR(NHS_A_E[[#This Row],[T1_Over4hrs]]/NHS_A_E[[#This Row],[T1_Attendances]], 0)</f>
        <v>0</v>
      </c>
      <c r="O581">
        <f>NHS_A_E[[#This Row],[T1_Attendances]]+NHS_A_E[[#This Row],[Other_Attendances]]</f>
        <v>12342</v>
      </c>
      <c r="P581">
        <f>MATCH(LEFT(A581,FIND("-",A581)-1),{"April","May","June","July","August","September","October","November","December","January","February","March"},0)</f>
        <v>3</v>
      </c>
      <c r="Q581" s="3">
        <f t="shared" si="18"/>
        <v>0</v>
      </c>
      <c r="R581" t="str">
        <f t="shared" si="19"/>
        <v>June</v>
      </c>
    </row>
    <row r="582" spans="1:18" x14ac:dyDescent="0.35">
      <c r="A582" t="s">
        <v>426</v>
      </c>
      <c r="B582" t="s">
        <v>22</v>
      </c>
      <c r="C582" t="s">
        <v>23</v>
      </c>
      <c r="D582" t="s">
        <v>24</v>
      </c>
      <c r="E582">
        <v>11506</v>
      </c>
      <c r="F582">
        <v>14392</v>
      </c>
      <c r="G582">
        <v>5944</v>
      </c>
      <c r="H582">
        <v>549</v>
      </c>
      <c r="I582">
        <v>1012</v>
      </c>
      <c r="J582">
        <v>452</v>
      </c>
      <c r="K582" s="1">
        <v>45809</v>
      </c>
      <c r="L582" t="s">
        <v>17</v>
      </c>
      <c r="M582" t="s">
        <v>427</v>
      </c>
      <c r="N582" s="2">
        <f>IFERROR(NHS_A_E[[#This Row],[T1_Over4hrs]]/NHS_A_E[[#This Row],[T1_Attendances]], 0)</f>
        <v>0.51660003476447069</v>
      </c>
      <c r="O582">
        <f>NHS_A_E[[#This Row],[T1_Attendances]]+NHS_A_E[[#This Row],[Other_Attendances]]</f>
        <v>25898</v>
      </c>
      <c r="P582">
        <f>MATCH(LEFT(A582,FIND("-",A582)-1),{"April","May","June","July","August","September","October","November","December","January","February","March"},0)</f>
        <v>3</v>
      </c>
      <c r="Q582" s="3">
        <f t="shared" si="18"/>
        <v>3.9283851903354775E-2</v>
      </c>
      <c r="R582" t="str">
        <f t="shared" si="19"/>
        <v>June</v>
      </c>
    </row>
    <row r="583" spans="1:18" x14ac:dyDescent="0.35">
      <c r="A583" t="s">
        <v>426</v>
      </c>
      <c r="B583" t="s">
        <v>19</v>
      </c>
      <c r="C583" t="s">
        <v>20</v>
      </c>
      <c r="D583" t="s">
        <v>21</v>
      </c>
      <c r="E583">
        <v>8676</v>
      </c>
      <c r="F583">
        <v>0</v>
      </c>
      <c r="G583">
        <v>3681</v>
      </c>
      <c r="H583">
        <v>0</v>
      </c>
      <c r="I583">
        <v>697</v>
      </c>
      <c r="J583">
        <v>25</v>
      </c>
      <c r="K583" s="1">
        <v>45809</v>
      </c>
      <c r="L583" t="s">
        <v>17</v>
      </c>
      <c r="M583" t="s">
        <v>427</v>
      </c>
      <c r="N583" s="2">
        <f>IFERROR(NHS_A_E[[#This Row],[T1_Over4hrs]]/NHS_A_E[[#This Row],[T1_Attendances]], 0)</f>
        <v>0.42427385892116182</v>
      </c>
      <c r="O583">
        <f>NHS_A_E[[#This Row],[T1_Attendances]]+NHS_A_E[[#This Row],[Other_Attendances]]</f>
        <v>8676</v>
      </c>
      <c r="P583">
        <f>MATCH(LEFT(A583,FIND("-",A583)-1),{"April","May","June","July","August","September","October","November","December","January","February","March"},0)</f>
        <v>3</v>
      </c>
      <c r="Q583" s="3">
        <f t="shared" si="18"/>
        <v>2.8815122176118028E-3</v>
      </c>
      <c r="R583" t="str">
        <f t="shared" si="19"/>
        <v>June</v>
      </c>
    </row>
    <row r="584" spans="1:18" x14ac:dyDescent="0.35">
      <c r="A584" t="s">
        <v>426</v>
      </c>
      <c r="B584" t="s">
        <v>391</v>
      </c>
      <c r="C584" t="s">
        <v>63</v>
      </c>
      <c r="D584" t="s">
        <v>392</v>
      </c>
      <c r="E584">
        <v>4715</v>
      </c>
      <c r="F584">
        <v>309</v>
      </c>
      <c r="G584">
        <v>312</v>
      </c>
      <c r="H584">
        <v>0</v>
      </c>
      <c r="I584">
        <v>11</v>
      </c>
      <c r="J584">
        <v>0</v>
      </c>
      <c r="K584" s="1">
        <v>45809</v>
      </c>
      <c r="L584" t="s">
        <v>17</v>
      </c>
      <c r="M584" t="s">
        <v>427</v>
      </c>
      <c r="N584" s="2">
        <f>IFERROR(NHS_A_E[[#This Row],[T1_Over4hrs]]/NHS_A_E[[#This Row],[T1_Attendances]], 0)</f>
        <v>6.6171792152704134E-2</v>
      </c>
      <c r="O584">
        <f>NHS_A_E[[#This Row],[T1_Attendances]]+NHS_A_E[[#This Row],[Other_Attendances]]</f>
        <v>5024</v>
      </c>
      <c r="P584">
        <f>MATCH(LEFT(A584,FIND("-",A584)-1),{"April","May","June","July","August","September","October","November","December","January","February","March"},0)</f>
        <v>3</v>
      </c>
      <c r="Q584" s="3">
        <f t="shared" si="18"/>
        <v>0</v>
      </c>
      <c r="R584" t="str">
        <f t="shared" si="19"/>
        <v>June</v>
      </c>
    </row>
    <row r="585" spans="1:18" x14ac:dyDescent="0.35">
      <c r="A585" t="s">
        <v>426</v>
      </c>
      <c r="B585" t="s">
        <v>341</v>
      </c>
      <c r="C585" t="s">
        <v>40</v>
      </c>
      <c r="D585" t="s">
        <v>342</v>
      </c>
      <c r="E585">
        <v>9482</v>
      </c>
      <c r="F585">
        <v>4317</v>
      </c>
      <c r="G585">
        <v>2895</v>
      </c>
      <c r="H585">
        <v>73</v>
      </c>
      <c r="I585">
        <v>922</v>
      </c>
      <c r="J585">
        <v>55</v>
      </c>
      <c r="K585" s="1">
        <v>45809</v>
      </c>
      <c r="L585" t="s">
        <v>17</v>
      </c>
      <c r="M585" t="s">
        <v>427</v>
      </c>
      <c r="N585" s="2">
        <f>IFERROR(NHS_A_E[[#This Row],[T1_Over4hrs]]/NHS_A_E[[#This Row],[T1_Attendances]], 0)</f>
        <v>0.30531533431765451</v>
      </c>
      <c r="O585">
        <f>NHS_A_E[[#This Row],[T1_Attendances]]+NHS_A_E[[#This Row],[Other_Attendances]]</f>
        <v>13799</v>
      </c>
      <c r="P585">
        <f>MATCH(LEFT(A585,FIND("-",A585)-1),{"April","May","June","July","August","September","October","November","December","January","February","March"},0)</f>
        <v>3</v>
      </c>
      <c r="Q585" s="3">
        <f t="shared" si="18"/>
        <v>5.8004640371229696E-3</v>
      </c>
      <c r="R585" t="str">
        <f t="shared" si="19"/>
        <v>June</v>
      </c>
    </row>
    <row r="586" spans="1:18" x14ac:dyDescent="0.35">
      <c r="A586" t="s">
        <v>426</v>
      </c>
      <c r="B586" t="s">
        <v>147</v>
      </c>
      <c r="C586" t="s">
        <v>40</v>
      </c>
      <c r="D586" t="s">
        <v>148</v>
      </c>
      <c r="E586">
        <v>0</v>
      </c>
      <c r="F586">
        <v>1914</v>
      </c>
      <c r="G586">
        <v>0</v>
      </c>
      <c r="H586">
        <v>1</v>
      </c>
      <c r="I586">
        <v>0</v>
      </c>
      <c r="J586">
        <v>0</v>
      </c>
      <c r="K586" s="1">
        <v>45809</v>
      </c>
      <c r="L586" t="s">
        <v>17</v>
      </c>
      <c r="M586" t="s">
        <v>427</v>
      </c>
      <c r="N586" s="2">
        <f>IFERROR(NHS_A_E[[#This Row],[T1_Over4hrs]]/NHS_A_E[[#This Row],[T1_Attendances]], 0)</f>
        <v>0</v>
      </c>
      <c r="O586">
        <f>NHS_A_E[[#This Row],[T1_Attendances]]+NHS_A_E[[#This Row],[Other_Attendances]]</f>
        <v>1914</v>
      </c>
      <c r="P586">
        <f>MATCH(LEFT(A586,FIND("-",A586)-1),{"April","May","June","July","August","September","October","November","December","January","February","March"},0)</f>
        <v>3</v>
      </c>
      <c r="Q586" s="3">
        <f t="shared" si="18"/>
        <v>0</v>
      </c>
      <c r="R586" t="str">
        <f t="shared" si="19"/>
        <v>June</v>
      </c>
    </row>
    <row r="587" spans="1:18" x14ac:dyDescent="0.35">
      <c r="A587" t="s">
        <v>426</v>
      </c>
      <c r="B587" t="s">
        <v>71</v>
      </c>
      <c r="C587" t="s">
        <v>35</v>
      </c>
      <c r="D587" t="s">
        <v>72</v>
      </c>
      <c r="E587">
        <v>0</v>
      </c>
      <c r="F587">
        <v>0</v>
      </c>
      <c r="G587">
        <v>0</v>
      </c>
      <c r="H587">
        <v>0</v>
      </c>
      <c r="I587">
        <v>0</v>
      </c>
      <c r="J587">
        <v>0</v>
      </c>
      <c r="K587" s="1">
        <v>45809</v>
      </c>
      <c r="L587" t="s">
        <v>17</v>
      </c>
      <c r="M587" t="s">
        <v>427</v>
      </c>
      <c r="N587" s="2">
        <f>IFERROR(NHS_A_E[[#This Row],[T1_Over4hrs]]/NHS_A_E[[#This Row],[T1_Attendances]], 0)</f>
        <v>0</v>
      </c>
      <c r="O587">
        <f>NHS_A_E[[#This Row],[T1_Attendances]]+NHS_A_E[[#This Row],[Other_Attendances]]</f>
        <v>0</v>
      </c>
      <c r="P587">
        <f>MATCH(LEFT(A587,FIND("-",A587)-1),{"April","May","June","July","August","September","October","November","December","January","February","March"},0)</f>
        <v>3</v>
      </c>
      <c r="Q587" s="3">
        <f t="shared" si="18"/>
        <v>0</v>
      </c>
      <c r="R587" t="str">
        <f t="shared" si="19"/>
        <v>June</v>
      </c>
    </row>
    <row r="588" spans="1:18" x14ac:dyDescent="0.35">
      <c r="A588" t="s">
        <v>426</v>
      </c>
      <c r="B588" t="s">
        <v>337</v>
      </c>
      <c r="C588" t="s">
        <v>20</v>
      </c>
      <c r="D588" t="s">
        <v>338</v>
      </c>
      <c r="E588">
        <v>14718</v>
      </c>
      <c r="F588">
        <v>5172</v>
      </c>
      <c r="G588">
        <v>5721</v>
      </c>
      <c r="H588">
        <v>0</v>
      </c>
      <c r="I588">
        <v>603</v>
      </c>
      <c r="J588">
        <v>80</v>
      </c>
      <c r="K588" s="1">
        <v>45809</v>
      </c>
      <c r="L588" t="s">
        <v>17</v>
      </c>
      <c r="M588" t="s">
        <v>427</v>
      </c>
      <c r="N588" s="2">
        <f>IFERROR(NHS_A_E[[#This Row],[T1_Over4hrs]]/NHS_A_E[[#This Row],[T1_Attendances]], 0)</f>
        <v>0.3887077048512026</v>
      </c>
      <c r="O588">
        <f>NHS_A_E[[#This Row],[T1_Attendances]]+NHS_A_E[[#This Row],[Other_Attendances]]</f>
        <v>19890</v>
      </c>
      <c r="P588">
        <f>MATCH(LEFT(A588,FIND("-",A588)-1),{"April","May","June","July","August","September","October","November","December","January","February","March"},0)</f>
        <v>3</v>
      </c>
      <c r="Q588" s="3">
        <f t="shared" si="18"/>
        <v>5.4355211305883956E-3</v>
      </c>
      <c r="R588" t="str">
        <f t="shared" si="19"/>
        <v>June</v>
      </c>
    </row>
    <row r="589" spans="1:18" x14ac:dyDescent="0.35">
      <c r="A589" t="s">
        <v>426</v>
      </c>
      <c r="B589" t="s">
        <v>145</v>
      </c>
      <c r="C589" t="s">
        <v>40</v>
      </c>
      <c r="D589" t="s">
        <v>146</v>
      </c>
      <c r="E589">
        <v>0</v>
      </c>
      <c r="F589">
        <v>55</v>
      </c>
      <c r="G589">
        <v>0</v>
      </c>
      <c r="H589">
        <v>0</v>
      </c>
      <c r="I589">
        <v>0</v>
      </c>
      <c r="J589">
        <v>0</v>
      </c>
      <c r="K589" s="1">
        <v>45809</v>
      </c>
      <c r="L589" t="s">
        <v>17</v>
      </c>
      <c r="M589" t="s">
        <v>427</v>
      </c>
      <c r="N589" s="2">
        <f>IFERROR(NHS_A_E[[#This Row],[T1_Over4hrs]]/NHS_A_E[[#This Row],[T1_Attendances]], 0)</f>
        <v>0</v>
      </c>
      <c r="O589">
        <f>NHS_A_E[[#This Row],[T1_Attendances]]+NHS_A_E[[#This Row],[Other_Attendances]]</f>
        <v>55</v>
      </c>
      <c r="P589">
        <f>MATCH(LEFT(A589,FIND("-",A589)-1),{"April","May","June","July","August","September","October","November","December","January","February","March"},0)</f>
        <v>3</v>
      </c>
      <c r="Q589" s="3">
        <f t="shared" si="18"/>
        <v>0</v>
      </c>
      <c r="R589" t="str">
        <f t="shared" si="19"/>
        <v>June</v>
      </c>
    </row>
    <row r="590" spans="1:18" x14ac:dyDescent="0.35">
      <c r="A590" t="s">
        <v>426</v>
      </c>
      <c r="B590" t="s">
        <v>141</v>
      </c>
      <c r="C590" t="s">
        <v>40</v>
      </c>
      <c r="D590" t="s">
        <v>142</v>
      </c>
      <c r="E590">
        <v>0</v>
      </c>
      <c r="F590">
        <v>46</v>
      </c>
      <c r="G590">
        <v>0</v>
      </c>
      <c r="H590">
        <v>0</v>
      </c>
      <c r="I590">
        <v>0</v>
      </c>
      <c r="J590">
        <v>0</v>
      </c>
      <c r="K590" s="1">
        <v>45809</v>
      </c>
      <c r="L590" t="s">
        <v>17</v>
      </c>
      <c r="M590" t="s">
        <v>427</v>
      </c>
      <c r="N590" s="2">
        <f>IFERROR(NHS_A_E[[#This Row],[T1_Over4hrs]]/NHS_A_E[[#This Row],[T1_Attendances]], 0)</f>
        <v>0</v>
      </c>
      <c r="O590">
        <f>NHS_A_E[[#This Row],[T1_Attendances]]+NHS_A_E[[#This Row],[Other_Attendances]]</f>
        <v>46</v>
      </c>
      <c r="P590">
        <f>MATCH(LEFT(A590,FIND("-",A590)-1),{"April","May","June","July","August","September","October","November","December","January","February","March"},0)</f>
        <v>3</v>
      </c>
      <c r="Q590" s="3">
        <f t="shared" si="18"/>
        <v>0</v>
      </c>
      <c r="R590" t="str">
        <f t="shared" si="19"/>
        <v>June</v>
      </c>
    </row>
    <row r="591" spans="1:18" x14ac:dyDescent="0.35">
      <c r="A591" t="s">
        <v>426</v>
      </c>
      <c r="B591" t="s">
        <v>139</v>
      </c>
      <c r="C591" t="s">
        <v>40</v>
      </c>
      <c r="D591" t="s">
        <v>140</v>
      </c>
      <c r="E591">
        <v>0</v>
      </c>
      <c r="F591">
        <v>98</v>
      </c>
      <c r="G591">
        <v>0</v>
      </c>
      <c r="H591">
        <v>0</v>
      </c>
      <c r="I591">
        <v>0</v>
      </c>
      <c r="J591">
        <v>0</v>
      </c>
      <c r="K591" s="1">
        <v>45809</v>
      </c>
      <c r="L591" t="s">
        <v>17</v>
      </c>
      <c r="M591" t="s">
        <v>427</v>
      </c>
      <c r="N591" s="2">
        <f>IFERROR(NHS_A_E[[#This Row],[T1_Over4hrs]]/NHS_A_E[[#This Row],[T1_Attendances]], 0)</f>
        <v>0</v>
      </c>
      <c r="O591">
        <f>NHS_A_E[[#This Row],[T1_Attendances]]+NHS_A_E[[#This Row],[Other_Attendances]]</f>
        <v>98</v>
      </c>
      <c r="P591">
        <f>MATCH(LEFT(A591,FIND("-",A591)-1),{"April","May","June","July","August","September","October","November","December","January","February","March"},0)</f>
        <v>3</v>
      </c>
      <c r="Q591" s="3">
        <f t="shared" si="18"/>
        <v>0</v>
      </c>
      <c r="R591" t="str">
        <f t="shared" si="19"/>
        <v>June</v>
      </c>
    </row>
    <row r="592" spans="1:18" x14ac:dyDescent="0.35">
      <c r="A592" t="s">
        <v>426</v>
      </c>
      <c r="B592" t="s">
        <v>137</v>
      </c>
      <c r="C592" t="s">
        <v>40</v>
      </c>
      <c r="D592" t="s">
        <v>138</v>
      </c>
      <c r="E592">
        <v>0</v>
      </c>
      <c r="F592">
        <v>184</v>
      </c>
      <c r="G592">
        <v>0</v>
      </c>
      <c r="H592">
        <v>0</v>
      </c>
      <c r="I592">
        <v>0</v>
      </c>
      <c r="J592">
        <v>0</v>
      </c>
      <c r="K592" s="1">
        <v>45809</v>
      </c>
      <c r="L592" t="s">
        <v>17</v>
      </c>
      <c r="M592" t="s">
        <v>427</v>
      </c>
      <c r="N592" s="2">
        <f>IFERROR(NHS_A_E[[#This Row],[T1_Over4hrs]]/NHS_A_E[[#This Row],[T1_Attendances]], 0)</f>
        <v>0</v>
      </c>
      <c r="O592">
        <f>NHS_A_E[[#This Row],[T1_Attendances]]+NHS_A_E[[#This Row],[Other_Attendances]]</f>
        <v>184</v>
      </c>
      <c r="P592">
        <f>MATCH(LEFT(A592,FIND("-",A592)-1),{"April","May","June","July","August","September","October","November","December","January","February","March"},0)</f>
        <v>3</v>
      </c>
      <c r="Q592" s="3">
        <f t="shared" si="18"/>
        <v>0</v>
      </c>
      <c r="R592" t="str">
        <f t="shared" si="19"/>
        <v>June</v>
      </c>
    </row>
    <row r="593" spans="1:18" x14ac:dyDescent="0.35">
      <c r="A593" t="s">
        <v>426</v>
      </c>
      <c r="B593" t="s">
        <v>135</v>
      </c>
      <c r="C593" t="s">
        <v>40</v>
      </c>
      <c r="D593" t="s">
        <v>136</v>
      </c>
      <c r="E593">
        <v>0</v>
      </c>
      <c r="F593">
        <v>5332</v>
      </c>
      <c r="G593">
        <v>0</v>
      </c>
      <c r="H593">
        <v>23</v>
      </c>
      <c r="I593">
        <v>0</v>
      </c>
      <c r="J593">
        <v>0</v>
      </c>
      <c r="K593" s="1">
        <v>45809</v>
      </c>
      <c r="L593" t="s">
        <v>17</v>
      </c>
      <c r="M593" t="s">
        <v>427</v>
      </c>
      <c r="N593" s="2">
        <f>IFERROR(NHS_A_E[[#This Row],[T1_Over4hrs]]/NHS_A_E[[#This Row],[T1_Attendances]], 0)</f>
        <v>0</v>
      </c>
      <c r="O593">
        <f>NHS_A_E[[#This Row],[T1_Attendances]]+NHS_A_E[[#This Row],[Other_Attendances]]</f>
        <v>5332</v>
      </c>
      <c r="P593">
        <f>MATCH(LEFT(A593,FIND("-",A593)-1),{"April","May","June","July","August","September","October","November","December","January","February","March"},0)</f>
        <v>3</v>
      </c>
      <c r="Q593" s="3">
        <f t="shared" si="18"/>
        <v>0</v>
      </c>
      <c r="R593" t="str">
        <f t="shared" si="19"/>
        <v>June</v>
      </c>
    </row>
    <row r="594" spans="1:18" x14ac:dyDescent="0.35">
      <c r="A594" t="s">
        <v>426</v>
      </c>
      <c r="B594" t="s">
        <v>163</v>
      </c>
      <c r="C594" t="s">
        <v>35</v>
      </c>
      <c r="D594" t="s">
        <v>164</v>
      </c>
      <c r="E594">
        <v>0</v>
      </c>
      <c r="F594">
        <v>3629</v>
      </c>
      <c r="G594">
        <v>0</v>
      </c>
      <c r="H594">
        <v>40</v>
      </c>
      <c r="I594">
        <v>0</v>
      </c>
      <c r="J594">
        <v>0</v>
      </c>
      <c r="K594" s="1">
        <v>45809</v>
      </c>
      <c r="L594" t="s">
        <v>17</v>
      </c>
      <c r="M594" t="s">
        <v>427</v>
      </c>
      <c r="N594" s="2">
        <f>IFERROR(NHS_A_E[[#This Row],[T1_Over4hrs]]/NHS_A_E[[#This Row],[T1_Attendances]], 0)</f>
        <v>0</v>
      </c>
      <c r="O594">
        <f>NHS_A_E[[#This Row],[T1_Attendances]]+NHS_A_E[[#This Row],[Other_Attendances]]</f>
        <v>3629</v>
      </c>
      <c r="P594">
        <f>MATCH(LEFT(A594,FIND("-",A594)-1),{"April","May","June","July","August","September","October","November","December","January","February","March"},0)</f>
        <v>3</v>
      </c>
      <c r="Q594" s="3">
        <f t="shared" si="18"/>
        <v>0</v>
      </c>
      <c r="R594" t="str">
        <f t="shared" si="19"/>
        <v>June</v>
      </c>
    </row>
    <row r="595" spans="1:18" x14ac:dyDescent="0.35">
      <c r="A595" t="s">
        <v>426</v>
      </c>
      <c r="B595" t="s">
        <v>125</v>
      </c>
      <c r="C595" t="s">
        <v>35</v>
      </c>
      <c r="D595" t="s">
        <v>126</v>
      </c>
      <c r="E595">
        <v>0</v>
      </c>
      <c r="F595">
        <v>12854</v>
      </c>
      <c r="G595">
        <v>0</v>
      </c>
      <c r="H595">
        <v>299</v>
      </c>
      <c r="I595">
        <v>0</v>
      </c>
      <c r="J595">
        <v>0</v>
      </c>
      <c r="K595" s="1">
        <v>45809</v>
      </c>
      <c r="L595" t="s">
        <v>17</v>
      </c>
      <c r="M595" t="s">
        <v>427</v>
      </c>
      <c r="N595" s="2">
        <f>IFERROR(NHS_A_E[[#This Row],[T1_Over4hrs]]/NHS_A_E[[#This Row],[T1_Attendances]], 0)</f>
        <v>0</v>
      </c>
      <c r="O595">
        <f>NHS_A_E[[#This Row],[T1_Attendances]]+NHS_A_E[[#This Row],[Other_Attendances]]</f>
        <v>12854</v>
      </c>
      <c r="P595">
        <f>MATCH(LEFT(A595,FIND("-",A595)-1),{"April","May","June","July","August","September","October","November","December","January","February","March"},0)</f>
        <v>3</v>
      </c>
      <c r="Q595" s="3">
        <f t="shared" si="18"/>
        <v>0</v>
      </c>
      <c r="R595" t="str">
        <f t="shared" si="19"/>
        <v>June</v>
      </c>
    </row>
    <row r="596" spans="1:18" x14ac:dyDescent="0.35">
      <c r="A596" t="s">
        <v>426</v>
      </c>
      <c r="B596" t="s">
        <v>325</v>
      </c>
      <c r="C596" t="s">
        <v>40</v>
      </c>
      <c r="D596" t="s">
        <v>326</v>
      </c>
      <c r="E596">
        <v>0</v>
      </c>
      <c r="F596">
        <v>8665</v>
      </c>
      <c r="G596">
        <v>0</v>
      </c>
      <c r="H596">
        <v>174</v>
      </c>
      <c r="I596">
        <v>0</v>
      </c>
      <c r="J596">
        <v>0</v>
      </c>
      <c r="K596" s="1">
        <v>45809</v>
      </c>
      <c r="L596" t="s">
        <v>17</v>
      </c>
      <c r="M596" t="s">
        <v>427</v>
      </c>
      <c r="N596" s="2">
        <f>IFERROR(NHS_A_E[[#This Row],[T1_Over4hrs]]/NHS_A_E[[#This Row],[T1_Attendances]], 0)</f>
        <v>0</v>
      </c>
      <c r="O596">
        <f>NHS_A_E[[#This Row],[T1_Attendances]]+NHS_A_E[[#This Row],[Other_Attendances]]</f>
        <v>8665</v>
      </c>
      <c r="P596">
        <f>MATCH(LEFT(A596,FIND("-",A596)-1),{"April","May","June","July","August","September","October","November","December","January","February","March"},0)</f>
        <v>3</v>
      </c>
      <c r="Q596" s="3">
        <f t="shared" si="18"/>
        <v>0</v>
      </c>
      <c r="R596" t="str">
        <f t="shared" si="19"/>
        <v>June</v>
      </c>
    </row>
    <row r="597" spans="1:18" x14ac:dyDescent="0.35">
      <c r="A597" t="s">
        <v>426</v>
      </c>
      <c r="B597" t="s">
        <v>367</v>
      </c>
      <c r="C597" t="s">
        <v>23</v>
      </c>
      <c r="D597" t="s">
        <v>368</v>
      </c>
      <c r="E597">
        <v>0</v>
      </c>
      <c r="F597">
        <v>1289</v>
      </c>
      <c r="G597">
        <v>0</v>
      </c>
      <c r="H597">
        <v>59</v>
      </c>
      <c r="I597">
        <v>0</v>
      </c>
      <c r="J597">
        <v>0</v>
      </c>
      <c r="K597" s="1">
        <v>45809</v>
      </c>
      <c r="L597" t="s">
        <v>17</v>
      </c>
      <c r="M597" t="s">
        <v>427</v>
      </c>
      <c r="N597" s="2">
        <f>IFERROR(NHS_A_E[[#This Row],[T1_Over4hrs]]/NHS_A_E[[#This Row],[T1_Attendances]], 0)</f>
        <v>0</v>
      </c>
      <c r="O597">
        <f>NHS_A_E[[#This Row],[T1_Attendances]]+NHS_A_E[[#This Row],[Other_Attendances]]</f>
        <v>1289</v>
      </c>
      <c r="P597">
        <f>MATCH(LEFT(A597,FIND("-",A597)-1),{"April","May","June","July","August","September","October","November","December","January","February","March"},0)</f>
        <v>3</v>
      </c>
      <c r="Q597" s="3">
        <f t="shared" si="18"/>
        <v>0</v>
      </c>
      <c r="R597" t="str">
        <f t="shared" si="19"/>
        <v>June</v>
      </c>
    </row>
    <row r="598" spans="1:18" x14ac:dyDescent="0.35">
      <c r="A598" t="s">
        <v>426</v>
      </c>
      <c r="B598" t="s">
        <v>89</v>
      </c>
      <c r="C598" t="s">
        <v>35</v>
      </c>
      <c r="D598" t="s">
        <v>90</v>
      </c>
      <c r="E598">
        <v>25688</v>
      </c>
      <c r="F598">
        <v>16341</v>
      </c>
      <c r="G598">
        <v>8647</v>
      </c>
      <c r="H598">
        <v>748</v>
      </c>
      <c r="I598">
        <v>1181</v>
      </c>
      <c r="J598">
        <v>1691</v>
      </c>
      <c r="K598" s="1">
        <v>45809</v>
      </c>
      <c r="L598" t="s">
        <v>17</v>
      </c>
      <c r="M598" t="s">
        <v>427</v>
      </c>
      <c r="N598" s="2">
        <f>IFERROR(NHS_A_E[[#This Row],[T1_Over4hrs]]/NHS_A_E[[#This Row],[T1_Attendances]], 0)</f>
        <v>0.33661631890376831</v>
      </c>
      <c r="O598">
        <f>NHS_A_E[[#This Row],[T1_Attendances]]+NHS_A_E[[#This Row],[Other_Attendances]]</f>
        <v>42029</v>
      </c>
      <c r="P598">
        <f>MATCH(LEFT(A598,FIND("-",A598)-1),{"April","May","June","July","August","September","October","November","December","January","February","March"},0)</f>
        <v>3</v>
      </c>
      <c r="Q598" s="3">
        <f t="shared" si="18"/>
        <v>6.5828402366863908E-2</v>
      </c>
      <c r="R598" t="str">
        <f t="shared" si="19"/>
        <v>June</v>
      </c>
    </row>
    <row r="599" spans="1:18" x14ac:dyDescent="0.35">
      <c r="A599" t="s">
        <v>426</v>
      </c>
      <c r="B599" t="s">
        <v>297</v>
      </c>
      <c r="C599" t="s">
        <v>15</v>
      </c>
      <c r="D599" t="s">
        <v>298</v>
      </c>
      <c r="E599">
        <v>0</v>
      </c>
      <c r="F599">
        <v>3100</v>
      </c>
      <c r="G599">
        <v>0</v>
      </c>
      <c r="H599">
        <v>52</v>
      </c>
      <c r="I599">
        <v>0</v>
      </c>
      <c r="J599">
        <v>0</v>
      </c>
      <c r="K599" s="1">
        <v>45809</v>
      </c>
      <c r="L599" t="s">
        <v>17</v>
      </c>
      <c r="M599" t="s">
        <v>427</v>
      </c>
      <c r="N599" s="2">
        <f>IFERROR(NHS_A_E[[#This Row],[T1_Over4hrs]]/NHS_A_E[[#This Row],[T1_Attendances]], 0)</f>
        <v>0</v>
      </c>
      <c r="O599">
        <f>NHS_A_E[[#This Row],[T1_Attendances]]+NHS_A_E[[#This Row],[Other_Attendances]]</f>
        <v>3100</v>
      </c>
      <c r="P599">
        <f>MATCH(LEFT(A599,FIND("-",A599)-1),{"April","May","June","July","August","September","October","November","December","January","February","March"},0)</f>
        <v>3</v>
      </c>
      <c r="Q599" s="3">
        <f t="shared" si="18"/>
        <v>0</v>
      </c>
      <c r="R599" t="str">
        <f t="shared" si="19"/>
        <v>June</v>
      </c>
    </row>
    <row r="600" spans="1:18" x14ac:dyDescent="0.35">
      <c r="A600" t="s">
        <v>426</v>
      </c>
      <c r="B600" t="s">
        <v>293</v>
      </c>
      <c r="C600" t="s">
        <v>20</v>
      </c>
      <c r="D600" t="s">
        <v>294</v>
      </c>
      <c r="E600">
        <v>0</v>
      </c>
      <c r="F600">
        <v>0</v>
      </c>
      <c r="G600">
        <v>0</v>
      </c>
      <c r="H600">
        <v>0</v>
      </c>
      <c r="I600">
        <v>0</v>
      </c>
      <c r="J600">
        <v>0</v>
      </c>
      <c r="K600" s="1">
        <v>45809</v>
      </c>
      <c r="L600" t="s">
        <v>17</v>
      </c>
      <c r="M600" t="s">
        <v>427</v>
      </c>
      <c r="N600" s="2">
        <f>IFERROR(NHS_A_E[[#This Row],[T1_Over4hrs]]/NHS_A_E[[#This Row],[T1_Attendances]], 0)</f>
        <v>0</v>
      </c>
      <c r="O600">
        <f>NHS_A_E[[#This Row],[T1_Attendances]]+NHS_A_E[[#This Row],[Other_Attendances]]</f>
        <v>0</v>
      </c>
      <c r="P600">
        <f>MATCH(LEFT(A600,FIND("-",A600)-1),{"April","May","June","July","August","September","October","November","December","January","February","March"},0)</f>
        <v>3</v>
      </c>
      <c r="Q600" s="3">
        <f t="shared" si="18"/>
        <v>0</v>
      </c>
      <c r="R600" t="str">
        <f t="shared" si="19"/>
        <v>June</v>
      </c>
    </row>
    <row r="601" spans="1:18" x14ac:dyDescent="0.35">
      <c r="A601" t="s">
        <v>428</v>
      </c>
      <c r="B601" t="s">
        <v>99</v>
      </c>
      <c r="C601" t="s">
        <v>30</v>
      </c>
      <c r="D601" t="s">
        <v>100</v>
      </c>
      <c r="E601">
        <v>0</v>
      </c>
      <c r="F601">
        <v>0</v>
      </c>
      <c r="G601">
        <v>0</v>
      </c>
      <c r="H601">
        <v>0</v>
      </c>
      <c r="I601">
        <v>0</v>
      </c>
      <c r="J601">
        <v>0</v>
      </c>
      <c r="K601" s="1">
        <v>45839</v>
      </c>
      <c r="L601" t="s">
        <v>429</v>
      </c>
      <c r="M601" t="s">
        <v>427</v>
      </c>
      <c r="N601" s="2">
        <f>IFERROR(NHS_A_E[[#This Row],[T1_Over4hrs]]/NHS_A_E[[#This Row],[T1_Attendances]], 0)</f>
        <v>0</v>
      </c>
      <c r="O601">
        <f>NHS_A_E[[#This Row],[T1_Attendances]]+NHS_A_E[[#This Row],[Other_Attendances]]</f>
        <v>0</v>
      </c>
      <c r="P601">
        <f>MATCH(LEFT(A601,FIND("-",A601)-1),{"April","May","June","July","August","September","October","November","December","January","February","March"},0)</f>
        <v>4</v>
      </c>
      <c r="Q601" s="3">
        <f t="shared" si="18"/>
        <v>0</v>
      </c>
      <c r="R601" t="str">
        <f t="shared" si="19"/>
        <v>July</v>
      </c>
    </row>
    <row r="602" spans="1:18" x14ac:dyDescent="0.35">
      <c r="A602" t="s">
        <v>428</v>
      </c>
      <c r="B602" t="s">
        <v>137</v>
      </c>
      <c r="C602" t="s">
        <v>40</v>
      </c>
      <c r="D602" t="s">
        <v>138</v>
      </c>
      <c r="E602">
        <v>0</v>
      </c>
      <c r="F602">
        <v>338</v>
      </c>
      <c r="G602">
        <v>0</v>
      </c>
      <c r="H602">
        <v>1</v>
      </c>
      <c r="I602">
        <v>0</v>
      </c>
      <c r="J602">
        <v>0</v>
      </c>
      <c r="K602" s="1">
        <v>45839</v>
      </c>
      <c r="L602" t="s">
        <v>429</v>
      </c>
      <c r="M602" t="s">
        <v>427</v>
      </c>
      <c r="N602" s="2">
        <f>IFERROR(NHS_A_E[[#This Row],[T1_Over4hrs]]/NHS_A_E[[#This Row],[T1_Attendances]], 0)</f>
        <v>0</v>
      </c>
      <c r="O602">
        <f>NHS_A_E[[#This Row],[T1_Attendances]]+NHS_A_E[[#This Row],[Other_Attendances]]</f>
        <v>338</v>
      </c>
      <c r="P602">
        <f>MATCH(LEFT(A602,FIND("-",A602)-1),{"April","May","June","July","August","September","October","November","December","January","February","March"},0)</f>
        <v>4</v>
      </c>
      <c r="Q602" s="3">
        <f t="shared" si="18"/>
        <v>0</v>
      </c>
      <c r="R602" t="str">
        <f t="shared" si="19"/>
        <v>July</v>
      </c>
    </row>
    <row r="603" spans="1:18" x14ac:dyDescent="0.35">
      <c r="A603" t="s">
        <v>428</v>
      </c>
      <c r="B603" t="s">
        <v>139</v>
      </c>
      <c r="C603" t="s">
        <v>40</v>
      </c>
      <c r="D603" t="s">
        <v>140</v>
      </c>
      <c r="E603">
        <v>0</v>
      </c>
      <c r="F603">
        <v>84</v>
      </c>
      <c r="G603">
        <v>0</v>
      </c>
      <c r="H603">
        <v>0</v>
      </c>
      <c r="I603">
        <v>0</v>
      </c>
      <c r="J603">
        <v>0</v>
      </c>
      <c r="K603" s="1">
        <v>45839</v>
      </c>
      <c r="L603" t="s">
        <v>429</v>
      </c>
      <c r="M603" t="s">
        <v>427</v>
      </c>
      <c r="N603" s="2">
        <f>IFERROR(NHS_A_E[[#This Row],[T1_Over4hrs]]/NHS_A_E[[#This Row],[T1_Attendances]], 0)</f>
        <v>0</v>
      </c>
      <c r="O603">
        <f>NHS_A_E[[#This Row],[T1_Attendances]]+NHS_A_E[[#This Row],[Other_Attendances]]</f>
        <v>84</v>
      </c>
      <c r="P603">
        <f>MATCH(LEFT(A603,FIND("-",A603)-1),{"April","May","June","July","August","September","October","November","December","January","February","March"},0)</f>
        <v>4</v>
      </c>
      <c r="Q603" s="3">
        <f t="shared" si="18"/>
        <v>0</v>
      </c>
      <c r="R603" t="str">
        <f t="shared" si="19"/>
        <v>July</v>
      </c>
    </row>
    <row r="604" spans="1:18" x14ac:dyDescent="0.35">
      <c r="A604" t="s">
        <v>428</v>
      </c>
      <c r="B604" t="s">
        <v>141</v>
      </c>
      <c r="C604" t="s">
        <v>40</v>
      </c>
      <c r="D604" t="s">
        <v>142</v>
      </c>
      <c r="E604">
        <v>0</v>
      </c>
      <c r="F604">
        <v>45</v>
      </c>
      <c r="G604">
        <v>0</v>
      </c>
      <c r="H604">
        <v>0</v>
      </c>
      <c r="I604">
        <v>0</v>
      </c>
      <c r="J604">
        <v>0</v>
      </c>
      <c r="K604" s="1">
        <v>45839</v>
      </c>
      <c r="L604" t="s">
        <v>429</v>
      </c>
      <c r="M604" t="s">
        <v>427</v>
      </c>
      <c r="N604" s="2">
        <f>IFERROR(NHS_A_E[[#This Row],[T1_Over4hrs]]/NHS_A_E[[#This Row],[T1_Attendances]], 0)</f>
        <v>0</v>
      </c>
      <c r="O604">
        <f>NHS_A_E[[#This Row],[T1_Attendances]]+NHS_A_E[[#This Row],[Other_Attendances]]</f>
        <v>45</v>
      </c>
      <c r="P604">
        <f>MATCH(LEFT(A604,FIND("-",A604)-1),{"April","May","June","July","August","September","October","November","December","January","February","March"},0)</f>
        <v>4</v>
      </c>
      <c r="Q604" s="3">
        <f t="shared" si="18"/>
        <v>0</v>
      </c>
      <c r="R604" t="str">
        <f t="shared" si="19"/>
        <v>July</v>
      </c>
    </row>
    <row r="605" spans="1:18" x14ac:dyDescent="0.35">
      <c r="A605" t="s">
        <v>428</v>
      </c>
      <c r="B605" t="s">
        <v>143</v>
      </c>
      <c r="C605" t="s">
        <v>40</v>
      </c>
      <c r="D605" t="s">
        <v>144</v>
      </c>
      <c r="E605">
        <v>0</v>
      </c>
      <c r="F605">
        <v>493</v>
      </c>
      <c r="G605">
        <v>0</v>
      </c>
      <c r="H605">
        <v>0</v>
      </c>
      <c r="I605">
        <v>0</v>
      </c>
      <c r="J605">
        <v>0</v>
      </c>
      <c r="K605" s="1">
        <v>45839</v>
      </c>
      <c r="L605" t="s">
        <v>429</v>
      </c>
      <c r="M605" t="s">
        <v>427</v>
      </c>
      <c r="N605" s="2">
        <f>IFERROR(NHS_A_E[[#This Row],[T1_Over4hrs]]/NHS_A_E[[#This Row],[T1_Attendances]], 0)</f>
        <v>0</v>
      </c>
      <c r="O605">
        <f>NHS_A_E[[#This Row],[T1_Attendances]]+NHS_A_E[[#This Row],[Other_Attendances]]</f>
        <v>493</v>
      </c>
      <c r="P605">
        <f>MATCH(LEFT(A605,FIND("-",A605)-1),{"April","May","June","July","August","September","October","November","December","January","February","March"},0)</f>
        <v>4</v>
      </c>
      <c r="Q605" s="3">
        <f t="shared" si="18"/>
        <v>0</v>
      </c>
      <c r="R605" t="str">
        <f t="shared" si="19"/>
        <v>July</v>
      </c>
    </row>
    <row r="606" spans="1:18" x14ac:dyDescent="0.35">
      <c r="A606" t="s">
        <v>428</v>
      </c>
      <c r="B606" t="s">
        <v>145</v>
      </c>
      <c r="C606" t="s">
        <v>40</v>
      </c>
      <c r="D606" t="s">
        <v>146</v>
      </c>
      <c r="E606">
        <v>0</v>
      </c>
      <c r="F606">
        <v>46</v>
      </c>
      <c r="G606">
        <v>0</v>
      </c>
      <c r="H606">
        <v>0</v>
      </c>
      <c r="I606">
        <v>0</v>
      </c>
      <c r="J606">
        <v>0</v>
      </c>
      <c r="K606" s="1">
        <v>45839</v>
      </c>
      <c r="L606" t="s">
        <v>429</v>
      </c>
      <c r="M606" t="s">
        <v>427</v>
      </c>
      <c r="N606" s="2">
        <f>IFERROR(NHS_A_E[[#This Row],[T1_Over4hrs]]/NHS_A_E[[#This Row],[T1_Attendances]], 0)</f>
        <v>0</v>
      </c>
      <c r="O606">
        <f>NHS_A_E[[#This Row],[T1_Attendances]]+NHS_A_E[[#This Row],[Other_Attendances]]</f>
        <v>46</v>
      </c>
      <c r="P606">
        <f>MATCH(LEFT(A606,FIND("-",A606)-1),{"April","May","June","July","August","September","October","November","December","January","February","March"},0)</f>
        <v>4</v>
      </c>
      <c r="Q606" s="3">
        <f t="shared" si="18"/>
        <v>0</v>
      </c>
      <c r="R606" t="str">
        <f t="shared" si="19"/>
        <v>July</v>
      </c>
    </row>
    <row r="607" spans="1:18" x14ac:dyDescent="0.35">
      <c r="A607" t="s">
        <v>428</v>
      </c>
      <c r="B607" t="s">
        <v>73</v>
      </c>
      <c r="C607" t="s">
        <v>15</v>
      </c>
      <c r="D607" t="s">
        <v>74</v>
      </c>
      <c r="E607">
        <v>4556</v>
      </c>
      <c r="F607">
        <v>1798</v>
      </c>
      <c r="G607">
        <v>1769</v>
      </c>
      <c r="H607">
        <v>133</v>
      </c>
      <c r="I607">
        <v>218</v>
      </c>
      <c r="J607">
        <v>83</v>
      </c>
      <c r="K607" s="1">
        <v>45839</v>
      </c>
      <c r="L607" t="s">
        <v>429</v>
      </c>
      <c r="M607" t="s">
        <v>427</v>
      </c>
      <c r="N607" s="2">
        <f>IFERROR(NHS_A_E[[#This Row],[T1_Over4hrs]]/NHS_A_E[[#This Row],[T1_Attendances]], 0)</f>
        <v>0.38827919227392449</v>
      </c>
      <c r="O607">
        <f>NHS_A_E[[#This Row],[T1_Attendances]]+NHS_A_E[[#This Row],[Other_Attendances]]</f>
        <v>6354</v>
      </c>
      <c r="P607">
        <f>MATCH(LEFT(A607,FIND("-",A607)-1),{"April","May","June","July","August","September","October","November","December","January","February","March"},0)</f>
        <v>4</v>
      </c>
      <c r="Q607" s="3">
        <f t="shared" si="18"/>
        <v>1.8217734855136083E-2</v>
      </c>
      <c r="R607" t="str">
        <f t="shared" si="19"/>
        <v>July</v>
      </c>
    </row>
    <row r="608" spans="1:18" x14ac:dyDescent="0.35">
      <c r="A608" t="s">
        <v>428</v>
      </c>
      <c r="B608" t="s">
        <v>89</v>
      </c>
      <c r="C608" t="s">
        <v>35</v>
      </c>
      <c r="D608" t="s">
        <v>90</v>
      </c>
      <c r="E608">
        <v>26648</v>
      </c>
      <c r="F608">
        <v>15993</v>
      </c>
      <c r="G608">
        <v>8269</v>
      </c>
      <c r="H608">
        <v>697</v>
      </c>
      <c r="I608">
        <v>1294</v>
      </c>
      <c r="J608">
        <v>1638</v>
      </c>
      <c r="K608" s="1">
        <v>45839</v>
      </c>
      <c r="L608" t="s">
        <v>429</v>
      </c>
      <c r="M608" t="s">
        <v>427</v>
      </c>
      <c r="N608" s="2">
        <f>IFERROR(NHS_A_E[[#This Row],[T1_Over4hrs]]/NHS_A_E[[#This Row],[T1_Attendances]], 0)</f>
        <v>0.31030471329930953</v>
      </c>
      <c r="O608">
        <f>NHS_A_E[[#This Row],[T1_Attendances]]+NHS_A_E[[#This Row],[Other_Attendances]]</f>
        <v>42641</v>
      </c>
      <c r="P608">
        <f>MATCH(LEFT(A608,FIND("-",A608)-1),{"April","May","June","July","August","September","October","November","December","January","February","March"},0)</f>
        <v>4</v>
      </c>
      <c r="Q608" s="3">
        <f t="shared" si="18"/>
        <v>6.146802761933353E-2</v>
      </c>
      <c r="R608" t="str">
        <f t="shared" si="19"/>
        <v>July</v>
      </c>
    </row>
    <row r="609" spans="1:18" x14ac:dyDescent="0.35">
      <c r="A609" t="s">
        <v>428</v>
      </c>
      <c r="B609" t="s">
        <v>371</v>
      </c>
      <c r="C609" t="s">
        <v>35</v>
      </c>
      <c r="D609" t="s">
        <v>372</v>
      </c>
      <c r="E609">
        <v>5966</v>
      </c>
      <c r="F609">
        <v>7265</v>
      </c>
      <c r="G609">
        <v>2361</v>
      </c>
      <c r="H609">
        <v>105</v>
      </c>
      <c r="I609">
        <v>335</v>
      </c>
      <c r="J609">
        <v>24</v>
      </c>
      <c r="K609" s="1">
        <v>45839</v>
      </c>
      <c r="L609" t="s">
        <v>429</v>
      </c>
      <c r="M609" t="s">
        <v>427</v>
      </c>
      <c r="N609" s="2">
        <f>IFERROR(NHS_A_E[[#This Row],[T1_Over4hrs]]/NHS_A_E[[#This Row],[T1_Attendances]], 0)</f>
        <v>0.3957425410660409</v>
      </c>
      <c r="O609">
        <f>NHS_A_E[[#This Row],[T1_Attendances]]+NHS_A_E[[#This Row],[Other_Attendances]]</f>
        <v>13231</v>
      </c>
      <c r="P609">
        <f>MATCH(LEFT(A609,FIND("-",A609)-1),{"April","May","June","July","August","September","October","November","December","January","February","March"},0)</f>
        <v>4</v>
      </c>
      <c r="Q609" s="3">
        <f t="shared" si="18"/>
        <v>4.0227958431109621E-3</v>
      </c>
      <c r="R609" t="str">
        <f t="shared" si="19"/>
        <v>July</v>
      </c>
    </row>
    <row r="610" spans="1:18" x14ac:dyDescent="0.35">
      <c r="A610" t="s">
        <v>428</v>
      </c>
      <c r="B610" t="s">
        <v>251</v>
      </c>
      <c r="C610" t="s">
        <v>35</v>
      </c>
      <c r="D610" t="s">
        <v>252</v>
      </c>
      <c r="E610">
        <v>7047</v>
      </c>
      <c r="F610">
        <v>8360</v>
      </c>
      <c r="G610">
        <v>3556</v>
      </c>
      <c r="H610">
        <v>330</v>
      </c>
      <c r="I610">
        <v>343</v>
      </c>
      <c r="J610">
        <v>362</v>
      </c>
      <c r="K610" s="1">
        <v>45839</v>
      </c>
      <c r="L610" t="s">
        <v>429</v>
      </c>
      <c r="M610" t="s">
        <v>427</v>
      </c>
      <c r="N610" s="2">
        <f>IFERROR(NHS_A_E[[#This Row],[T1_Over4hrs]]/NHS_A_E[[#This Row],[T1_Attendances]], 0)</f>
        <v>0.50461189158507169</v>
      </c>
      <c r="O610">
        <f>NHS_A_E[[#This Row],[T1_Attendances]]+NHS_A_E[[#This Row],[Other_Attendances]]</f>
        <v>15407</v>
      </c>
      <c r="P610">
        <f>MATCH(LEFT(A610,FIND("-",A610)-1),{"April","May","June","July","August","September","October","November","December","January","February","March"},0)</f>
        <v>4</v>
      </c>
      <c r="Q610" s="3">
        <f t="shared" si="18"/>
        <v>5.1369377039875125E-2</v>
      </c>
      <c r="R610" t="str">
        <f t="shared" si="19"/>
        <v>July</v>
      </c>
    </row>
    <row r="611" spans="1:18" x14ac:dyDescent="0.35">
      <c r="A611" t="s">
        <v>428</v>
      </c>
      <c r="B611" t="s">
        <v>91</v>
      </c>
      <c r="C611" t="s">
        <v>30</v>
      </c>
      <c r="D611" t="s">
        <v>92</v>
      </c>
      <c r="E611">
        <v>18132</v>
      </c>
      <c r="F611">
        <v>7478</v>
      </c>
      <c r="G611">
        <v>6769</v>
      </c>
      <c r="H611">
        <v>41</v>
      </c>
      <c r="I611">
        <v>671</v>
      </c>
      <c r="J611">
        <v>187</v>
      </c>
      <c r="K611" s="1">
        <v>45839</v>
      </c>
      <c r="L611" t="s">
        <v>429</v>
      </c>
      <c r="M611" t="s">
        <v>427</v>
      </c>
      <c r="N611" s="2">
        <f>IFERROR(NHS_A_E[[#This Row],[T1_Over4hrs]]/NHS_A_E[[#This Row],[T1_Attendances]], 0)</f>
        <v>0.37331789102139862</v>
      </c>
      <c r="O611">
        <f>NHS_A_E[[#This Row],[T1_Attendances]]+NHS_A_E[[#This Row],[Other_Attendances]]</f>
        <v>25610</v>
      </c>
      <c r="P611">
        <f>MATCH(LEFT(A611,FIND("-",A611)-1),{"April","May","June","July","August","September","October","November","December","January","February","March"},0)</f>
        <v>4</v>
      </c>
      <c r="Q611" s="3">
        <f t="shared" si="18"/>
        <v>1.0313258327818223E-2</v>
      </c>
      <c r="R611" t="str">
        <f t="shared" si="19"/>
        <v>July</v>
      </c>
    </row>
    <row r="612" spans="1:18" x14ac:dyDescent="0.35">
      <c r="A612" t="s">
        <v>428</v>
      </c>
      <c r="B612" t="s">
        <v>67</v>
      </c>
      <c r="C612" t="s">
        <v>30</v>
      </c>
      <c r="D612" t="s">
        <v>68</v>
      </c>
      <c r="E612">
        <v>0</v>
      </c>
      <c r="F612">
        <v>0</v>
      </c>
      <c r="G612">
        <v>0</v>
      </c>
      <c r="H612">
        <v>0</v>
      </c>
      <c r="I612">
        <v>0</v>
      </c>
      <c r="J612">
        <v>0</v>
      </c>
      <c r="K612" s="1">
        <v>45839</v>
      </c>
      <c r="L612" t="s">
        <v>429</v>
      </c>
      <c r="M612" t="s">
        <v>427</v>
      </c>
      <c r="N612" s="2">
        <f>IFERROR(NHS_A_E[[#This Row],[T1_Over4hrs]]/NHS_A_E[[#This Row],[T1_Attendances]], 0)</f>
        <v>0</v>
      </c>
      <c r="O612">
        <f>NHS_A_E[[#This Row],[T1_Attendances]]+NHS_A_E[[#This Row],[Other_Attendances]]</f>
        <v>0</v>
      </c>
      <c r="P612">
        <f>MATCH(LEFT(A612,FIND("-",A612)-1),{"April","May","June","July","August","September","October","November","December","January","February","March"},0)</f>
        <v>4</v>
      </c>
      <c r="Q612" s="3">
        <f t="shared" si="18"/>
        <v>0</v>
      </c>
      <c r="R612" t="str">
        <f t="shared" si="19"/>
        <v>July</v>
      </c>
    </row>
    <row r="613" spans="1:18" x14ac:dyDescent="0.35">
      <c r="A613" t="s">
        <v>428</v>
      </c>
      <c r="B613" t="s">
        <v>93</v>
      </c>
      <c r="C613" t="s">
        <v>63</v>
      </c>
      <c r="D613" t="s">
        <v>94</v>
      </c>
      <c r="E613">
        <v>11120</v>
      </c>
      <c r="F613">
        <v>7934</v>
      </c>
      <c r="G613">
        <v>5517</v>
      </c>
      <c r="H613">
        <v>362</v>
      </c>
      <c r="I613">
        <v>665</v>
      </c>
      <c r="J613">
        <v>450</v>
      </c>
      <c r="K613" s="1">
        <v>45839</v>
      </c>
      <c r="L613" t="s">
        <v>429</v>
      </c>
      <c r="M613" t="s">
        <v>427</v>
      </c>
      <c r="N613" s="2">
        <f>IFERROR(NHS_A_E[[#This Row],[T1_Over4hrs]]/NHS_A_E[[#This Row],[T1_Attendances]], 0)</f>
        <v>0.49613309352517987</v>
      </c>
      <c r="O613">
        <f>NHS_A_E[[#This Row],[T1_Attendances]]+NHS_A_E[[#This Row],[Other_Attendances]]</f>
        <v>19054</v>
      </c>
      <c r="P613">
        <f>MATCH(LEFT(A613,FIND("-",A613)-1),{"April","May","June","July","August","September","October","November","December","January","February","March"},0)</f>
        <v>4</v>
      </c>
      <c r="Q613" s="3">
        <f t="shared" si="18"/>
        <v>4.0467625899280574E-2</v>
      </c>
      <c r="R613" t="str">
        <f t="shared" si="19"/>
        <v>July</v>
      </c>
    </row>
    <row r="614" spans="1:18" x14ac:dyDescent="0.35">
      <c r="A614" t="s">
        <v>428</v>
      </c>
      <c r="B614" t="s">
        <v>22</v>
      </c>
      <c r="C614" t="s">
        <v>23</v>
      </c>
      <c r="D614" t="s">
        <v>24</v>
      </c>
      <c r="E614">
        <v>12692</v>
      </c>
      <c r="F614">
        <v>13925</v>
      </c>
      <c r="G614">
        <v>6173</v>
      </c>
      <c r="H614">
        <v>484</v>
      </c>
      <c r="I614">
        <v>951</v>
      </c>
      <c r="J614">
        <v>354</v>
      </c>
      <c r="K614" s="1">
        <v>45839</v>
      </c>
      <c r="L614" t="s">
        <v>429</v>
      </c>
      <c r="M614" t="s">
        <v>427</v>
      </c>
      <c r="N614" s="2">
        <f>IFERROR(NHS_A_E[[#This Row],[T1_Over4hrs]]/NHS_A_E[[#This Row],[T1_Attendances]], 0)</f>
        <v>0.48636936653009771</v>
      </c>
      <c r="O614">
        <f>NHS_A_E[[#This Row],[T1_Attendances]]+NHS_A_E[[#This Row],[Other_Attendances]]</f>
        <v>26617</v>
      </c>
      <c r="P614">
        <f>MATCH(LEFT(A614,FIND("-",A614)-1),{"April","May","June","July","August","September","October","November","December","January","February","March"},0)</f>
        <v>4</v>
      </c>
      <c r="Q614" s="3">
        <f t="shared" si="18"/>
        <v>2.7891585250551527E-2</v>
      </c>
      <c r="R614" t="str">
        <f t="shared" si="19"/>
        <v>July</v>
      </c>
    </row>
    <row r="615" spans="1:18" x14ac:dyDescent="0.35">
      <c r="A615" t="s">
        <v>428</v>
      </c>
      <c r="B615" t="s">
        <v>32</v>
      </c>
      <c r="C615" t="s">
        <v>30</v>
      </c>
      <c r="D615" t="s">
        <v>33</v>
      </c>
      <c r="E615">
        <v>0</v>
      </c>
      <c r="F615">
        <v>0</v>
      </c>
      <c r="G615">
        <v>0</v>
      </c>
      <c r="H615">
        <v>0</v>
      </c>
      <c r="I615">
        <v>0</v>
      </c>
      <c r="J615">
        <v>0</v>
      </c>
      <c r="K615" s="1">
        <v>45839</v>
      </c>
      <c r="L615" t="s">
        <v>429</v>
      </c>
      <c r="M615" t="s">
        <v>427</v>
      </c>
      <c r="N615" s="2">
        <f>IFERROR(NHS_A_E[[#This Row],[T1_Over4hrs]]/NHS_A_E[[#This Row],[T1_Attendances]], 0)</f>
        <v>0</v>
      </c>
      <c r="O615">
        <f>NHS_A_E[[#This Row],[T1_Attendances]]+NHS_A_E[[#This Row],[Other_Attendances]]</f>
        <v>0</v>
      </c>
      <c r="P615">
        <f>MATCH(LEFT(A615,FIND("-",A615)-1),{"April","May","June","July","August","September","October","November","December","January","February","March"},0)</f>
        <v>4</v>
      </c>
      <c r="Q615" s="3">
        <f t="shared" si="18"/>
        <v>0</v>
      </c>
      <c r="R615" t="str">
        <f t="shared" si="19"/>
        <v>July</v>
      </c>
    </row>
    <row r="616" spans="1:18" x14ac:dyDescent="0.35">
      <c r="A616" t="s">
        <v>428</v>
      </c>
      <c r="B616" t="s">
        <v>34</v>
      </c>
      <c r="C616" t="s">
        <v>35</v>
      </c>
      <c r="D616" t="s">
        <v>36</v>
      </c>
      <c r="E616">
        <v>13723</v>
      </c>
      <c r="F616">
        <v>14448</v>
      </c>
      <c r="G616">
        <v>5570</v>
      </c>
      <c r="H616">
        <v>213</v>
      </c>
      <c r="I616">
        <v>604</v>
      </c>
      <c r="J616">
        <v>612</v>
      </c>
      <c r="K616" s="1">
        <v>45839</v>
      </c>
      <c r="L616" t="s">
        <v>429</v>
      </c>
      <c r="M616" t="s">
        <v>427</v>
      </c>
      <c r="N616" s="2">
        <f>IFERROR(NHS_A_E[[#This Row],[T1_Over4hrs]]/NHS_A_E[[#This Row],[T1_Attendances]], 0)</f>
        <v>0.40588792538074764</v>
      </c>
      <c r="O616">
        <f>NHS_A_E[[#This Row],[T1_Attendances]]+NHS_A_E[[#This Row],[Other_Attendances]]</f>
        <v>28171</v>
      </c>
      <c r="P616">
        <f>MATCH(LEFT(A616,FIND("-",A616)-1),{"April","May","June","July","August","September","October","November","December","January","February","March"},0)</f>
        <v>4</v>
      </c>
      <c r="Q616" s="3">
        <f t="shared" si="18"/>
        <v>4.4596662537346059E-2</v>
      </c>
      <c r="R616" t="str">
        <f t="shared" si="19"/>
        <v>July</v>
      </c>
    </row>
    <row r="617" spans="1:18" x14ac:dyDescent="0.35">
      <c r="A617" t="s">
        <v>428</v>
      </c>
      <c r="B617" t="s">
        <v>101</v>
      </c>
      <c r="C617" t="s">
        <v>63</v>
      </c>
      <c r="D617" t="s">
        <v>102</v>
      </c>
      <c r="E617">
        <v>9264</v>
      </c>
      <c r="F617">
        <v>0</v>
      </c>
      <c r="G617">
        <v>2660</v>
      </c>
      <c r="H617">
        <v>0</v>
      </c>
      <c r="I617">
        <v>357</v>
      </c>
      <c r="J617">
        <v>17</v>
      </c>
      <c r="K617" s="1">
        <v>45839</v>
      </c>
      <c r="L617" t="s">
        <v>429</v>
      </c>
      <c r="M617" t="s">
        <v>427</v>
      </c>
      <c r="N617" s="2">
        <f>IFERROR(NHS_A_E[[#This Row],[T1_Over4hrs]]/NHS_A_E[[#This Row],[T1_Attendances]], 0)</f>
        <v>0.28713298791018999</v>
      </c>
      <c r="O617">
        <f>NHS_A_E[[#This Row],[T1_Attendances]]+NHS_A_E[[#This Row],[Other_Attendances]]</f>
        <v>9264</v>
      </c>
      <c r="P617">
        <f>MATCH(LEFT(A617,FIND("-",A617)-1),{"April","May","June","July","August","September","October","November","December","January","February","March"},0)</f>
        <v>4</v>
      </c>
      <c r="Q617" s="3">
        <f t="shared" si="18"/>
        <v>1.8350604490500863E-3</v>
      </c>
      <c r="R617" t="str">
        <f t="shared" si="19"/>
        <v>July</v>
      </c>
    </row>
    <row r="618" spans="1:18" x14ac:dyDescent="0.35">
      <c r="A618" t="s">
        <v>428</v>
      </c>
      <c r="B618" t="s">
        <v>159</v>
      </c>
      <c r="C618" t="s">
        <v>40</v>
      </c>
      <c r="D618" t="s">
        <v>160</v>
      </c>
      <c r="E618">
        <v>6557</v>
      </c>
      <c r="F618">
        <v>5854</v>
      </c>
      <c r="G618">
        <v>3024</v>
      </c>
      <c r="H618">
        <v>268</v>
      </c>
      <c r="I618">
        <v>573</v>
      </c>
      <c r="J618">
        <v>100</v>
      </c>
      <c r="K618" s="1">
        <v>45839</v>
      </c>
      <c r="L618" t="s">
        <v>429</v>
      </c>
      <c r="M618" t="s">
        <v>427</v>
      </c>
      <c r="N618" s="2">
        <f>IFERROR(NHS_A_E[[#This Row],[T1_Over4hrs]]/NHS_A_E[[#This Row],[T1_Attendances]], 0)</f>
        <v>0.46118651822479795</v>
      </c>
      <c r="O618">
        <f>NHS_A_E[[#This Row],[T1_Attendances]]+NHS_A_E[[#This Row],[Other_Attendances]]</f>
        <v>12411</v>
      </c>
      <c r="P618">
        <f>MATCH(LEFT(A618,FIND("-",A618)-1),{"April","May","June","July","August","September","October","November","December","January","February","March"},0)</f>
        <v>4</v>
      </c>
      <c r="Q618" s="3">
        <f t="shared" si="18"/>
        <v>1.5250876925423212E-2</v>
      </c>
      <c r="R618" t="str">
        <f t="shared" si="19"/>
        <v>July</v>
      </c>
    </row>
    <row r="619" spans="1:18" x14ac:dyDescent="0.35">
      <c r="A619" t="s">
        <v>428</v>
      </c>
      <c r="B619" t="s">
        <v>315</v>
      </c>
      <c r="C619" t="s">
        <v>23</v>
      </c>
      <c r="D619" t="s">
        <v>316</v>
      </c>
      <c r="E619">
        <v>8023</v>
      </c>
      <c r="F619">
        <v>1434</v>
      </c>
      <c r="G619">
        <v>2911</v>
      </c>
      <c r="H619">
        <v>0</v>
      </c>
      <c r="I619">
        <v>493</v>
      </c>
      <c r="J619">
        <v>209</v>
      </c>
      <c r="K619" s="1">
        <v>45839</v>
      </c>
      <c r="L619" t="s">
        <v>429</v>
      </c>
      <c r="M619" t="s">
        <v>427</v>
      </c>
      <c r="N619" s="2">
        <f>IFERROR(NHS_A_E[[#This Row],[T1_Over4hrs]]/NHS_A_E[[#This Row],[T1_Attendances]], 0)</f>
        <v>0.36283185840707965</v>
      </c>
      <c r="O619">
        <f>NHS_A_E[[#This Row],[T1_Attendances]]+NHS_A_E[[#This Row],[Other_Attendances]]</f>
        <v>9457</v>
      </c>
      <c r="P619">
        <f>MATCH(LEFT(A619,FIND("-",A619)-1),{"April","May","June","July","August","September","October","November","December","January","February","March"},0)</f>
        <v>4</v>
      </c>
      <c r="Q619" s="3">
        <f t="shared" si="18"/>
        <v>2.6050105945406955E-2</v>
      </c>
      <c r="R619" t="str">
        <f t="shared" si="19"/>
        <v>July</v>
      </c>
    </row>
    <row r="620" spans="1:18" x14ac:dyDescent="0.35">
      <c r="A620" t="s">
        <v>428</v>
      </c>
      <c r="B620" t="s">
        <v>37</v>
      </c>
      <c r="C620" t="s">
        <v>35</v>
      </c>
      <c r="D620" t="s">
        <v>38</v>
      </c>
      <c r="E620">
        <v>15998</v>
      </c>
      <c r="F620">
        <v>9791</v>
      </c>
      <c r="G620">
        <v>7494</v>
      </c>
      <c r="H620">
        <v>289</v>
      </c>
      <c r="I620">
        <v>1163</v>
      </c>
      <c r="J620">
        <v>628</v>
      </c>
      <c r="K620" s="1">
        <v>45839</v>
      </c>
      <c r="L620" t="s">
        <v>429</v>
      </c>
      <c r="M620" t="s">
        <v>427</v>
      </c>
      <c r="N620" s="2">
        <f>IFERROR(NHS_A_E[[#This Row],[T1_Over4hrs]]/NHS_A_E[[#This Row],[T1_Attendances]], 0)</f>
        <v>0.46843355419427429</v>
      </c>
      <c r="O620">
        <f>NHS_A_E[[#This Row],[T1_Attendances]]+NHS_A_E[[#This Row],[Other_Attendances]]</f>
        <v>25789</v>
      </c>
      <c r="P620">
        <f>MATCH(LEFT(A620,FIND("-",A620)-1),{"April","May","June","July","August","September","October","November","December","January","February","March"},0)</f>
        <v>4</v>
      </c>
      <c r="Q620" s="3">
        <f t="shared" si="18"/>
        <v>3.9254906863357919E-2</v>
      </c>
      <c r="R620" t="str">
        <f t="shared" si="19"/>
        <v>July</v>
      </c>
    </row>
    <row r="621" spans="1:18" x14ac:dyDescent="0.35">
      <c r="A621" t="s">
        <v>428</v>
      </c>
      <c r="B621" t="s">
        <v>401</v>
      </c>
      <c r="C621" t="s">
        <v>35</v>
      </c>
      <c r="D621" t="s">
        <v>402</v>
      </c>
      <c r="E621">
        <v>13093</v>
      </c>
      <c r="F621">
        <v>4826</v>
      </c>
      <c r="G621">
        <v>4548</v>
      </c>
      <c r="H621">
        <v>0</v>
      </c>
      <c r="I621">
        <v>241</v>
      </c>
      <c r="J621">
        <v>715</v>
      </c>
      <c r="K621" s="1">
        <v>45839</v>
      </c>
      <c r="L621" t="s">
        <v>429</v>
      </c>
      <c r="M621" t="s">
        <v>427</v>
      </c>
      <c r="N621" s="2">
        <f>IFERROR(NHS_A_E[[#This Row],[T1_Over4hrs]]/NHS_A_E[[#This Row],[T1_Attendances]], 0)</f>
        <v>0.34736118536622623</v>
      </c>
      <c r="O621">
        <f>NHS_A_E[[#This Row],[T1_Attendances]]+NHS_A_E[[#This Row],[Other_Attendances]]</f>
        <v>17919</v>
      </c>
      <c r="P621">
        <f>MATCH(LEFT(A621,FIND("-",A621)-1),{"April","May","June","July","August","September","October","November","December","January","February","March"},0)</f>
        <v>4</v>
      </c>
      <c r="Q621" s="3">
        <f t="shared" si="18"/>
        <v>5.4609333231497748E-2</v>
      </c>
      <c r="R621" t="str">
        <f t="shared" si="19"/>
        <v>July</v>
      </c>
    </row>
    <row r="622" spans="1:18" x14ac:dyDescent="0.35">
      <c r="A622" t="s">
        <v>428</v>
      </c>
      <c r="B622" t="s">
        <v>215</v>
      </c>
      <c r="C622" t="s">
        <v>35</v>
      </c>
      <c r="D622" t="s">
        <v>216</v>
      </c>
      <c r="E622">
        <v>8736</v>
      </c>
      <c r="F622">
        <v>4107</v>
      </c>
      <c r="G622">
        <v>2697</v>
      </c>
      <c r="H622">
        <v>172</v>
      </c>
      <c r="I622">
        <v>393</v>
      </c>
      <c r="J622">
        <v>443</v>
      </c>
      <c r="K622" s="1">
        <v>45839</v>
      </c>
      <c r="L622" t="s">
        <v>429</v>
      </c>
      <c r="M622" t="s">
        <v>427</v>
      </c>
      <c r="N622" s="2">
        <f>IFERROR(NHS_A_E[[#This Row],[T1_Over4hrs]]/NHS_A_E[[#This Row],[T1_Attendances]], 0)</f>
        <v>0.30872252747252749</v>
      </c>
      <c r="O622">
        <f>NHS_A_E[[#This Row],[T1_Attendances]]+NHS_A_E[[#This Row],[Other_Attendances]]</f>
        <v>12843</v>
      </c>
      <c r="P622">
        <f>MATCH(LEFT(A622,FIND("-",A622)-1),{"April","May","June","July","August","September","October","November","December","January","February","March"},0)</f>
        <v>4</v>
      </c>
      <c r="Q622" s="3">
        <f t="shared" si="18"/>
        <v>5.070970695970696E-2</v>
      </c>
      <c r="R622" t="str">
        <f t="shared" si="19"/>
        <v>July</v>
      </c>
    </row>
    <row r="623" spans="1:18" x14ac:dyDescent="0.35">
      <c r="A623" t="s">
        <v>428</v>
      </c>
      <c r="B623" t="s">
        <v>135</v>
      </c>
      <c r="C623" t="s">
        <v>40</v>
      </c>
      <c r="D623" t="s">
        <v>136</v>
      </c>
      <c r="E623">
        <v>0</v>
      </c>
      <c r="F623">
        <v>4934</v>
      </c>
      <c r="G623">
        <v>0</v>
      </c>
      <c r="H623">
        <v>12</v>
      </c>
      <c r="I623">
        <v>0</v>
      </c>
      <c r="J623">
        <v>0</v>
      </c>
      <c r="K623" s="1">
        <v>45839</v>
      </c>
      <c r="L623" t="s">
        <v>429</v>
      </c>
      <c r="M623" t="s">
        <v>427</v>
      </c>
      <c r="N623" s="2">
        <f>IFERROR(NHS_A_E[[#This Row],[T1_Over4hrs]]/NHS_A_E[[#This Row],[T1_Attendances]], 0)</f>
        <v>0</v>
      </c>
      <c r="O623">
        <f>NHS_A_E[[#This Row],[T1_Attendances]]+NHS_A_E[[#This Row],[Other_Attendances]]</f>
        <v>4934</v>
      </c>
      <c r="P623">
        <f>MATCH(LEFT(A623,FIND("-",A623)-1),{"April","May","June","July","August","September","October","November","December","January","February","March"},0)</f>
        <v>4</v>
      </c>
      <c r="Q623" s="3">
        <f t="shared" si="18"/>
        <v>0</v>
      </c>
      <c r="R623" t="str">
        <f t="shared" si="19"/>
        <v>July</v>
      </c>
    </row>
    <row r="624" spans="1:18" x14ac:dyDescent="0.35">
      <c r="A624" t="s">
        <v>428</v>
      </c>
      <c r="B624" t="s">
        <v>233</v>
      </c>
      <c r="C624" t="s">
        <v>30</v>
      </c>
      <c r="D624" t="s">
        <v>234</v>
      </c>
      <c r="E624">
        <v>5487</v>
      </c>
      <c r="F624">
        <v>2476</v>
      </c>
      <c r="G624">
        <v>2799</v>
      </c>
      <c r="H624">
        <v>230</v>
      </c>
      <c r="I624">
        <v>546</v>
      </c>
      <c r="J624">
        <v>503</v>
      </c>
      <c r="K624" s="1">
        <v>45839</v>
      </c>
      <c r="L624" t="s">
        <v>429</v>
      </c>
      <c r="M624" t="s">
        <v>427</v>
      </c>
      <c r="N624" s="2">
        <f>IFERROR(NHS_A_E[[#This Row],[T1_Over4hrs]]/NHS_A_E[[#This Row],[T1_Attendances]], 0)</f>
        <v>0.5101148168398032</v>
      </c>
      <c r="O624">
        <f>NHS_A_E[[#This Row],[T1_Attendances]]+NHS_A_E[[#This Row],[Other_Attendances]]</f>
        <v>7963</v>
      </c>
      <c r="P624">
        <f>MATCH(LEFT(A624,FIND("-",A624)-1),{"April","May","June","July","August","September","October","November","December","January","February","March"},0)</f>
        <v>4</v>
      </c>
      <c r="Q624" s="3">
        <f t="shared" si="18"/>
        <v>9.1671222890468376E-2</v>
      </c>
      <c r="R624" t="str">
        <f t="shared" si="19"/>
        <v>July</v>
      </c>
    </row>
    <row r="625" spans="1:18" x14ac:dyDescent="0.35">
      <c r="A625" t="s">
        <v>428</v>
      </c>
      <c r="B625" t="s">
        <v>329</v>
      </c>
      <c r="C625" t="s">
        <v>40</v>
      </c>
      <c r="D625" t="s">
        <v>430</v>
      </c>
      <c r="E625">
        <v>0</v>
      </c>
      <c r="F625">
        <v>4053</v>
      </c>
      <c r="G625">
        <v>0</v>
      </c>
      <c r="H625">
        <v>866</v>
      </c>
      <c r="I625">
        <v>0</v>
      </c>
      <c r="J625">
        <v>0</v>
      </c>
      <c r="K625" s="1">
        <v>45839</v>
      </c>
      <c r="L625" t="s">
        <v>429</v>
      </c>
      <c r="M625" t="s">
        <v>427</v>
      </c>
      <c r="N625" s="2">
        <f>IFERROR(NHS_A_E[[#This Row],[T1_Over4hrs]]/NHS_A_E[[#This Row],[T1_Attendances]], 0)</f>
        <v>0</v>
      </c>
      <c r="O625">
        <f>NHS_A_E[[#This Row],[T1_Attendances]]+NHS_A_E[[#This Row],[Other_Attendances]]</f>
        <v>4053</v>
      </c>
      <c r="P625">
        <f>MATCH(LEFT(A625,FIND("-",A625)-1),{"April","May","June","July","August","September","October","November","December","January","February","March"},0)</f>
        <v>4</v>
      </c>
      <c r="Q625" s="3">
        <f t="shared" si="18"/>
        <v>0</v>
      </c>
      <c r="R625" t="str">
        <f t="shared" si="19"/>
        <v>July</v>
      </c>
    </row>
    <row r="626" spans="1:18" x14ac:dyDescent="0.35">
      <c r="A626" t="s">
        <v>428</v>
      </c>
      <c r="B626" t="s">
        <v>205</v>
      </c>
      <c r="C626" t="s">
        <v>35</v>
      </c>
      <c r="D626" t="s">
        <v>206</v>
      </c>
      <c r="E626">
        <v>12478</v>
      </c>
      <c r="F626">
        <v>7544</v>
      </c>
      <c r="G626">
        <v>5204</v>
      </c>
      <c r="H626">
        <v>270</v>
      </c>
      <c r="I626">
        <v>642</v>
      </c>
      <c r="J626">
        <v>0</v>
      </c>
      <c r="K626" s="1">
        <v>45839</v>
      </c>
      <c r="L626" t="s">
        <v>429</v>
      </c>
      <c r="M626" t="s">
        <v>427</v>
      </c>
      <c r="N626" s="2">
        <f>IFERROR(NHS_A_E[[#This Row],[T1_Over4hrs]]/NHS_A_E[[#This Row],[T1_Attendances]], 0)</f>
        <v>0.41705401506651707</v>
      </c>
      <c r="O626">
        <f>NHS_A_E[[#This Row],[T1_Attendances]]+NHS_A_E[[#This Row],[Other_Attendances]]</f>
        <v>20022</v>
      </c>
      <c r="P626">
        <f>MATCH(LEFT(A626,FIND("-",A626)-1),{"April","May","June","July","August","September","October","November","December","January","February","March"},0)</f>
        <v>4</v>
      </c>
      <c r="Q626" s="3">
        <f t="shared" si="18"/>
        <v>0</v>
      </c>
      <c r="R626" t="str">
        <f t="shared" si="19"/>
        <v>July</v>
      </c>
    </row>
    <row r="627" spans="1:18" x14ac:dyDescent="0.35">
      <c r="A627" t="s">
        <v>428</v>
      </c>
      <c r="B627" t="s">
        <v>97</v>
      </c>
      <c r="C627" t="s">
        <v>15</v>
      </c>
      <c r="D627" t="s">
        <v>98</v>
      </c>
      <c r="E627">
        <v>23429</v>
      </c>
      <c r="F627">
        <v>12981</v>
      </c>
      <c r="G627">
        <v>9427</v>
      </c>
      <c r="H627">
        <v>423</v>
      </c>
      <c r="I627">
        <v>1553</v>
      </c>
      <c r="J627">
        <v>263</v>
      </c>
      <c r="K627" s="1">
        <v>45839</v>
      </c>
      <c r="L627" t="s">
        <v>429</v>
      </c>
      <c r="M627" t="s">
        <v>427</v>
      </c>
      <c r="N627" s="2">
        <f>IFERROR(NHS_A_E[[#This Row],[T1_Over4hrs]]/NHS_A_E[[#This Row],[T1_Attendances]], 0)</f>
        <v>0.40236459089163001</v>
      </c>
      <c r="O627">
        <f>NHS_A_E[[#This Row],[T1_Attendances]]+NHS_A_E[[#This Row],[Other_Attendances]]</f>
        <v>36410</v>
      </c>
      <c r="P627">
        <f>MATCH(LEFT(A627,FIND("-",A627)-1),{"April","May","June","July","August","September","October","November","December","January","February","March"},0)</f>
        <v>4</v>
      </c>
      <c r="Q627" s="3">
        <f t="shared" si="18"/>
        <v>1.1225404413333903E-2</v>
      </c>
      <c r="R627" t="str">
        <f t="shared" si="19"/>
        <v>July</v>
      </c>
    </row>
    <row r="628" spans="1:18" x14ac:dyDescent="0.35">
      <c r="A628" t="s">
        <v>428</v>
      </c>
      <c r="B628" t="s">
        <v>29</v>
      </c>
      <c r="C628" t="s">
        <v>30</v>
      </c>
      <c r="D628" t="s">
        <v>31</v>
      </c>
      <c r="E628">
        <v>16589</v>
      </c>
      <c r="F628">
        <v>8107</v>
      </c>
      <c r="G628">
        <v>8406</v>
      </c>
      <c r="H628">
        <v>169</v>
      </c>
      <c r="I628">
        <v>2027</v>
      </c>
      <c r="J628">
        <v>902</v>
      </c>
      <c r="K628" s="1">
        <v>45839</v>
      </c>
      <c r="L628" t="s">
        <v>429</v>
      </c>
      <c r="M628" t="s">
        <v>427</v>
      </c>
      <c r="N628" s="2">
        <f>IFERROR(NHS_A_E[[#This Row],[T1_Over4hrs]]/NHS_A_E[[#This Row],[T1_Attendances]], 0)</f>
        <v>0.50672132135752612</v>
      </c>
      <c r="O628">
        <f>NHS_A_E[[#This Row],[T1_Attendances]]+NHS_A_E[[#This Row],[Other_Attendances]]</f>
        <v>24696</v>
      </c>
      <c r="P628">
        <f>MATCH(LEFT(A628,FIND("-",A628)-1),{"April","May","June","July","August","September","October","November","December","January","February","March"},0)</f>
        <v>4</v>
      </c>
      <c r="Q628" s="3">
        <f t="shared" si="18"/>
        <v>5.4373379950569657E-2</v>
      </c>
      <c r="R628" t="str">
        <f t="shared" si="19"/>
        <v>July</v>
      </c>
    </row>
    <row r="629" spans="1:18" x14ac:dyDescent="0.35">
      <c r="A629" t="s">
        <v>428</v>
      </c>
      <c r="B629" t="s">
        <v>393</v>
      </c>
      <c r="C629" t="s">
        <v>23</v>
      </c>
      <c r="D629" t="s">
        <v>394</v>
      </c>
      <c r="E629">
        <v>14985</v>
      </c>
      <c r="F629">
        <v>4985</v>
      </c>
      <c r="G629">
        <v>4869</v>
      </c>
      <c r="H629">
        <v>100</v>
      </c>
      <c r="I629">
        <v>567</v>
      </c>
      <c r="J629">
        <v>672</v>
      </c>
      <c r="K629" s="1">
        <v>45839</v>
      </c>
      <c r="L629" t="s">
        <v>429</v>
      </c>
      <c r="M629" t="s">
        <v>427</v>
      </c>
      <c r="N629" s="2">
        <f>IFERROR(NHS_A_E[[#This Row],[T1_Over4hrs]]/NHS_A_E[[#This Row],[T1_Attendances]], 0)</f>
        <v>0.32492492492492492</v>
      </c>
      <c r="O629">
        <f>NHS_A_E[[#This Row],[T1_Attendances]]+NHS_A_E[[#This Row],[Other_Attendances]]</f>
        <v>19970</v>
      </c>
      <c r="P629">
        <f>MATCH(LEFT(A629,FIND("-",A629)-1),{"April","May","June","July","August","September","October","November","December","January","February","March"},0)</f>
        <v>4</v>
      </c>
      <c r="Q629" s="3">
        <f t="shared" si="18"/>
        <v>4.4844844844844842E-2</v>
      </c>
      <c r="R629" t="str">
        <f t="shared" si="19"/>
        <v>July</v>
      </c>
    </row>
    <row r="630" spans="1:18" x14ac:dyDescent="0.35">
      <c r="A630" t="s">
        <v>428</v>
      </c>
      <c r="B630" t="s">
        <v>213</v>
      </c>
      <c r="C630" t="s">
        <v>23</v>
      </c>
      <c r="D630" t="s">
        <v>214</v>
      </c>
      <c r="E630">
        <v>11115</v>
      </c>
      <c r="F630">
        <v>5992</v>
      </c>
      <c r="G630">
        <v>4435</v>
      </c>
      <c r="H630">
        <v>81</v>
      </c>
      <c r="I630">
        <v>571</v>
      </c>
      <c r="J630">
        <v>389</v>
      </c>
      <c r="K630" s="1">
        <v>45839</v>
      </c>
      <c r="L630" t="s">
        <v>429</v>
      </c>
      <c r="M630" t="s">
        <v>427</v>
      </c>
      <c r="N630" s="2">
        <f>IFERROR(NHS_A_E[[#This Row],[T1_Over4hrs]]/NHS_A_E[[#This Row],[T1_Attendances]], 0)</f>
        <v>0.39901034637876742</v>
      </c>
      <c r="O630">
        <f>NHS_A_E[[#This Row],[T1_Attendances]]+NHS_A_E[[#This Row],[Other_Attendances]]</f>
        <v>17107</v>
      </c>
      <c r="P630">
        <f>MATCH(LEFT(A630,FIND("-",A630)-1),{"April","May","June","July","August","September","October","November","December","January","February","March"},0)</f>
        <v>4</v>
      </c>
      <c r="Q630" s="3">
        <f t="shared" si="18"/>
        <v>3.4997750787224474E-2</v>
      </c>
      <c r="R630" t="str">
        <f t="shared" si="19"/>
        <v>July</v>
      </c>
    </row>
    <row r="631" spans="1:18" x14ac:dyDescent="0.35">
      <c r="A631" t="s">
        <v>428</v>
      </c>
      <c r="B631" t="s">
        <v>103</v>
      </c>
      <c r="C631" t="s">
        <v>20</v>
      </c>
      <c r="D631" t="s">
        <v>104</v>
      </c>
      <c r="E631">
        <v>13096</v>
      </c>
      <c r="F631">
        <v>10094</v>
      </c>
      <c r="G631">
        <v>5040</v>
      </c>
      <c r="H631">
        <v>174</v>
      </c>
      <c r="I631">
        <v>258</v>
      </c>
      <c r="J631">
        <v>75</v>
      </c>
      <c r="K631" s="1">
        <v>45839</v>
      </c>
      <c r="L631" t="s">
        <v>429</v>
      </c>
      <c r="M631" t="s">
        <v>427</v>
      </c>
      <c r="N631" s="2">
        <f>IFERROR(NHS_A_E[[#This Row],[T1_Over4hrs]]/NHS_A_E[[#This Row],[T1_Attendances]], 0)</f>
        <v>0.38485033598045204</v>
      </c>
      <c r="O631">
        <f>NHS_A_E[[#This Row],[T1_Attendances]]+NHS_A_E[[#This Row],[Other_Attendances]]</f>
        <v>23190</v>
      </c>
      <c r="P631">
        <f>MATCH(LEFT(A631,FIND("-",A631)-1),{"April","May","June","July","August","September","October","November","December","January","February","March"},0)</f>
        <v>4</v>
      </c>
      <c r="Q631" s="3">
        <f t="shared" si="18"/>
        <v>5.7269395235186316E-3</v>
      </c>
      <c r="R631" t="str">
        <f t="shared" si="19"/>
        <v>July</v>
      </c>
    </row>
    <row r="632" spans="1:18" x14ac:dyDescent="0.35">
      <c r="A632" t="s">
        <v>428</v>
      </c>
      <c r="B632" t="s">
        <v>107</v>
      </c>
      <c r="C632" t="s">
        <v>63</v>
      </c>
      <c r="D632" t="s">
        <v>108</v>
      </c>
      <c r="E632">
        <v>10046</v>
      </c>
      <c r="F632">
        <v>5372</v>
      </c>
      <c r="G632">
        <v>4619</v>
      </c>
      <c r="H632">
        <v>269</v>
      </c>
      <c r="I632">
        <v>736</v>
      </c>
      <c r="J632">
        <v>11</v>
      </c>
      <c r="K632" s="1">
        <v>45839</v>
      </c>
      <c r="L632" t="s">
        <v>429</v>
      </c>
      <c r="M632" t="s">
        <v>427</v>
      </c>
      <c r="N632" s="2">
        <f>IFERROR(NHS_A_E[[#This Row],[T1_Over4hrs]]/NHS_A_E[[#This Row],[T1_Attendances]], 0)</f>
        <v>0.4597849890503683</v>
      </c>
      <c r="O632">
        <f>NHS_A_E[[#This Row],[T1_Attendances]]+NHS_A_E[[#This Row],[Other_Attendances]]</f>
        <v>15418</v>
      </c>
      <c r="P632">
        <f>MATCH(LEFT(A632,FIND("-",A632)-1),{"April","May","June","July","August","September","October","November","December","January","February","March"},0)</f>
        <v>4</v>
      </c>
      <c r="Q632" s="3">
        <f t="shared" si="18"/>
        <v>1.094963169420665E-3</v>
      </c>
      <c r="R632" t="str">
        <f t="shared" si="19"/>
        <v>July</v>
      </c>
    </row>
    <row r="633" spans="1:18" x14ac:dyDescent="0.35">
      <c r="A633" t="s">
        <v>428</v>
      </c>
      <c r="B633" t="s">
        <v>155</v>
      </c>
      <c r="C633" t="s">
        <v>15</v>
      </c>
      <c r="D633" t="s">
        <v>156</v>
      </c>
      <c r="E633">
        <v>10909</v>
      </c>
      <c r="F633">
        <v>2862</v>
      </c>
      <c r="G633">
        <v>3523</v>
      </c>
      <c r="H633">
        <v>0</v>
      </c>
      <c r="I633">
        <v>309</v>
      </c>
      <c r="J633">
        <v>1</v>
      </c>
      <c r="K633" s="1">
        <v>45839</v>
      </c>
      <c r="L633" t="s">
        <v>429</v>
      </c>
      <c r="M633" t="s">
        <v>427</v>
      </c>
      <c r="N633" s="2">
        <f>IFERROR(NHS_A_E[[#This Row],[T1_Over4hrs]]/NHS_A_E[[#This Row],[T1_Attendances]], 0)</f>
        <v>0.32294435786964892</v>
      </c>
      <c r="O633">
        <f>NHS_A_E[[#This Row],[T1_Attendances]]+NHS_A_E[[#This Row],[Other_Attendances]]</f>
        <v>13771</v>
      </c>
      <c r="P633">
        <f>MATCH(LEFT(A633,FIND("-",A633)-1),{"April","May","June","July","August","September","October","November","December","January","February","March"},0)</f>
        <v>4</v>
      </c>
      <c r="Q633" s="3">
        <f t="shared" si="18"/>
        <v>9.166743056192135E-5</v>
      </c>
      <c r="R633" t="str">
        <f t="shared" si="19"/>
        <v>July</v>
      </c>
    </row>
    <row r="634" spans="1:18" x14ac:dyDescent="0.35">
      <c r="A634" t="s">
        <v>428</v>
      </c>
      <c r="B634" t="s">
        <v>351</v>
      </c>
      <c r="C634" t="s">
        <v>63</v>
      </c>
      <c r="D634" t="s">
        <v>352</v>
      </c>
      <c r="E634">
        <v>9489</v>
      </c>
      <c r="F634">
        <v>7534</v>
      </c>
      <c r="G634">
        <v>4396</v>
      </c>
      <c r="H634">
        <v>72</v>
      </c>
      <c r="I634">
        <v>760</v>
      </c>
      <c r="J634">
        <v>635</v>
      </c>
      <c r="K634" s="1">
        <v>45839</v>
      </c>
      <c r="L634" t="s">
        <v>429</v>
      </c>
      <c r="M634" t="s">
        <v>427</v>
      </c>
      <c r="N634" s="2">
        <f>IFERROR(NHS_A_E[[#This Row],[T1_Over4hrs]]/NHS_A_E[[#This Row],[T1_Attendances]], 0)</f>
        <v>0.46327326377911265</v>
      </c>
      <c r="O634">
        <f>NHS_A_E[[#This Row],[T1_Attendances]]+NHS_A_E[[#This Row],[Other_Attendances]]</f>
        <v>17023</v>
      </c>
      <c r="P634">
        <f>MATCH(LEFT(A634,FIND("-",A634)-1),{"April","May","June","July","August","September","October","November","December","January","February","March"},0)</f>
        <v>4</v>
      </c>
      <c r="Q634" s="3">
        <f t="shared" si="18"/>
        <v>6.6919591105490561E-2</v>
      </c>
      <c r="R634" t="str">
        <f t="shared" si="19"/>
        <v>July</v>
      </c>
    </row>
    <row r="635" spans="1:18" x14ac:dyDescent="0.35">
      <c r="A635" t="s">
        <v>428</v>
      </c>
      <c r="B635" t="s">
        <v>415</v>
      </c>
      <c r="C635" t="s">
        <v>35</v>
      </c>
      <c r="D635" t="s">
        <v>416</v>
      </c>
      <c r="E635">
        <v>15793</v>
      </c>
      <c r="F635">
        <v>9566</v>
      </c>
      <c r="G635">
        <v>6564</v>
      </c>
      <c r="H635">
        <v>659</v>
      </c>
      <c r="I635">
        <v>1593</v>
      </c>
      <c r="J635">
        <v>556</v>
      </c>
      <c r="K635" s="1">
        <v>45839</v>
      </c>
      <c r="L635" t="s">
        <v>429</v>
      </c>
      <c r="M635" t="s">
        <v>427</v>
      </c>
      <c r="N635" s="2">
        <f>IFERROR(NHS_A_E[[#This Row],[T1_Over4hrs]]/NHS_A_E[[#This Row],[T1_Attendances]], 0)</f>
        <v>0.41562717659722664</v>
      </c>
      <c r="O635">
        <f>NHS_A_E[[#This Row],[T1_Attendances]]+NHS_A_E[[#This Row],[Other_Attendances]]</f>
        <v>25359</v>
      </c>
      <c r="P635">
        <f>MATCH(LEFT(A635,FIND("-",A635)-1),{"April","May","June","July","August","September","October","November","December","January","February","March"},0)</f>
        <v>4</v>
      </c>
      <c r="Q635" s="3">
        <f t="shared" si="18"/>
        <v>3.5205470778192867E-2</v>
      </c>
      <c r="R635" t="str">
        <f t="shared" si="19"/>
        <v>July</v>
      </c>
    </row>
    <row r="636" spans="1:18" x14ac:dyDescent="0.35">
      <c r="A636" t="s">
        <v>428</v>
      </c>
      <c r="B636" t="s">
        <v>44</v>
      </c>
      <c r="C636" t="s">
        <v>40</v>
      </c>
      <c r="D636" t="s">
        <v>45</v>
      </c>
      <c r="E636">
        <v>12559</v>
      </c>
      <c r="F636">
        <v>5793</v>
      </c>
      <c r="G636">
        <v>4969</v>
      </c>
      <c r="H636">
        <v>80</v>
      </c>
      <c r="I636">
        <v>75</v>
      </c>
      <c r="J636">
        <v>17</v>
      </c>
      <c r="K636" s="1">
        <v>45839</v>
      </c>
      <c r="L636" t="s">
        <v>429</v>
      </c>
      <c r="M636" t="s">
        <v>427</v>
      </c>
      <c r="N636" s="2">
        <f>IFERROR(NHS_A_E[[#This Row],[T1_Over4hrs]]/NHS_A_E[[#This Row],[T1_Attendances]], 0)</f>
        <v>0.39565252010510393</v>
      </c>
      <c r="O636">
        <f>NHS_A_E[[#This Row],[T1_Attendances]]+NHS_A_E[[#This Row],[Other_Attendances]]</f>
        <v>18352</v>
      </c>
      <c r="P636">
        <f>MATCH(LEFT(A636,FIND("-",A636)-1),{"April","May","June","July","August","September","October","November","December","January","February","March"},0)</f>
        <v>4</v>
      </c>
      <c r="Q636" s="3">
        <f t="shared" si="18"/>
        <v>1.3536109562863284E-3</v>
      </c>
      <c r="R636" t="str">
        <f t="shared" si="19"/>
        <v>July</v>
      </c>
    </row>
    <row r="637" spans="1:18" x14ac:dyDescent="0.35">
      <c r="A637" t="s">
        <v>428</v>
      </c>
      <c r="B637" t="s">
        <v>353</v>
      </c>
      <c r="C637" t="s">
        <v>40</v>
      </c>
      <c r="D637" t="s">
        <v>354</v>
      </c>
      <c r="E637">
        <v>13276</v>
      </c>
      <c r="F637">
        <v>7255</v>
      </c>
      <c r="G637">
        <v>3728</v>
      </c>
      <c r="H637">
        <v>107</v>
      </c>
      <c r="I637">
        <v>1050</v>
      </c>
      <c r="J637">
        <v>290</v>
      </c>
      <c r="K637" s="1">
        <v>45839</v>
      </c>
      <c r="L637" t="s">
        <v>429</v>
      </c>
      <c r="M637" t="s">
        <v>427</v>
      </c>
      <c r="N637" s="2">
        <f>IFERROR(NHS_A_E[[#This Row],[T1_Over4hrs]]/NHS_A_E[[#This Row],[T1_Attendances]], 0)</f>
        <v>0.28080747213015966</v>
      </c>
      <c r="O637">
        <f>NHS_A_E[[#This Row],[T1_Attendances]]+NHS_A_E[[#This Row],[Other_Attendances]]</f>
        <v>20531</v>
      </c>
      <c r="P637">
        <f>MATCH(LEFT(A637,FIND("-",A637)-1),{"April","May","June","July","August","September","October","November","December","January","February","March"},0)</f>
        <v>4</v>
      </c>
      <c r="Q637" s="3">
        <f t="shared" si="18"/>
        <v>2.1843928894245256E-2</v>
      </c>
      <c r="R637" t="str">
        <f t="shared" si="19"/>
        <v>July</v>
      </c>
    </row>
    <row r="638" spans="1:18" x14ac:dyDescent="0.35">
      <c r="A638" t="s">
        <v>428</v>
      </c>
      <c r="B638" t="s">
        <v>355</v>
      </c>
      <c r="C638" t="s">
        <v>30</v>
      </c>
      <c r="D638" t="s">
        <v>356</v>
      </c>
      <c r="E638">
        <v>9015</v>
      </c>
      <c r="F638">
        <v>2599</v>
      </c>
      <c r="G638">
        <v>4384</v>
      </c>
      <c r="H638">
        <v>11</v>
      </c>
      <c r="I638">
        <v>741</v>
      </c>
      <c r="J638">
        <v>337</v>
      </c>
      <c r="K638" s="1">
        <v>45839</v>
      </c>
      <c r="L638" t="s">
        <v>429</v>
      </c>
      <c r="M638" t="s">
        <v>427</v>
      </c>
      <c r="N638" s="2">
        <f>IFERROR(NHS_A_E[[#This Row],[T1_Over4hrs]]/NHS_A_E[[#This Row],[T1_Attendances]], 0)</f>
        <v>0.48630061009428732</v>
      </c>
      <c r="O638">
        <f>NHS_A_E[[#This Row],[T1_Attendances]]+NHS_A_E[[#This Row],[Other_Attendances]]</f>
        <v>11614</v>
      </c>
      <c r="P638">
        <f>MATCH(LEFT(A638,FIND("-",A638)-1),{"April","May","June","July","August","September","October","November","December","January","February","March"},0)</f>
        <v>4</v>
      </c>
      <c r="Q638" s="3">
        <f t="shared" si="18"/>
        <v>3.7382140876317249E-2</v>
      </c>
      <c r="R638" t="str">
        <f t="shared" si="19"/>
        <v>July</v>
      </c>
    </row>
    <row r="639" spans="1:18" x14ac:dyDescent="0.35">
      <c r="A639" t="s">
        <v>428</v>
      </c>
      <c r="B639" t="s">
        <v>357</v>
      </c>
      <c r="C639" t="s">
        <v>20</v>
      </c>
      <c r="D639" t="s">
        <v>358</v>
      </c>
      <c r="E639">
        <v>5851</v>
      </c>
      <c r="F639">
        <v>5775</v>
      </c>
      <c r="G639">
        <v>2880</v>
      </c>
      <c r="H639">
        <v>714</v>
      </c>
      <c r="I639">
        <v>780</v>
      </c>
      <c r="J639">
        <v>148</v>
      </c>
      <c r="K639" s="1">
        <v>45839</v>
      </c>
      <c r="L639" t="s">
        <v>429</v>
      </c>
      <c r="M639" t="s">
        <v>427</v>
      </c>
      <c r="N639" s="2">
        <f>IFERROR(NHS_A_E[[#This Row],[T1_Over4hrs]]/NHS_A_E[[#This Row],[T1_Attendances]], 0)</f>
        <v>0.49222355152965303</v>
      </c>
      <c r="O639">
        <f>NHS_A_E[[#This Row],[T1_Attendances]]+NHS_A_E[[#This Row],[Other_Attendances]]</f>
        <v>11626</v>
      </c>
      <c r="P639">
        <f>MATCH(LEFT(A639,FIND("-",A639)-1),{"April","May","June","July","August","September","October","November","December","January","February","March"},0)</f>
        <v>4</v>
      </c>
      <c r="Q639" s="3">
        <f t="shared" si="18"/>
        <v>2.5294821398051615E-2</v>
      </c>
      <c r="R639" t="str">
        <f t="shared" si="19"/>
        <v>July</v>
      </c>
    </row>
    <row r="640" spans="1:18" x14ac:dyDescent="0.35">
      <c r="A640" t="s">
        <v>428</v>
      </c>
      <c r="B640" t="s">
        <v>157</v>
      </c>
      <c r="C640" t="s">
        <v>40</v>
      </c>
      <c r="D640" t="s">
        <v>158</v>
      </c>
      <c r="E640">
        <v>36112</v>
      </c>
      <c r="F640">
        <v>1868</v>
      </c>
      <c r="G640">
        <v>13748</v>
      </c>
      <c r="H640">
        <v>76</v>
      </c>
      <c r="I640">
        <v>2995</v>
      </c>
      <c r="J640">
        <v>1376</v>
      </c>
      <c r="K640" s="1">
        <v>45839</v>
      </c>
      <c r="L640" t="s">
        <v>429</v>
      </c>
      <c r="M640" t="s">
        <v>427</v>
      </c>
      <c r="N640" s="2">
        <f>IFERROR(NHS_A_E[[#This Row],[T1_Over4hrs]]/NHS_A_E[[#This Row],[T1_Attendances]], 0)</f>
        <v>0.38070447496677007</v>
      </c>
      <c r="O640">
        <f>NHS_A_E[[#This Row],[T1_Attendances]]+NHS_A_E[[#This Row],[Other_Attendances]]</f>
        <v>37980</v>
      </c>
      <c r="P640">
        <f>MATCH(LEFT(A640,FIND("-",A640)-1),{"April","May","June","July","August","September","October","November","December","January","February","March"},0)</f>
        <v>4</v>
      </c>
      <c r="Q640" s="3">
        <f t="shared" si="18"/>
        <v>3.8103677447939743E-2</v>
      </c>
      <c r="R640" t="str">
        <f t="shared" si="19"/>
        <v>July</v>
      </c>
    </row>
    <row r="641" spans="1:18" x14ac:dyDescent="0.35">
      <c r="A641" t="s">
        <v>428</v>
      </c>
      <c r="B641" t="s">
        <v>317</v>
      </c>
      <c r="C641" t="s">
        <v>63</v>
      </c>
      <c r="D641" t="s">
        <v>318</v>
      </c>
      <c r="E641">
        <v>7414</v>
      </c>
      <c r="F641">
        <v>9772</v>
      </c>
      <c r="G641">
        <v>3533</v>
      </c>
      <c r="H641">
        <v>549</v>
      </c>
      <c r="I641">
        <v>297</v>
      </c>
      <c r="J641">
        <v>10</v>
      </c>
      <c r="K641" s="1">
        <v>45839</v>
      </c>
      <c r="L641" t="s">
        <v>429</v>
      </c>
      <c r="M641" t="s">
        <v>427</v>
      </c>
      <c r="N641" s="2">
        <f>IFERROR(NHS_A_E[[#This Row],[T1_Over4hrs]]/NHS_A_E[[#This Row],[T1_Attendances]], 0)</f>
        <v>0.47653088751011602</v>
      </c>
      <c r="O641">
        <f>NHS_A_E[[#This Row],[T1_Attendances]]+NHS_A_E[[#This Row],[Other_Attendances]]</f>
        <v>17186</v>
      </c>
      <c r="P641">
        <f>MATCH(LEFT(A641,FIND("-",A641)-1),{"April","May","June","July","August","September","October","November","December","January","February","March"},0)</f>
        <v>4</v>
      </c>
      <c r="Q641" s="3">
        <f t="shared" si="18"/>
        <v>1.3487995683841381E-3</v>
      </c>
      <c r="R641" t="str">
        <f t="shared" si="19"/>
        <v>July</v>
      </c>
    </row>
    <row r="642" spans="1:18" x14ac:dyDescent="0.35">
      <c r="A642" t="s">
        <v>428</v>
      </c>
      <c r="B642" t="s">
        <v>169</v>
      </c>
      <c r="C642" t="s">
        <v>20</v>
      </c>
      <c r="D642" t="s">
        <v>170</v>
      </c>
      <c r="E642">
        <v>9515</v>
      </c>
      <c r="F642">
        <v>0</v>
      </c>
      <c r="G642">
        <v>3455</v>
      </c>
      <c r="H642">
        <v>0</v>
      </c>
      <c r="I642">
        <v>520</v>
      </c>
      <c r="J642">
        <v>220</v>
      </c>
      <c r="K642" s="1">
        <v>45839</v>
      </c>
      <c r="L642" t="s">
        <v>429</v>
      </c>
      <c r="M642" t="s">
        <v>427</v>
      </c>
      <c r="N642" s="2">
        <f>IFERROR(NHS_A_E[[#This Row],[T1_Over4hrs]]/NHS_A_E[[#This Row],[T1_Attendances]], 0)</f>
        <v>0.36311087756174459</v>
      </c>
      <c r="O642">
        <f>NHS_A_E[[#This Row],[T1_Attendances]]+NHS_A_E[[#This Row],[Other_Attendances]]</f>
        <v>9515</v>
      </c>
      <c r="P642">
        <f>MATCH(LEFT(A642,FIND("-",A642)-1),{"April","May","June","July","August","September","October","November","December","January","February","March"},0)</f>
        <v>4</v>
      </c>
      <c r="Q642" s="3">
        <f t="shared" ref="Q642:Q705" si="20">IFERROR(J642/E642,0)</f>
        <v>2.3121387283236993E-2</v>
      </c>
      <c r="R642" t="str">
        <f t="shared" ref="R642:R705" si="21">TEXT(A642, "mmmm")</f>
        <v>July</v>
      </c>
    </row>
    <row r="643" spans="1:18" x14ac:dyDescent="0.35">
      <c r="A643" t="s">
        <v>428</v>
      </c>
      <c r="B643" t="s">
        <v>181</v>
      </c>
      <c r="C643" t="s">
        <v>40</v>
      </c>
      <c r="D643" t="s">
        <v>182</v>
      </c>
      <c r="E643">
        <v>21007</v>
      </c>
      <c r="F643">
        <v>0</v>
      </c>
      <c r="G643">
        <v>8008</v>
      </c>
      <c r="H643">
        <v>0</v>
      </c>
      <c r="I643">
        <v>1242</v>
      </c>
      <c r="J643">
        <v>629</v>
      </c>
      <c r="K643" s="1">
        <v>45839</v>
      </c>
      <c r="L643" t="s">
        <v>429</v>
      </c>
      <c r="M643" t="s">
        <v>427</v>
      </c>
      <c r="N643" s="2">
        <f>IFERROR(NHS_A_E[[#This Row],[T1_Over4hrs]]/NHS_A_E[[#This Row],[T1_Attendances]], 0)</f>
        <v>0.38120626457847384</v>
      </c>
      <c r="O643">
        <f>NHS_A_E[[#This Row],[T1_Attendances]]+NHS_A_E[[#This Row],[Other_Attendances]]</f>
        <v>21007</v>
      </c>
      <c r="P643">
        <f>MATCH(LEFT(A643,FIND("-",A643)-1),{"April","May","June","July","August","September","October","November","December","January","February","March"},0)</f>
        <v>4</v>
      </c>
      <c r="Q643" s="3">
        <f t="shared" si="20"/>
        <v>2.9942400152330177E-2</v>
      </c>
      <c r="R643" t="str">
        <f t="shared" si="21"/>
        <v>July</v>
      </c>
    </row>
    <row r="644" spans="1:18" x14ac:dyDescent="0.35">
      <c r="A644" t="s">
        <v>428</v>
      </c>
      <c r="B644" t="s">
        <v>187</v>
      </c>
      <c r="C644" t="s">
        <v>30</v>
      </c>
      <c r="D644" t="s">
        <v>188</v>
      </c>
      <c r="E644">
        <v>8416</v>
      </c>
      <c r="F644">
        <v>1165</v>
      </c>
      <c r="G644">
        <v>3423</v>
      </c>
      <c r="H644">
        <v>60</v>
      </c>
      <c r="I644">
        <v>829</v>
      </c>
      <c r="J644">
        <v>172</v>
      </c>
      <c r="K644" s="1">
        <v>45839</v>
      </c>
      <c r="L644" t="s">
        <v>429</v>
      </c>
      <c r="M644" t="s">
        <v>427</v>
      </c>
      <c r="N644" s="2">
        <f>IFERROR(NHS_A_E[[#This Row],[T1_Over4hrs]]/NHS_A_E[[#This Row],[T1_Attendances]], 0)</f>
        <v>0.40672528517110268</v>
      </c>
      <c r="O644">
        <f>NHS_A_E[[#This Row],[T1_Attendances]]+NHS_A_E[[#This Row],[Other_Attendances]]</f>
        <v>9581</v>
      </c>
      <c r="P644">
        <f>MATCH(LEFT(A644,FIND("-",A644)-1),{"April","May","June","July","August","September","October","November","December","January","February","March"},0)</f>
        <v>4</v>
      </c>
      <c r="Q644" s="3">
        <f t="shared" si="20"/>
        <v>2.043726235741445E-2</v>
      </c>
      <c r="R644" t="str">
        <f t="shared" si="21"/>
        <v>July</v>
      </c>
    </row>
    <row r="645" spans="1:18" x14ac:dyDescent="0.35">
      <c r="A645" t="s">
        <v>428</v>
      </c>
      <c r="B645" t="s">
        <v>191</v>
      </c>
      <c r="C645" t="s">
        <v>15</v>
      </c>
      <c r="D645" t="s">
        <v>192</v>
      </c>
      <c r="E645">
        <v>8988</v>
      </c>
      <c r="F645">
        <v>2883</v>
      </c>
      <c r="G645">
        <v>3736</v>
      </c>
      <c r="H645">
        <v>51</v>
      </c>
      <c r="I645">
        <v>177</v>
      </c>
      <c r="J645">
        <v>5</v>
      </c>
      <c r="K645" s="1">
        <v>45839</v>
      </c>
      <c r="L645" t="s">
        <v>429</v>
      </c>
      <c r="M645" t="s">
        <v>427</v>
      </c>
      <c r="N645" s="2">
        <f>IFERROR(NHS_A_E[[#This Row],[T1_Over4hrs]]/NHS_A_E[[#This Row],[T1_Attendances]], 0)</f>
        <v>0.41566533155318203</v>
      </c>
      <c r="O645">
        <f>NHS_A_E[[#This Row],[T1_Attendances]]+NHS_A_E[[#This Row],[Other_Attendances]]</f>
        <v>11871</v>
      </c>
      <c r="P645">
        <f>MATCH(LEFT(A645,FIND("-",A645)-1),{"April","May","June","July","August","September","October","November","December","January","February","March"},0)</f>
        <v>4</v>
      </c>
      <c r="Q645" s="3">
        <f t="shared" si="20"/>
        <v>5.5629728526924787E-4</v>
      </c>
      <c r="R645" t="str">
        <f t="shared" si="21"/>
        <v>July</v>
      </c>
    </row>
    <row r="646" spans="1:18" x14ac:dyDescent="0.35">
      <c r="A646" t="s">
        <v>428</v>
      </c>
      <c r="B646" t="s">
        <v>199</v>
      </c>
      <c r="C646" t="s">
        <v>40</v>
      </c>
      <c r="D646" t="s">
        <v>200</v>
      </c>
      <c r="E646">
        <v>11091</v>
      </c>
      <c r="F646">
        <v>2485</v>
      </c>
      <c r="G646">
        <v>6049</v>
      </c>
      <c r="H646">
        <v>353</v>
      </c>
      <c r="I646">
        <v>479</v>
      </c>
      <c r="J646">
        <v>1407</v>
      </c>
      <c r="K646" s="1">
        <v>45839</v>
      </c>
      <c r="L646" t="s">
        <v>429</v>
      </c>
      <c r="M646" t="s">
        <v>427</v>
      </c>
      <c r="N646" s="2">
        <f>IFERROR(NHS_A_E[[#This Row],[T1_Over4hrs]]/NHS_A_E[[#This Row],[T1_Attendances]], 0)</f>
        <v>0.54539716887566492</v>
      </c>
      <c r="O646">
        <f>NHS_A_E[[#This Row],[T1_Attendances]]+NHS_A_E[[#This Row],[Other_Attendances]]</f>
        <v>13576</v>
      </c>
      <c r="P646">
        <f>MATCH(LEFT(A646,FIND("-",A646)-1),{"April","May","June","July","August","September","October","November","December","January","February","March"},0)</f>
        <v>4</v>
      </c>
      <c r="Q646" s="3">
        <f t="shared" si="20"/>
        <v>0.12685961590478767</v>
      </c>
      <c r="R646" t="str">
        <f t="shared" si="21"/>
        <v>July</v>
      </c>
    </row>
    <row r="647" spans="1:18" x14ac:dyDescent="0.35">
      <c r="A647" t="s">
        <v>428</v>
      </c>
      <c r="B647" t="s">
        <v>367</v>
      </c>
      <c r="C647" t="s">
        <v>23</v>
      </c>
      <c r="D647" t="s">
        <v>368</v>
      </c>
      <c r="E647">
        <v>0</v>
      </c>
      <c r="F647">
        <v>1310</v>
      </c>
      <c r="G647">
        <v>0</v>
      </c>
      <c r="H647">
        <v>79</v>
      </c>
      <c r="I647">
        <v>0</v>
      </c>
      <c r="J647">
        <v>0</v>
      </c>
      <c r="K647" s="1">
        <v>45839</v>
      </c>
      <c r="L647" t="s">
        <v>429</v>
      </c>
      <c r="M647" t="s">
        <v>427</v>
      </c>
      <c r="N647" s="2">
        <f>IFERROR(NHS_A_E[[#This Row],[T1_Over4hrs]]/NHS_A_E[[#This Row],[T1_Attendances]], 0)</f>
        <v>0</v>
      </c>
      <c r="O647">
        <f>NHS_A_E[[#This Row],[T1_Attendances]]+NHS_A_E[[#This Row],[Other_Attendances]]</f>
        <v>1310</v>
      </c>
      <c r="P647">
        <f>MATCH(LEFT(A647,FIND("-",A647)-1),{"April","May","June","July","August","September","October","November","December","January","February","March"},0)</f>
        <v>4</v>
      </c>
      <c r="Q647" s="3">
        <f t="shared" si="20"/>
        <v>0</v>
      </c>
      <c r="R647" t="str">
        <f t="shared" si="21"/>
        <v>July</v>
      </c>
    </row>
    <row r="648" spans="1:18" x14ac:dyDescent="0.35">
      <c r="A648" t="s">
        <v>428</v>
      </c>
      <c r="B648" t="s">
        <v>207</v>
      </c>
      <c r="C648" t="s">
        <v>15</v>
      </c>
      <c r="D648" t="s">
        <v>208</v>
      </c>
      <c r="E648">
        <v>27863</v>
      </c>
      <c r="F648">
        <v>1885</v>
      </c>
      <c r="G648">
        <v>9870</v>
      </c>
      <c r="H648">
        <v>161</v>
      </c>
      <c r="I648">
        <v>664</v>
      </c>
      <c r="J648">
        <v>271</v>
      </c>
      <c r="K648" s="1">
        <v>45839</v>
      </c>
      <c r="L648" t="s">
        <v>429</v>
      </c>
      <c r="M648" t="s">
        <v>427</v>
      </c>
      <c r="N648" s="2">
        <f>IFERROR(NHS_A_E[[#This Row],[T1_Over4hrs]]/NHS_A_E[[#This Row],[T1_Attendances]], 0)</f>
        <v>0.35423321250403761</v>
      </c>
      <c r="O648">
        <f>NHS_A_E[[#This Row],[T1_Attendances]]+NHS_A_E[[#This Row],[Other_Attendances]]</f>
        <v>29748</v>
      </c>
      <c r="P648">
        <f>MATCH(LEFT(A648,FIND("-",A648)-1),{"April","May","June","July","August","September","October","November","December","January","February","March"},0)</f>
        <v>4</v>
      </c>
      <c r="Q648" s="3">
        <f t="shared" si="20"/>
        <v>9.7261601406883683E-3</v>
      </c>
      <c r="R648" t="str">
        <f t="shared" si="21"/>
        <v>July</v>
      </c>
    </row>
    <row r="649" spans="1:18" x14ac:dyDescent="0.35">
      <c r="A649" t="s">
        <v>428</v>
      </c>
      <c r="B649" t="s">
        <v>95</v>
      </c>
      <c r="C649" t="s">
        <v>23</v>
      </c>
      <c r="D649" t="s">
        <v>96</v>
      </c>
      <c r="E649">
        <v>8557</v>
      </c>
      <c r="F649">
        <v>5216</v>
      </c>
      <c r="G649">
        <v>3003</v>
      </c>
      <c r="H649">
        <v>41</v>
      </c>
      <c r="I649">
        <v>439</v>
      </c>
      <c r="J649">
        <v>0</v>
      </c>
      <c r="K649" s="1">
        <v>45839</v>
      </c>
      <c r="L649" t="s">
        <v>429</v>
      </c>
      <c r="M649" t="s">
        <v>427</v>
      </c>
      <c r="N649" s="2">
        <f>IFERROR(NHS_A_E[[#This Row],[T1_Over4hrs]]/NHS_A_E[[#This Row],[T1_Attendances]], 0)</f>
        <v>0.35094075026294264</v>
      </c>
      <c r="O649">
        <f>NHS_A_E[[#This Row],[T1_Attendances]]+NHS_A_E[[#This Row],[Other_Attendances]]</f>
        <v>13773</v>
      </c>
      <c r="P649">
        <f>MATCH(LEFT(A649,FIND("-",A649)-1),{"April","May","June","July","August","September","October","November","December","January","February","March"},0)</f>
        <v>4</v>
      </c>
      <c r="Q649" s="3">
        <f t="shared" si="20"/>
        <v>0</v>
      </c>
      <c r="R649" t="str">
        <f t="shared" si="21"/>
        <v>July</v>
      </c>
    </row>
    <row r="650" spans="1:18" x14ac:dyDescent="0.35">
      <c r="A650" t="s">
        <v>428</v>
      </c>
      <c r="B650" t="s">
        <v>42</v>
      </c>
      <c r="C650" t="s">
        <v>40</v>
      </c>
      <c r="D650" t="s">
        <v>43</v>
      </c>
      <c r="E650">
        <v>11574</v>
      </c>
      <c r="F650">
        <v>5944</v>
      </c>
      <c r="G650">
        <v>4398</v>
      </c>
      <c r="H650">
        <v>345</v>
      </c>
      <c r="I650">
        <v>650</v>
      </c>
      <c r="J650">
        <v>95</v>
      </c>
      <c r="K650" s="1">
        <v>45839</v>
      </c>
      <c r="L650" t="s">
        <v>429</v>
      </c>
      <c r="M650" t="s">
        <v>427</v>
      </c>
      <c r="N650" s="2">
        <f>IFERROR(NHS_A_E[[#This Row],[T1_Over4hrs]]/NHS_A_E[[#This Row],[T1_Attendances]], 0)</f>
        <v>0.37998963193364438</v>
      </c>
      <c r="O650">
        <f>NHS_A_E[[#This Row],[T1_Attendances]]+NHS_A_E[[#This Row],[Other_Attendances]]</f>
        <v>17518</v>
      </c>
      <c r="P650">
        <f>MATCH(LEFT(A650,FIND("-",A650)-1),{"April","May","June","July","August","September","October","November","December","January","February","March"},0)</f>
        <v>4</v>
      </c>
      <c r="Q650" s="3">
        <f t="shared" si="20"/>
        <v>8.2080525315362026E-3</v>
      </c>
      <c r="R650" t="str">
        <f t="shared" si="21"/>
        <v>July</v>
      </c>
    </row>
    <row r="651" spans="1:18" x14ac:dyDescent="0.35">
      <c r="A651" t="s">
        <v>428</v>
      </c>
      <c r="B651" t="s">
        <v>46</v>
      </c>
      <c r="C651" t="s">
        <v>40</v>
      </c>
      <c r="D651" t="s">
        <v>47</v>
      </c>
      <c r="E651">
        <v>0</v>
      </c>
      <c r="F651">
        <v>0</v>
      </c>
      <c r="G651">
        <v>0</v>
      </c>
      <c r="H651">
        <v>0</v>
      </c>
      <c r="I651">
        <v>0</v>
      </c>
      <c r="J651">
        <v>0</v>
      </c>
      <c r="K651" s="1">
        <v>45839</v>
      </c>
      <c r="L651" t="s">
        <v>429</v>
      </c>
      <c r="M651" t="s">
        <v>427</v>
      </c>
      <c r="N651" s="2">
        <f>IFERROR(NHS_A_E[[#This Row],[T1_Over4hrs]]/NHS_A_E[[#This Row],[T1_Attendances]], 0)</f>
        <v>0</v>
      </c>
      <c r="O651">
        <f>NHS_A_E[[#This Row],[T1_Attendances]]+NHS_A_E[[#This Row],[Other_Attendances]]</f>
        <v>0</v>
      </c>
      <c r="P651">
        <f>MATCH(LEFT(A651,FIND("-",A651)-1),{"April","May","June","July","August","September","October","November","December","January","February","March"},0)</f>
        <v>4</v>
      </c>
      <c r="Q651" s="3">
        <f t="shared" si="20"/>
        <v>0</v>
      </c>
      <c r="R651" t="str">
        <f t="shared" si="21"/>
        <v>July</v>
      </c>
    </row>
    <row r="652" spans="1:18" x14ac:dyDescent="0.35">
      <c r="A652" t="s">
        <v>428</v>
      </c>
      <c r="B652" t="s">
        <v>173</v>
      </c>
      <c r="C652" t="s">
        <v>23</v>
      </c>
      <c r="D652" t="s">
        <v>174</v>
      </c>
      <c r="E652">
        <v>13321</v>
      </c>
      <c r="F652">
        <v>7752</v>
      </c>
      <c r="G652">
        <v>3530</v>
      </c>
      <c r="H652">
        <v>0</v>
      </c>
      <c r="I652">
        <v>794</v>
      </c>
      <c r="J652">
        <v>149</v>
      </c>
      <c r="K652" s="1">
        <v>45839</v>
      </c>
      <c r="L652" t="s">
        <v>429</v>
      </c>
      <c r="M652" t="s">
        <v>427</v>
      </c>
      <c r="N652" s="2">
        <f>IFERROR(NHS_A_E[[#This Row],[T1_Over4hrs]]/NHS_A_E[[#This Row],[T1_Attendances]], 0)</f>
        <v>0.26499512048644996</v>
      </c>
      <c r="O652">
        <f>NHS_A_E[[#This Row],[T1_Attendances]]+NHS_A_E[[#This Row],[Other_Attendances]]</f>
        <v>21073</v>
      </c>
      <c r="P652">
        <f>MATCH(LEFT(A652,FIND("-",A652)-1),{"April","May","June","July","August","September","October","November","December","January","February","March"},0)</f>
        <v>4</v>
      </c>
      <c r="Q652" s="3">
        <f t="shared" si="20"/>
        <v>1.1185346445462053E-2</v>
      </c>
      <c r="R652" t="str">
        <f t="shared" si="21"/>
        <v>July</v>
      </c>
    </row>
    <row r="653" spans="1:18" x14ac:dyDescent="0.35">
      <c r="A653" t="s">
        <v>428</v>
      </c>
      <c r="B653" t="s">
        <v>171</v>
      </c>
      <c r="C653" t="s">
        <v>35</v>
      </c>
      <c r="D653" t="s">
        <v>172</v>
      </c>
      <c r="E653">
        <v>10765</v>
      </c>
      <c r="F653">
        <v>2417</v>
      </c>
      <c r="G653">
        <v>3133</v>
      </c>
      <c r="H653">
        <v>303</v>
      </c>
      <c r="I653">
        <v>500</v>
      </c>
      <c r="J653">
        <v>1023</v>
      </c>
      <c r="K653" s="1">
        <v>45839</v>
      </c>
      <c r="L653" t="s">
        <v>429</v>
      </c>
      <c r="M653" t="s">
        <v>427</v>
      </c>
      <c r="N653" s="2">
        <f>IFERROR(NHS_A_E[[#This Row],[T1_Over4hrs]]/NHS_A_E[[#This Row],[T1_Attendances]], 0)</f>
        <v>0.29103576405016257</v>
      </c>
      <c r="O653">
        <f>NHS_A_E[[#This Row],[T1_Attendances]]+NHS_A_E[[#This Row],[Other_Attendances]]</f>
        <v>13182</v>
      </c>
      <c r="P653">
        <f>MATCH(LEFT(A653,FIND("-",A653)-1),{"April","May","June","July","August","September","October","November","December","January","February","March"},0)</f>
        <v>4</v>
      </c>
      <c r="Q653" s="3">
        <f t="shared" si="20"/>
        <v>9.5030190431955416E-2</v>
      </c>
      <c r="R653" t="str">
        <f t="shared" si="21"/>
        <v>July</v>
      </c>
    </row>
    <row r="654" spans="1:18" x14ac:dyDescent="0.35">
      <c r="A654" t="s">
        <v>428</v>
      </c>
      <c r="B654" t="s">
        <v>133</v>
      </c>
      <c r="C654" t="s">
        <v>15</v>
      </c>
      <c r="D654" t="s">
        <v>134</v>
      </c>
      <c r="E654">
        <v>0</v>
      </c>
      <c r="F654">
        <v>1639</v>
      </c>
      <c r="G654">
        <v>0</v>
      </c>
      <c r="H654">
        <v>14</v>
      </c>
      <c r="I654">
        <v>0</v>
      </c>
      <c r="J654">
        <v>0</v>
      </c>
      <c r="K654" s="1">
        <v>45839</v>
      </c>
      <c r="L654" t="s">
        <v>429</v>
      </c>
      <c r="M654" t="s">
        <v>427</v>
      </c>
      <c r="N654" s="2">
        <f>IFERROR(NHS_A_E[[#This Row],[T1_Over4hrs]]/NHS_A_E[[#This Row],[T1_Attendances]], 0)</f>
        <v>0</v>
      </c>
      <c r="O654">
        <f>NHS_A_E[[#This Row],[T1_Attendances]]+NHS_A_E[[#This Row],[Other_Attendances]]</f>
        <v>1639</v>
      </c>
      <c r="P654">
        <f>MATCH(LEFT(A654,FIND("-",A654)-1),{"April","May","June","July","August","September","October","November","December","January","February","March"},0)</f>
        <v>4</v>
      </c>
      <c r="Q654" s="3">
        <f t="shared" si="20"/>
        <v>0</v>
      </c>
      <c r="R654" t="str">
        <f t="shared" si="21"/>
        <v>July</v>
      </c>
    </row>
    <row r="655" spans="1:18" x14ac:dyDescent="0.35">
      <c r="A655" t="s">
        <v>428</v>
      </c>
      <c r="B655" t="s">
        <v>153</v>
      </c>
      <c r="C655" t="s">
        <v>30</v>
      </c>
      <c r="D655" t="s">
        <v>154</v>
      </c>
      <c r="E655">
        <v>12245</v>
      </c>
      <c r="F655">
        <v>3596</v>
      </c>
      <c r="G655">
        <v>4465</v>
      </c>
      <c r="H655">
        <v>63</v>
      </c>
      <c r="I655">
        <v>860</v>
      </c>
      <c r="J655">
        <v>423</v>
      </c>
      <c r="K655" s="1">
        <v>45839</v>
      </c>
      <c r="L655" t="s">
        <v>429</v>
      </c>
      <c r="M655" t="s">
        <v>427</v>
      </c>
      <c r="N655" s="2">
        <f>IFERROR(NHS_A_E[[#This Row],[T1_Over4hrs]]/NHS_A_E[[#This Row],[T1_Attendances]], 0)</f>
        <v>0.36463862801143326</v>
      </c>
      <c r="O655">
        <f>NHS_A_E[[#This Row],[T1_Attendances]]+NHS_A_E[[#This Row],[Other_Attendances]]</f>
        <v>15841</v>
      </c>
      <c r="P655">
        <f>MATCH(LEFT(A655,FIND("-",A655)-1),{"April","May","June","July","August","September","October","November","December","January","February","March"},0)</f>
        <v>4</v>
      </c>
      <c r="Q655" s="3">
        <f t="shared" si="20"/>
        <v>3.4544712127398937E-2</v>
      </c>
      <c r="R655" t="str">
        <f t="shared" si="21"/>
        <v>July</v>
      </c>
    </row>
    <row r="656" spans="1:18" x14ac:dyDescent="0.35">
      <c r="A656" t="s">
        <v>428</v>
      </c>
      <c r="B656" t="s">
        <v>305</v>
      </c>
      <c r="C656" t="s">
        <v>30</v>
      </c>
      <c r="D656" t="s">
        <v>306</v>
      </c>
      <c r="E656">
        <v>0</v>
      </c>
      <c r="F656">
        <v>1615</v>
      </c>
      <c r="G656">
        <v>0</v>
      </c>
      <c r="H656">
        <v>0</v>
      </c>
      <c r="I656">
        <v>0</v>
      </c>
      <c r="J656">
        <v>0</v>
      </c>
      <c r="K656" s="1">
        <v>45839</v>
      </c>
      <c r="L656" t="s">
        <v>429</v>
      </c>
      <c r="M656" t="s">
        <v>427</v>
      </c>
      <c r="N656" s="2">
        <f>IFERROR(NHS_A_E[[#This Row],[T1_Over4hrs]]/NHS_A_E[[#This Row],[T1_Attendances]], 0)</f>
        <v>0</v>
      </c>
      <c r="O656">
        <f>NHS_A_E[[#This Row],[T1_Attendances]]+NHS_A_E[[#This Row],[Other_Attendances]]</f>
        <v>1615</v>
      </c>
      <c r="P656">
        <f>MATCH(LEFT(A656,FIND("-",A656)-1),{"April","May","June","July","August","September","October","November","December","January","February","March"},0)</f>
        <v>4</v>
      </c>
      <c r="Q656" s="3">
        <f t="shared" si="20"/>
        <v>0</v>
      </c>
      <c r="R656" t="str">
        <f t="shared" si="21"/>
        <v>July</v>
      </c>
    </row>
    <row r="657" spans="1:18" x14ac:dyDescent="0.35">
      <c r="A657" t="s">
        <v>428</v>
      </c>
      <c r="B657" t="s">
        <v>129</v>
      </c>
      <c r="C657" t="s">
        <v>63</v>
      </c>
      <c r="D657" t="s">
        <v>130</v>
      </c>
      <c r="E657">
        <v>14653</v>
      </c>
      <c r="F657">
        <v>4154</v>
      </c>
      <c r="G657">
        <v>4873</v>
      </c>
      <c r="H657">
        <v>44</v>
      </c>
      <c r="I657">
        <v>1171</v>
      </c>
      <c r="J657">
        <v>55</v>
      </c>
      <c r="K657" s="1">
        <v>45839</v>
      </c>
      <c r="L657" t="s">
        <v>429</v>
      </c>
      <c r="M657" t="s">
        <v>427</v>
      </c>
      <c r="N657" s="2">
        <f>IFERROR(NHS_A_E[[#This Row],[T1_Over4hrs]]/NHS_A_E[[#This Row],[T1_Attendances]], 0)</f>
        <v>0.33255988534771036</v>
      </c>
      <c r="O657">
        <f>NHS_A_E[[#This Row],[T1_Attendances]]+NHS_A_E[[#This Row],[Other_Attendances]]</f>
        <v>18807</v>
      </c>
      <c r="P657">
        <f>MATCH(LEFT(A657,FIND("-",A657)-1),{"April","May","June","July","August","September","October","November","December","January","February","March"},0)</f>
        <v>4</v>
      </c>
      <c r="Q657" s="3">
        <f t="shared" si="20"/>
        <v>3.7534975772879273E-3</v>
      </c>
      <c r="R657" t="str">
        <f t="shared" si="21"/>
        <v>July</v>
      </c>
    </row>
    <row r="658" spans="1:18" x14ac:dyDescent="0.35">
      <c r="A658" t="s">
        <v>428</v>
      </c>
      <c r="B658" t="s">
        <v>113</v>
      </c>
      <c r="C658" t="s">
        <v>40</v>
      </c>
      <c r="D658" t="s">
        <v>114</v>
      </c>
      <c r="E658">
        <v>0</v>
      </c>
      <c r="F658">
        <v>4988</v>
      </c>
      <c r="G658">
        <v>0</v>
      </c>
      <c r="H658">
        <v>440</v>
      </c>
      <c r="I658">
        <v>0</v>
      </c>
      <c r="J658">
        <v>0</v>
      </c>
      <c r="K658" s="1">
        <v>45839</v>
      </c>
      <c r="L658" t="s">
        <v>429</v>
      </c>
      <c r="M658" t="s">
        <v>427</v>
      </c>
      <c r="N658" s="2">
        <f>IFERROR(NHS_A_E[[#This Row],[T1_Over4hrs]]/NHS_A_E[[#This Row],[T1_Attendances]], 0)</f>
        <v>0</v>
      </c>
      <c r="O658">
        <f>NHS_A_E[[#This Row],[T1_Attendances]]+NHS_A_E[[#This Row],[Other_Attendances]]</f>
        <v>4988</v>
      </c>
      <c r="P658">
        <f>MATCH(LEFT(A658,FIND("-",A658)-1),{"April","May","June","July","August","September","October","November","December","January","February","March"},0)</f>
        <v>4</v>
      </c>
      <c r="Q658" s="3">
        <f t="shared" si="20"/>
        <v>0</v>
      </c>
      <c r="R658" t="str">
        <f t="shared" si="21"/>
        <v>July</v>
      </c>
    </row>
    <row r="659" spans="1:18" x14ac:dyDescent="0.35">
      <c r="A659" t="s">
        <v>428</v>
      </c>
      <c r="B659" t="s">
        <v>19</v>
      </c>
      <c r="C659" t="s">
        <v>20</v>
      </c>
      <c r="D659" t="s">
        <v>21</v>
      </c>
      <c r="E659">
        <v>8845</v>
      </c>
      <c r="F659">
        <v>0</v>
      </c>
      <c r="G659">
        <v>3291</v>
      </c>
      <c r="H659">
        <v>0</v>
      </c>
      <c r="I659">
        <v>655</v>
      </c>
      <c r="J659">
        <v>51</v>
      </c>
      <c r="K659" s="1">
        <v>45839</v>
      </c>
      <c r="L659" t="s">
        <v>429</v>
      </c>
      <c r="M659" t="s">
        <v>427</v>
      </c>
      <c r="N659" s="2">
        <f>IFERROR(NHS_A_E[[#This Row],[T1_Over4hrs]]/NHS_A_E[[#This Row],[T1_Attendances]], 0)</f>
        <v>0.37207461842849066</v>
      </c>
      <c r="O659">
        <f>NHS_A_E[[#This Row],[T1_Attendances]]+NHS_A_E[[#This Row],[Other_Attendances]]</f>
        <v>8845</v>
      </c>
      <c r="P659">
        <f>MATCH(LEFT(A659,FIND("-",A659)-1),{"April","May","June","July","August","September","October","November","December","January","February","March"},0)</f>
        <v>4</v>
      </c>
      <c r="Q659" s="3">
        <f t="shared" si="20"/>
        <v>5.765969474279254E-3</v>
      </c>
      <c r="R659" t="str">
        <f t="shared" si="21"/>
        <v>July</v>
      </c>
    </row>
    <row r="660" spans="1:18" x14ac:dyDescent="0.35">
      <c r="A660" t="s">
        <v>428</v>
      </c>
      <c r="B660" t="s">
        <v>395</v>
      </c>
      <c r="C660" t="s">
        <v>23</v>
      </c>
      <c r="D660" t="s">
        <v>396</v>
      </c>
      <c r="E660">
        <v>8380</v>
      </c>
      <c r="F660">
        <v>684</v>
      </c>
      <c r="G660">
        <v>2348</v>
      </c>
      <c r="H660">
        <v>0</v>
      </c>
      <c r="I660">
        <v>424</v>
      </c>
      <c r="J660">
        <v>145</v>
      </c>
      <c r="K660" s="1">
        <v>45839</v>
      </c>
      <c r="L660" t="s">
        <v>429</v>
      </c>
      <c r="M660" t="s">
        <v>427</v>
      </c>
      <c r="N660" s="2">
        <f>IFERROR(NHS_A_E[[#This Row],[T1_Over4hrs]]/NHS_A_E[[#This Row],[T1_Attendances]], 0)</f>
        <v>0.2801909307875895</v>
      </c>
      <c r="O660">
        <f>NHS_A_E[[#This Row],[T1_Attendances]]+NHS_A_E[[#This Row],[Other_Attendances]]</f>
        <v>9064</v>
      </c>
      <c r="P660">
        <f>MATCH(LEFT(A660,FIND("-",A660)-1),{"April","May","June","July","August","September","October","November","December","January","February","March"},0)</f>
        <v>4</v>
      </c>
      <c r="Q660" s="3">
        <f t="shared" si="20"/>
        <v>1.7303102625298328E-2</v>
      </c>
      <c r="R660" t="str">
        <f t="shared" si="21"/>
        <v>July</v>
      </c>
    </row>
    <row r="661" spans="1:18" x14ac:dyDescent="0.35">
      <c r="A661" t="s">
        <v>428</v>
      </c>
      <c r="B661" t="s">
        <v>52</v>
      </c>
      <c r="C661" t="s">
        <v>40</v>
      </c>
      <c r="D661" t="s">
        <v>53</v>
      </c>
      <c r="E661">
        <v>10692</v>
      </c>
      <c r="F661">
        <v>1855</v>
      </c>
      <c r="G661">
        <v>5098</v>
      </c>
      <c r="H661">
        <v>283</v>
      </c>
      <c r="I661">
        <v>647</v>
      </c>
      <c r="J661">
        <v>638</v>
      </c>
      <c r="K661" s="1">
        <v>45839</v>
      </c>
      <c r="L661" t="s">
        <v>429</v>
      </c>
      <c r="M661" t="s">
        <v>427</v>
      </c>
      <c r="N661" s="2">
        <f>IFERROR(NHS_A_E[[#This Row],[T1_Over4hrs]]/NHS_A_E[[#This Row],[T1_Attendances]], 0)</f>
        <v>0.47680508791619902</v>
      </c>
      <c r="O661">
        <f>NHS_A_E[[#This Row],[T1_Attendances]]+NHS_A_E[[#This Row],[Other_Attendances]]</f>
        <v>12547</v>
      </c>
      <c r="P661">
        <f>MATCH(LEFT(A661,FIND("-",A661)-1),{"April","May","June","July","August","September","October","November","December","January","February","March"},0)</f>
        <v>4</v>
      </c>
      <c r="Q661" s="3">
        <f t="shared" si="20"/>
        <v>5.9670781893004114E-2</v>
      </c>
      <c r="R661" t="str">
        <f t="shared" si="21"/>
        <v>July</v>
      </c>
    </row>
    <row r="662" spans="1:18" x14ac:dyDescent="0.35">
      <c r="A662" t="s">
        <v>428</v>
      </c>
      <c r="B662" t="s">
        <v>125</v>
      </c>
      <c r="C662" t="s">
        <v>35</v>
      </c>
      <c r="D662" t="s">
        <v>126</v>
      </c>
      <c r="E662">
        <v>0</v>
      </c>
      <c r="F662">
        <v>12770</v>
      </c>
      <c r="G662">
        <v>0</v>
      </c>
      <c r="H662">
        <v>241</v>
      </c>
      <c r="I662">
        <v>0</v>
      </c>
      <c r="J662">
        <v>0</v>
      </c>
      <c r="K662" s="1">
        <v>45839</v>
      </c>
      <c r="L662" t="s">
        <v>429</v>
      </c>
      <c r="M662" t="s">
        <v>427</v>
      </c>
      <c r="N662" s="2">
        <f>IFERROR(NHS_A_E[[#This Row],[T1_Over4hrs]]/NHS_A_E[[#This Row],[T1_Attendances]], 0)</f>
        <v>0</v>
      </c>
      <c r="O662">
        <f>NHS_A_E[[#This Row],[T1_Attendances]]+NHS_A_E[[#This Row],[Other_Attendances]]</f>
        <v>12770</v>
      </c>
      <c r="P662">
        <f>MATCH(LEFT(A662,FIND("-",A662)-1),{"April","May","June","July","August","September","October","November","December","January","February","March"},0)</f>
        <v>4</v>
      </c>
      <c r="Q662" s="3">
        <f t="shared" si="20"/>
        <v>0</v>
      </c>
      <c r="R662" t="str">
        <f t="shared" si="21"/>
        <v>July</v>
      </c>
    </row>
    <row r="663" spans="1:18" x14ac:dyDescent="0.35">
      <c r="A663" t="s">
        <v>428</v>
      </c>
      <c r="B663" t="s">
        <v>115</v>
      </c>
      <c r="C663" t="s">
        <v>40</v>
      </c>
      <c r="D663" t="s">
        <v>116</v>
      </c>
      <c r="E663">
        <v>0</v>
      </c>
      <c r="F663">
        <v>3762</v>
      </c>
      <c r="G663">
        <v>0</v>
      </c>
      <c r="H663">
        <v>27</v>
      </c>
      <c r="I663">
        <v>0</v>
      </c>
      <c r="J663">
        <v>0</v>
      </c>
      <c r="K663" s="1">
        <v>45839</v>
      </c>
      <c r="L663" t="s">
        <v>429</v>
      </c>
      <c r="M663" t="s">
        <v>427</v>
      </c>
      <c r="N663" s="2">
        <f>IFERROR(NHS_A_E[[#This Row],[T1_Over4hrs]]/NHS_A_E[[#This Row],[T1_Attendances]], 0)</f>
        <v>0</v>
      </c>
      <c r="O663">
        <f>NHS_A_E[[#This Row],[T1_Attendances]]+NHS_A_E[[#This Row],[Other_Attendances]]</f>
        <v>3762</v>
      </c>
      <c r="P663">
        <f>MATCH(LEFT(A663,FIND("-",A663)-1),{"April","May","June","July","August","September","October","November","December","January","February","March"},0)</f>
        <v>4</v>
      </c>
      <c r="Q663" s="3">
        <f t="shared" si="20"/>
        <v>0</v>
      </c>
      <c r="R663" t="str">
        <f t="shared" si="21"/>
        <v>July</v>
      </c>
    </row>
    <row r="664" spans="1:18" x14ac:dyDescent="0.35">
      <c r="A664" t="s">
        <v>428</v>
      </c>
      <c r="B664" t="s">
        <v>83</v>
      </c>
      <c r="C664" t="s">
        <v>35</v>
      </c>
      <c r="D664" t="s">
        <v>84</v>
      </c>
      <c r="E664">
        <v>13960</v>
      </c>
      <c r="F664">
        <v>16253</v>
      </c>
      <c r="G664">
        <v>6255</v>
      </c>
      <c r="H664">
        <v>347</v>
      </c>
      <c r="I664">
        <v>415</v>
      </c>
      <c r="J664">
        <v>184</v>
      </c>
      <c r="K664" s="1">
        <v>45839</v>
      </c>
      <c r="L664" t="s">
        <v>429</v>
      </c>
      <c r="M664" t="s">
        <v>427</v>
      </c>
      <c r="N664" s="2">
        <f>IFERROR(NHS_A_E[[#This Row],[T1_Over4hrs]]/NHS_A_E[[#This Row],[T1_Attendances]], 0)</f>
        <v>0.44806590257879658</v>
      </c>
      <c r="O664">
        <f>NHS_A_E[[#This Row],[T1_Attendances]]+NHS_A_E[[#This Row],[Other_Attendances]]</f>
        <v>30213</v>
      </c>
      <c r="P664">
        <f>MATCH(LEFT(A664,FIND("-",A664)-1),{"April","May","June","July","August","September","October","November","December","January","February","March"},0)</f>
        <v>4</v>
      </c>
      <c r="Q664" s="3">
        <f t="shared" si="20"/>
        <v>1.3180515759312322E-2</v>
      </c>
      <c r="R664" t="str">
        <f t="shared" si="21"/>
        <v>July</v>
      </c>
    </row>
    <row r="665" spans="1:18" x14ac:dyDescent="0.35">
      <c r="A665" t="s">
        <v>428</v>
      </c>
      <c r="B665" t="s">
        <v>25</v>
      </c>
      <c r="C665" t="s">
        <v>15</v>
      </c>
      <c r="D665" t="s">
        <v>26</v>
      </c>
      <c r="E665">
        <v>0</v>
      </c>
      <c r="F665">
        <v>12805</v>
      </c>
      <c r="G665">
        <v>0</v>
      </c>
      <c r="H665">
        <v>128</v>
      </c>
      <c r="I665">
        <v>0</v>
      </c>
      <c r="J665">
        <v>0</v>
      </c>
      <c r="K665" s="1">
        <v>45839</v>
      </c>
      <c r="L665" t="s">
        <v>429</v>
      </c>
      <c r="M665" t="s">
        <v>427</v>
      </c>
      <c r="N665" s="2">
        <f>IFERROR(NHS_A_E[[#This Row],[T1_Over4hrs]]/NHS_A_E[[#This Row],[T1_Attendances]], 0)</f>
        <v>0</v>
      </c>
      <c r="O665">
        <f>NHS_A_E[[#This Row],[T1_Attendances]]+NHS_A_E[[#This Row],[Other_Attendances]]</f>
        <v>12805</v>
      </c>
      <c r="P665">
        <f>MATCH(LEFT(A665,FIND("-",A665)-1),{"April","May","June","July","August","September","October","November","December","January","February","March"},0)</f>
        <v>4</v>
      </c>
      <c r="Q665" s="3">
        <f t="shared" si="20"/>
        <v>0</v>
      </c>
      <c r="R665" t="str">
        <f t="shared" si="21"/>
        <v>July</v>
      </c>
    </row>
    <row r="666" spans="1:18" x14ac:dyDescent="0.35">
      <c r="A666" t="s">
        <v>428</v>
      </c>
      <c r="B666" t="s">
        <v>377</v>
      </c>
      <c r="C666" t="s">
        <v>63</v>
      </c>
      <c r="D666" t="s">
        <v>378</v>
      </c>
      <c r="E666">
        <v>17158</v>
      </c>
      <c r="F666">
        <v>6677</v>
      </c>
      <c r="G666">
        <v>5861</v>
      </c>
      <c r="H666">
        <v>179</v>
      </c>
      <c r="I666">
        <v>1470</v>
      </c>
      <c r="J666">
        <v>11</v>
      </c>
      <c r="K666" s="1">
        <v>45839</v>
      </c>
      <c r="L666" t="s">
        <v>429</v>
      </c>
      <c r="M666" t="s">
        <v>427</v>
      </c>
      <c r="N666" s="2">
        <f>IFERROR(NHS_A_E[[#This Row],[T1_Over4hrs]]/NHS_A_E[[#This Row],[T1_Attendances]], 0)</f>
        <v>0.34158992889614176</v>
      </c>
      <c r="O666">
        <f>NHS_A_E[[#This Row],[T1_Attendances]]+NHS_A_E[[#This Row],[Other_Attendances]]</f>
        <v>23835</v>
      </c>
      <c r="P666">
        <f>MATCH(LEFT(A666,FIND("-",A666)-1),{"April","May","June","July","August","September","October","November","December","January","February","March"},0)</f>
        <v>4</v>
      </c>
      <c r="Q666" s="3">
        <f t="shared" si="20"/>
        <v>6.4110036134747638E-4</v>
      </c>
      <c r="R666" t="str">
        <f t="shared" si="21"/>
        <v>July</v>
      </c>
    </row>
    <row r="667" spans="1:18" x14ac:dyDescent="0.35">
      <c r="A667" t="s">
        <v>428</v>
      </c>
      <c r="B667" t="s">
        <v>431</v>
      </c>
      <c r="C667" t="s">
        <v>15</v>
      </c>
      <c r="D667" t="s">
        <v>432</v>
      </c>
      <c r="E667">
        <v>0</v>
      </c>
      <c r="F667">
        <v>2265</v>
      </c>
      <c r="G667">
        <v>0</v>
      </c>
      <c r="H667">
        <v>0</v>
      </c>
      <c r="I667">
        <v>0</v>
      </c>
      <c r="J667">
        <v>0</v>
      </c>
      <c r="K667" s="1">
        <v>45839</v>
      </c>
      <c r="L667" t="s">
        <v>429</v>
      </c>
      <c r="M667" t="s">
        <v>427</v>
      </c>
      <c r="N667" s="2">
        <f>IFERROR(NHS_A_E[[#This Row],[T1_Over4hrs]]/NHS_A_E[[#This Row],[T1_Attendances]], 0)</f>
        <v>0</v>
      </c>
      <c r="O667">
        <f>NHS_A_E[[#This Row],[T1_Attendances]]+NHS_A_E[[#This Row],[Other_Attendances]]</f>
        <v>2265</v>
      </c>
      <c r="P667">
        <f>MATCH(LEFT(A667,FIND("-",A667)-1),{"April","May","June","July","August","September","October","November","December","January","February","March"},0)</f>
        <v>4</v>
      </c>
      <c r="Q667" s="3">
        <f t="shared" si="20"/>
        <v>0</v>
      </c>
      <c r="R667" t="str">
        <f t="shared" si="21"/>
        <v>July</v>
      </c>
    </row>
    <row r="668" spans="1:18" x14ac:dyDescent="0.35">
      <c r="A668" t="s">
        <v>428</v>
      </c>
      <c r="B668" t="s">
        <v>211</v>
      </c>
      <c r="C668" t="s">
        <v>30</v>
      </c>
      <c r="D668" t="s">
        <v>212</v>
      </c>
      <c r="E668">
        <v>7987</v>
      </c>
      <c r="F668">
        <v>3256</v>
      </c>
      <c r="G668">
        <v>4283</v>
      </c>
      <c r="H668">
        <v>112</v>
      </c>
      <c r="I668">
        <v>644</v>
      </c>
      <c r="J668">
        <v>710</v>
      </c>
      <c r="K668" s="1">
        <v>45839</v>
      </c>
      <c r="L668" t="s">
        <v>429</v>
      </c>
      <c r="M668" t="s">
        <v>427</v>
      </c>
      <c r="N668" s="2">
        <f>IFERROR(NHS_A_E[[#This Row],[T1_Over4hrs]]/NHS_A_E[[#This Row],[T1_Attendances]], 0)</f>
        <v>0.53624640040065108</v>
      </c>
      <c r="O668">
        <f>NHS_A_E[[#This Row],[T1_Attendances]]+NHS_A_E[[#This Row],[Other_Attendances]]</f>
        <v>11243</v>
      </c>
      <c r="P668">
        <f>MATCH(LEFT(A668,FIND("-",A668)-1),{"April","May","June","July","August","September","October","November","December","January","February","March"},0)</f>
        <v>4</v>
      </c>
      <c r="Q668" s="3">
        <f t="shared" si="20"/>
        <v>8.8894453486916242E-2</v>
      </c>
      <c r="R668" t="str">
        <f t="shared" si="21"/>
        <v>July</v>
      </c>
    </row>
    <row r="669" spans="1:18" x14ac:dyDescent="0.35">
      <c r="A669" t="s">
        <v>428</v>
      </c>
      <c r="B669" t="s">
        <v>365</v>
      </c>
      <c r="C669" t="s">
        <v>35</v>
      </c>
      <c r="D669" t="s">
        <v>366</v>
      </c>
      <c r="E669">
        <v>12771</v>
      </c>
      <c r="F669">
        <v>0</v>
      </c>
      <c r="G669">
        <v>3636</v>
      </c>
      <c r="H669">
        <v>0</v>
      </c>
      <c r="I669">
        <v>216</v>
      </c>
      <c r="J669">
        <v>49</v>
      </c>
      <c r="K669" s="1">
        <v>45839</v>
      </c>
      <c r="L669" t="s">
        <v>429</v>
      </c>
      <c r="M669" t="s">
        <v>427</v>
      </c>
      <c r="N669" s="2">
        <f>IFERROR(NHS_A_E[[#This Row],[T1_Over4hrs]]/NHS_A_E[[#This Row],[T1_Attendances]], 0)</f>
        <v>0.284707540521494</v>
      </c>
      <c r="O669">
        <f>NHS_A_E[[#This Row],[T1_Attendances]]+NHS_A_E[[#This Row],[Other_Attendances]]</f>
        <v>12771</v>
      </c>
      <c r="P669">
        <f>MATCH(LEFT(A669,FIND("-",A669)-1),{"April","May","June","July","August","September","October","November","December","January","February","March"},0)</f>
        <v>4</v>
      </c>
      <c r="Q669" s="3">
        <f t="shared" si="20"/>
        <v>3.8368177903061623E-3</v>
      </c>
      <c r="R669" t="str">
        <f t="shared" si="21"/>
        <v>July</v>
      </c>
    </row>
    <row r="670" spans="1:18" x14ac:dyDescent="0.35">
      <c r="A670" t="s">
        <v>428</v>
      </c>
      <c r="B670" t="s">
        <v>149</v>
      </c>
      <c r="C670" t="s">
        <v>15</v>
      </c>
      <c r="D670" t="s">
        <v>150</v>
      </c>
      <c r="E670">
        <v>10606</v>
      </c>
      <c r="F670">
        <v>3315</v>
      </c>
      <c r="G670">
        <v>3774</v>
      </c>
      <c r="H670">
        <v>16</v>
      </c>
      <c r="I670">
        <v>796</v>
      </c>
      <c r="J670">
        <v>979</v>
      </c>
      <c r="K670" s="1">
        <v>45839</v>
      </c>
      <c r="L670" t="s">
        <v>429</v>
      </c>
      <c r="M670" t="s">
        <v>427</v>
      </c>
      <c r="N670" s="2">
        <f>IFERROR(NHS_A_E[[#This Row],[T1_Over4hrs]]/NHS_A_E[[#This Row],[T1_Attendances]], 0)</f>
        <v>0.35583631906468038</v>
      </c>
      <c r="O670">
        <f>NHS_A_E[[#This Row],[T1_Attendances]]+NHS_A_E[[#This Row],[Other_Attendances]]</f>
        <v>13921</v>
      </c>
      <c r="P670">
        <f>MATCH(LEFT(A670,FIND("-",A670)-1),{"April","May","June","July","August","September","October","November","December","January","February","March"},0)</f>
        <v>4</v>
      </c>
      <c r="Q670" s="3">
        <f t="shared" si="20"/>
        <v>9.2306241749952861E-2</v>
      </c>
      <c r="R670" t="str">
        <f t="shared" si="21"/>
        <v>July</v>
      </c>
    </row>
    <row r="671" spans="1:18" x14ac:dyDescent="0.35">
      <c r="A671" t="s">
        <v>428</v>
      </c>
      <c r="B671" t="s">
        <v>223</v>
      </c>
      <c r="C671" t="s">
        <v>15</v>
      </c>
      <c r="D671" t="s">
        <v>224</v>
      </c>
      <c r="E671">
        <v>12744</v>
      </c>
      <c r="F671">
        <v>3762</v>
      </c>
      <c r="G671">
        <v>3275</v>
      </c>
      <c r="H671">
        <v>67</v>
      </c>
      <c r="I671">
        <v>510</v>
      </c>
      <c r="J671">
        <v>0</v>
      </c>
      <c r="K671" s="1">
        <v>45839</v>
      </c>
      <c r="L671" t="s">
        <v>429</v>
      </c>
      <c r="M671" t="s">
        <v>427</v>
      </c>
      <c r="N671" s="2">
        <f>IFERROR(NHS_A_E[[#This Row],[T1_Over4hrs]]/NHS_A_E[[#This Row],[T1_Attendances]], 0)</f>
        <v>0.25698367859384807</v>
      </c>
      <c r="O671">
        <f>NHS_A_E[[#This Row],[T1_Attendances]]+NHS_A_E[[#This Row],[Other_Attendances]]</f>
        <v>16506</v>
      </c>
      <c r="P671">
        <f>MATCH(LEFT(A671,FIND("-",A671)-1),{"April","May","June","July","August","September","October","November","December","January","February","March"},0)</f>
        <v>4</v>
      </c>
      <c r="Q671" s="3">
        <f t="shared" si="20"/>
        <v>0</v>
      </c>
      <c r="R671" t="str">
        <f t="shared" si="21"/>
        <v>July</v>
      </c>
    </row>
    <row r="672" spans="1:18" x14ac:dyDescent="0.35">
      <c r="A672" t="s">
        <v>428</v>
      </c>
      <c r="B672" t="s">
        <v>163</v>
      </c>
      <c r="C672" t="s">
        <v>35</v>
      </c>
      <c r="D672" t="s">
        <v>164</v>
      </c>
      <c r="E672">
        <v>0</v>
      </c>
      <c r="F672">
        <v>3584</v>
      </c>
      <c r="G672">
        <v>0</v>
      </c>
      <c r="H672">
        <v>86</v>
      </c>
      <c r="I672">
        <v>0</v>
      </c>
      <c r="J672">
        <v>0</v>
      </c>
      <c r="K672" s="1">
        <v>45839</v>
      </c>
      <c r="L672" t="s">
        <v>429</v>
      </c>
      <c r="M672" t="s">
        <v>427</v>
      </c>
      <c r="N672" s="2">
        <f>IFERROR(NHS_A_E[[#This Row],[T1_Over4hrs]]/NHS_A_E[[#This Row],[T1_Attendances]], 0)</f>
        <v>0</v>
      </c>
      <c r="O672">
        <f>NHS_A_E[[#This Row],[T1_Attendances]]+NHS_A_E[[#This Row],[Other_Attendances]]</f>
        <v>3584</v>
      </c>
      <c r="P672">
        <f>MATCH(LEFT(A672,FIND("-",A672)-1),{"April","May","June","July","August","September","October","November","December","January","February","March"},0)</f>
        <v>4</v>
      </c>
      <c r="Q672" s="3">
        <f t="shared" si="20"/>
        <v>0</v>
      </c>
      <c r="R672" t="str">
        <f t="shared" si="21"/>
        <v>July</v>
      </c>
    </row>
    <row r="673" spans="1:18" x14ac:dyDescent="0.35">
      <c r="A673" t="s">
        <v>428</v>
      </c>
      <c r="B673" t="s">
        <v>105</v>
      </c>
      <c r="C673" t="s">
        <v>15</v>
      </c>
      <c r="D673" t="s">
        <v>106</v>
      </c>
      <c r="E673">
        <v>12292</v>
      </c>
      <c r="F673">
        <v>0</v>
      </c>
      <c r="G673">
        <v>5204</v>
      </c>
      <c r="H673">
        <v>0</v>
      </c>
      <c r="I673">
        <v>336</v>
      </c>
      <c r="J673">
        <v>20</v>
      </c>
      <c r="K673" s="1">
        <v>45839</v>
      </c>
      <c r="L673" t="s">
        <v>429</v>
      </c>
      <c r="M673" t="s">
        <v>427</v>
      </c>
      <c r="N673" s="2">
        <f>IFERROR(NHS_A_E[[#This Row],[T1_Over4hrs]]/NHS_A_E[[#This Row],[T1_Attendances]], 0)</f>
        <v>0.42336479010738692</v>
      </c>
      <c r="O673">
        <f>NHS_A_E[[#This Row],[T1_Attendances]]+NHS_A_E[[#This Row],[Other_Attendances]]</f>
        <v>12292</v>
      </c>
      <c r="P673">
        <f>MATCH(LEFT(A673,FIND("-",A673)-1),{"April","May","June","July","August","September","October","November","December","January","February","March"},0)</f>
        <v>4</v>
      </c>
      <c r="Q673" s="3">
        <f t="shared" si="20"/>
        <v>1.6270745200130166E-3</v>
      </c>
      <c r="R673" t="str">
        <f t="shared" si="21"/>
        <v>July</v>
      </c>
    </row>
    <row r="674" spans="1:18" x14ac:dyDescent="0.35">
      <c r="A674" t="s">
        <v>428</v>
      </c>
      <c r="B674" t="s">
        <v>411</v>
      </c>
      <c r="C674" t="s">
        <v>35</v>
      </c>
      <c r="D674" t="s">
        <v>412</v>
      </c>
      <c r="E674">
        <v>9104</v>
      </c>
      <c r="F674">
        <v>0</v>
      </c>
      <c r="G674">
        <v>2295</v>
      </c>
      <c r="H674">
        <v>0</v>
      </c>
      <c r="I674">
        <v>290</v>
      </c>
      <c r="J674">
        <v>200</v>
      </c>
      <c r="K674" s="1">
        <v>45839</v>
      </c>
      <c r="L674" t="s">
        <v>429</v>
      </c>
      <c r="M674" t="s">
        <v>427</v>
      </c>
      <c r="N674" s="2">
        <f>IFERROR(NHS_A_E[[#This Row],[T1_Over4hrs]]/NHS_A_E[[#This Row],[T1_Attendances]], 0)</f>
        <v>0.25208699472759227</v>
      </c>
      <c r="O674">
        <f>NHS_A_E[[#This Row],[T1_Attendances]]+NHS_A_E[[#This Row],[Other_Attendances]]</f>
        <v>9104</v>
      </c>
      <c r="P674">
        <f>MATCH(LEFT(A674,FIND("-",A674)-1),{"April","May","June","July","August","September","October","November","December","January","February","March"},0)</f>
        <v>4</v>
      </c>
      <c r="Q674" s="3">
        <f t="shared" si="20"/>
        <v>2.1968365553602813E-2</v>
      </c>
      <c r="R674" t="str">
        <f t="shared" si="21"/>
        <v>July</v>
      </c>
    </row>
    <row r="675" spans="1:18" x14ac:dyDescent="0.35">
      <c r="A675" t="s">
        <v>428</v>
      </c>
      <c r="B675" t="s">
        <v>209</v>
      </c>
      <c r="C675" t="s">
        <v>35</v>
      </c>
      <c r="D675" t="s">
        <v>210</v>
      </c>
      <c r="E675">
        <v>25710</v>
      </c>
      <c r="F675">
        <v>18741</v>
      </c>
      <c r="G675">
        <v>10667</v>
      </c>
      <c r="H675">
        <v>1385</v>
      </c>
      <c r="I675">
        <v>1147</v>
      </c>
      <c r="J675">
        <v>832</v>
      </c>
      <c r="K675" s="1">
        <v>45839</v>
      </c>
      <c r="L675" t="s">
        <v>429</v>
      </c>
      <c r="M675" t="s">
        <v>427</v>
      </c>
      <c r="N675" s="2">
        <f>IFERROR(NHS_A_E[[#This Row],[T1_Over4hrs]]/NHS_A_E[[#This Row],[T1_Attendances]], 0)</f>
        <v>0.41489692726565541</v>
      </c>
      <c r="O675">
        <f>NHS_A_E[[#This Row],[T1_Attendances]]+NHS_A_E[[#This Row],[Other_Attendances]]</f>
        <v>44451</v>
      </c>
      <c r="P675">
        <f>MATCH(LEFT(A675,FIND("-",A675)-1),{"April","May","June","July","August","September","October","November","December","January","February","March"},0)</f>
        <v>4</v>
      </c>
      <c r="Q675" s="3">
        <f t="shared" si="20"/>
        <v>3.2360949047063402E-2</v>
      </c>
      <c r="R675" t="str">
        <f t="shared" si="21"/>
        <v>July</v>
      </c>
    </row>
    <row r="676" spans="1:18" x14ac:dyDescent="0.35">
      <c r="A676" t="s">
        <v>428</v>
      </c>
      <c r="B676" t="s">
        <v>379</v>
      </c>
      <c r="C676" t="s">
        <v>63</v>
      </c>
      <c r="D676" t="s">
        <v>380</v>
      </c>
      <c r="E676">
        <v>0</v>
      </c>
      <c r="F676">
        <v>2191</v>
      </c>
      <c r="G676">
        <v>0</v>
      </c>
      <c r="H676">
        <v>9</v>
      </c>
      <c r="I676">
        <v>0</v>
      </c>
      <c r="J676">
        <v>0</v>
      </c>
      <c r="K676" s="1">
        <v>45839</v>
      </c>
      <c r="L676" t="s">
        <v>429</v>
      </c>
      <c r="M676" t="s">
        <v>427</v>
      </c>
      <c r="N676" s="2">
        <f>IFERROR(NHS_A_E[[#This Row],[T1_Over4hrs]]/NHS_A_E[[#This Row],[T1_Attendances]], 0)</f>
        <v>0</v>
      </c>
      <c r="O676">
        <f>NHS_A_E[[#This Row],[T1_Attendances]]+NHS_A_E[[#This Row],[Other_Attendances]]</f>
        <v>2191</v>
      </c>
      <c r="P676">
        <f>MATCH(LEFT(A676,FIND("-",A676)-1),{"April","May","June","July","August","September","October","November","December","January","February","March"},0)</f>
        <v>4</v>
      </c>
      <c r="Q676" s="3">
        <f t="shared" si="20"/>
        <v>0</v>
      </c>
      <c r="R676" t="str">
        <f t="shared" si="21"/>
        <v>July</v>
      </c>
    </row>
    <row r="677" spans="1:18" x14ac:dyDescent="0.35">
      <c r="A677" t="s">
        <v>428</v>
      </c>
      <c r="B677" t="s">
        <v>48</v>
      </c>
      <c r="C677" t="s">
        <v>40</v>
      </c>
      <c r="D677" t="s">
        <v>49</v>
      </c>
      <c r="E677">
        <v>6803</v>
      </c>
      <c r="F677">
        <v>1669</v>
      </c>
      <c r="G677">
        <v>2007</v>
      </c>
      <c r="H677">
        <v>20</v>
      </c>
      <c r="I677">
        <v>412</v>
      </c>
      <c r="J677">
        <v>255</v>
      </c>
      <c r="K677" s="1">
        <v>45839</v>
      </c>
      <c r="L677" t="s">
        <v>429</v>
      </c>
      <c r="M677" t="s">
        <v>427</v>
      </c>
      <c r="N677" s="2">
        <f>IFERROR(NHS_A_E[[#This Row],[T1_Over4hrs]]/NHS_A_E[[#This Row],[T1_Attendances]], 0)</f>
        <v>0.2950169043069234</v>
      </c>
      <c r="O677">
        <f>NHS_A_E[[#This Row],[T1_Attendances]]+NHS_A_E[[#This Row],[Other_Attendances]]</f>
        <v>8472</v>
      </c>
      <c r="P677">
        <f>MATCH(LEFT(A677,FIND("-",A677)-1),{"April","May","June","July","August","September","October","November","December","January","February","March"},0)</f>
        <v>4</v>
      </c>
      <c r="Q677" s="3">
        <f t="shared" si="20"/>
        <v>3.7483463178009699E-2</v>
      </c>
      <c r="R677" t="str">
        <f t="shared" si="21"/>
        <v>July</v>
      </c>
    </row>
    <row r="678" spans="1:18" x14ac:dyDescent="0.35">
      <c r="A678" t="s">
        <v>428</v>
      </c>
      <c r="B678" t="s">
        <v>151</v>
      </c>
      <c r="C678" t="s">
        <v>30</v>
      </c>
      <c r="D678" t="s">
        <v>152</v>
      </c>
      <c r="E678">
        <v>27074</v>
      </c>
      <c r="F678">
        <v>10299</v>
      </c>
      <c r="G678">
        <v>10011</v>
      </c>
      <c r="H678">
        <v>436</v>
      </c>
      <c r="I678">
        <v>1081</v>
      </c>
      <c r="J678">
        <v>933</v>
      </c>
      <c r="K678" s="1">
        <v>45839</v>
      </c>
      <c r="L678" t="s">
        <v>429</v>
      </c>
      <c r="M678" t="s">
        <v>427</v>
      </c>
      <c r="N678" s="2">
        <f>IFERROR(NHS_A_E[[#This Row],[T1_Over4hrs]]/NHS_A_E[[#This Row],[T1_Attendances]], 0)</f>
        <v>0.36976434956046389</v>
      </c>
      <c r="O678">
        <f>NHS_A_E[[#This Row],[T1_Attendances]]+NHS_A_E[[#This Row],[Other_Attendances]]</f>
        <v>37373</v>
      </c>
      <c r="P678">
        <f>MATCH(LEFT(A678,FIND("-",A678)-1),{"April","May","June","July","August","September","October","November","December","January","February","March"},0)</f>
        <v>4</v>
      </c>
      <c r="Q678" s="3">
        <f t="shared" si="20"/>
        <v>3.4461106596734875E-2</v>
      </c>
      <c r="R678" t="str">
        <f t="shared" si="21"/>
        <v>July</v>
      </c>
    </row>
    <row r="679" spans="1:18" x14ac:dyDescent="0.35">
      <c r="A679" t="s">
        <v>428</v>
      </c>
      <c r="B679" t="s">
        <v>217</v>
      </c>
      <c r="C679" t="s">
        <v>15</v>
      </c>
      <c r="D679" t="s">
        <v>218</v>
      </c>
      <c r="E679">
        <v>11043</v>
      </c>
      <c r="F679">
        <v>3618</v>
      </c>
      <c r="G679">
        <v>4651</v>
      </c>
      <c r="H679">
        <v>113</v>
      </c>
      <c r="I679">
        <v>122</v>
      </c>
      <c r="J679">
        <v>33</v>
      </c>
      <c r="K679" s="1">
        <v>45839</v>
      </c>
      <c r="L679" t="s">
        <v>429</v>
      </c>
      <c r="M679" t="s">
        <v>427</v>
      </c>
      <c r="N679" s="2">
        <f>IFERROR(NHS_A_E[[#This Row],[T1_Over4hrs]]/NHS_A_E[[#This Row],[T1_Attendances]], 0)</f>
        <v>0.42117178302997371</v>
      </c>
      <c r="O679">
        <f>NHS_A_E[[#This Row],[T1_Attendances]]+NHS_A_E[[#This Row],[Other_Attendances]]</f>
        <v>14661</v>
      </c>
      <c r="P679">
        <f>MATCH(LEFT(A679,FIND("-",A679)-1),{"April","May","June","July","August","September","October","November","December","January","February","March"},0)</f>
        <v>4</v>
      </c>
      <c r="Q679" s="3">
        <f t="shared" si="20"/>
        <v>2.9883183917413748E-3</v>
      </c>
      <c r="R679" t="str">
        <f t="shared" si="21"/>
        <v>July</v>
      </c>
    </row>
    <row r="680" spans="1:18" x14ac:dyDescent="0.35">
      <c r="A680" t="s">
        <v>428</v>
      </c>
      <c r="B680" t="s">
        <v>359</v>
      </c>
      <c r="C680" t="s">
        <v>40</v>
      </c>
      <c r="D680" t="s">
        <v>360</v>
      </c>
      <c r="E680">
        <v>10391</v>
      </c>
      <c r="F680">
        <v>3946</v>
      </c>
      <c r="G680">
        <v>3165</v>
      </c>
      <c r="H680">
        <v>70</v>
      </c>
      <c r="I680">
        <v>1955</v>
      </c>
      <c r="J680">
        <v>96</v>
      </c>
      <c r="K680" s="1">
        <v>45839</v>
      </c>
      <c r="L680" t="s">
        <v>429</v>
      </c>
      <c r="M680" t="s">
        <v>427</v>
      </c>
      <c r="N680" s="2">
        <f>IFERROR(NHS_A_E[[#This Row],[T1_Over4hrs]]/NHS_A_E[[#This Row],[T1_Attendances]], 0)</f>
        <v>0.30459051101915119</v>
      </c>
      <c r="O680">
        <f>NHS_A_E[[#This Row],[T1_Attendances]]+NHS_A_E[[#This Row],[Other_Attendances]]</f>
        <v>14337</v>
      </c>
      <c r="P680">
        <f>MATCH(LEFT(A680,FIND("-",A680)-1),{"April","May","June","July","August","September","October","November","December","January","February","March"},0)</f>
        <v>4</v>
      </c>
      <c r="Q680" s="3">
        <f t="shared" si="20"/>
        <v>9.2387643152728322E-3</v>
      </c>
      <c r="R680" t="str">
        <f t="shared" si="21"/>
        <v>July</v>
      </c>
    </row>
    <row r="681" spans="1:18" x14ac:dyDescent="0.35">
      <c r="A681" t="s">
        <v>428</v>
      </c>
      <c r="B681" t="s">
        <v>417</v>
      </c>
      <c r="C681" t="s">
        <v>63</v>
      </c>
      <c r="D681" t="s">
        <v>418</v>
      </c>
      <c r="E681">
        <v>9153</v>
      </c>
      <c r="F681">
        <v>2395</v>
      </c>
      <c r="G681">
        <v>3915</v>
      </c>
      <c r="H681">
        <v>49</v>
      </c>
      <c r="I681">
        <v>623</v>
      </c>
      <c r="J681">
        <v>275</v>
      </c>
      <c r="K681" s="1">
        <v>45839</v>
      </c>
      <c r="L681" t="s">
        <v>429</v>
      </c>
      <c r="M681" t="s">
        <v>427</v>
      </c>
      <c r="N681" s="2">
        <f>IFERROR(NHS_A_E[[#This Row],[T1_Over4hrs]]/NHS_A_E[[#This Row],[T1_Attendances]], 0)</f>
        <v>0.42772861356932151</v>
      </c>
      <c r="O681">
        <f>NHS_A_E[[#This Row],[T1_Attendances]]+NHS_A_E[[#This Row],[Other_Attendances]]</f>
        <v>11548</v>
      </c>
      <c r="P681">
        <f>MATCH(LEFT(A681,FIND("-",A681)-1),{"April","May","June","July","August","September","October","November","December","January","February","March"},0)</f>
        <v>4</v>
      </c>
      <c r="Q681" s="3">
        <f t="shared" si="20"/>
        <v>3.0044794056593466E-2</v>
      </c>
      <c r="R681" t="str">
        <f t="shared" si="21"/>
        <v>July</v>
      </c>
    </row>
    <row r="682" spans="1:18" x14ac:dyDescent="0.35">
      <c r="A682" t="s">
        <v>428</v>
      </c>
      <c r="B682" t="s">
        <v>405</v>
      </c>
      <c r="C682" t="s">
        <v>15</v>
      </c>
      <c r="D682" t="s">
        <v>406</v>
      </c>
      <c r="E682">
        <v>9910</v>
      </c>
      <c r="F682">
        <v>6767</v>
      </c>
      <c r="G682">
        <v>3447</v>
      </c>
      <c r="H682">
        <v>778</v>
      </c>
      <c r="I682">
        <v>396</v>
      </c>
      <c r="J682">
        <v>614</v>
      </c>
      <c r="K682" s="1">
        <v>45839</v>
      </c>
      <c r="L682" t="s">
        <v>429</v>
      </c>
      <c r="M682" t="s">
        <v>427</v>
      </c>
      <c r="N682" s="2">
        <f>IFERROR(NHS_A_E[[#This Row],[T1_Over4hrs]]/NHS_A_E[[#This Row],[T1_Attendances]], 0)</f>
        <v>0.34783047426841573</v>
      </c>
      <c r="O682">
        <f>NHS_A_E[[#This Row],[T1_Attendances]]+NHS_A_E[[#This Row],[Other_Attendances]]</f>
        <v>16677</v>
      </c>
      <c r="P682">
        <f>MATCH(LEFT(A682,FIND("-",A682)-1),{"April","May","June","July","August","September","October","November","December","January","February","March"},0)</f>
        <v>4</v>
      </c>
      <c r="Q682" s="3">
        <f t="shared" si="20"/>
        <v>6.1957618567103932E-2</v>
      </c>
      <c r="R682" t="str">
        <f t="shared" si="21"/>
        <v>July</v>
      </c>
    </row>
    <row r="683" spans="1:18" x14ac:dyDescent="0.35">
      <c r="A683" t="s">
        <v>428</v>
      </c>
      <c r="B683" t="s">
        <v>58</v>
      </c>
      <c r="C683" t="s">
        <v>40</v>
      </c>
      <c r="D683" t="s">
        <v>59</v>
      </c>
      <c r="E683">
        <v>4358</v>
      </c>
      <c r="F683">
        <v>0</v>
      </c>
      <c r="G683">
        <v>565</v>
      </c>
      <c r="H683">
        <v>0</v>
      </c>
      <c r="I683">
        <v>6</v>
      </c>
      <c r="J683">
        <v>0</v>
      </c>
      <c r="K683" s="1">
        <v>45839</v>
      </c>
      <c r="L683" t="s">
        <v>429</v>
      </c>
      <c r="M683" t="s">
        <v>427</v>
      </c>
      <c r="N683" s="2">
        <f>IFERROR(NHS_A_E[[#This Row],[T1_Over4hrs]]/NHS_A_E[[#This Row],[T1_Attendances]], 0)</f>
        <v>0.12964662689307022</v>
      </c>
      <c r="O683">
        <f>NHS_A_E[[#This Row],[T1_Attendances]]+NHS_A_E[[#This Row],[Other_Attendances]]</f>
        <v>4358</v>
      </c>
      <c r="P683">
        <f>MATCH(LEFT(A683,FIND("-",A683)-1),{"April","May","June","July","August","September","October","November","December","January","February","March"},0)</f>
        <v>4</v>
      </c>
      <c r="Q683" s="3">
        <f t="shared" si="20"/>
        <v>0</v>
      </c>
      <c r="R683" t="str">
        <f t="shared" si="21"/>
        <v>July</v>
      </c>
    </row>
    <row r="684" spans="1:18" x14ac:dyDescent="0.35">
      <c r="A684" t="s">
        <v>428</v>
      </c>
      <c r="B684" t="s">
        <v>60</v>
      </c>
      <c r="C684" t="s">
        <v>35</v>
      </c>
      <c r="D684" t="s">
        <v>61</v>
      </c>
      <c r="E684">
        <v>19829</v>
      </c>
      <c r="F684">
        <v>6197</v>
      </c>
      <c r="G684">
        <v>5501</v>
      </c>
      <c r="H684">
        <v>72</v>
      </c>
      <c r="I684">
        <v>740</v>
      </c>
      <c r="J684">
        <v>65</v>
      </c>
      <c r="K684" s="1">
        <v>45839</v>
      </c>
      <c r="L684" t="s">
        <v>429</v>
      </c>
      <c r="M684" t="s">
        <v>427</v>
      </c>
      <c r="N684" s="2">
        <f>IFERROR(NHS_A_E[[#This Row],[T1_Over4hrs]]/NHS_A_E[[#This Row],[T1_Attendances]], 0)</f>
        <v>0.27742195773866557</v>
      </c>
      <c r="O684">
        <f>NHS_A_E[[#This Row],[T1_Attendances]]+NHS_A_E[[#This Row],[Other_Attendances]]</f>
        <v>26026</v>
      </c>
      <c r="P684">
        <f>MATCH(LEFT(A684,FIND("-",A684)-1),{"April","May","June","July","August","September","October","November","December","January","February","March"},0)</f>
        <v>4</v>
      </c>
      <c r="Q684" s="3">
        <f t="shared" si="20"/>
        <v>3.2780271319784154E-3</v>
      </c>
      <c r="R684" t="str">
        <f t="shared" si="21"/>
        <v>July</v>
      </c>
    </row>
    <row r="685" spans="1:18" x14ac:dyDescent="0.35">
      <c r="A685" t="s">
        <v>428</v>
      </c>
      <c r="B685" t="s">
        <v>65</v>
      </c>
      <c r="C685" t="s">
        <v>30</v>
      </c>
      <c r="D685" t="s">
        <v>66</v>
      </c>
      <c r="E685">
        <v>7367</v>
      </c>
      <c r="F685">
        <v>5504</v>
      </c>
      <c r="G685">
        <v>3102</v>
      </c>
      <c r="H685">
        <v>38</v>
      </c>
      <c r="I685">
        <v>648</v>
      </c>
      <c r="J685">
        <v>394</v>
      </c>
      <c r="K685" s="1">
        <v>45839</v>
      </c>
      <c r="L685" t="s">
        <v>429</v>
      </c>
      <c r="M685" t="s">
        <v>427</v>
      </c>
      <c r="N685" s="2">
        <f>IFERROR(NHS_A_E[[#This Row],[T1_Over4hrs]]/NHS_A_E[[#This Row],[T1_Attendances]], 0)</f>
        <v>0.42106692004886659</v>
      </c>
      <c r="O685">
        <f>NHS_A_E[[#This Row],[T1_Attendances]]+NHS_A_E[[#This Row],[Other_Attendances]]</f>
        <v>12871</v>
      </c>
      <c r="P685">
        <f>MATCH(LEFT(A685,FIND("-",A685)-1),{"April","May","June","July","August","September","October","November","December","January","February","March"},0)</f>
        <v>4</v>
      </c>
      <c r="Q685" s="3">
        <f t="shared" si="20"/>
        <v>5.3481742907560741E-2</v>
      </c>
      <c r="R685" t="str">
        <f t="shared" si="21"/>
        <v>July</v>
      </c>
    </row>
    <row r="686" spans="1:18" x14ac:dyDescent="0.35">
      <c r="A686" t="s">
        <v>428</v>
      </c>
      <c r="B686" t="s">
        <v>69</v>
      </c>
      <c r="C686" t="s">
        <v>20</v>
      </c>
      <c r="D686" t="s">
        <v>70</v>
      </c>
      <c r="E686">
        <v>13382</v>
      </c>
      <c r="F686">
        <v>472</v>
      </c>
      <c r="G686">
        <v>5280</v>
      </c>
      <c r="H686">
        <v>7</v>
      </c>
      <c r="I686">
        <v>470</v>
      </c>
      <c r="J686">
        <v>202</v>
      </c>
      <c r="K686" s="1">
        <v>45839</v>
      </c>
      <c r="L686" t="s">
        <v>429</v>
      </c>
      <c r="M686" t="s">
        <v>427</v>
      </c>
      <c r="N686" s="2">
        <f>IFERROR(NHS_A_E[[#This Row],[T1_Over4hrs]]/NHS_A_E[[#This Row],[T1_Attendances]], 0)</f>
        <v>0.39455985652368852</v>
      </c>
      <c r="O686">
        <f>NHS_A_E[[#This Row],[T1_Attendances]]+NHS_A_E[[#This Row],[Other_Attendances]]</f>
        <v>13854</v>
      </c>
      <c r="P686">
        <f>MATCH(LEFT(A686,FIND("-",A686)-1),{"April","May","June","July","August","September","October","November","December","January","February","March"},0)</f>
        <v>4</v>
      </c>
      <c r="Q686" s="3">
        <f t="shared" si="20"/>
        <v>1.5094903601853235E-2</v>
      </c>
      <c r="R686" t="str">
        <f t="shared" si="21"/>
        <v>July</v>
      </c>
    </row>
    <row r="687" spans="1:18" x14ac:dyDescent="0.35">
      <c r="A687" t="s">
        <v>428</v>
      </c>
      <c r="B687" t="s">
        <v>221</v>
      </c>
      <c r="C687" t="s">
        <v>63</v>
      </c>
      <c r="D687" t="s">
        <v>222</v>
      </c>
      <c r="E687">
        <v>10411</v>
      </c>
      <c r="F687">
        <v>14020</v>
      </c>
      <c r="G687">
        <v>1977</v>
      </c>
      <c r="H687">
        <v>4</v>
      </c>
      <c r="I687">
        <v>9</v>
      </c>
      <c r="J687">
        <v>0</v>
      </c>
      <c r="K687" s="1">
        <v>45839</v>
      </c>
      <c r="L687" t="s">
        <v>429</v>
      </c>
      <c r="M687" t="s">
        <v>427</v>
      </c>
      <c r="N687" s="2">
        <f>IFERROR(NHS_A_E[[#This Row],[T1_Over4hrs]]/NHS_A_E[[#This Row],[T1_Attendances]], 0)</f>
        <v>0.18989530304485641</v>
      </c>
      <c r="O687">
        <f>NHS_A_E[[#This Row],[T1_Attendances]]+NHS_A_E[[#This Row],[Other_Attendances]]</f>
        <v>24431</v>
      </c>
      <c r="P687">
        <f>MATCH(LEFT(A687,FIND("-",A687)-1),{"April","May","June","July","August","September","October","November","December","January","February","March"},0)</f>
        <v>4</v>
      </c>
      <c r="Q687" s="3">
        <f t="shared" si="20"/>
        <v>0</v>
      </c>
      <c r="R687" t="str">
        <f t="shared" si="21"/>
        <v>July</v>
      </c>
    </row>
    <row r="688" spans="1:18" x14ac:dyDescent="0.35">
      <c r="A688" t="s">
        <v>428</v>
      </c>
      <c r="B688" t="s">
        <v>219</v>
      </c>
      <c r="C688" t="s">
        <v>30</v>
      </c>
      <c r="D688" t="s">
        <v>220</v>
      </c>
      <c r="E688">
        <v>9813</v>
      </c>
      <c r="F688">
        <v>3079</v>
      </c>
      <c r="G688">
        <v>3502</v>
      </c>
      <c r="H688">
        <v>68</v>
      </c>
      <c r="I688">
        <v>653</v>
      </c>
      <c r="J688">
        <v>276</v>
      </c>
      <c r="K688" s="1">
        <v>45839</v>
      </c>
      <c r="L688" t="s">
        <v>429</v>
      </c>
      <c r="M688" t="s">
        <v>427</v>
      </c>
      <c r="N688" s="2">
        <f>IFERROR(NHS_A_E[[#This Row],[T1_Over4hrs]]/NHS_A_E[[#This Row],[T1_Attendances]], 0)</f>
        <v>0.35687353510649139</v>
      </c>
      <c r="O688">
        <f>NHS_A_E[[#This Row],[T1_Attendances]]+NHS_A_E[[#This Row],[Other_Attendances]]</f>
        <v>12892</v>
      </c>
      <c r="P688">
        <f>MATCH(LEFT(A688,FIND("-",A688)-1),{"April","May","June","July","August","September","October","November","December","January","February","March"},0)</f>
        <v>4</v>
      </c>
      <c r="Q688" s="3">
        <f t="shared" si="20"/>
        <v>2.8125955365331703E-2</v>
      </c>
      <c r="R688" t="str">
        <f t="shared" si="21"/>
        <v>July</v>
      </c>
    </row>
    <row r="689" spans="1:18" x14ac:dyDescent="0.35">
      <c r="A689" t="s">
        <v>428</v>
      </c>
      <c r="B689" t="s">
        <v>177</v>
      </c>
      <c r="C689" t="s">
        <v>63</v>
      </c>
      <c r="D689" t="s">
        <v>178</v>
      </c>
      <c r="E689">
        <v>10050</v>
      </c>
      <c r="F689">
        <v>4501</v>
      </c>
      <c r="G689">
        <v>5620</v>
      </c>
      <c r="H689">
        <v>365</v>
      </c>
      <c r="I689">
        <v>1063</v>
      </c>
      <c r="J689">
        <v>385</v>
      </c>
      <c r="K689" s="1">
        <v>45839</v>
      </c>
      <c r="L689" t="s">
        <v>429</v>
      </c>
      <c r="M689" t="s">
        <v>427</v>
      </c>
      <c r="N689" s="2">
        <f>IFERROR(NHS_A_E[[#This Row],[T1_Over4hrs]]/NHS_A_E[[#This Row],[T1_Attendances]], 0)</f>
        <v>0.55920398009950245</v>
      </c>
      <c r="O689">
        <f>NHS_A_E[[#This Row],[T1_Attendances]]+NHS_A_E[[#This Row],[Other_Attendances]]</f>
        <v>14551</v>
      </c>
      <c r="P689">
        <f>MATCH(LEFT(A689,FIND("-",A689)-1),{"April","May","June","July","August","September","October","November","December","January","February","March"},0)</f>
        <v>4</v>
      </c>
      <c r="Q689" s="3">
        <f t="shared" si="20"/>
        <v>3.8308457711442784E-2</v>
      </c>
      <c r="R689" t="str">
        <f t="shared" si="21"/>
        <v>July</v>
      </c>
    </row>
    <row r="690" spans="1:18" x14ac:dyDescent="0.35">
      <c r="A690" t="s">
        <v>428</v>
      </c>
      <c r="B690" t="s">
        <v>179</v>
      </c>
      <c r="C690" t="s">
        <v>40</v>
      </c>
      <c r="D690" t="s">
        <v>180</v>
      </c>
      <c r="E690">
        <v>17265</v>
      </c>
      <c r="F690">
        <v>4042</v>
      </c>
      <c r="G690">
        <v>7421</v>
      </c>
      <c r="H690">
        <v>384</v>
      </c>
      <c r="I690">
        <v>1059</v>
      </c>
      <c r="J690">
        <v>1027</v>
      </c>
      <c r="K690" s="1">
        <v>45839</v>
      </c>
      <c r="L690" t="s">
        <v>429</v>
      </c>
      <c r="M690" t="s">
        <v>427</v>
      </c>
      <c r="N690" s="2">
        <f>IFERROR(NHS_A_E[[#This Row],[T1_Over4hrs]]/NHS_A_E[[#This Row],[T1_Attendances]], 0)</f>
        <v>0.42982913408630175</v>
      </c>
      <c r="O690">
        <f>NHS_A_E[[#This Row],[T1_Attendances]]+NHS_A_E[[#This Row],[Other_Attendances]]</f>
        <v>21307</v>
      </c>
      <c r="P690">
        <f>MATCH(LEFT(A690,FIND("-",A690)-1),{"April","May","June","July","August","September","October","November","December","January","February","March"},0)</f>
        <v>4</v>
      </c>
      <c r="Q690" s="3">
        <f t="shared" si="20"/>
        <v>5.9484506226469738E-2</v>
      </c>
      <c r="R690" t="str">
        <f t="shared" si="21"/>
        <v>July</v>
      </c>
    </row>
    <row r="691" spans="1:18" x14ac:dyDescent="0.35">
      <c r="A691" t="s">
        <v>428</v>
      </c>
      <c r="B691" t="s">
        <v>183</v>
      </c>
      <c r="C691" t="s">
        <v>23</v>
      </c>
      <c r="D691" t="s">
        <v>184</v>
      </c>
      <c r="E691">
        <v>8535</v>
      </c>
      <c r="F691">
        <v>7599</v>
      </c>
      <c r="G691">
        <v>2583</v>
      </c>
      <c r="H691">
        <v>55</v>
      </c>
      <c r="I691">
        <v>750</v>
      </c>
      <c r="J691">
        <v>19</v>
      </c>
      <c r="K691" s="1">
        <v>45839</v>
      </c>
      <c r="L691" t="s">
        <v>429</v>
      </c>
      <c r="M691" t="s">
        <v>427</v>
      </c>
      <c r="N691" s="2">
        <f>IFERROR(NHS_A_E[[#This Row],[T1_Over4hrs]]/NHS_A_E[[#This Row],[T1_Attendances]], 0)</f>
        <v>0.30263620386643236</v>
      </c>
      <c r="O691">
        <f>NHS_A_E[[#This Row],[T1_Attendances]]+NHS_A_E[[#This Row],[Other_Attendances]]</f>
        <v>16134</v>
      </c>
      <c r="P691">
        <f>MATCH(LEFT(A691,FIND("-",A691)-1),{"April","May","June","July","August","September","October","November","December","January","February","March"},0)</f>
        <v>4</v>
      </c>
      <c r="Q691" s="3">
        <f t="shared" si="20"/>
        <v>2.2261277094317517E-3</v>
      </c>
      <c r="R691" t="str">
        <f t="shared" si="21"/>
        <v>July</v>
      </c>
    </row>
    <row r="692" spans="1:18" x14ac:dyDescent="0.35">
      <c r="A692" t="s">
        <v>428</v>
      </c>
      <c r="B692" t="s">
        <v>185</v>
      </c>
      <c r="C692" t="s">
        <v>23</v>
      </c>
      <c r="D692" t="s">
        <v>186</v>
      </c>
      <c r="E692">
        <v>8871</v>
      </c>
      <c r="F692">
        <v>8333</v>
      </c>
      <c r="G692">
        <v>3878</v>
      </c>
      <c r="H692">
        <v>49</v>
      </c>
      <c r="I692">
        <v>124</v>
      </c>
      <c r="J692">
        <v>21</v>
      </c>
      <c r="K692" s="1">
        <v>45839</v>
      </c>
      <c r="L692" t="s">
        <v>429</v>
      </c>
      <c r="M692" t="s">
        <v>427</v>
      </c>
      <c r="N692" s="2">
        <f>IFERROR(NHS_A_E[[#This Row],[T1_Over4hrs]]/NHS_A_E[[#This Row],[T1_Attendances]], 0)</f>
        <v>0.43715477398264008</v>
      </c>
      <c r="O692">
        <f>NHS_A_E[[#This Row],[T1_Attendances]]+NHS_A_E[[#This Row],[Other_Attendances]]</f>
        <v>17204</v>
      </c>
      <c r="P692">
        <f>MATCH(LEFT(A692,FIND("-",A692)-1),{"April","May","June","July","August","September","October","November","December","January","February","March"},0)</f>
        <v>4</v>
      </c>
      <c r="Q692" s="3">
        <f t="shared" si="20"/>
        <v>2.3672641190395673E-3</v>
      </c>
      <c r="R692" t="str">
        <f t="shared" si="21"/>
        <v>July</v>
      </c>
    </row>
    <row r="693" spans="1:18" x14ac:dyDescent="0.35">
      <c r="A693" t="s">
        <v>428</v>
      </c>
      <c r="B693" t="s">
        <v>197</v>
      </c>
      <c r="C693" t="s">
        <v>63</v>
      </c>
      <c r="D693" t="s">
        <v>198</v>
      </c>
      <c r="E693">
        <v>13216</v>
      </c>
      <c r="F693">
        <v>4271</v>
      </c>
      <c r="G693">
        <v>4756</v>
      </c>
      <c r="H693">
        <v>0</v>
      </c>
      <c r="I693">
        <v>1780</v>
      </c>
      <c r="J693">
        <v>13</v>
      </c>
      <c r="K693" s="1">
        <v>45839</v>
      </c>
      <c r="L693" t="s">
        <v>429</v>
      </c>
      <c r="M693" t="s">
        <v>427</v>
      </c>
      <c r="N693" s="2">
        <f>IFERROR(NHS_A_E[[#This Row],[T1_Over4hrs]]/NHS_A_E[[#This Row],[T1_Attendances]], 0)</f>
        <v>0.35986682808716708</v>
      </c>
      <c r="O693">
        <f>NHS_A_E[[#This Row],[T1_Attendances]]+NHS_A_E[[#This Row],[Other_Attendances]]</f>
        <v>17487</v>
      </c>
      <c r="P693">
        <f>MATCH(LEFT(A693,FIND("-",A693)-1),{"April","May","June","July","August","September","October","November","December","January","February","March"},0)</f>
        <v>4</v>
      </c>
      <c r="Q693" s="3">
        <f t="shared" si="20"/>
        <v>9.8365617433414051E-4</v>
      </c>
      <c r="R693" t="str">
        <f t="shared" si="21"/>
        <v>July</v>
      </c>
    </row>
    <row r="694" spans="1:18" x14ac:dyDescent="0.35">
      <c r="A694" t="s">
        <v>428</v>
      </c>
      <c r="B694" t="s">
        <v>369</v>
      </c>
      <c r="C694" t="s">
        <v>30</v>
      </c>
      <c r="D694" t="s">
        <v>370</v>
      </c>
      <c r="E694">
        <v>0</v>
      </c>
      <c r="F694">
        <v>3110</v>
      </c>
      <c r="G694">
        <v>0</v>
      </c>
      <c r="H694">
        <v>61</v>
      </c>
      <c r="I694">
        <v>0</v>
      </c>
      <c r="J694">
        <v>0</v>
      </c>
      <c r="K694" s="1">
        <v>45839</v>
      </c>
      <c r="L694" t="s">
        <v>429</v>
      </c>
      <c r="M694" t="s">
        <v>427</v>
      </c>
      <c r="N694" s="2">
        <f>IFERROR(NHS_A_E[[#This Row],[T1_Over4hrs]]/NHS_A_E[[#This Row],[T1_Attendances]], 0)</f>
        <v>0</v>
      </c>
      <c r="O694">
        <f>NHS_A_E[[#This Row],[T1_Attendances]]+NHS_A_E[[#This Row],[Other_Attendances]]</f>
        <v>3110</v>
      </c>
      <c r="P694">
        <f>MATCH(LEFT(A694,FIND("-",A694)-1),{"April","May","June","July","August","September","October","November","December","January","February","March"},0)</f>
        <v>4</v>
      </c>
      <c r="Q694" s="3">
        <f t="shared" si="20"/>
        <v>0</v>
      </c>
      <c r="R694" t="str">
        <f t="shared" si="21"/>
        <v>July</v>
      </c>
    </row>
    <row r="695" spans="1:18" x14ac:dyDescent="0.35">
      <c r="A695" t="s">
        <v>428</v>
      </c>
      <c r="B695" t="s">
        <v>203</v>
      </c>
      <c r="C695" t="s">
        <v>40</v>
      </c>
      <c r="D695" t="s">
        <v>204</v>
      </c>
      <c r="E695">
        <v>0</v>
      </c>
      <c r="F695">
        <v>0</v>
      </c>
      <c r="G695">
        <v>0</v>
      </c>
      <c r="H695">
        <v>0</v>
      </c>
      <c r="I695">
        <v>0</v>
      </c>
      <c r="J695">
        <v>0</v>
      </c>
      <c r="K695" s="1">
        <v>45839</v>
      </c>
      <c r="L695" t="s">
        <v>429</v>
      </c>
      <c r="M695" t="s">
        <v>427</v>
      </c>
      <c r="N695" s="2">
        <f>IFERROR(NHS_A_E[[#This Row],[T1_Over4hrs]]/NHS_A_E[[#This Row],[T1_Attendances]], 0)</f>
        <v>0</v>
      </c>
      <c r="O695">
        <f>NHS_A_E[[#This Row],[T1_Attendances]]+NHS_A_E[[#This Row],[Other_Attendances]]</f>
        <v>0</v>
      </c>
      <c r="P695">
        <f>MATCH(LEFT(A695,FIND("-",A695)-1),{"April","May","June","July","August","September","October","November","December","January","February","March"},0)</f>
        <v>4</v>
      </c>
      <c r="Q695" s="3">
        <f t="shared" si="20"/>
        <v>0</v>
      </c>
      <c r="R695" t="str">
        <f t="shared" si="21"/>
        <v>July</v>
      </c>
    </row>
    <row r="696" spans="1:18" x14ac:dyDescent="0.35">
      <c r="A696" t="s">
        <v>428</v>
      </c>
      <c r="B696" t="s">
        <v>267</v>
      </c>
      <c r="C696" t="s">
        <v>15</v>
      </c>
      <c r="D696" t="s">
        <v>268</v>
      </c>
      <c r="E696">
        <v>0</v>
      </c>
      <c r="F696">
        <v>6715</v>
      </c>
      <c r="G696">
        <v>0</v>
      </c>
      <c r="H696">
        <v>17</v>
      </c>
      <c r="I696">
        <v>0</v>
      </c>
      <c r="J696">
        <v>0</v>
      </c>
      <c r="K696" s="1">
        <v>45839</v>
      </c>
      <c r="L696" t="s">
        <v>429</v>
      </c>
      <c r="M696" t="s">
        <v>427</v>
      </c>
      <c r="N696" s="2">
        <f>IFERROR(NHS_A_E[[#This Row],[T1_Over4hrs]]/NHS_A_E[[#This Row],[T1_Attendances]], 0)</f>
        <v>0</v>
      </c>
      <c r="O696">
        <f>NHS_A_E[[#This Row],[T1_Attendances]]+NHS_A_E[[#This Row],[Other_Attendances]]</f>
        <v>6715</v>
      </c>
      <c r="P696">
        <f>MATCH(LEFT(A696,FIND("-",A696)-1),{"April","May","June","July","August","September","October","November","December","January","February","March"},0)</f>
        <v>4</v>
      </c>
      <c r="Q696" s="3">
        <f t="shared" si="20"/>
        <v>0</v>
      </c>
      <c r="R696" t="str">
        <f t="shared" si="21"/>
        <v>July</v>
      </c>
    </row>
    <row r="697" spans="1:18" x14ac:dyDescent="0.35">
      <c r="A697" t="s">
        <v>428</v>
      </c>
      <c r="B697" t="s">
        <v>257</v>
      </c>
      <c r="C697" t="s">
        <v>35</v>
      </c>
      <c r="D697" t="s">
        <v>258</v>
      </c>
      <c r="E697">
        <v>0</v>
      </c>
      <c r="F697">
        <v>8084</v>
      </c>
      <c r="G697">
        <v>0</v>
      </c>
      <c r="H697">
        <v>105</v>
      </c>
      <c r="I697">
        <v>0</v>
      </c>
      <c r="J697">
        <v>0</v>
      </c>
      <c r="K697" s="1">
        <v>45839</v>
      </c>
      <c r="L697" t="s">
        <v>429</v>
      </c>
      <c r="M697" t="s">
        <v>427</v>
      </c>
      <c r="N697" s="2">
        <f>IFERROR(NHS_A_E[[#This Row],[T1_Over4hrs]]/NHS_A_E[[#This Row],[T1_Attendances]], 0)</f>
        <v>0</v>
      </c>
      <c r="O697">
        <f>NHS_A_E[[#This Row],[T1_Attendances]]+NHS_A_E[[#This Row],[Other_Attendances]]</f>
        <v>8084</v>
      </c>
      <c r="P697">
        <f>MATCH(LEFT(A697,FIND("-",A697)-1),{"April","May","June","July","August","September","October","November","December","January","February","March"},0)</f>
        <v>4</v>
      </c>
      <c r="Q697" s="3">
        <f t="shared" si="20"/>
        <v>0</v>
      </c>
      <c r="R697" t="str">
        <f t="shared" si="21"/>
        <v>July</v>
      </c>
    </row>
    <row r="698" spans="1:18" x14ac:dyDescent="0.35">
      <c r="A698" t="s">
        <v>428</v>
      </c>
      <c r="B698" t="s">
        <v>111</v>
      </c>
      <c r="C698" t="s">
        <v>40</v>
      </c>
      <c r="D698" t="s">
        <v>112</v>
      </c>
      <c r="E698">
        <v>0</v>
      </c>
      <c r="F698">
        <v>439</v>
      </c>
      <c r="G698">
        <v>0</v>
      </c>
      <c r="H698">
        <v>0</v>
      </c>
      <c r="I698">
        <v>0</v>
      </c>
      <c r="J698">
        <v>0</v>
      </c>
      <c r="K698" s="1">
        <v>45839</v>
      </c>
      <c r="L698" t="s">
        <v>429</v>
      </c>
      <c r="M698" t="s">
        <v>427</v>
      </c>
      <c r="N698" s="2">
        <f>IFERROR(NHS_A_E[[#This Row],[T1_Over4hrs]]/NHS_A_E[[#This Row],[T1_Attendances]], 0)</f>
        <v>0</v>
      </c>
      <c r="O698">
        <f>NHS_A_E[[#This Row],[T1_Attendances]]+NHS_A_E[[#This Row],[Other_Attendances]]</f>
        <v>439</v>
      </c>
      <c r="P698">
        <f>MATCH(LEFT(A698,FIND("-",A698)-1),{"April","May","June","July","August","September","October","November","December","January","February","March"},0)</f>
        <v>4</v>
      </c>
      <c r="Q698" s="3">
        <f t="shared" si="20"/>
        <v>0</v>
      </c>
      <c r="R698" t="str">
        <f t="shared" si="21"/>
        <v>July</v>
      </c>
    </row>
    <row r="699" spans="1:18" x14ac:dyDescent="0.35">
      <c r="A699" t="s">
        <v>428</v>
      </c>
      <c r="B699" t="s">
        <v>189</v>
      </c>
      <c r="C699" t="s">
        <v>30</v>
      </c>
      <c r="D699" t="s">
        <v>190</v>
      </c>
      <c r="E699">
        <v>7341</v>
      </c>
      <c r="F699">
        <v>3278</v>
      </c>
      <c r="G699">
        <v>3915</v>
      </c>
      <c r="H699">
        <v>96</v>
      </c>
      <c r="I699">
        <v>942</v>
      </c>
      <c r="J699">
        <v>600</v>
      </c>
      <c r="K699" s="1">
        <v>45839</v>
      </c>
      <c r="L699" t="s">
        <v>429</v>
      </c>
      <c r="M699" t="s">
        <v>427</v>
      </c>
      <c r="N699" s="2">
        <f>IFERROR(NHS_A_E[[#This Row],[T1_Over4hrs]]/NHS_A_E[[#This Row],[T1_Attendances]], 0)</f>
        <v>0.53330608908868005</v>
      </c>
      <c r="O699">
        <f>NHS_A_E[[#This Row],[T1_Attendances]]+NHS_A_E[[#This Row],[Other_Attendances]]</f>
        <v>10619</v>
      </c>
      <c r="P699">
        <f>MATCH(LEFT(A699,FIND("-",A699)-1),{"April","May","June","July","August","September","October","November","December","January","February","March"},0)</f>
        <v>4</v>
      </c>
      <c r="Q699" s="3">
        <f t="shared" si="20"/>
        <v>8.1732733959950954E-2</v>
      </c>
      <c r="R699" t="str">
        <f t="shared" si="21"/>
        <v>July</v>
      </c>
    </row>
    <row r="700" spans="1:18" x14ac:dyDescent="0.35">
      <c r="A700" t="s">
        <v>428</v>
      </c>
      <c r="B700" t="s">
        <v>347</v>
      </c>
      <c r="C700" t="s">
        <v>63</v>
      </c>
      <c r="D700" t="s">
        <v>348</v>
      </c>
      <c r="E700">
        <v>6345</v>
      </c>
      <c r="F700">
        <v>0</v>
      </c>
      <c r="G700">
        <v>1943</v>
      </c>
      <c r="H700">
        <v>0</v>
      </c>
      <c r="I700">
        <v>270</v>
      </c>
      <c r="J700">
        <v>70</v>
      </c>
      <c r="K700" s="1">
        <v>45839</v>
      </c>
      <c r="L700" t="s">
        <v>429</v>
      </c>
      <c r="M700" t="s">
        <v>427</v>
      </c>
      <c r="N700" s="2">
        <f>IFERROR(NHS_A_E[[#This Row],[T1_Over4hrs]]/NHS_A_E[[#This Row],[T1_Attendances]], 0)</f>
        <v>0.30622537431048069</v>
      </c>
      <c r="O700">
        <f>NHS_A_E[[#This Row],[T1_Attendances]]+NHS_A_E[[#This Row],[Other_Attendances]]</f>
        <v>6345</v>
      </c>
      <c r="P700">
        <f>MATCH(LEFT(A700,FIND("-",A700)-1),{"April","May","June","July","August","September","October","November","December","January","February","March"},0)</f>
        <v>4</v>
      </c>
      <c r="Q700" s="3">
        <f t="shared" si="20"/>
        <v>1.103230890464933E-2</v>
      </c>
      <c r="R700" t="str">
        <f t="shared" si="21"/>
        <v>July</v>
      </c>
    </row>
    <row r="701" spans="1:18" x14ac:dyDescent="0.35">
      <c r="A701" t="s">
        <v>428</v>
      </c>
      <c r="B701" t="s">
        <v>87</v>
      </c>
      <c r="C701" t="s">
        <v>23</v>
      </c>
      <c r="D701" t="s">
        <v>88</v>
      </c>
      <c r="E701">
        <v>31246</v>
      </c>
      <c r="F701">
        <v>4437</v>
      </c>
      <c r="G701">
        <v>8222</v>
      </c>
      <c r="H701">
        <v>117</v>
      </c>
      <c r="I701">
        <v>2144</v>
      </c>
      <c r="J701">
        <v>265</v>
      </c>
      <c r="K701" s="1">
        <v>45839</v>
      </c>
      <c r="L701" t="s">
        <v>429</v>
      </c>
      <c r="M701" t="s">
        <v>427</v>
      </c>
      <c r="N701" s="2">
        <f>IFERROR(NHS_A_E[[#This Row],[T1_Over4hrs]]/NHS_A_E[[#This Row],[T1_Attendances]], 0)</f>
        <v>0.2631376816232478</v>
      </c>
      <c r="O701">
        <f>NHS_A_E[[#This Row],[T1_Attendances]]+NHS_A_E[[#This Row],[Other_Attendances]]</f>
        <v>35683</v>
      </c>
      <c r="P701">
        <f>MATCH(LEFT(A701,FIND("-",A701)-1),{"April","May","June","July","August","September","October","November","December","January","February","March"},0)</f>
        <v>4</v>
      </c>
      <c r="Q701" s="3">
        <f t="shared" si="20"/>
        <v>8.4810855789541062E-3</v>
      </c>
      <c r="R701" t="str">
        <f t="shared" si="21"/>
        <v>July</v>
      </c>
    </row>
    <row r="702" spans="1:18" x14ac:dyDescent="0.35">
      <c r="A702" t="s">
        <v>428</v>
      </c>
      <c r="B702" t="s">
        <v>231</v>
      </c>
      <c r="C702" t="s">
        <v>63</v>
      </c>
      <c r="D702" t="s">
        <v>232</v>
      </c>
      <c r="E702">
        <v>9328</v>
      </c>
      <c r="F702">
        <v>0</v>
      </c>
      <c r="G702">
        <v>2593</v>
      </c>
      <c r="H702">
        <v>0</v>
      </c>
      <c r="I702">
        <v>401</v>
      </c>
      <c r="J702">
        <v>0</v>
      </c>
      <c r="K702" s="1">
        <v>45839</v>
      </c>
      <c r="L702" t="s">
        <v>429</v>
      </c>
      <c r="M702" t="s">
        <v>427</v>
      </c>
      <c r="N702" s="2">
        <f>IFERROR(NHS_A_E[[#This Row],[T1_Over4hrs]]/NHS_A_E[[#This Row],[T1_Attendances]], 0)</f>
        <v>0.27798027444253859</v>
      </c>
      <c r="O702">
        <f>NHS_A_E[[#This Row],[T1_Attendances]]+NHS_A_E[[#This Row],[Other_Attendances]]</f>
        <v>9328</v>
      </c>
      <c r="P702">
        <f>MATCH(LEFT(A702,FIND("-",A702)-1),{"April","May","June","July","August","September","October","November","December","January","February","March"},0)</f>
        <v>4</v>
      </c>
      <c r="Q702" s="3">
        <f t="shared" si="20"/>
        <v>0</v>
      </c>
      <c r="R702" t="str">
        <f t="shared" si="21"/>
        <v>July</v>
      </c>
    </row>
    <row r="703" spans="1:18" x14ac:dyDescent="0.35">
      <c r="A703" t="s">
        <v>428</v>
      </c>
      <c r="B703" t="s">
        <v>123</v>
      </c>
      <c r="C703" t="s">
        <v>15</v>
      </c>
      <c r="D703" t="s">
        <v>124</v>
      </c>
      <c r="E703">
        <v>12834</v>
      </c>
      <c r="F703">
        <v>13455</v>
      </c>
      <c r="G703">
        <v>5749</v>
      </c>
      <c r="H703">
        <v>421</v>
      </c>
      <c r="I703">
        <v>466</v>
      </c>
      <c r="J703">
        <v>1195</v>
      </c>
      <c r="K703" s="1">
        <v>45839</v>
      </c>
      <c r="L703" t="s">
        <v>429</v>
      </c>
      <c r="M703" t="s">
        <v>427</v>
      </c>
      <c r="N703" s="2">
        <f>IFERROR(NHS_A_E[[#This Row],[T1_Over4hrs]]/NHS_A_E[[#This Row],[T1_Attendances]], 0)</f>
        <v>0.44795075580489324</v>
      </c>
      <c r="O703">
        <f>NHS_A_E[[#This Row],[T1_Attendances]]+NHS_A_E[[#This Row],[Other_Attendances]]</f>
        <v>26289</v>
      </c>
      <c r="P703">
        <f>MATCH(LEFT(A703,FIND("-",A703)-1),{"April","May","June","July","August","September","October","November","December","January","February","March"},0)</f>
        <v>4</v>
      </c>
      <c r="Q703" s="3">
        <f t="shared" si="20"/>
        <v>9.3112046127473896E-2</v>
      </c>
      <c r="R703" t="str">
        <f t="shared" si="21"/>
        <v>July</v>
      </c>
    </row>
    <row r="704" spans="1:18" x14ac:dyDescent="0.35">
      <c r="A704" t="s">
        <v>428</v>
      </c>
      <c r="B704" t="s">
        <v>375</v>
      </c>
      <c r="C704" t="s">
        <v>40</v>
      </c>
      <c r="D704" t="s">
        <v>376</v>
      </c>
      <c r="E704">
        <v>11564</v>
      </c>
      <c r="F704">
        <v>8321</v>
      </c>
      <c r="G704">
        <v>4112</v>
      </c>
      <c r="H704">
        <v>136</v>
      </c>
      <c r="I704">
        <v>538</v>
      </c>
      <c r="J704">
        <v>55</v>
      </c>
      <c r="K704" s="1">
        <v>45839</v>
      </c>
      <c r="L704" t="s">
        <v>429</v>
      </c>
      <c r="M704" t="s">
        <v>427</v>
      </c>
      <c r="N704" s="2">
        <f>IFERROR(NHS_A_E[[#This Row],[T1_Over4hrs]]/NHS_A_E[[#This Row],[T1_Attendances]], 0)</f>
        <v>0.35558630231753718</v>
      </c>
      <c r="O704">
        <f>NHS_A_E[[#This Row],[T1_Attendances]]+NHS_A_E[[#This Row],[Other_Attendances]]</f>
        <v>19885</v>
      </c>
      <c r="P704">
        <f>MATCH(LEFT(A704,FIND("-",A704)-1),{"April","May","June","July","August","September","October","November","December","January","February","March"},0)</f>
        <v>4</v>
      </c>
      <c r="Q704" s="3">
        <f t="shared" si="20"/>
        <v>4.7561397440332061E-3</v>
      </c>
      <c r="R704" t="str">
        <f t="shared" si="21"/>
        <v>July</v>
      </c>
    </row>
    <row r="705" spans="1:18" x14ac:dyDescent="0.35">
      <c r="A705" t="s">
        <v>428</v>
      </c>
      <c r="B705" t="s">
        <v>259</v>
      </c>
      <c r="C705" t="s">
        <v>40</v>
      </c>
      <c r="D705" t="s">
        <v>260</v>
      </c>
      <c r="E705">
        <v>0</v>
      </c>
      <c r="F705">
        <v>0</v>
      </c>
      <c r="G705">
        <v>0</v>
      </c>
      <c r="H705">
        <v>0</v>
      </c>
      <c r="I705">
        <v>0</v>
      </c>
      <c r="J705">
        <v>0</v>
      </c>
      <c r="K705" s="1">
        <v>45839</v>
      </c>
      <c r="L705" t="s">
        <v>429</v>
      </c>
      <c r="M705" t="s">
        <v>427</v>
      </c>
      <c r="N705" s="2">
        <f>IFERROR(NHS_A_E[[#This Row],[T1_Over4hrs]]/NHS_A_E[[#This Row],[T1_Attendances]], 0)</f>
        <v>0</v>
      </c>
      <c r="O705">
        <f>NHS_A_E[[#This Row],[T1_Attendances]]+NHS_A_E[[#This Row],[Other_Attendances]]</f>
        <v>0</v>
      </c>
      <c r="P705">
        <f>MATCH(LEFT(A705,FIND("-",A705)-1),{"April","May","June","July","August","September","October","November","December","January","February","March"},0)</f>
        <v>4</v>
      </c>
      <c r="Q705" s="3">
        <f t="shared" si="20"/>
        <v>0</v>
      </c>
      <c r="R705" t="str">
        <f t="shared" si="21"/>
        <v>July</v>
      </c>
    </row>
    <row r="706" spans="1:18" x14ac:dyDescent="0.35">
      <c r="A706" t="s">
        <v>428</v>
      </c>
      <c r="B706" t="s">
        <v>383</v>
      </c>
      <c r="C706" t="s">
        <v>20</v>
      </c>
      <c r="D706" t="s">
        <v>384</v>
      </c>
      <c r="E706">
        <v>0</v>
      </c>
      <c r="F706">
        <v>119</v>
      </c>
      <c r="G706">
        <v>0</v>
      </c>
      <c r="H706">
        <v>0</v>
      </c>
      <c r="I706">
        <v>0</v>
      </c>
      <c r="J706">
        <v>0</v>
      </c>
      <c r="K706" s="1">
        <v>45839</v>
      </c>
      <c r="L706" t="s">
        <v>429</v>
      </c>
      <c r="M706" t="s">
        <v>427</v>
      </c>
      <c r="N706" s="2">
        <f>IFERROR(NHS_A_E[[#This Row],[T1_Over4hrs]]/NHS_A_E[[#This Row],[T1_Attendances]], 0)</f>
        <v>0</v>
      </c>
      <c r="O706">
        <f>NHS_A_E[[#This Row],[T1_Attendances]]+NHS_A_E[[#This Row],[Other_Attendances]]</f>
        <v>119</v>
      </c>
      <c r="P706">
        <f>MATCH(LEFT(A706,FIND("-",A706)-1),{"April","May","June","July","August","September","October","November","December","January","February","March"},0)</f>
        <v>4</v>
      </c>
      <c r="Q706" s="3">
        <f t="shared" ref="Q706:Q769" si="22">IFERROR(J706/E706,0)</f>
        <v>0</v>
      </c>
      <c r="R706" t="str">
        <f t="shared" ref="R706:R769" si="23">TEXT(A706, "mmmm")</f>
        <v>July</v>
      </c>
    </row>
    <row r="707" spans="1:18" x14ac:dyDescent="0.35">
      <c r="A707" t="s">
        <v>428</v>
      </c>
      <c r="B707" t="s">
        <v>253</v>
      </c>
      <c r="C707" t="s">
        <v>63</v>
      </c>
      <c r="D707" t="s">
        <v>254</v>
      </c>
      <c r="E707">
        <v>6240</v>
      </c>
      <c r="F707">
        <v>4128</v>
      </c>
      <c r="G707">
        <v>1801</v>
      </c>
      <c r="H707">
        <v>37</v>
      </c>
      <c r="I707">
        <v>250</v>
      </c>
      <c r="J707">
        <v>1</v>
      </c>
      <c r="K707" s="1">
        <v>45839</v>
      </c>
      <c r="L707" t="s">
        <v>429</v>
      </c>
      <c r="M707" t="s">
        <v>427</v>
      </c>
      <c r="N707" s="2">
        <f>IFERROR(NHS_A_E[[#This Row],[T1_Over4hrs]]/NHS_A_E[[#This Row],[T1_Attendances]], 0)</f>
        <v>0.28862179487179485</v>
      </c>
      <c r="O707">
        <f>NHS_A_E[[#This Row],[T1_Attendances]]+NHS_A_E[[#This Row],[Other_Attendances]]</f>
        <v>10368</v>
      </c>
      <c r="P707">
        <f>MATCH(LEFT(A707,FIND("-",A707)-1),{"April","May","June","July","August","September","October","November","December","January","February","March"},0)</f>
        <v>4</v>
      </c>
      <c r="Q707" s="3">
        <f t="shared" si="22"/>
        <v>1.6025641025641026E-4</v>
      </c>
      <c r="R707" t="str">
        <f t="shared" si="23"/>
        <v>July</v>
      </c>
    </row>
    <row r="708" spans="1:18" x14ac:dyDescent="0.35">
      <c r="A708" t="s">
        <v>428</v>
      </c>
      <c r="B708" t="s">
        <v>229</v>
      </c>
      <c r="C708" t="s">
        <v>23</v>
      </c>
      <c r="D708" t="s">
        <v>230</v>
      </c>
      <c r="E708">
        <v>7060</v>
      </c>
      <c r="F708">
        <v>1109</v>
      </c>
      <c r="G708">
        <v>3382</v>
      </c>
      <c r="H708">
        <v>0</v>
      </c>
      <c r="I708">
        <v>444</v>
      </c>
      <c r="J708">
        <v>125</v>
      </c>
      <c r="K708" s="1">
        <v>45839</v>
      </c>
      <c r="L708" t="s">
        <v>429</v>
      </c>
      <c r="M708" t="s">
        <v>427</v>
      </c>
      <c r="N708" s="2">
        <f>IFERROR(NHS_A_E[[#This Row],[T1_Over4hrs]]/NHS_A_E[[#This Row],[T1_Attendances]], 0)</f>
        <v>0.47903682719546742</v>
      </c>
      <c r="O708">
        <f>NHS_A_E[[#This Row],[T1_Attendances]]+NHS_A_E[[#This Row],[Other_Attendances]]</f>
        <v>8169</v>
      </c>
      <c r="P708">
        <f>MATCH(LEFT(A708,FIND("-",A708)-1),{"April","May","June","July","August","September","October","November","December","January","February","March"},0)</f>
        <v>4</v>
      </c>
      <c r="Q708" s="3">
        <f t="shared" si="22"/>
        <v>1.7705382436260624E-2</v>
      </c>
      <c r="R708" t="str">
        <f t="shared" si="23"/>
        <v>July</v>
      </c>
    </row>
    <row r="709" spans="1:18" x14ac:dyDescent="0.35">
      <c r="A709" t="s">
        <v>428</v>
      </c>
      <c r="B709" t="s">
        <v>293</v>
      </c>
      <c r="C709" t="s">
        <v>20</v>
      </c>
      <c r="D709" t="s">
        <v>294</v>
      </c>
      <c r="E709">
        <v>0</v>
      </c>
      <c r="F709">
        <v>0</v>
      </c>
      <c r="G709">
        <v>0</v>
      </c>
      <c r="H709">
        <v>0</v>
      </c>
      <c r="I709">
        <v>0</v>
      </c>
      <c r="J709">
        <v>0</v>
      </c>
      <c r="K709" s="1">
        <v>45839</v>
      </c>
      <c r="L709" t="s">
        <v>429</v>
      </c>
      <c r="M709" t="s">
        <v>427</v>
      </c>
      <c r="N709" s="2">
        <f>IFERROR(NHS_A_E[[#This Row],[T1_Over4hrs]]/NHS_A_E[[#This Row],[T1_Attendances]], 0)</f>
        <v>0</v>
      </c>
      <c r="O709">
        <f>NHS_A_E[[#This Row],[T1_Attendances]]+NHS_A_E[[#This Row],[Other_Attendances]]</f>
        <v>0</v>
      </c>
      <c r="P709">
        <f>MATCH(LEFT(A709,FIND("-",A709)-1),{"April","May","June","July","August","September","October","November","December","January","February","March"},0)</f>
        <v>4</v>
      </c>
      <c r="Q709" s="3">
        <f t="shared" si="22"/>
        <v>0</v>
      </c>
      <c r="R709" t="str">
        <f t="shared" si="23"/>
        <v>July</v>
      </c>
    </row>
    <row r="710" spans="1:18" x14ac:dyDescent="0.35">
      <c r="A710" t="s">
        <v>428</v>
      </c>
      <c r="B710" t="s">
        <v>269</v>
      </c>
      <c r="C710" t="s">
        <v>40</v>
      </c>
      <c r="D710" t="s">
        <v>270</v>
      </c>
      <c r="E710">
        <v>6218</v>
      </c>
      <c r="F710">
        <v>197</v>
      </c>
      <c r="G710">
        <v>2227</v>
      </c>
      <c r="H710">
        <v>0</v>
      </c>
      <c r="I710">
        <v>405</v>
      </c>
      <c r="J710">
        <v>182</v>
      </c>
      <c r="K710" s="1">
        <v>45839</v>
      </c>
      <c r="L710" t="s">
        <v>429</v>
      </c>
      <c r="M710" t="s">
        <v>427</v>
      </c>
      <c r="N710" s="2">
        <f>IFERROR(NHS_A_E[[#This Row],[T1_Over4hrs]]/NHS_A_E[[#This Row],[T1_Attendances]], 0)</f>
        <v>0.35815374718559023</v>
      </c>
      <c r="O710">
        <f>NHS_A_E[[#This Row],[T1_Attendances]]+NHS_A_E[[#This Row],[Other_Attendances]]</f>
        <v>6415</v>
      </c>
      <c r="P710">
        <f>MATCH(LEFT(A710,FIND("-",A710)-1),{"April","May","June","July","August","September","October","November","December","January","February","March"},0)</f>
        <v>4</v>
      </c>
      <c r="Q710" s="3">
        <f t="shared" si="22"/>
        <v>2.9269861691862336E-2</v>
      </c>
      <c r="R710" t="str">
        <f t="shared" si="23"/>
        <v>July</v>
      </c>
    </row>
    <row r="711" spans="1:18" x14ac:dyDescent="0.35">
      <c r="A711" t="s">
        <v>428</v>
      </c>
      <c r="B711" t="s">
        <v>295</v>
      </c>
      <c r="C711" t="s">
        <v>15</v>
      </c>
      <c r="D711" t="s">
        <v>296</v>
      </c>
      <c r="E711">
        <v>10680</v>
      </c>
      <c r="F711">
        <v>0</v>
      </c>
      <c r="G711">
        <v>4184</v>
      </c>
      <c r="H711">
        <v>0</v>
      </c>
      <c r="I711">
        <v>621</v>
      </c>
      <c r="J711">
        <v>626</v>
      </c>
      <c r="K711" s="1">
        <v>45839</v>
      </c>
      <c r="L711" t="s">
        <v>429</v>
      </c>
      <c r="M711" t="s">
        <v>427</v>
      </c>
      <c r="N711" s="2">
        <f>IFERROR(NHS_A_E[[#This Row],[T1_Over4hrs]]/NHS_A_E[[#This Row],[T1_Attendances]], 0)</f>
        <v>0.39176029962546816</v>
      </c>
      <c r="O711">
        <f>NHS_A_E[[#This Row],[T1_Attendances]]+NHS_A_E[[#This Row],[Other_Attendances]]</f>
        <v>10680</v>
      </c>
      <c r="P711">
        <f>MATCH(LEFT(A711,FIND("-",A711)-1),{"April","May","June","July","August","September","October","November","December","January","February","March"},0)</f>
        <v>4</v>
      </c>
      <c r="Q711" s="3">
        <f t="shared" si="22"/>
        <v>5.8614232209737827E-2</v>
      </c>
      <c r="R711" t="str">
        <f t="shared" si="23"/>
        <v>July</v>
      </c>
    </row>
    <row r="712" spans="1:18" x14ac:dyDescent="0.35">
      <c r="A712" t="s">
        <v>428</v>
      </c>
      <c r="B712" t="s">
        <v>409</v>
      </c>
      <c r="C712" t="s">
        <v>15</v>
      </c>
      <c r="D712" t="s">
        <v>410</v>
      </c>
      <c r="E712">
        <v>17753</v>
      </c>
      <c r="F712">
        <v>2371</v>
      </c>
      <c r="G712">
        <v>3414</v>
      </c>
      <c r="H712">
        <v>21</v>
      </c>
      <c r="I712">
        <v>839</v>
      </c>
      <c r="J712">
        <v>62</v>
      </c>
      <c r="K712" s="1">
        <v>45839</v>
      </c>
      <c r="L712" t="s">
        <v>429</v>
      </c>
      <c r="M712" t="s">
        <v>427</v>
      </c>
      <c r="N712" s="2">
        <f>IFERROR(NHS_A_E[[#This Row],[T1_Over4hrs]]/NHS_A_E[[#This Row],[T1_Attendances]], 0)</f>
        <v>0.19230552582662086</v>
      </c>
      <c r="O712">
        <f>NHS_A_E[[#This Row],[T1_Attendances]]+NHS_A_E[[#This Row],[Other_Attendances]]</f>
        <v>20124</v>
      </c>
      <c r="P712">
        <f>MATCH(LEFT(A712,FIND("-",A712)-1),{"April","May","June","July","August","September","October","November","December","January","February","March"},0)</f>
        <v>4</v>
      </c>
      <c r="Q712" s="3">
        <f t="shared" si="22"/>
        <v>3.4923674871852645E-3</v>
      </c>
      <c r="R712" t="str">
        <f t="shared" si="23"/>
        <v>July</v>
      </c>
    </row>
    <row r="713" spans="1:18" x14ac:dyDescent="0.35">
      <c r="A713" t="s">
        <v>428</v>
      </c>
      <c r="B713" t="s">
        <v>299</v>
      </c>
      <c r="C713" t="s">
        <v>63</v>
      </c>
      <c r="D713" t="s">
        <v>300</v>
      </c>
      <c r="E713">
        <v>16778</v>
      </c>
      <c r="F713">
        <v>0</v>
      </c>
      <c r="G713">
        <v>2485</v>
      </c>
      <c r="H713">
        <v>0</v>
      </c>
      <c r="I713">
        <v>591</v>
      </c>
      <c r="J713">
        <v>7</v>
      </c>
      <c r="K713" s="1">
        <v>45839</v>
      </c>
      <c r="L713" t="s">
        <v>429</v>
      </c>
      <c r="M713" t="s">
        <v>427</v>
      </c>
      <c r="N713" s="2">
        <f>IFERROR(NHS_A_E[[#This Row],[T1_Over4hrs]]/NHS_A_E[[#This Row],[T1_Attendances]], 0)</f>
        <v>0.14811062105137679</v>
      </c>
      <c r="O713">
        <f>NHS_A_E[[#This Row],[T1_Attendances]]+NHS_A_E[[#This Row],[Other_Attendances]]</f>
        <v>16778</v>
      </c>
      <c r="P713">
        <f>MATCH(LEFT(A713,FIND("-",A713)-1),{"April","May","June","July","August","September","October","November","December","January","February","March"},0)</f>
        <v>4</v>
      </c>
      <c r="Q713" s="3">
        <f t="shared" si="22"/>
        <v>4.1721301704613186E-4</v>
      </c>
      <c r="R713" t="str">
        <f t="shared" si="23"/>
        <v>July</v>
      </c>
    </row>
    <row r="714" spans="1:18" x14ac:dyDescent="0.35">
      <c r="A714" t="s">
        <v>428</v>
      </c>
      <c r="B714" t="s">
        <v>301</v>
      </c>
      <c r="C714" t="s">
        <v>30</v>
      </c>
      <c r="D714" t="s">
        <v>302</v>
      </c>
      <c r="E714">
        <v>0</v>
      </c>
      <c r="F714">
        <v>4311</v>
      </c>
      <c r="G714">
        <v>0</v>
      </c>
      <c r="H714">
        <v>348</v>
      </c>
      <c r="I714">
        <v>0</v>
      </c>
      <c r="J714">
        <v>0</v>
      </c>
      <c r="K714" s="1">
        <v>45839</v>
      </c>
      <c r="L714" t="s">
        <v>429</v>
      </c>
      <c r="M714" t="s">
        <v>427</v>
      </c>
      <c r="N714" s="2">
        <f>IFERROR(NHS_A_E[[#This Row],[T1_Over4hrs]]/NHS_A_E[[#This Row],[T1_Attendances]], 0)</f>
        <v>0</v>
      </c>
      <c r="O714">
        <f>NHS_A_E[[#This Row],[T1_Attendances]]+NHS_A_E[[#This Row],[Other_Attendances]]</f>
        <v>4311</v>
      </c>
      <c r="P714">
        <f>MATCH(LEFT(A714,FIND("-",A714)-1),{"April","May","June","July","August","September","October","November","December","January","February","March"},0)</f>
        <v>4</v>
      </c>
      <c r="Q714" s="3">
        <f t="shared" si="22"/>
        <v>0</v>
      </c>
      <c r="R714" t="str">
        <f t="shared" si="23"/>
        <v>July</v>
      </c>
    </row>
    <row r="715" spans="1:18" x14ac:dyDescent="0.35">
      <c r="A715" t="s">
        <v>428</v>
      </c>
      <c r="B715" t="s">
        <v>420</v>
      </c>
      <c r="C715" t="s">
        <v>15</v>
      </c>
      <c r="D715" t="s">
        <v>421</v>
      </c>
      <c r="E715">
        <v>0</v>
      </c>
      <c r="F715">
        <v>2894</v>
      </c>
      <c r="G715">
        <v>0</v>
      </c>
      <c r="H715">
        <v>0</v>
      </c>
      <c r="I715">
        <v>0</v>
      </c>
      <c r="J715">
        <v>0</v>
      </c>
      <c r="K715" s="1">
        <v>45839</v>
      </c>
      <c r="L715" t="s">
        <v>429</v>
      </c>
      <c r="M715" t="s">
        <v>427</v>
      </c>
      <c r="N715" s="2">
        <f>IFERROR(NHS_A_E[[#This Row],[T1_Over4hrs]]/NHS_A_E[[#This Row],[T1_Attendances]], 0)</f>
        <v>0</v>
      </c>
      <c r="O715">
        <f>NHS_A_E[[#This Row],[T1_Attendances]]+NHS_A_E[[#This Row],[Other_Attendances]]</f>
        <v>2894</v>
      </c>
      <c r="P715">
        <f>MATCH(LEFT(A715,FIND("-",A715)-1),{"April","May","June","July","August","September","October","November","December","January","February","March"},0)</f>
        <v>4</v>
      </c>
      <c r="Q715" s="3">
        <f t="shared" si="22"/>
        <v>0</v>
      </c>
      <c r="R715" t="str">
        <f t="shared" si="23"/>
        <v>July</v>
      </c>
    </row>
    <row r="716" spans="1:18" x14ac:dyDescent="0.35">
      <c r="A716" t="s">
        <v>428</v>
      </c>
      <c r="B716" t="s">
        <v>243</v>
      </c>
      <c r="C716" t="s">
        <v>23</v>
      </c>
      <c r="D716" t="s">
        <v>244</v>
      </c>
      <c r="E716">
        <v>0</v>
      </c>
      <c r="F716">
        <v>2484</v>
      </c>
      <c r="G716">
        <v>0</v>
      </c>
      <c r="H716">
        <v>131</v>
      </c>
      <c r="I716">
        <v>0</v>
      </c>
      <c r="J716">
        <v>0</v>
      </c>
      <c r="K716" s="1">
        <v>45839</v>
      </c>
      <c r="L716" t="s">
        <v>429</v>
      </c>
      <c r="M716" t="s">
        <v>427</v>
      </c>
      <c r="N716" s="2">
        <f>IFERROR(NHS_A_E[[#This Row],[T1_Over4hrs]]/NHS_A_E[[#This Row],[T1_Attendances]], 0)</f>
        <v>0</v>
      </c>
      <c r="O716">
        <f>NHS_A_E[[#This Row],[T1_Attendances]]+NHS_A_E[[#This Row],[Other_Attendances]]</f>
        <v>2484</v>
      </c>
      <c r="P716">
        <f>MATCH(LEFT(A716,FIND("-",A716)-1),{"April","May","June","July","August","September","October","November","December","January","February","March"},0)</f>
        <v>4</v>
      </c>
      <c r="Q716" s="3">
        <f t="shared" si="22"/>
        <v>0</v>
      </c>
      <c r="R716" t="str">
        <f t="shared" si="23"/>
        <v>July</v>
      </c>
    </row>
    <row r="717" spans="1:18" x14ac:dyDescent="0.35">
      <c r="A717" t="s">
        <v>428</v>
      </c>
      <c r="B717" t="s">
        <v>422</v>
      </c>
      <c r="C717" t="s">
        <v>20</v>
      </c>
      <c r="D717" t="s">
        <v>423</v>
      </c>
      <c r="E717">
        <v>0</v>
      </c>
      <c r="F717">
        <v>1079</v>
      </c>
      <c r="G717">
        <v>0</v>
      </c>
      <c r="H717">
        <v>2</v>
      </c>
      <c r="I717">
        <v>0</v>
      </c>
      <c r="J717">
        <v>0</v>
      </c>
      <c r="K717" s="1">
        <v>45839</v>
      </c>
      <c r="L717" t="s">
        <v>429</v>
      </c>
      <c r="M717" t="s">
        <v>427</v>
      </c>
      <c r="N717" s="2">
        <f>IFERROR(NHS_A_E[[#This Row],[T1_Over4hrs]]/NHS_A_E[[#This Row],[T1_Attendances]], 0)</f>
        <v>0</v>
      </c>
      <c r="O717">
        <f>NHS_A_E[[#This Row],[T1_Attendances]]+NHS_A_E[[#This Row],[Other_Attendances]]</f>
        <v>1079</v>
      </c>
      <c r="P717">
        <f>MATCH(LEFT(A717,FIND("-",A717)-1),{"April","May","June","July","August","September","October","November","December","January","February","March"},0)</f>
        <v>4</v>
      </c>
      <c r="Q717" s="3">
        <f t="shared" si="22"/>
        <v>0</v>
      </c>
      <c r="R717" t="str">
        <f t="shared" si="23"/>
        <v>July</v>
      </c>
    </row>
    <row r="718" spans="1:18" x14ac:dyDescent="0.35">
      <c r="A718" t="s">
        <v>428</v>
      </c>
      <c r="B718" t="s">
        <v>307</v>
      </c>
      <c r="C718" t="s">
        <v>40</v>
      </c>
      <c r="D718" t="s">
        <v>308</v>
      </c>
      <c r="E718">
        <v>0</v>
      </c>
      <c r="F718">
        <v>2863</v>
      </c>
      <c r="G718">
        <v>0</v>
      </c>
      <c r="H718">
        <v>0</v>
      </c>
      <c r="I718">
        <v>0</v>
      </c>
      <c r="J718">
        <v>0</v>
      </c>
      <c r="K718" s="1">
        <v>45839</v>
      </c>
      <c r="L718" t="s">
        <v>429</v>
      </c>
      <c r="M718" t="s">
        <v>427</v>
      </c>
      <c r="N718" s="2">
        <f>IFERROR(NHS_A_E[[#This Row],[T1_Over4hrs]]/NHS_A_E[[#This Row],[T1_Attendances]], 0)</f>
        <v>0</v>
      </c>
      <c r="O718">
        <f>NHS_A_E[[#This Row],[T1_Attendances]]+NHS_A_E[[#This Row],[Other_Attendances]]</f>
        <v>2863</v>
      </c>
      <c r="P718">
        <f>MATCH(LEFT(A718,FIND("-",A718)-1),{"April","May","June","July","August","September","October","November","December","January","February","March"},0)</f>
        <v>4</v>
      </c>
      <c r="Q718" s="3">
        <f t="shared" si="22"/>
        <v>0</v>
      </c>
      <c r="R718" t="str">
        <f t="shared" si="23"/>
        <v>July</v>
      </c>
    </row>
    <row r="719" spans="1:18" x14ac:dyDescent="0.35">
      <c r="A719" t="s">
        <v>428</v>
      </c>
      <c r="B719" t="s">
        <v>75</v>
      </c>
      <c r="C719" t="s">
        <v>63</v>
      </c>
      <c r="D719" t="s">
        <v>76</v>
      </c>
      <c r="E719">
        <v>0</v>
      </c>
      <c r="F719">
        <v>3787</v>
      </c>
      <c r="G719">
        <v>0</v>
      </c>
      <c r="H719">
        <v>388</v>
      </c>
      <c r="I719">
        <v>0</v>
      </c>
      <c r="J719">
        <v>0</v>
      </c>
      <c r="K719" s="1">
        <v>45839</v>
      </c>
      <c r="L719" t="s">
        <v>429</v>
      </c>
      <c r="M719" t="s">
        <v>427</v>
      </c>
      <c r="N719" s="2">
        <f>IFERROR(NHS_A_E[[#This Row],[T1_Over4hrs]]/NHS_A_E[[#This Row],[T1_Attendances]], 0)</f>
        <v>0</v>
      </c>
      <c r="O719">
        <f>NHS_A_E[[#This Row],[T1_Attendances]]+NHS_A_E[[#This Row],[Other_Attendances]]</f>
        <v>3787</v>
      </c>
      <c r="P719">
        <f>MATCH(LEFT(A719,FIND("-",A719)-1),{"April","May","June","July","August","September","October","November","December","January","February","March"},0)</f>
        <v>4</v>
      </c>
      <c r="Q719" s="3">
        <f t="shared" si="22"/>
        <v>0</v>
      </c>
      <c r="R719" t="str">
        <f t="shared" si="23"/>
        <v>July</v>
      </c>
    </row>
    <row r="720" spans="1:18" x14ac:dyDescent="0.35">
      <c r="A720" t="s">
        <v>428</v>
      </c>
      <c r="B720" t="s">
        <v>77</v>
      </c>
      <c r="C720" t="s">
        <v>63</v>
      </c>
      <c r="D720" t="s">
        <v>78</v>
      </c>
      <c r="E720">
        <v>0</v>
      </c>
      <c r="F720">
        <v>1764</v>
      </c>
      <c r="G720">
        <v>0</v>
      </c>
      <c r="H720">
        <v>87</v>
      </c>
      <c r="I720">
        <v>0</v>
      </c>
      <c r="J720">
        <v>0</v>
      </c>
      <c r="K720" s="1">
        <v>45839</v>
      </c>
      <c r="L720" t="s">
        <v>429</v>
      </c>
      <c r="M720" t="s">
        <v>427</v>
      </c>
      <c r="N720" s="2">
        <f>IFERROR(NHS_A_E[[#This Row],[T1_Over4hrs]]/NHS_A_E[[#This Row],[T1_Attendances]], 0)</f>
        <v>0</v>
      </c>
      <c r="O720">
        <f>NHS_A_E[[#This Row],[T1_Attendances]]+NHS_A_E[[#This Row],[Other_Attendances]]</f>
        <v>1764</v>
      </c>
      <c r="P720">
        <f>MATCH(LEFT(A720,FIND("-",A720)-1),{"April","May","June","July","August","September","October","November","December","January","February","March"},0)</f>
        <v>4</v>
      </c>
      <c r="Q720" s="3">
        <f t="shared" si="22"/>
        <v>0</v>
      </c>
      <c r="R720" t="str">
        <f t="shared" si="23"/>
        <v>July</v>
      </c>
    </row>
    <row r="721" spans="1:18" x14ac:dyDescent="0.35">
      <c r="A721" t="s">
        <v>428</v>
      </c>
      <c r="B721" t="s">
        <v>79</v>
      </c>
      <c r="C721" t="s">
        <v>63</v>
      </c>
      <c r="D721" t="s">
        <v>80</v>
      </c>
      <c r="E721">
        <v>0</v>
      </c>
      <c r="F721">
        <v>2950</v>
      </c>
      <c r="G721">
        <v>0</v>
      </c>
      <c r="H721">
        <v>266</v>
      </c>
      <c r="I721">
        <v>0</v>
      </c>
      <c r="J721">
        <v>0</v>
      </c>
      <c r="K721" s="1">
        <v>45839</v>
      </c>
      <c r="L721" t="s">
        <v>429</v>
      </c>
      <c r="M721" t="s">
        <v>427</v>
      </c>
      <c r="N721" s="2">
        <f>IFERROR(NHS_A_E[[#This Row],[T1_Over4hrs]]/NHS_A_E[[#This Row],[T1_Attendances]], 0)</f>
        <v>0</v>
      </c>
      <c r="O721">
        <f>NHS_A_E[[#This Row],[T1_Attendances]]+NHS_A_E[[#This Row],[Other_Attendances]]</f>
        <v>2950</v>
      </c>
      <c r="P721">
        <f>MATCH(LEFT(A721,FIND("-",A721)-1),{"April","May","June","July","August","September","October","November","December","January","February","March"},0)</f>
        <v>4</v>
      </c>
      <c r="Q721" s="3">
        <f t="shared" si="22"/>
        <v>0</v>
      </c>
      <c r="R721" t="str">
        <f t="shared" si="23"/>
        <v>July</v>
      </c>
    </row>
    <row r="722" spans="1:18" x14ac:dyDescent="0.35">
      <c r="A722" t="s">
        <v>428</v>
      </c>
      <c r="B722" t="s">
        <v>81</v>
      </c>
      <c r="C722" t="s">
        <v>63</v>
      </c>
      <c r="D722" t="s">
        <v>82</v>
      </c>
      <c r="E722">
        <v>0</v>
      </c>
      <c r="F722">
        <v>1690</v>
      </c>
      <c r="G722">
        <v>0</v>
      </c>
      <c r="H722">
        <v>14</v>
      </c>
      <c r="I722">
        <v>0</v>
      </c>
      <c r="J722">
        <v>0</v>
      </c>
      <c r="K722" s="1">
        <v>45839</v>
      </c>
      <c r="L722" t="s">
        <v>429</v>
      </c>
      <c r="M722" t="s">
        <v>427</v>
      </c>
      <c r="N722" s="2">
        <f>IFERROR(NHS_A_E[[#This Row],[T1_Over4hrs]]/NHS_A_E[[#This Row],[T1_Attendances]], 0)</f>
        <v>0</v>
      </c>
      <c r="O722">
        <f>NHS_A_E[[#This Row],[T1_Attendances]]+NHS_A_E[[#This Row],[Other_Attendances]]</f>
        <v>1690</v>
      </c>
      <c r="P722">
        <f>MATCH(LEFT(A722,FIND("-",A722)-1),{"April","May","June","July","August","September","October","November","December","January","February","March"},0)</f>
        <v>4</v>
      </c>
      <c r="Q722" s="3">
        <f t="shared" si="22"/>
        <v>0</v>
      </c>
      <c r="R722" t="str">
        <f t="shared" si="23"/>
        <v>July</v>
      </c>
    </row>
    <row r="723" spans="1:18" x14ac:dyDescent="0.35">
      <c r="A723" t="s">
        <v>428</v>
      </c>
      <c r="B723" t="s">
        <v>391</v>
      </c>
      <c r="C723" t="s">
        <v>63</v>
      </c>
      <c r="D723" t="s">
        <v>392</v>
      </c>
      <c r="E723">
        <v>4528</v>
      </c>
      <c r="F723">
        <v>239</v>
      </c>
      <c r="G723">
        <v>271</v>
      </c>
      <c r="H723">
        <v>0</v>
      </c>
      <c r="I723">
        <v>10</v>
      </c>
      <c r="J723">
        <v>0</v>
      </c>
      <c r="K723" s="1">
        <v>45839</v>
      </c>
      <c r="L723" t="s">
        <v>429</v>
      </c>
      <c r="M723" t="s">
        <v>427</v>
      </c>
      <c r="N723" s="2">
        <f>IFERROR(NHS_A_E[[#This Row],[T1_Over4hrs]]/NHS_A_E[[#This Row],[T1_Attendances]], 0)</f>
        <v>5.9849823321554772E-2</v>
      </c>
      <c r="O723">
        <f>NHS_A_E[[#This Row],[T1_Attendances]]+NHS_A_E[[#This Row],[Other_Attendances]]</f>
        <v>4767</v>
      </c>
      <c r="P723">
        <f>MATCH(LEFT(A723,FIND("-",A723)-1),{"April","May","June","July","August","September","October","November","December","January","February","March"},0)</f>
        <v>4</v>
      </c>
      <c r="Q723" s="3">
        <f t="shared" si="22"/>
        <v>0</v>
      </c>
      <c r="R723" t="str">
        <f t="shared" si="23"/>
        <v>July</v>
      </c>
    </row>
    <row r="724" spans="1:18" x14ac:dyDescent="0.35">
      <c r="A724" t="s">
        <v>428</v>
      </c>
      <c r="B724" t="s">
        <v>147</v>
      </c>
      <c r="C724" t="s">
        <v>40</v>
      </c>
      <c r="D724" t="s">
        <v>148</v>
      </c>
      <c r="E724">
        <v>0</v>
      </c>
      <c r="F724">
        <v>1872</v>
      </c>
      <c r="G724">
        <v>0</v>
      </c>
      <c r="H724">
        <v>0</v>
      </c>
      <c r="I724">
        <v>0</v>
      </c>
      <c r="J724">
        <v>0</v>
      </c>
      <c r="K724" s="1">
        <v>45839</v>
      </c>
      <c r="L724" t="s">
        <v>429</v>
      </c>
      <c r="M724" t="s">
        <v>427</v>
      </c>
      <c r="N724" s="2">
        <f>IFERROR(NHS_A_E[[#This Row],[T1_Over4hrs]]/NHS_A_E[[#This Row],[T1_Attendances]], 0)</f>
        <v>0</v>
      </c>
      <c r="O724">
        <f>NHS_A_E[[#This Row],[T1_Attendances]]+NHS_A_E[[#This Row],[Other_Attendances]]</f>
        <v>1872</v>
      </c>
      <c r="P724">
        <f>MATCH(LEFT(A724,FIND("-",A724)-1),{"April","May","June","July","August","September","October","November","December","January","February","March"},0)</f>
        <v>4</v>
      </c>
      <c r="Q724" s="3">
        <f t="shared" si="22"/>
        <v>0</v>
      </c>
      <c r="R724" t="str">
        <f t="shared" si="23"/>
        <v>July</v>
      </c>
    </row>
    <row r="725" spans="1:18" x14ac:dyDescent="0.35">
      <c r="A725" t="s">
        <v>428</v>
      </c>
      <c r="B725" t="s">
        <v>161</v>
      </c>
      <c r="C725" t="s">
        <v>30</v>
      </c>
      <c r="D725" t="s">
        <v>162</v>
      </c>
      <c r="E725">
        <v>7408</v>
      </c>
      <c r="F725">
        <v>2991</v>
      </c>
      <c r="G725">
        <v>4574</v>
      </c>
      <c r="H725">
        <v>66</v>
      </c>
      <c r="I725">
        <v>492</v>
      </c>
      <c r="J725">
        <v>489</v>
      </c>
      <c r="K725" s="1">
        <v>45839</v>
      </c>
      <c r="L725" t="s">
        <v>429</v>
      </c>
      <c r="M725" t="s">
        <v>427</v>
      </c>
      <c r="N725" s="2">
        <f>IFERROR(NHS_A_E[[#This Row],[T1_Over4hrs]]/NHS_A_E[[#This Row],[T1_Attendances]], 0)</f>
        <v>0.61744060475161988</v>
      </c>
      <c r="O725">
        <f>NHS_A_E[[#This Row],[T1_Attendances]]+NHS_A_E[[#This Row],[Other_Attendances]]</f>
        <v>10399</v>
      </c>
      <c r="P725">
        <f>MATCH(LEFT(A725,FIND("-",A725)-1),{"April","May","June","July","August","September","October","November","December","January","February","March"},0)</f>
        <v>4</v>
      </c>
      <c r="Q725" s="3">
        <f t="shared" si="22"/>
        <v>6.600971922246221E-2</v>
      </c>
      <c r="R725" t="str">
        <f t="shared" si="23"/>
        <v>July</v>
      </c>
    </row>
    <row r="726" spans="1:18" x14ac:dyDescent="0.35">
      <c r="A726" t="s">
        <v>428</v>
      </c>
      <c r="B726" t="s">
        <v>245</v>
      </c>
      <c r="C726" t="s">
        <v>15</v>
      </c>
      <c r="D726" t="s">
        <v>246</v>
      </c>
      <c r="E726">
        <v>0</v>
      </c>
      <c r="F726">
        <v>1156</v>
      </c>
      <c r="G726">
        <v>0</v>
      </c>
      <c r="H726">
        <v>0</v>
      </c>
      <c r="I726">
        <v>0</v>
      </c>
      <c r="J726">
        <v>0</v>
      </c>
      <c r="K726" s="1">
        <v>45839</v>
      </c>
      <c r="L726" t="s">
        <v>429</v>
      </c>
      <c r="M726" t="s">
        <v>427</v>
      </c>
      <c r="N726" s="2">
        <f>IFERROR(NHS_A_E[[#This Row],[T1_Over4hrs]]/NHS_A_E[[#This Row],[T1_Attendances]], 0)</f>
        <v>0</v>
      </c>
      <c r="O726">
        <f>NHS_A_E[[#This Row],[T1_Attendances]]+NHS_A_E[[#This Row],[Other_Attendances]]</f>
        <v>1156</v>
      </c>
      <c r="P726">
        <f>MATCH(LEFT(A726,FIND("-",A726)-1),{"April","May","June","July","August","September","October","November","December","January","February","March"},0)</f>
        <v>4</v>
      </c>
      <c r="Q726" s="3">
        <f t="shared" si="22"/>
        <v>0</v>
      </c>
      <c r="R726" t="str">
        <f t="shared" si="23"/>
        <v>July</v>
      </c>
    </row>
    <row r="727" spans="1:18" x14ac:dyDescent="0.35">
      <c r="A727" t="s">
        <v>428</v>
      </c>
      <c r="B727" t="s">
        <v>263</v>
      </c>
      <c r="C727" t="s">
        <v>35</v>
      </c>
      <c r="D727" t="s">
        <v>264</v>
      </c>
      <c r="E727">
        <v>0</v>
      </c>
      <c r="F727">
        <v>2824</v>
      </c>
      <c r="G727">
        <v>0</v>
      </c>
      <c r="H727">
        <v>11</v>
      </c>
      <c r="I727">
        <v>0</v>
      </c>
      <c r="J727">
        <v>0</v>
      </c>
      <c r="K727" s="1">
        <v>45839</v>
      </c>
      <c r="L727" t="s">
        <v>429</v>
      </c>
      <c r="M727" t="s">
        <v>427</v>
      </c>
      <c r="N727" s="2">
        <f>IFERROR(NHS_A_E[[#This Row],[T1_Over4hrs]]/NHS_A_E[[#This Row],[T1_Attendances]], 0)</f>
        <v>0</v>
      </c>
      <c r="O727">
        <f>NHS_A_E[[#This Row],[T1_Attendances]]+NHS_A_E[[#This Row],[Other_Attendances]]</f>
        <v>2824</v>
      </c>
      <c r="P727">
        <f>MATCH(LEFT(A727,FIND("-",A727)-1),{"April","May","June","July","August","September","October","November","December","January","February","March"},0)</f>
        <v>4</v>
      </c>
      <c r="Q727" s="3">
        <f t="shared" si="22"/>
        <v>0</v>
      </c>
      <c r="R727" t="str">
        <f t="shared" si="23"/>
        <v>July</v>
      </c>
    </row>
    <row r="728" spans="1:18" x14ac:dyDescent="0.35">
      <c r="A728" t="s">
        <v>428</v>
      </c>
      <c r="B728" t="s">
        <v>285</v>
      </c>
      <c r="C728" t="s">
        <v>40</v>
      </c>
      <c r="D728" t="s">
        <v>286</v>
      </c>
      <c r="E728">
        <v>0</v>
      </c>
      <c r="F728">
        <v>436</v>
      </c>
      <c r="G728">
        <v>0</v>
      </c>
      <c r="H728">
        <v>0</v>
      </c>
      <c r="I728">
        <v>0</v>
      </c>
      <c r="J728">
        <v>0</v>
      </c>
      <c r="K728" s="1">
        <v>45839</v>
      </c>
      <c r="L728" t="s">
        <v>429</v>
      </c>
      <c r="M728" t="s">
        <v>427</v>
      </c>
      <c r="N728" s="2">
        <f>IFERROR(NHS_A_E[[#This Row],[T1_Over4hrs]]/NHS_A_E[[#This Row],[T1_Attendances]], 0)</f>
        <v>0</v>
      </c>
      <c r="O728">
        <f>NHS_A_E[[#This Row],[T1_Attendances]]+NHS_A_E[[#This Row],[Other_Attendances]]</f>
        <v>436</v>
      </c>
      <c r="P728">
        <f>MATCH(LEFT(A728,FIND("-",A728)-1),{"April","May","June","July","August","September","October","November","December","January","February","March"},0)</f>
        <v>4</v>
      </c>
      <c r="Q728" s="3">
        <f t="shared" si="22"/>
        <v>0</v>
      </c>
      <c r="R728" t="str">
        <f t="shared" si="23"/>
        <v>July</v>
      </c>
    </row>
    <row r="729" spans="1:18" x14ac:dyDescent="0.35">
      <c r="A729" t="s">
        <v>428</v>
      </c>
      <c r="B729" t="s">
        <v>283</v>
      </c>
      <c r="C729" t="s">
        <v>15</v>
      </c>
      <c r="D729" t="s">
        <v>284</v>
      </c>
      <c r="E729">
        <v>0</v>
      </c>
      <c r="F729">
        <v>3611</v>
      </c>
      <c r="G729">
        <v>0</v>
      </c>
      <c r="H729">
        <v>72</v>
      </c>
      <c r="I729">
        <v>0</v>
      </c>
      <c r="J729">
        <v>0</v>
      </c>
      <c r="K729" s="1">
        <v>45839</v>
      </c>
      <c r="L729" t="s">
        <v>429</v>
      </c>
      <c r="M729" t="s">
        <v>427</v>
      </c>
      <c r="N729" s="2">
        <f>IFERROR(NHS_A_E[[#This Row],[T1_Over4hrs]]/NHS_A_E[[#This Row],[T1_Attendances]], 0)</f>
        <v>0</v>
      </c>
      <c r="O729">
        <f>NHS_A_E[[#This Row],[T1_Attendances]]+NHS_A_E[[#This Row],[Other_Attendances]]</f>
        <v>3611</v>
      </c>
      <c r="P729">
        <f>MATCH(LEFT(A729,FIND("-",A729)-1),{"April","May","June","July","August","September","October","November","December","January","February","March"},0)</f>
        <v>4</v>
      </c>
      <c r="Q729" s="3">
        <f t="shared" si="22"/>
        <v>0</v>
      </c>
      <c r="R729" t="str">
        <f t="shared" si="23"/>
        <v>July</v>
      </c>
    </row>
    <row r="730" spans="1:18" x14ac:dyDescent="0.35">
      <c r="A730" t="s">
        <v>428</v>
      </c>
      <c r="B730" t="s">
        <v>255</v>
      </c>
      <c r="C730" t="s">
        <v>15</v>
      </c>
      <c r="D730" t="s">
        <v>256</v>
      </c>
      <c r="E730">
        <v>0</v>
      </c>
      <c r="F730">
        <v>0</v>
      </c>
      <c r="G730">
        <v>0</v>
      </c>
      <c r="H730">
        <v>0</v>
      </c>
      <c r="I730">
        <v>0</v>
      </c>
      <c r="J730">
        <v>0</v>
      </c>
      <c r="K730" s="1">
        <v>45839</v>
      </c>
      <c r="L730" t="s">
        <v>429</v>
      </c>
      <c r="M730" t="s">
        <v>427</v>
      </c>
      <c r="N730" s="2">
        <f>IFERROR(NHS_A_E[[#This Row],[T1_Over4hrs]]/NHS_A_E[[#This Row],[T1_Attendances]], 0)</f>
        <v>0</v>
      </c>
      <c r="O730">
        <f>NHS_A_E[[#This Row],[T1_Attendances]]+NHS_A_E[[#This Row],[Other_Attendances]]</f>
        <v>0</v>
      </c>
      <c r="P730">
        <f>MATCH(LEFT(A730,FIND("-",A730)-1),{"April","May","June","July","August","September","October","November","December","January","February","March"},0)</f>
        <v>4</v>
      </c>
      <c r="Q730" s="3">
        <f t="shared" si="22"/>
        <v>0</v>
      </c>
      <c r="R730" t="str">
        <f t="shared" si="23"/>
        <v>July</v>
      </c>
    </row>
    <row r="731" spans="1:18" x14ac:dyDescent="0.35">
      <c r="A731" t="s">
        <v>428</v>
      </c>
      <c r="B731" t="s">
        <v>71</v>
      </c>
      <c r="C731" t="s">
        <v>35</v>
      </c>
      <c r="D731" t="s">
        <v>72</v>
      </c>
      <c r="E731">
        <v>0</v>
      </c>
      <c r="F731">
        <v>0</v>
      </c>
      <c r="G731">
        <v>0</v>
      </c>
      <c r="H731">
        <v>0</v>
      </c>
      <c r="I731">
        <v>0</v>
      </c>
      <c r="J731">
        <v>0</v>
      </c>
      <c r="K731" s="1">
        <v>45839</v>
      </c>
      <c r="L731" t="s">
        <v>429</v>
      </c>
      <c r="M731" t="s">
        <v>427</v>
      </c>
      <c r="N731" s="2">
        <f>IFERROR(NHS_A_E[[#This Row],[T1_Over4hrs]]/NHS_A_E[[#This Row],[T1_Attendances]], 0)</f>
        <v>0</v>
      </c>
      <c r="O731">
        <f>NHS_A_E[[#This Row],[T1_Attendances]]+NHS_A_E[[#This Row],[Other_Attendances]]</f>
        <v>0</v>
      </c>
      <c r="P731">
        <f>MATCH(LEFT(A731,FIND("-",A731)-1),{"April","May","June","July","August","September","October","November","December","January","February","March"},0)</f>
        <v>4</v>
      </c>
      <c r="Q731" s="3">
        <f t="shared" si="22"/>
        <v>0</v>
      </c>
      <c r="R731" t="str">
        <f t="shared" si="23"/>
        <v>July</v>
      </c>
    </row>
    <row r="732" spans="1:18" x14ac:dyDescent="0.35">
      <c r="A732" t="s">
        <v>428</v>
      </c>
      <c r="B732" t="s">
        <v>279</v>
      </c>
      <c r="C732" t="s">
        <v>15</v>
      </c>
      <c r="D732" t="s">
        <v>280</v>
      </c>
      <c r="E732">
        <v>0</v>
      </c>
      <c r="F732">
        <v>2609</v>
      </c>
      <c r="G732">
        <v>0</v>
      </c>
      <c r="H732">
        <v>160</v>
      </c>
      <c r="I732">
        <v>0</v>
      </c>
      <c r="J732">
        <v>0</v>
      </c>
      <c r="K732" s="1">
        <v>45839</v>
      </c>
      <c r="L732" t="s">
        <v>429</v>
      </c>
      <c r="M732" t="s">
        <v>427</v>
      </c>
      <c r="N732" s="2">
        <f>IFERROR(NHS_A_E[[#This Row],[T1_Over4hrs]]/NHS_A_E[[#This Row],[T1_Attendances]], 0)</f>
        <v>0</v>
      </c>
      <c r="O732">
        <f>NHS_A_E[[#This Row],[T1_Attendances]]+NHS_A_E[[#This Row],[Other_Attendances]]</f>
        <v>2609</v>
      </c>
      <c r="P732">
        <f>MATCH(LEFT(A732,FIND("-",A732)-1),{"April","May","June","July","August","September","October","November","December","January","February","March"},0)</f>
        <v>4</v>
      </c>
      <c r="Q732" s="3">
        <f t="shared" si="22"/>
        <v>0</v>
      </c>
      <c r="R732" t="str">
        <f t="shared" si="23"/>
        <v>July</v>
      </c>
    </row>
    <row r="733" spans="1:18" x14ac:dyDescent="0.35">
      <c r="A733" t="s">
        <v>428</v>
      </c>
      <c r="B733" t="s">
        <v>313</v>
      </c>
      <c r="C733" t="s">
        <v>20</v>
      </c>
      <c r="D733" t="s">
        <v>314</v>
      </c>
      <c r="E733">
        <v>0</v>
      </c>
      <c r="F733">
        <v>0</v>
      </c>
      <c r="G733">
        <v>0</v>
      </c>
      <c r="H733">
        <v>0</v>
      </c>
      <c r="I733">
        <v>0</v>
      </c>
      <c r="J733">
        <v>0</v>
      </c>
      <c r="K733" s="1">
        <v>45839</v>
      </c>
      <c r="L733" t="s">
        <v>429</v>
      </c>
      <c r="M733" t="s">
        <v>427</v>
      </c>
      <c r="N733" s="2">
        <f>IFERROR(NHS_A_E[[#This Row],[T1_Over4hrs]]/NHS_A_E[[#This Row],[T1_Attendances]], 0)</f>
        <v>0</v>
      </c>
      <c r="O733">
        <f>NHS_A_E[[#This Row],[T1_Attendances]]+NHS_A_E[[#This Row],[Other_Attendances]]</f>
        <v>0</v>
      </c>
      <c r="P733">
        <f>MATCH(LEFT(A733,FIND("-",A733)-1),{"April","May","June","July","August","September","October","November","December","January","February","March"},0)</f>
        <v>4</v>
      </c>
      <c r="Q733" s="3">
        <f t="shared" si="22"/>
        <v>0</v>
      </c>
      <c r="R733" t="str">
        <f t="shared" si="23"/>
        <v>July</v>
      </c>
    </row>
    <row r="734" spans="1:18" x14ac:dyDescent="0.35">
      <c r="A734" t="s">
        <v>428</v>
      </c>
      <c r="B734" t="s">
        <v>54</v>
      </c>
      <c r="C734" t="s">
        <v>15</v>
      </c>
      <c r="D734" t="s">
        <v>55</v>
      </c>
      <c r="E734">
        <v>0</v>
      </c>
      <c r="F734">
        <v>4488</v>
      </c>
      <c r="G734">
        <v>0</v>
      </c>
      <c r="H734">
        <v>143</v>
      </c>
      <c r="I734">
        <v>0</v>
      </c>
      <c r="J734">
        <v>0</v>
      </c>
      <c r="K734" s="1">
        <v>45839</v>
      </c>
      <c r="L734" t="s">
        <v>429</v>
      </c>
      <c r="M734" t="s">
        <v>427</v>
      </c>
      <c r="N734" s="2">
        <f>IFERROR(NHS_A_E[[#This Row],[T1_Over4hrs]]/NHS_A_E[[#This Row],[T1_Attendances]], 0)</f>
        <v>0</v>
      </c>
      <c r="O734">
        <f>NHS_A_E[[#This Row],[T1_Attendances]]+NHS_A_E[[#This Row],[Other_Attendances]]</f>
        <v>4488</v>
      </c>
      <c r="P734">
        <f>MATCH(LEFT(A734,FIND("-",A734)-1),{"April","May","June","July","August","September","October","November","December","January","February","March"},0)</f>
        <v>4</v>
      </c>
      <c r="Q734" s="3">
        <f t="shared" si="22"/>
        <v>0</v>
      </c>
      <c r="R734" t="str">
        <f t="shared" si="23"/>
        <v>July</v>
      </c>
    </row>
    <row r="735" spans="1:18" x14ac:dyDescent="0.35">
      <c r="A735" t="s">
        <v>428</v>
      </c>
      <c r="B735" t="s">
        <v>297</v>
      </c>
      <c r="C735" t="s">
        <v>15</v>
      </c>
      <c r="D735" t="s">
        <v>298</v>
      </c>
      <c r="E735">
        <v>0</v>
      </c>
      <c r="F735">
        <v>3080</v>
      </c>
      <c r="G735">
        <v>0</v>
      </c>
      <c r="H735">
        <v>81</v>
      </c>
      <c r="I735">
        <v>0</v>
      </c>
      <c r="J735">
        <v>0</v>
      </c>
      <c r="K735" s="1">
        <v>45839</v>
      </c>
      <c r="L735" t="s">
        <v>429</v>
      </c>
      <c r="M735" t="s">
        <v>427</v>
      </c>
      <c r="N735" s="2">
        <f>IFERROR(NHS_A_E[[#This Row],[T1_Over4hrs]]/NHS_A_E[[#This Row],[T1_Attendances]], 0)</f>
        <v>0</v>
      </c>
      <c r="O735">
        <f>NHS_A_E[[#This Row],[T1_Attendances]]+NHS_A_E[[#This Row],[Other_Attendances]]</f>
        <v>3080</v>
      </c>
      <c r="P735">
        <f>MATCH(LEFT(A735,FIND("-",A735)-1),{"April","May","June","July","August","September","October","November","December","January","February","March"},0)</f>
        <v>4</v>
      </c>
      <c r="Q735" s="3">
        <f t="shared" si="22"/>
        <v>0</v>
      </c>
      <c r="R735" t="str">
        <f t="shared" si="23"/>
        <v>July</v>
      </c>
    </row>
    <row r="736" spans="1:18" x14ac:dyDescent="0.35">
      <c r="A736" t="s">
        <v>428</v>
      </c>
      <c r="B736" t="s">
        <v>303</v>
      </c>
      <c r="C736" t="s">
        <v>23</v>
      </c>
      <c r="D736" t="s">
        <v>304</v>
      </c>
      <c r="E736">
        <v>0</v>
      </c>
      <c r="F736">
        <v>2236</v>
      </c>
      <c r="G736">
        <v>0</v>
      </c>
      <c r="H736">
        <v>0</v>
      </c>
      <c r="I736">
        <v>0</v>
      </c>
      <c r="J736">
        <v>0</v>
      </c>
      <c r="K736" s="1">
        <v>45839</v>
      </c>
      <c r="L736" t="s">
        <v>429</v>
      </c>
      <c r="M736" t="s">
        <v>427</v>
      </c>
      <c r="N736" s="2">
        <f>IFERROR(NHS_A_E[[#This Row],[T1_Over4hrs]]/NHS_A_E[[#This Row],[T1_Attendances]], 0)</f>
        <v>0</v>
      </c>
      <c r="O736">
        <f>NHS_A_E[[#This Row],[T1_Attendances]]+NHS_A_E[[#This Row],[Other_Attendances]]</f>
        <v>2236</v>
      </c>
      <c r="P736">
        <f>MATCH(LEFT(A736,FIND("-",A736)-1),{"April","May","June","July","August","September","October","November","December","January","February","March"},0)</f>
        <v>4</v>
      </c>
      <c r="Q736" s="3">
        <f t="shared" si="22"/>
        <v>0</v>
      </c>
      <c r="R736" t="str">
        <f t="shared" si="23"/>
        <v>July</v>
      </c>
    </row>
    <row r="737" spans="1:18" x14ac:dyDescent="0.35">
      <c r="A737" t="s">
        <v>428</v>
      </c>
      <c r="B737" t="s">
        <v>127</v>
      </c>
      <c r="C737" t="s">
        <v>15</v>
      </c>
      <c r="D737" t="s">
        <v>128</v>
      </c>
      <c r="E737">
        <v>0</v>
      </c>
      <c r="F737">
        <v>2044</v>
      </c>
      <c r="G737">
        <v>0</v>
      </c>
      <c r="H737">
        <v>0</v>
      </c>
      <c r="I737">
        <v>0</v>
      </c>
      <c r="J737">
        <v>0</v>
      </c>
      <c r="K737" s="1">
        <v>45839</v>
      </c>
      <c r="L737" t="s">
        <v>429</v>
      </c>
      <c r="M737" t="s">
        <v>427</v>
      </c>
      <c r="N737" s="2">
        <f>IFERROR(NHS_A_E[[#This Row],[T1_Over4hrs]]/NHS_A_E[[#This Row],[T1_Attendances]], 0)</f>
        <v>0</v>
      </c>
      <c r="O737">
        <f>NHS_A_E[[#This Row],[T1_Attendances]]+NHS_A_E[[#This Row],[Other_Attendances]]</f>
        <v>2044</v>
      </c>
      <c r="P737">
        <f>MATCH(LEFT(A737,FIND("-",A737)-1),{"April","May","June","July","August","September","October","November","December","January","February","March"},0)</f>
        <v>4</v>
      </c>
      <c r="Q737" s="3">
        <f t="shared" si="22"/>
        <v>0</v>
      </c>
      <c r="R737" t="str">
        <f t="shared" si="23"/>
        <v>July</v>
      </c>
    </row>
    <row r="738" spans="1:18" x14ac:dyDescent="0.35">
      <c r="A738" t="s">
        <v>428</v>
      </c>
      <c r="B738" t="s">
        <v>321</v>
      </c>
      <c r="C738" t="s">
        <v>20</v>
      </c>
      <c r="D738" t="s">
        <v>322</v>
      </c>
      <c r="E738">
        <v>0</v>
      </c>
      <c r="F738">
        <v>688</v>
      </c>
      <c r="G738">
        <v>0</v>
      </c>
      <c r="H738">
        <v>0</v>
      </c>
      <c r="I738">
        <v>0</v>
      </c>
      <c r="J738">
        <v>0</v>
      </c>
      <c r="K738" s="1">
        <v>45839</v>
      </c>
      <c r="L738" t="s">
        <v>429</v>
      </c>
      <c r="M738" t="s">
        <v>427</v>
      </c>
      <c r="N738" s="2">
        <f>IFERROR(NHS_A_E[[#This Row],[T1_Over4hrs]]/NHS_A_E[[#This Row],[T1_Attendances]], 0)</f>
        <v>0</v>
      </c>
      <c r="O738">
        <f>NHS_A_E[[#This Row],[T1_Attendances]]+NHS_A_E[[#This Row],[Other_Attendances]]</f>
        <v>688</v>
      </c>
      <c r="P738">
        <f>MATCH(LEFT(A738,FIND("-",A738)-1),{"April","May","June","July","August","September","October","November","December","January","February","March"},0)</f>
        <v>4</v>
      </c>
      <c r="Q738" s="3">
        <f t="shared" si="22"/>
        <v>0</v>
      </c>
      <c r="R738" t="str">
        <f t="shared" si="23"/>
        <v>July</v>
      </c>
    </row>
    <row r="739" spans="1:18" x14ac:dyDescent="0.35">
      <c r="A739" t="s">
        <v>428</v>
      </c>
      <c r="B739" t="s">
        <v>261</v>
      </c>
      <c r="C739" t="s">
        <v>15</v>
      </c>
      <c r="D739" t="s">
        <v>262</v>
      </c>
      <c r="E739">
        <v>0</v>
      </c>
      <c r="F739">
        <v>5094</v>
      </c>
      <c r="G739">
        <v>0</v>
      </c>
      <c r="H739">
        <v>0</v>
      </c>
      <c r="I739">
        <v>0</v>
      </c>
      <c r="J739">
        <v>0</v>
      </c>
      <c r="K739" s="1">
        <v>45839</v>
      </c>
      <c r="L739" t="s">
        <v>429</v>
      </c>
      <c r="M739" t="s">
        <v>427</v>
      </c>
      <c r="N739" s="2">
        <f>IFERROR(NHS_A_E[[#This Row],[T1_Over4hrs]]/NHS_A_E[[#This Row],[T1_Attendances]], 0)</f>
        <v>0</v>
      </c>
      <c r="O739">
        <f>NHS_A_E[[#This Row],[T1_Attendances]]+NHS_A_E[[#This Row],[Other_Attendances]]</f>
        <v>5094</v>
      </c>
      <c r="P739">
        <f>MATCH(LEFT(A739,FIND("-",A739)-1),{"April","May","June","July","August","September","October","November","December","January","February","March"},0)</f>
        <v>4</v>
      </c>
      <c r="Q739" s="3">
        <f t="shared" si="22"/>
        <v>0</v>
      </c>
      <c r="R739" t="str">
        <f t="shared" si="23"/>
        <v>July</v>
      </c>
    </row>
    <row r="740" spans="1:18" x14ac:dyDescent="0.35">
      <c r="A740" t="s">
        <v>428</v>
      </c>
      <c r="B740" t="s">
        <v>345</v>
      </c>
      <c r="C740" t="s">
        <v>23</v>
      </c>
      <c r="D740" t="s">
        <v>346</v>
      </c>
      <c r="E740">
        <v>17502</v>
      </c>
      <c r="F740">
        <v>8081</v>
      </c>
      <c r="G740">
        <v>7110</v>
      </c>
      <c r="H740">
        <v>0</v>
      </c>
      <c r="I740">
        <v>80</v>
      </c>
      <c r="J740">
        <v>0</v>
      </c>
      <c r="K740" s="1">
        <v>45839</v>
      </c>
      <c r="L740" t="s">
        <v>429</v>
      </c>
      <c r="M740" t="s">
        <v>427</v>
      </c>
      <c r="N740" s="2">
        <f>IFERROR(NHS_A_E[[#This Row],[T1_Over4hrs]]/NHS_A_E[[#This Row],[T1_Attendances]], 0)</f>
        <v>0.40623928693863559</v>
      </c>
      <c r="O740">
        <f>NHS_A_E[[#This Row],[T1_Attendances]]+NHS_A_E[[#This Row],[Other_Attendances]]</f>
        <v>25583</v>
      </c>
      <c r="P740">
        <f>MATCH(LEFT(A740,FIND("-",A740)-1),{"April","May","June","July","August","September","October","November","December","January","February","March"},0)</f>
        <v>4</v>
      </c>
      <c r="Q740" s="3">
        <f t="shared" si="22"/>
        <v>0</v>
      </c>
      <c r="R740" t="str">
        <f t="shared" si="23"/>
        <v>July</v>
      </c>
    </row>
    <row r="741" spans="1:18" x14ac:dyDescent="0.35">
      <c r="A741" t="s">
        <v>428</v>
      </c>
      <c r="B741" t="s">
        <v>235</v>
      </c>
      <c r="C741" t="s">
        <v>35</v>
      </c>
      <c r="D741" t="s">
        <v>236</v>
      </c>
      <c r="E741">
        <v>11437</v>
      </c>
      <c r="F741">
        <v>0</v>
      </c>
      <c r="G741">
        <v>2156</v>
      </c>
      <c r="H741">
        <v>0</v>
      </c>
      <c r="I741">
        <v>155</v>
      </c>
      <c r="J741">
        <v>12</v>
      </c>
      <c r="K741" s="1">
        <v>45839</v>
      </c>
      <c r="L741" t="s">
        <v>429</v>
      </c>
      <c r="M741" t="s">
        <v>427</v>
      </c>
      <c r="N741" s="2">
        <f>IFERROR(NHS_A_E[[#This Row],[T1_Over4hrs]]/NHS_A_E[[#This Row],[T1_Attendances]], 0)</f>
        <v>0.18851097315729651</v>
      </c>
      <c r="O741">
        <f>NHS_A_E[[#This Row],[T1_Attendances]]+NHS_A_E[[#This Row],[Other_Attendances]]</f>
        <v>11437</v>
      </c>
      <c r="P741">
        <f>MATCH(LEFT(A741,FIND("-",A741)-1),{"April","May","June","July","August","September","October","November","December","January","February","March"},0)</f>
        <v>4</v>
      </c>
      <c r="Q741" s="3">
        <f t="shared" si="22"/>
        <v>1.0492261956806855E-3</v>
      </c>
      <c r="R741" t="str">
        <f t="shared" si="23"/>
        <v>July</v>
      </c>
    </row>
    <row r="742" spans="1:18" x14ac:dyDescent="0.35">
      <c r="A742" t="s">
        <v>428</v>
      </c>
      <c r="B742" t="s">
        <v>327</v>
      </c>
      <c r="C742" t="s">
        <v>40</v>
      </c>
      <c r="D742" t="s">
        <v>328</v>
      </c>
      <c r="E742">
        <v>0</v>
      </c>
      <c r="F742">
        <v>8229</v>
      </c>
      <c r="G742">
        <v>0</v>
      </c>
      <c r="H742">
        <v>274</v>
      </c>
      <c r="I742">
        <v>0</v>
      </c>
      <c r="J742">
        <v>0</v>
      </c>
      <c r="K742" s="1">
        <v>45839</v>
      </c>
      <c r="L742" t="s">
        <v>429</v>
      </c>
      <c r="M742" t="s">
        <v>427</v>
      </c>
      <c r="N742" s="2">
        <f>IFERROR(NHS_A_E[[#This Row],[T1_Over4hrs]]/NHS_A_E[[#This Row],[T1_Attendances]], 0)</f>
        <v>0</v>
      </c>
      <c r="O742">
        <f>NHS_A_E[[#This Row],[T1_Attendances]]+NHS_A_E[[#This Row],[Other_Attendances]]</f>
        <v>8229</v>
      </c>
      <c r="P742">
        <f>MATCH(LEFT(A742,FIND("-",A742)-1),{"April","May","June","July","August","September","October","November","December","January","February","March"},0)</f>
        <v>4</v>
      </c>
      <c r="Q742" s="3">
        <f t="shared" si="22"/>
        <v>0</v>
      </c>
      <c r="R742" t="str">
        <f t="shared" si="23"/>
        <v>July</v>
      </c>
    </row>
    <row r="743" spans="1:18" x14ac:dyDescent="0.35">
      <c r="A743" t="s">
        <v>428</v>
      </c>
      <c r="B743" t="s">
        <v>281</v>
      </c>
      <c r="C743" t="s">
        <v>40</v>
      </c>
      <c r="D743" t="s">
        <v>282</v>
      </c>
      <c r="E743">
        <v>0</v>
      </c>
      <c r="F743">
        <v>5808</v>
      </c>
      <c r="G743">
        <v>0</v>
      </c>
      <c r="H743">
        <v>0</v>
      </c>
      <c r="I743">
        <v>0</v>
      </c>
      <c r="J743">
        <v>0</v>
      </c>
      <c r="K743" s="1">
        <v>45839</v>
      </c>
      <c r="L743" t="s">
        <v>429</v>
      </c>
      <c r="M743" t="s">
        <v>427</v>
      </c>
      <c r="N743" s="2">
        <f>IFERROR(NHS_A_E[[#This Row],[T1_Over4hrs]]/NHS_A_E[[#This Row],[T1_Attendances]], 0)</f>
        <v>0</v>
      </c>
      <c r="O743">
        <f>NHS_A_E[[#This Row],[T1_Attendances]]+NHS_A_E[[#This Row],[Other_Attendances]]</f>
        <v>5808</v>
      </c>
      <c r="P743">
        <f>MATCH(LEFT(A743,FIND("-",A743)-1),{"April","May","June","July","August","September","October","November","December","January","February","March"},0)</f>
        <v>4</v>
      </c>
      <c r="Q743" s="3">
        <f t="shared" si="22"/>
        <v>0</v>
      </c>
      <c r="R743" t="str">
        <f t="shared" si="23"/>
        <v>July</v>
      </c>
    </row>
    <row r="744" spans="1:18" x14ac:dyDescent="0.35">
      <c r="A744" t="s">
        <v>428</v>
      </c>
      <c r="B744" t="s">
        <v>239</v>
      </c>
      <c r="C744" t="s">
        <v>35</v>
      </c>
      <c r="D744" t="s">
        <v>240</v>
      </c>
      <c r="E744">
        <v>0</v>
      </c>
      <c r="F744">
        <v>872</v>
      </c>
      <c r="G744">
        <v>0</v>
      </c>
      <c r="H744">
        <v>0</v>
      </c>
      <c r="I744">
        <v>0</v>
      </c>
      <c r="J744">
        <v>0</v>
      </c>
      <c r="K744" s="1">
        <v>45839</v>
      </c>
      <c r="L744" t="s">
        <v>429</v>
      </c>
      <c r="M744" t="s">
        <v>427</v>
      </c>
      <c r="N744" s="2">
        <f>IFERROR(NHS_A_E[[#This Row],[T1_Over4hrs]]/NHS_A_E[[#This Row],[T1_Attendances]], 0)</f>
        <v>0</v>
      </c>
      <c r="O744">
        <f>NHS_A_E[[#This Row],[T1_Attendances]]+NHS_A_E[[#This Row],[Other_Attendances]]</f>
        <v>872</v>
      </c>
      <c r="P744">
        <f>MATCH(LEFT(A744,FIND("-",A744)-1),{"April","May","June","July","August","September","October","November","December","January","February","March"},0)</f>
        <v>4</v>
      </c>
      <c r="Q744" s="3">
        <f t="shared" si="22"/>
        <v>0</v>
      </c>
      <c r="R744" t="str">
        <f t="shared" si="23"/>
        <v>July</v>
      </c>
    </row>
    <row r="745" spans="1:18" x14ac:dyDescent="0.35">
      <c r="A745" t="s">
        <v>428</v>
      </c>
      <c r="B745" t="s">
        <v>241</v>
      </c>
      <c r="C745" t="s">
        <v>40</v>
      </c>
      <c r="D745" t="s">
        <v>242</v>
      </c>
      <c r="E745">
        <v>0</v>
      </c>
      <c r="F745">
        <v>0</v>
      </c>
      <c r="G745">
        <v>0</v>
      </c>
      <c r="H745">
        <v>0</v>
      </c>
      <c r="I745">
        <v>0</v>
      </c>
      <c r="J745">
        <v>0</v>
      </c>
      <c r="K745" s="1">
        <v>45839</v>
      </c>
      <c r="L745" t="s">
        <v>429</v>
      </c>
      <c r="M745" t="s">
        <v>427</v>
      </c>
      <c r="N745" s="2">
        <f>IFERROR(NHS_A_E[[#This Row],[T1_Over4hrs]]/NHS_A_E[[#This Row],[T1_Attendances]], 0)</f>
        <v>0</v>
      </c>
      <c r="O745">
        <f>NHS_A_E[[#This Row],[T1_Attendances]]+NHS_A_E[[#This Row],[Other_Attendances]]</f>
        <v>0</v>
      </c>
      <c r="P745">
        <f>MATCH(LEFT(A745,FIND("-",A745)-1),{"April","May","June","July","August","September","October","November","December","January","February","March"},0)</f>
        <v>4</v>
      </c>
      <c r="Q745" s="3">
        <f t="shared" si="22"/>
        <v>0</v>
      </c>
      <c r="R745" t="str">
        <f t="shared" si="23"/>
        <v>July</v>
      </c>
    </row>
    <row r="746" spans="1:18" x14ac:dyDescent="0.35">
      <c r="A746" t="s">
        <v>428</v>
      </c>
      <c r="B746" t="s">
        <v>381</v>
      </c>
      <c r="C746" t="s">
        <v>40</v>
      </c>
      <c r="D746" t="s">
        <v>382</v>
      </c>
      <c r="E746">
        <v>0</v>
      </c>
      <c r="F746">
        <v>332</v>
      </c>
      <c r="G746">
        <v>0</v>
      </c>
      <c r="H746">
        <v>0</v>
      </c>
      <c r="I746">
        <v>0</v>
      </c>
      <c r="J746">
        <v>0</v>
      </c>
      <c r="K746" s="1">
        <v>45839</v>
      </c>
      <c r="L746" t="s">
        <v>429</v>
      </c>
      <c r="M746" t="s">
        <v>427</v>
      </c>
      <c r="N746" s="2">
        <f>IFERROR(NHS_A_E[[#This Row],[T1_Over4hrs]]/NHS_A_E[[#This Row],[T1_Attendances]], 0)</f>
        <v>0</v>
      </c>
      <c r="O746">
        <f>NHS_A_E[[#This Row],[T1_Attendances]]+NHS_A_E[[#This Row],[Other_Attendances]]</f>
        <v>332</v>
      </c>
      <c r="P746">
        <f>MATCH(LEFT(A746,FIND("-",A746)-1),{"April","May","June","July","August","September","October","November","December","January","February","March"},0)</f>
        <v>4</v>
      </c>
      <c r="Q746" s="3">
        <f t="shared" si="22"/>
        <v>0</v>
      </c>
      <c r="R746" t="str">
        <f t="shared" si="23"/>
        <v>July</v>
      </c>
    </row>
    <row r="747" spans="1:18" x14ac:dyDescent="0.35">
      <c r="A747" t="s">
        <v>428</v>
      </c>
      <c r="B747" t="s">
        <v>14</v>
      </c>
      <c r="C747" t="s">
        <v>15</v>
      </c>
      <c r="D747" t="s">
        <v>16</v>
      </c>
      <c r="E747">
        <v>0</v>
      </c>
      <c r="F747">
        <v>2634</v>
      </c>
      <c r="G747">
        <v>0</v>
      </c>
      <c r="H747">
        <v>0</v>
      </c>
      <c r="I747">
        <v>0</v>
      </c>
      <c r="J747">
        <v>0</v>
      </c>
      <c r="K747" s="1">
        <v>45839</v>
      </c>
      <c r="L747" t="s">
        <v>429</v>
      </c>
      <c r="M747" t="s">
        <v>427</v>
      </c>
      <c r="N747" s="2">
        <f>IFERROR(NHS_A_E[[#This Row],[T1_Over4hrs]]/NHS_A_E[[#This Row],[T1_Attendances]], 0)</f>
        <v>0</v>
      </c>
      <c r="O747">
        <f>NHS_A_E[[#This Row],[T1_Attendances]]+NHS_A_E[[#This Row],[Other_Attendances]]</f>
        <v>2634</v>
      </c>
      <c r="P747">
        <f>MATCH(LEFT(A747,FIND("-",A747)-1),{"April","May","June","July","August","September","October","November","December","January","February","March"},0)</f>
        <v>4</v>
      </c>
      <c r="Q747" s="3">
        <f t="shared" si="22"/>
        <v>0</v>
      </c>
      <c r="R747" t="str">
        <f t="shared" si="23"/>
        <v>July</v>
      </c>
    </row>
    <row r="748" spans="1:18" x14ac:dyDescent="0.35">
      <c r="A748" t="s">
        <v>428</v>
      </c>
      <c r="B748" t="s">
        <v>117</v>
      </c>
      <c r="C748" t="s">
        <v>15</v>
      </c>
      <c r="D748" t="s">
        <v>118</v>
      </c>
      <c r="E748">
        <v>6644</v>
      </c>
      <c r="F748">
        <v>1851</v>
      </c>
      <c r="G748">
        <v>2116</v>
      </c>
      <c r="H748">
        <v>0</v>
      </c>
      <c r="I748">
        <v>393</v>
      </c>
      <c r="J748">
        <v>1</v>
      </c>
      <c r="K748" s="1">
        <v>45839</v>
      </c>
      <c r="L748" t="s">
        <v>429</v>
      </c>
      <c r="M748" t="s">
        <v>427</v>
      </c>
      <c r="N748" s="2">
        <f>IFERROR(NHS_A_E[[#This Row],[T1_Over4hrs]]/NHS_A_E[[#This Row],[T1_Attendances]], 0)</f>
        <v>0.31848284166164958</v>
      </c>
      <c r="O748">
        <f>NHS_A_E[[#This Row],[T1_Attendances]]+NHS_A_E[[#This Row],[Other_Attendances]]</f>
        <v>8495</v>
      </c>
      <c r="P748">
        <f>MATCH(LEFT(A748,FIND("-",A748)-1),{"April","May","June","July","August","September","October","November","December","January","February","March"},0)</f>
        <v>4</v>
      </c>
      <c r="Q748" s="3">
        <f t="shared" si="22"/>
        <v>1.5051173991571343E-4</v>
      </c>
      <c r="R748" t="str">
        <f t="shared" si="23"/>
        <v>July</v>
      </c>
    </row>
    <row r="749" spans="1:18" x14ac:dyDescent="0.35">
      <c r="A749" t="s">
        <v>428</v>
      </c>
      <c r="B749" t="s">
        <v>341</v>
      </c>
      <c r="C749" t="s">
        <v>40</v>
      </c>
      <c r="D749" t="s">
        <v>342</v>
      </c>
      <c r="E749">
        <v>9841</v>
      </c>
      <c r="F749">
        <v>4238</v>
      </c>
      <c r="G749">
        <v>3200</v>
      </c>
      <c r="H749">
        <v>71</v>
      </c>
      <c r="I749">
        <v>1082</v>
      </c>
      <c r="J749">
        <v>101</v>
      </c>
      <c r="K749" s="1">
        <v>45839</v>
      </c>
      <c r="L749" t="s">
        <v>429</v>
      </c>
      <c r="M749" t="s">
        <v>427</v>
      </c>
      <c r="N749" s="2">
        <f>IFERROR(NHS_A_E[[#This Row],[T1_Over4hrs]]/NHS_A_E[[#This Row],[T1_Attendances]], 0)</f>
        <v>0.32517020627984961</v>
      </c>
      <c r="O749">
        <f>NHS_A_E[[#This Row],[T1_Attendances]]+NHS_A_E[[#This Row],[Other_Attendances]]</f>
        <v>14079</v>
      </c>
      <c r="P749">
        <f>MATCH(LEFT(A749,FIND("-",A749)-1),{"April","May","June","July","August","September","October","November","December","January","February","March"},0)</f>
        <v>4</v>
      </c>
      <c r="Q749" s="3">
        <f t="shared" si="22"/>
        <v>1.0263184635707754E-2</v>
      </c>
      <c r="R749" t="str">
        <f t="shared" si="23"/>
        <v>July</v>
      </c>
    </row>
    <row r="750" spans="1:18" x14ac:dyDescent="0.35">
      <c r="A750" t="s">
        <v>428</v>
      </c>
      <c r="B750" t="s">
        <v>424</v>
      </c>
      <c r="C750" t="s">
        <v>20</v>
      </c>
      <c r="D750" t="s">
        <v>425</v>
      </c>
      <c r="E750">
        <v>0</v>
      </c>
      <c r="F750">
        <v>1948</v>
      </c>
      <c r="G750">
        <v>0</v>
      </c>
      <c r="H750">
        <v>27</v>
      </c>
      <c r="I750">
        <v>0</v>
      </c>
      <c r="J750">
        <v>0</v>
      </c>
      <c r="K750" s="1">
        <v>45839</v>
      </c>
      <c r="L750" t="s">
        <v>429</v>
      </c>
      <c r="M750" t="s">
        <v>427</v>
      </c>
      <c r="N750" s="2">
        <f>IFERROR(NHS_A_E[[#This Row],[T1_Over4hrs]]/NHS_A_E[[#This Row],[T1_Attendances]], 0)</f>
        <v>0</v>
      </c>
      <c r="O750">
        <f>NHS_A_E[[#This Row],[T1_Attendances]]+NHS_A_E[[#This Row],[Other_Attendances]]</f>
        <v>1948</v>
      </c>
      <c r="P750">
        <f>MATCH(LEFT(A750,FIND("-",A750)-1),{"April","May","June","July","August","September","October","November","December","January","February","March"},0)</f>
        <v>4</v>
      </c>
      <c r="Q750" s="3">
        <f t="shared" si="22"/>
        <v>0</v>
      </c>
      <c r="R750" t="str">
        <f t="shared" si="23"/>
        <v>July</v>
      </c>
    </row>
    <row r="751" spans="1:18" x14ac:dyDescent="0.35">
      <c r="A751" t="s">
        <v>428</v>
      </c>
      <c r="B751" t="s">
        <v>249</v>
      </c>
      <c r="C751" t="s">
        <v>20</v>
      </c>
      <c r="D751" t="s">
        <v>250</v>
      </c>
      <c r="E751">
        <v>6948</v>
      </c>
      <c r="F751">
        <v>3734</v>
      </c>
      <c r="G751">
        <v>2759</v>
      </c>
      <c r="H751">
        <v>46</v>
      </c>
      <c r="I751">
        <v>215</v>
      </c>
      <c r="J751">
        <v>37</v>
      </c>
      <c r="K751" s="1">
        <v>45839</v>
      </c>
      <c r="L751" t="s">
        <v>429</v>
      </c>
      <c r="M751" t="s">
        <v>427</v>
      </c>
      <c r="N751" s="2">
        <f>IFERROR(NHS_A_E[[#This Row],[T1_Over4hrs]]/NHS_A_E[[#This Row],[T1_Attendances]], 0)</f>
        <v>0.39709268854346574</v>
      </c>
      <c r="O751">
        <f>NHS_A_E[[#This Row],[T1_Attendances]]+NHS_A_E[[#This Row],[Other_Attendances]]</f>
        <v>10682</v>
      </c>
      <c r="P751">
        <f>MATCH(LEFT(A751,FIND("-",A751)-1),{"April","May","June","July","August","September","October","November","December","January","February","March"},0)</f>
        <v>4</v>
      </c>
      <c r="Q751" s="3">
        <f t="shared" si="22"/>
        <v>5.3252734599884858E-3</v>
      </c>
      <c r="R751" t="str">
        <f t="shared" si="23"/>
        <v>July</v>
      </c>
    </row>
    <row r="752" spans="1:18" x14ac:dyDescent="0.35">
      <c r="A752" t="s">
        <v>428</v>
      </c>
      <c r="B752" t="s">
        <v>167</v>
      </c>
      <c r="C752" t="s">
        <v>30</v>
      </c>
      <c r="D752" t="s">
        <v>168</v>
      </c>
      <c r="E752">
        <v>8149</v>
      </c>
      <c r="F752">
        <v>4115</v>
      </c>
      <c r="G752">
        <v>4000</v>
      </c>
      <c r="H752">
        <v>313</v>
      </c>
      <c r="I752">
        <v>546</v>
      </c>
      <c r="J752">
        <v>261</v>
      </c>
      <c r="K752" s="1">
        <v>45839</v>
      </c>
      <c r="L752" t="s">
        <v>429</v>
      </c>
      <c r="M752" t="s">
        <v>427</v>
      </c>
      <c r="N752" s="2">
        <f>IFERROR(NHS_A_E[[#This Row],[T1_Over4hrs]]/NHS_A_E[[#This Row],[T1_Attendances]], 0)</f>
        <v>0.49085777395999508</v>
      </c>
      <c r="O752">
        <f>NHS_A_E[[#This Row],[T1_Attendances]]+NHS_A_E[[#This Row],[Other_Attendances]]</f>
        <v>12264</v>
      </c>
      <c r="P752">
        <f>MATCH(LEFT(A752,FIND("-",A752)-1),{"April","May","June","July","August","September","October","November","December","January","February","March"},0)</f>
        <v>4</v>
      </c>
      <c r="Q752" s="3">
        <f t="shared" si="22"/>
        <v>3.2028469750889681E-2</v>
      </c>
      <c r="R752" t="str">
        <f t="shared" si="23"/>
        <v>July</v>
      </c>
    </row>
    <row r="753" spans="1:18" x14ac:dyDescent="0.35">
      <c r="A753" t="s">
        <v>428</v>
      </c>
      <c r="B753" t="s">
        <v>50</v>
      </c>
      <c r="C753" t="s">
        <v>15</v>
      </c>
      <c r="D753" t="s">
        <v>51</v>
      </c>
      <c r="E753">
        <v>11347</v>
      </c>
      <c r="F753">
        <v>4129</v>
      </c>
      <c r="G753">
        <v>2752</v>
      </c>
      <c r="H753">
        <v>14</v>
      </c>
      <c r="I753">
        <v>711</v>
      </c>
      <c r="J753">
        <v>72</v>
      </c>
      <c r="K753" s="1">
        <v>45839</v>
      </c>
      <c r="L753" t="s">
        <v>429</v>
      </c>
      <c r="M753" t="s">
        <v>427</v>
      </c>
      <c r="N753" s="2">
        <f>IFERROR(NHS_A_E[[#This Row],[T1_Over4hrs]]/NHS_A_E[[#This Row],[T1_Attendances]], 0)</f>
        <v>0.24253106547986253</v>
      </c>
      <c r="O753">
        <f>NHS_A_E[[#This Row],[T1_Attendances]]+NHS_A_E[[#This Row],[Other_Attendances]]</f>
        <v>15476</v>
      </c>
      <c r="P753">
        <f>MATCH(LEFT(A753,FIND("-",A753)-1),{"April","May","June","July","August","September","October","November","December","January","February","March"},0)</f>
        <v>4</v>
      </c>
      <c r="Q753" s="3">
        <f t="shared" si="22"/>
        <v>6.3452895038336125E-3</v>
      </c>
      <c r="R753" t="str">
        <f t="shared" si="23"/>
        <v>July</v>
      </c>
    </row>
    <row r="754" spans="1:18" x14ac:dyDescent="0.35">
      <c r="A754" t="s">
        <v>428</v>
      </c>
      <c r="B754" t="s">
        <v>361</v>
      </c>
      <c r="C754" t="s">
        <v>40</v>
      </c>
      <c r="D754" t="s">
        <v>362</v>
      </c>
      <c r="E754">
        <v>10198</v>
      </c>
      <c r="F754">
        <v>8247</v>
      </c>
      <c r="G754">
        <v>3751</v>
      </c>
      <c r="H754">
        <v>87</v>
      </c>
      <c r="I754">
        <v>562</v>
      </c>
      <c r="J754">
        <v>785</v>
      </c>
      <c r="K754" s="1">
        <v>45839</v>
      </c>
      <c r="L754" t="s">
        <v>429</v>
      </c>
      <c r="M754" t="s">
        <v>427</v>
      </c>
      <c r="N754" s="2">
        <f>IFERROR(NHS_A_E[[#This Row],[T1_Over4hrs]]/NHS_A_E[[#This Row],[T1_Attendances]], 0)</f>
        <v>0.36781721906256126</v>
      </c>
      <c r="O754">
        <f>NHS_A_E[[#This Row],[T1_Attendances]]+NHS_A_E[[#This Row],[Other_Attendances]]</f>
        <v>18445</v>
      </c>
      <c r="P754">
        <f>MATCH(LEFT(A754,FIND("-",A754)-1),{"April","May","June","July","August","September","October","November","December","January","February","March"},0)</f>
        <v>4</v>
      </c>
      <c r="Q754" s="3">
        <f t="shared" si="22"/>
        <v>7.6975877623063349E-2</v>
      </c>
      <c r="R754" t="str">
        <f t="shared" si="23"/>
        <v>July</v>
      </c>
    </row>
    <row r="755" spans="1:18" x14ac:dyDescent="0.35">
      <c r="A755" t="s">
        <v>428</v>
      </c>
      <c r="B755" t="s">
        <v>56</v>
      </c>
      <c r="C755" t="s">
        <v>20</v>
      </c>
      <c r="D755" t="s">
        <v>57</v>
      </c>
      <c r="E755">
        <v>4923</v>
      </c>
      <c r="F755">
        <v>1813</v>
      </c>
      <c r="G755">
        <v>1816</v>
      </c>
      <c r="H755">
        <v>0</v>
      </c>
      <c r="I755">
        <v>341</v>
      </c>
      <c r="J755">
        <v>23</v>
      </c>
      <c r="K755" s="1">
        <v>45839</v>
      </c>
      <c r="L755" t="s">
        <v>429</v>
      </c>
      <c r="M755" t="s">
        <v>427</v>
      </c>
      <c r="N755" s="2">
        <f>IFERROR(NHS_A_E[[#This Row],[T1_Over4hrs]]/NHS_A_E[[#This Row],[T1_Attendances]], 0)</f>
        <v>0.36888076376193379</v>
      </c>
      <c r="O755">
        <f>NHS_A_E[[#This Row],[T1_Attendances]]+NHS_A_E[[#This Row],[Other_Attendances]]</f>
        <v>6736</v>
      </c>
      <c r="P755">
        <f>MATCH(LEFT(A755,FIND("-",A755)-1),{"April","May","June","July","August","September","October","November","December","January","February","March"},0)</f>
        <v>4</v>
      </c>
      <c r="Q755" s="3">
        <f t="shared" si="22"/>
        <v>4.6719479991874872E-3</v>
      </c>
      <c r="R755" t="str">
        <f t="shared" si="23"/>
        <v>July</v>
      </c>
    </row>
    <row r="756" spans="1:18" x14ac:dyDescent="0.35">
      <c r="A756" t="s">
        <v>428</v>
      </c>
      <c r="B756" t="s">
        <v>407</v>
      </c>
      <c r="C756" t="s">
        <v>35</v>
      </c>
      <c r="D756" t="s">
        <v>408</v>
      </c>
      <c r="E756">
        <v>0</v>
      </c>
      <c r="F756">
        <v>0</v>
      </c>
      <c r="G756">
        <v>0</v>
      </c>
      <c r="H756">
        <v>0</v>
      </c>
      <c r="I756">
        <v>0</v>
      </c>
      <c r="J756">
        <v>0</v>
      </c>
      <c r="K756" s="1">
        <v>45839</v>
      </c>
      <c r="L756" t="s">
        <v>429</v>
      </c>
      <c r="M756" t="s">
        <v>427</v>
      </c>
      <c r="N756" s="2">
        <f>IFERROR(NHS_A_E[[#This Row],[T1_Over4hrs]]/NHS_A_E[[#This Row],[T1_Attendances]], 0)</f>
        <v>0</v>
      </c>
      <c r="O756">
        <f>NHS_A_E[[#This Row],[T1_Attendances]]+NHS_A_E[[#This Row],[Other_Attendances]]</f>
        <v>0</v>
      </c>
      <c r="P756">
        <f>MATCH(LEFT(A756,FIND("-",A756)-1),{"April","May","June","July","August","September","October","November","December","January","February","March"},0)</f>
        <v>4</v>
      </c>
      <c r="Q756" s="3">
        <f t="shared" si="22"/>
        <v>0</v>
      </c>
      <c r="R756" t="str">
        <f t="shared" si="23"/>
        <v>July</v>
      </c>
    </row>
    <row r="757" spans="1:18" x14ac:dyDescent="0.35">
      <c r="A757" t="s">
        <v>428</v>
      </c>
      <c r="B757" t="s">
        <v>323</v>
      </c>
      <c r="C757" t="s">
        <v>23</v>
      </c>
      <c r="D757" t="s">
        <v>324</v>
      </c>
      <c r="E757">
        <v>8719</v>
      </c>
      <c r="F757">
        <v>1921</v>
      </c>
      <c r="G757">
        <v>3463</v>
      </c>
      <c r="H757">
        <v>0</v>
      </c>
      <c r="I757">
        <v>391</v>
      </c>
      <c r="J757">
        <v>142</v>
      </c>
      <c r="K757" s="1">
        <v>45839</v>
      </c>
      <c r="L757" t="s">
        <v>429</v>
      </c>
      <c r="M757" t="s">
        <v>427</v>
      </c>
      <c r="N757" s="2">
        <f>IFERROR(NHS_A_E[[#This Row],[T1_Over4hrs]]/NHS_A_E[[#This Row],[T1_Attendances]], 0)</f>
        <v>0.39717857552471614</v>
      </c>
      <c r="O757">
        <f>NHS_A_E[[#This Row],[T1_Attendances]]+NHS_A_E[[#This Row],[Other_Attendances]]</f>
        <v>10640</v>
      </c>
      <c r="P757">
        <f>MATCH(LEFT(A757,FIND("-",A757)-1),{"April","May","June","July","August","September","October","November","December","January","February","March"},0)</f>
        <v>4</v>
      </c>
      <c r="Q757" s="3">
        <f t="shared" si="22"/>
        <v>1.6286271361394655E-2</v>
      </c>
      <c r="R757" t="str">
        <f t="shared" si="23"/>
        <v>July</v>
      </c>
    </row>
    <row r="758" spans="1:18" x14ac:dyDescent="0.35">
      <c r="A758" t="s">
        <v>428</v>
      </c>
      <c r="B758" t="s">
        <v>62</v>
      </c>
      <c r="C758" t="s">
        <v>63</v>
      </c>
      <c r="D758" t="s">
        <v>64</v>
      </c>
      <c r="E758">
        <v>17642</v>
      </c>
      <c r="F758">
        <v>11691</v>
      </c>
      <c r="G758">
        <v>6257</v>
      </c>
      <c r="H758">
        <v>107</v>
      </c>
      <c r="I758">
        <v>1485</v>
      </c>
      <c r="J758">
        <v>135</v>
      </c>
      <c r="K758" s="1">
        <v>45839</v>
      </c>
      <c r="L758" t="s">
        <v>429</v>
      </c>
      <c r="M758" t="s">
        <v>427</v>
      </c>
      <c r="N758" s="2">
        <f>IFERROR(NHS_A_E[[#This Row],[T1_Over4hrs]]/NHS_A_E[[#This Row],[T1_Attendances]], 0)</f>
        <v>0.35466500396780409</v>
      </c>
      <c r="O758">
        <f>NHS_A_E[[#This Row],[T1_Attendances]]+NHS_A_E[[#This Row],[Other_Attendances]]</f>
        <v>29333</v>
      </c>
      <c r="P758">
        <f>MATCH(LEFT(A758,FIND("-",A758)-1),{"April","May","June","July","August","September","October","November","December","January","February","March"},0)</f>
        <v>4</v>
      </c>
      <c r="Q758" s="3">
        <f t="shared" si="22"/>
        <v>7.6521936288402679E-3</v>
      </c>
      <c r="R758" t="str">
        <f t="shared" si="23"/>
        <v>July</v>
      </c>
    </row>
    <row r="759" spans="1:18" x14ac:dyDescent="0.35">
      <c r="A759" t="s">
        <v>428</v>
      </c>
      <c r="B759" t="s">
        <v>131</v>
      </c>
      <c r="C759" t="s">
        <v>40</v>
      </c>
      <c r="D759" t="s">
        <v>132</v>
      </c>
      <c r="E759">
        <v>19187</v>
      </c>
      <c r="F759">
        <v>9942</v>
      </c>
      <c r="G759">
        <v>8794</v>
      </c>
      <c r="H759">
        <v>0</v>
      </c>
      <c r="I759">
        <v>989</v>
      </c>
      <c r="J759">
        <v>716</v>
      </c>
      <c r="K759" s="1">
        <v>45839</v>
      </c>
      <c r="L759" t="s">
        <v>429</v>
      </c>
      <c r="M759" t="s">
        <v>427</v>
      </c>
      <c r="N759" s="2">
        <f>IFERROR(NHS_A_E[[#This Row],[T1_Over4hrs]]/NHS_A_E[[#This Row],[T1_Attendances]], 0)</f>
        <v>0.458331161724084</v>
      </c>
      <c r="O759">
        <f>NHS_A_E[[#This Row],[T1_Attendances]]+NHS_A_E[[#This Row],[Other_Attendances]]</f>
        <v>29129</v>
      </c>
      <c r="P759">
        <f>MATCH(LEFT(A759,FIND("-",A759)-1),{"April","May","June","July","August","September","October","November","December","January","February","March"},0)</f>
        <v>4</v>
      </c>
      <c r="Q759" s="3">
        <f t="shared" si="22"/>
        <v>3.7316933340282486E-2</v>
      </c>
      <c r="R759" t="str">
        <f t="shared" si="23"/>
        <v>July</v>
      </c>
    </row>
    <row r="760" spans="1:18" x14ac:dyDescent="0.35">
      <c r="A760" t="s">
        <v>428</v>
      </c>
      <c r="B760" t="s">
        <v>319</v>
      </c>
      <c r="C760" t="s">
        <v>63</v>
      </c>
      <c r="D760" t="s">
        <v>320</v>
      </c>
      <c r="E760">
        <v>0</v>
      </c>
      <c r="F760">
        <v>1281</v>
      </c>
      <c r="G760">
        <v>0</v>
      </c>
      <c r="H760">
        <v>7</v>
      </c>
      <c r="I760">
        <v>0</v>
      </c>
      <c r="J760">
        <v>0</v>
      </c>
      <c r="K760" s="1">
        <v>45839</v>
      </c>
      <c r="L760" t="s">
        <v>429</v>
      </c>
      <c r="M760" t="s">
        <v>427</v>
      </c>
      <c r="N760" s="2">
        <f>IFERROR(NHS_A_E[[#This Row],[T1_Over4hrs]]/NHS_A_E[[#This Row],[T1_Attendances]], 0)</f>
        <v>0</v>
      </c>
      <c r="O760">
        <f>NHS_A_E[[#This Row],[T1_Attendances]]+NHS_A_E[[#This Row],[Other_Attendances]]</f>
        <v>1281</v>
      </c>
      <c r="P760">
        <f>MATCH(LEFT(A760,FIND("-",A760)-1),{"April","May","June","July","August","September","October","November","December","January","February","March"},0)</f>
        <v>4</v>
      </c>
      <c r="Q760" s="3">
        <f t="shared" si="22"/>
        <v>0</v>
      </c>
      <c r="R760" t="str">
        <f t="shared" si="23"/>
        <v>July</v>
      </c>
    </row>
    <row r="761" spans="1:18" x14ac:dyDescent="0.35">
      <c r="A761" t="s">
        <v>428</v>
      </c>
      <c r="B761" t="s">
        <v>175</v>
      </c>
      <c r="C761" t="s">
        <v>63</v>
      </c>
      <c r="D761" t="s">
        <v>176</v>
      </c>
      <c r="E761">
        <v>4933</v>
      </c>
      <c r="F761">
        <v>11358</v>
      </c>
      <c r="G761">
        <v>2576</v>
      </c>
      <c r="H761">
        <v>10</v>
      </c>
      <c r="I761">
        <v>122</v>
      </c>
      <c r="J761">
        <v>4</v>
      </c>
      <c r="K761" s="1">
        <v>45839</v>
      </c>
      <c r="L761" t="s">
        <v>429</v>
      </c>
      <c r="M761" t="s">
        <v>427</v>
      </c>
      <c r="N761" s="2">
        <f>IFERROR(NHS_A_E[[#This Row],[T1_Over4hrs]]/NHS_A_E[[#This Row],[T1_Attendances]], 0)</f>
        <v>0.52219744577336302</v>
      </c>
      <c r="O761">
        <f>NHS_A_E[[#This Row],[T1_Attendances]]+NHS_A_E[[#This Row],[Other_Attendances]]</f>
        <v>16291</v>
      </c>
      <c r="P761">
        <f>MATCH(LEFT(A761,FIND("-",A761)-1),{"April","May","June","July","August","September","October","November","December","January","February","March"},0)</f>
        <v>4</v>
      </c>
      <c r="Q761" s="3">
        <f t="shared" si="22"/>
        <v>8.108655990269613E-4</v>
      </c>
      <c r="R761" t="str">
        <f t="shared" si="23"/>
        <v>July</v>
      </c>
    </row>
    <row r="762" spans="1:18" x14ac:dyDescent="0.35">
      <c r="A762" t="s">
        <v>428</v>
      </c>
      <c r="B762" t="s">
        <v>271</v>
      </c>
      <c r="C762" t="s">
        <v>30</v>
      </c>
      <c r="D762" t="s">
        <v>272</v>
      </c>
      <c r="E762">
        <v>0</v>
      </c>
      <c r="F762">
        <v>13566</v>
      </c>
      <c r="G762">
        <v>0</v>
      </c>
      <c r="H762">
        <v>192</v>
      </c>
      <c r="I762">
        <v>0</v>
      </c>
      <c r="J762">
        <v>0</v>
      </c>
      <c r="K762" s="1">
        <v>45839</v>
      </c>
      <c r="L762" t="s">
        <v>429</v>
      </c>
      <c r="M762" t="s">
        <v>427</v>
      </c>
      <c r="N762" s="2">
        <f>IFERROR(NHS_A_E[[#This Row],[T1_Over4hrs]]/NHS_A_E[[#This Row],[T1_Attendances]], 0)</f>
        <v>0</v>
      </c>
      <c r="O762">
        <f>NHS_A_E[[#This Row],[T1_Attendances]]+NHS_A_E[[#This Row],[Other_Attendances]]</f>
        <v>13566</v>
      </c>
      <c r="P762">
        <f>MATCH(LEFT(A762,FIND("-",A762)-1),{"April","May","June","July","August","September","October","November","December","January","February","March"},0)</f>
        <v>4</v>
      </c>
      <c r="Q762" s="3">
        <f t="shared" si="22"/>
        <v>0</v>
      </c>
      <c r="R762" t="str">
        <f t="shared" si="23"/>
        <v>July</v>
      </c>
    </row>
    <row r="763" spans="1:18" x14ac:dyDescent="0.35">
      <c r="A763" t="s">
        <v>428</v>
      </c>
      <c r="B763" t="s">
        <v>373</v>
      </c>
      <c r="C763" t="s">
        <v>40</v>
      </c>
      <c r="D763" t="s">
        <v>374</v>
      </c>
      <c r="E763">
        <v>13245</v>
      </c>
      <c r="F763">
        <v>0</v>
      </c>
      <c r="G763">
        <v>6980</v>
      </c>
      <c r="H763">
        <v>0</v>
      </c>
      <c r="I763">
        <v>267</v>
      </c>
      <c r="J763">
        <v>467</v>
      </c>
      <c r="K763" s="1">
        <v>45839</v>
      </c>
      <c r="L763" t="s">
        <v>429</v>
      </c>
      <c r="M763" t="s">
        <v>427</v>
      </c>
      <c r="N763" s="2">
        <f>IFERROR(NHS_A_E[[#This Row],[T1_Over4hrs]]/NHS_A_E[[#This Row],[T1_Attendances]], 0)</f>
        <v>0.52699131747829364</v>
      </c>
      <c r="O763">
        <f>NHS_A_E[[#This Row],[T1_Attendances]]+NHS_A_E[[#This Row],[Other_Attendances]]</f>
        <v>13245</v>
      </c>
      <c r="P763">
        <f>MATCH(LEFT(A763,FIND("-",A763)-1),{"April","May","June","July","August","September","October","November","December","January","February","March"},0)</f>
        <v>4</v>
      </c>
      <c r="Q763" s="3">
        <f t="shared" si="22"/>
        <v>3.5258588146470364E-2</v>
      </c>
      <c r="R763" t="str">
        <f t="shared" si="23"/>
        <v>July</v>
      </c>
    </row>
    <row r="764" spans="1:18" x14ac:dyDescent="0.35">
      <c r="A764" t="s">
        <v>428</v>
      </c>
      <c r="B764" t="s">
        <v>195</v>
      </c>
      <c r="C764" t="s">
        <v>30</v>
      </c>
      <c r="D764" t="s">
        <v>196</v>
      </c>
      <c r="E764">
        <v>9042</v>
      </c>
      <c r="F764">
        <v>10364</v>
      </c>
      <c r="G764">
        <v>4286</v>
      </c>
      <c r="H764">
        <v>96</v>
      </c>
      <c r="I764">
        <v>781</v>
      </c>
      <c r="J764">
        <v>340</v>
      </c>
      <c r="K764" s="1">
        <v>45839</v>
      </c>
      <c r="L764" t="s">
        <v>429</v>
      </c>
      <c r="M764" t="s">
        <v>427</v>
      </c>
      <c r="N764" s="2">
        <f>IFERROR(NHS_A_E[[#This Row],[T1_Over4hrs]]/NHS_A_E[[#This Row],[T1_Attendances]], 0)</f>
        <v>0.47401017474010176</v>
      </c>
      <c r="O764">
        <f>NHS_A_E[[#This Row],[T1_Attendances]]+NHS_A_E[[#This Row],[Other_Attendances]]</f>
        <v>19406</v>
      </c>
      <c r="P764">
        <f>MATCH(LEFT(A764,FIND("-",A764)-1),{"April","May","June","July","August","September","October","November","December","January","February","March"},0)</f>
        <v>4</v>
      </c>
      <c r="Q764" s="3">
        <f t="shared" si="22"/>
        <v>3.7602300376023003E-2</v>
      </c>
      <c r="R764" t="str">
        <f t="shared" si="23"/>
        <v>July</v>
      </c>
    </row>
    <row r="765" spans="1:18" x14ac:dyDescent="0.35">
      <c r="A765" t="s">
        <v>428</v>
      </c>
      <c r="B765" t="s">
        <v>119</v>
      </c>
      <c r="C765" t="s">
        <v>15</v>
      </c>
      <c r="D765" t="s">
        <v>120</v>
      </c>
      <c r="E765">
        <v>11214</v>
      </c>
      <c r="F765">
        <v>3235</v>
      </c>
      <c r="G765">
        <v>3369</v>
      </c>
      <c r="H765">
        <v>66</v>
      </c>
      <c r="I765">
        <v>221</v>
      </c>
      <c r="J765">
        <v>309</v>
      </c>
      <c r="K765" s="1">
        <v>45839</v>
      </c>
      <c r="L765" t="s">
        <v>429</v>
      </c>
      <c r="M765" t="s">
        <v>427</v>
      </c>
      <c r="N765" s="2">
        <f>IFERROR(NHS_A_E[[#This Row],[T1_Over4hrs]]/NHS_A_E[[#This Row],[T1_Attendances]], 0)</f>
        <v>0.30042803638309257</v>
      </c>
      <c r="O765">
        <f>NHS_A_E[[#This Row],[T1_Attendances]]+NHS_A_E[[#This Row],[Other_Attendances]]</f>
        <v>14449</v>
      </c>
      <c r="P765">
        <f>MATCH(LEFT(A765,FIND("-",A765)-1),{"April","May","June","July","August","September","October","November","December","January","February","March"},0)</f>
        <v>4</v>
      </c>
      <c r="Q765" s="3">
        <f t="shared" si="22"/>
        <v>2.7554842161583736E-2</v>
      </c>
      <c r="R765" t="str">
        <f t="shared" si="23"/>
        <v>July</v>
      </c>
    </row>
    <row r="766" spans="1:18" x14ac:dyDescent="0.35">
      <c r="A766" t="s">
        <v>428</v>
      </c>
      <c r="B766" t="s">
        <v>237</v>
      </c>
      <c r="C766" t="s">
        <v>30</v>
      </c>
      <c r="D766" t="s">
        <v>238</v>
      </c>
      <c r="E766">
        <v>14245</v>
      </c>
      <c r="F766">
        <v>11919</v>
      </c>
      <c r="G766">
        <v>4842</v>
      </c>
      <c r="H766">
        <v>575</v>
      </c>
      <c r="I766">
        <v>712</v>
      </c>
      <c r="J766">
        <v>708</v>
      </c>
      <c r="K766" s="1">
        <v>45839</v>
      </c>
      <c r="L766" t="s">
        <v>429</v>
      </c>
      <c r="M766" t="s">
        <v>427</v>
      </c>
      <c r="N766" s="2">
        <f>IFERROR(NHS_A_E[[#This Row],[T1_Over4hrs]]/NHS_A_E[[#This Row],[T1_Attendances]], 0)</f>
        <v>0.33990873990873993</v>
      </c>
      <c r="O766">
        <f>NHS_A_E[[#This Row],[T1_Attendances]]+NHS_A_E[[#This Row],[Other_Attendances]]</f>
        <v>26164</v>
      </c>
      <c r="P766">
        <f>MATCH(LEFT(A766,FIND("-",A766)-1),{"April","May","June","July","August","September","October","November","December","January","February","March"},0)</f>
        <v>4</v>
      </c>
      <c r="Q766" s="3">
        <f t="shared" si="22"/>
        <v>4.9701649701649704E-2</v>
      </c>
      <c r="R766" t="str">
        <f t="shared" si="23"/>
        <v>July</v>
      </c>
    </row>
    <row r="767" spans="1:18" x14ac:dyDescent="0.35">
      <c r="A767" t="s">
        <v>428</v>
      </c>
      <c r="B767" t="s">
        <v>309</v>
      </c>
      <c r="C767" t="s">
        <v>30</v>
      </c>
      <c r="D767" t="s">
        <v>310</v>
      </c>
      <c r="E767">
        <v>0</v>
      </c>
      <c r="F767">
        <v>1718</v>
      </c>
      <c r="G767">
        <v>0</v>
      </c>
      <c r="H767">
        <v>11</v>
      </c>
      <c r="I767">
        <v>0</v>
      </c>
      <c r="J767">
        <v>0</v>
      </c>
      <c r="K767" s="1">
        <v>45839</v>
      </c>
      <c r="L767" t="s">
        <v>429</v>
      </c>
      <c r="M767" t="s">
        <v>427</v>
      </c>
      <c r="N767" s="2">
        <f>IFERROR(NHS_A_E[[#This Row],[T1_Over4hrs]]/NHS_A_E[[#This Row],[T1_Attendances]], 0)</f>
        <v>0</v>
      </c>
      <c r="O767">
        <f>NHS_A_E[[#This Row],[T1_Attendances]]+NHS_A_E[[#This Row],[Other_Attendances]]</f>
        <v>1718</v>
      </c>
      <c r="P767">
        <f>MATCH(LEFT(A767,FIND("-",A767)-1),{"April","May","June","July","August","September","October","November","December","January","February","March"},0)</f>
        <v>4</v>
      </c>
      <c r="Q767" s="3">
        <f t="shared" si="22"/>
        <v>0</v>
      </c>
      <c r="R767" t="str">
        <f t="shared" si="23"/>
        <v>July</v>
      </c>
    </row>
    <row r="768" spans="1:18" x14ac:dyDescent="0.35">
      <c r="A768" t="s">
        <v>428</v>
      </c>
      <c r="B768" t="s">
        <v>247</v>
      </c>
      <c r="C768" t="s">
        <v>15</v>
      </c>
      <c r="D768" t="s">
        <v>248</v>
      </c>
      <c r="E768">
        <v>0</v>
      </c>
      <c r="F768">
        <v>5337</v>
      </c>
      <c r="G768">
        <v>0</v>
      </c>
      <c r="H768">
        <v>279</v>
      </c>
      <c r="I768">
        <v>0</v>
      </c>
      <c r="J768">
        <v>0</v>
      </c>
      <c r="K768" s="1">
        <v>45839</v>
      </c>
      <c r="L768" t="s">
        <v>429</v>
      </c>
      <c r="M768" t="s">
        <v>427</v>
      </c>
      <c r="N768" s="2">
        <f>IFERROR(NHS_A_E[[#This Row],[T1_Over4hrs]]/NHS_A_E[[#This Row],[T1_Attendances]], 0)</f>
        <v>0</v>
      </c>
      <c r="O768">
        <f>NHS_A_E[[#This Row],[T1_Attendances]]+NHS_A_E[[#This Row],[Other_Attendances]]</f>
        <v>5337</v>
      </c>
      <c r="P768">
        <f>MATCH(LEFT(A768,FIND("-",A768)-1),{"April","May","June","July","August","September","October","November","December","January","February","March"},0)</f>
        <v>4</v>
      </c>
      <c r="Q768" s="3">
        <f t="shared" si="22"/>
        <v>0</v>
      </c>
      <c r="R768" t="str">
        <f t="shared" si="23"/>
        <v>July</v>
      </c>
    </row>
    <row r="769" spans="1:18" x14ac:dyDescent="0.35">
      <c r="A769" t="s">
        <v>428</v>
      </c>
      <c r="B769" t="s">
        <v>333</v>
      </c>
      <c r="C769" t="s">
        <v>30</v>
      </c>
      <c r="D769" t="s">
        <v>334</v>
      </c>
      <c r="E769">
        <v>26185</v>
      </c>
      <c r="F769">
        <v>11482</v>
      </c>
      <c r="G769">
        <v>10020</v>
      </c>
      <c r="H769">
        <v>364</v>
      </c>
      <c r="I769">
        <v>2491</v>
      </c>
      <c r="J769">
        <v>101</v>
      </c>
      <c r="K769" s="1">
        <v>45839</v>
      </c>
      <c r="L769" t="s">
        <v>429</v>
      </c>
      <c r="M769" t="s">
        <v>427</v>
      </c>
      <c r="N769" s="2">
        <f>IFERROR(NHS_A_E[[#This Row],[T1_Over4hrs]]/NHS_A_E[[#This Row],[T1_Attendances]], 0)</f>
        <v>0.38266182929157916</v>
      </c>
      <c r="O769">
        <f>NHS_A_E[[#This Row],[T1_Attendances]]+NHS_A_E[[#This Row],[Other_Attendances]]</f>
        <v>37667</v>
      </c>
      <c r="P769">
        <f>MATCH(LEFT(A769,FIND("-",A769)-1),{"April","May","June","July","August","September","October","November","December","January","February","March"},0)</f>
        <v>4</v>
      </c>
      <c r="Q769" s="3">
        <f t="shared" si="22"/>
        <v>3.8571701355738018E-3</v>
      </c>
      <c r="R769" t="str">
        <f t="shared" si="23"/>
        <v>July</v>
      </c>
    </row>
    <row r="770" spans="1:18" x14ac:dyDescent="0.35">
      <c r="A770" t="s">
        <v>428</v>
      </c>
      <c r="B770" t="s">
        <v>335</v>
      </c>
      <c r="C770" t="s">
        <v>63</v>
      </c>
      <c r="D770" t="s">
        <v>336</v>
      </c>
      <c r="E770">
        <v>11361</v>
      </c>
      <c r="F770">
        <v>6027</v>
      </c>
      <c r="G770">
        <v>4854</v>
      </c>
      <c r="H770">
        <v>168</v>
      </c>
      <c r="I770">
        <v>307</v>
      </c>
      <c r="J770">
        <v>1</v>
      </c>
      <c r="K770" s="1">
        <v>45839</v>
      </c>
      <c r="L770" t="s">
        <v>429</v>
      </c>
      <c r="M770" t="s">
        <v>427</v>
      </c>
      <c r="N770" s="2">
        <f>IFERROR(NHS_A_E[[#This Row],[T1_Over4hrs]]/NHS_A_E[[#This Row],[T1_Attendances]], 0)</f>
        <v>0.42725112226036438</v>
      </c>
      <c r="O770">
        <f>NHS_A_E[[#This Row],[T1_Attendances]]+NHS_A_E[[#This Row],[Other_Attendances]]</f>
        <v>17388</v>
      </c>
      <c r="P770">
        <f>MATCH(LEFT(A770,FIND("-",A770)-1),{"April","May","June","July","August","September","October","November","December","January","February","March"},0)</f>
        <v>4</v>
      </c>
      <c r="Q770" s="3">
        <f t="shared" ref="Q770:Q833" si="24">IFERROR(J770/E770,0)</f>
        <v>8.802042073761112E-5</v>
      </c>
      <c r="R770" t="str">
        <f t="shared" ref="R770:R833" si="25">TEXT(A770, "mmmm")</f>
        <v>July</v>
      </c>
    </row>
    <row r="771" spans="1:18" x14ac:dyDescent="0.35">
      <c r="A771" t="s">
        <v>428</v>
      </c>
      <c r="B771" t="s">
        <v>337</v>
      </c>
      <c r="C771" t="s">
        <v>20</v>
      </c>
      <c r="D771" t="s">
        <v>338</v>
      </c>
      <c r="E771">
        <v>15124</v>
      </c>
      <c r="F771">
        <v>5243</v>
      </c>
      <c r="G771">
        <v>5821</v>
      </c>
      <c r="H771">
        <v>0</v>
      </c>
      <c r="I771">
        <v>624</v>
      </c>
      <c r="J771">
        <v>67</v>
      </c>
      <c r="K771" s="1">
        <v>45839</v>
      </c>
      <c r="L771" t="s">
        <v>429</v>
      </c>
      <c r="M771" t="s">
        <v>427</v>
      </c>
      <c r="N771" s="2">
        <f>IFERROR(NHS_A_E[[#This Row],[T1_Over4hrs]]/NHS_A_E[[#This Row],[T1_Attendances]], 0)</f>
        <v>0.38488495107114518</v>
      </c>
      <c r="O771">
        <f>NHS_A_E[[#This Row],[T1_Attendances]]+NHS_A_E[[#This Row],[Other_Attendances]]</f>
        <v>20367</v>
      </c>
      <c r="P771">
        <f>MATCH(LEFT(A771,FIND("-",A771)-1),{"April","May","June","July","August","September","October","November","December","January","February","March"},0)</f>
        <v>4</v>
      </c>
      <c r="Q771" s="3">
        <f t="shared" si="24"/>
        <v>4.4300449616503567E-3</v>
      </c>
      <c r="R771" t="str">
        <f t="shared" si="25"/>
        <v>July</v>
      </c>
    </row>
    <row r="772" spans="1:18" x14ac:dyDescent="0.35">
      <c r="A772" t="s">
        <v>428</v>
      </c>
      <c r="B772" t="s">
        <v>85</v>
      </c>
      <c r="C772" t="s">
        <v>63</v>
      </c>
      <c r="D772" t="s">
        <v>86</v>
      </c>
      <c r="E772">
        <v>9650</v>
      </c>
      <c r="F772">
        <v>3496</v>
      </c>
      <c r="G772">
        <v>2298</v>
      </c>
      <c r="H772">
        <v>0</v>
      </c>
      <c r="I772">
        <v>679</v>
      </c>
      <c r="J772">
        <v>51</v>
      </c>
      <c r="K772" s="1">
        <v>45839</v>
      </c>
      <c r="L772" t="s">
        <v>429</v>
      </c>
      <c r="M772" t="s">
        <v>427</v>
      </c>
      <c r="N772" s="2">
        <f>IFERROR(NHS_A_E[[#This Row],[T1_Over4hrs]]/NHS_A_E[[#This Row],[T1_Attendances]], 0)</f>
        <v>0.23813471502590675</v>
      </c>
      <c r="O772">
        <f>NHS_A_E[[#This Row],[T1_Attendances]]+NHS_A_E[[#This Row],[Other_Attendances]]</f>
        <v>13146</v>
      </c>
      <c r="P772">
        <f>MATCH(LEFT(A772,FIND("-",A772)-1),{"April","May","June","July","August","September","October","November","December","January","February","March"},0)</f>
        <v>4</v>
      </c>
      <c r="Q772" s="3">
        <f t="shared" si="24"/>
        <v>5.2849740932642483E-3</v>
      </c>
      <c r="R772" t="str">
        <f t="shared" si="25"/>
        <v>July</v>
      </c>
    </row>
    <row r="773" spans="1:18" x14ac:dyDescent="0.35">
      <c r="A773" t="s">
        <v>428</v>
      </c>
      <c r="B773" t="s">
        <v>39</v>
      </c>
      <c r="C773" t="s">
        <v>40</v>
      </c>
      <c r="D773" t="s">
        <v>41</v>
      </c>
      <c r="E773">
        <v>14974</v>
      </c>
      <c r="F773">
        <v>8407</v>
      </c>
      <c r="G773">
        <v>6948</v>
      </c>
      <c r="H773">
        <v>77</v>
      </c>
      <c r="I773">
        <v>1182</v>
      </c>
      <c r="J773">
        <v>371</v>
      </c>
      <c r="K773" s="1">
        <v>45839</v>
      </c>
      <c r="L773" t="s">
        <v>429</v>
      </c>
      <c r="M773" t="s">
        <v>427</v>
      </c>
      <c r="N773" s="2">
        <f>IFERROR(NHS_A_E[[#This Row],[T1_Over4hrs]]/NHS_A_E[[#This Row],[T1_Attendances]], 0)</f>
        <v>0.46400427407506345</v>
      </c>
      <c r="O773">
        <f>NHS_A_E[[#This Row],[T1_Attendances]]+NHS_A_E[[#This Row],[Other_Attendances]]</f>
        <v>23381</v>
      </c>
      <c r="P773">
        <f>MATCH(LEFT(A773,FIND("-",A773)-1),{"April","May","June","July","August","September","October","November","December","January","February","March"},0)</f>
        <v>4</v>
      </c>
      <c r="Q773" s="3">
        <f t="shared" si="24"/>
        <v>2.4776278883397888E-2</v>
      </c>
      <c r="R773" t="str">
        <f t="shared" si="25"/>
        <v>July</v>
      </c>
    </row>
    <row r="774" spans="1:18" x14ac:dyDescent="0.35">
      <c r="A774" t="s">
        <v>428</v>
      </c>
      <c r="B774" t="s">
        <v>311</v>
      </c>
      <c r="C774" t="s">
        <v>20</v>
      </c>
      <c r="D774" t="s">
        <v>312</v>
      </c>
      <c r="E774">
        <v>0</v>
      </c>
      <c r="F774">
        <v>1249</v>
      </c>
      <c r="G774">
        <v>0</v>
      </c>
      <c r="H774">
        <v>2</v>
      </c>
      <c r="I774">
        <v>0</v>
      </c>
      <c r="J774">
        <v>0</v>
      </c>
      <c r="K774" s="1">
        <v>45839</v>
      </c>
      <c r="L774" t="s">
        <v>429</v>
      </c>
      <c r="M774" t="s">
        <v>427</v>
      </c>
      <c r="N774" s="2">
        <f>IFERROR(NHS_A_E[[#This Row],[T1_Over4hrs]]/NHS_A_E[[#This Row],[T1_Attendances]], 0)</f>
        <v>0</v>
      </c>
      <c r="O774">
        <f>NHS_A_E[[#This Row],[T1_Attendances]]+NHS_A_E[[#This Row],[Other_Attendances]]</f>
        <v>1249</v>
      </c>
      <c r="P774">
        <f>MATCH(LEFT(A774,FIND("-",A774)-1),{"April","May","June","July","August","September","October","November","December","January","February","March"},0)</f>
        <v>4</v>
      </c>
      <c r="Q774" s="3">
        <f t="shared" si="24"/>
        <v>0</v>
      </c>
      <c r="R774" t="str">
        <f t="shared" si="25"/>
        <v>July</v>
      </c>
    </row>
    <row r="775" spans="1:18" x14ac:dyDescent="0.35">
      <c r="A775" t="s">
        <v>428</v>
      </c>
      <c r="B775" t="s">
        <v>109</v>
      </c>
      <c r="C775" t="s">
        <v>35</v>
      </c>
      <c r="D775" t="s">
        <v>110</v>
      </c>
      <c r="E775">
        <v>10683</v>
      </c>
      <c r="F775">
        <v>7268</v>
      </c>
      <c r="G775">
        <v>3648</v>
      </c>
      <c r="H775">
        <v>280</v>
      </c>
      <c r="I775">
        <v>90</v>
      </c>
      <c r="J775">
        <v>84</v>
      </c>
      <c r="K775" s="1">
        <v>45839</v>
      </c>
      <c r="L775" t="s">
        <v>429</v>
      </c>
      <c r="M775" t="s">
        <v>427</v>
      </c>
      <c r="N775" s="2">
        <f>IFERROR(NHS_A_E[[#This Row],[T1_Over4hrs]]/NHS_A_E[[#This Row],[T1_Attendances]], 0)</f>
        <v>0.34147711317045776</v>
      </c>
      <c r="O775">
        <f>NHS_A_E[[#This Row],[T1_Attendances]]+NHS_A_E[[#This Row],[Other_Attendances]]</f>
        <v>17951</v>
      </c>
      <c r="P775">
        <f>MATCH(LEFT(A775,FIND("-",A775)-1),{"April","May","June","July","August","September","October","November","December","January","February","March"},0)</f>
        <v>4</v>
      </c>
      <c r="Q775" s="3">
        <f t="shared" si="24"/>
        <v>7.8629598427408035E-3</v>
      </c>
      <c r="R775" t="str">
        <f t="shared" si="25"/>
        <v>July</v>
      </c>
    </row>
    <row r="776" spans="1:18" x14ac:dyDescent="0.35">
      <c r="A776" t="s">
        <v>428</v>
      </c>
      <c r="B776" t="s">
        <v>343</v>
      </c>
      <c r="C776" t="s">
        <v>30</v>
      </c>
      <c r="D776" t="s">
        <v>344</v>
      </c>
      <c r="E776">
        <v>5409</v>
      </c>
      <c r="F776">
        <v>0</v>
      </c>
      <c r="G776">
        <v>829</v>
      </c>
      <c r="H776">
        <v>0</v>
      </c>
      <c r="I776">
        <v>1</v>
      </c>
      <c r="J776">
        <v>0</v>
      </c>
      <c r="K776" s="1">
        <v>45839</v>
      </c>
      <c r="L776" t="s">
        <v>429</v>
      </c>
      <c r="M776" t="s">
        <v>427</v>
      </c>
      <c r="N776" s="2">
        <f>IFERROR(NHS_A_E[[#This Row],[T1_Over4hrs]]/NHS_A_E[[#This Row],[T1_Attendances]], 0)</f>
        <v>0.15326308005176559</v>
      </c>
      <c r="O776">
        <f>NHS_A_E[[#This Row],[T1_Attendances]]+NHS_A_E[[#This Row],[Other_Attendances]]</f>
        <v>5409</v>
      </c>
      <c r="P776">
        <f>MATCH(LEFT(A776,FIND("-",A776)-1),{"April","May","June","July","August","September","October","November","December","January","February","March"},0)</f>
        <v>4</v>
      </c>
      <c r="Q776" s="3">
        <f t="shared" si="24"/>
        <v>0</v>
      </c>
      <c r="R776" t="str">
        <f t="shared" si="25"/>
        <v>July</v>
      </c>
    </row>
    <row r="777" spans="1:18" x14ac:dyDescent="0.35">
      <c r="A777" t="s">
        <v>428</v>
      </c>
      <c r="B777" t="s">
        <v>387</v>
      </c>
      <c r="C777" t="s">
        <v>35</v>
      </c>
      <c r="D777" t="s">
        <v>388</v>
      </c>
      <c r="E777">
        <v>0</v>
      </c>
      <c r="F777">
        <v>1907</v>
      </c>
      <c r="G777">
        <v>0</v>
      </c>
      <c r="H777">
        <v>83</v>
      </c>
      <c r="I777">
        <v>0</v>
      </c>
      <c r="J777">
        <v>0</v>
      </c>
      <c r="K777" s="1">
        <v>45839</v>
      </c>
      <c r="L777" t="s">
        <v>429</v>
      </c>
      <c r="M777" t="s">
        <v>427</v>
      </c>
      <c r="N777" s="2">
        <f>IFERROR(NHS_A_E[[#This Row],[T1_Over4hrs]]/NHS_A_E[[#This Row],[T1_Attendances]], 0)</f>
        <v>0</v>
      </c>
      <c r="O777">
        <f>NHS_A_E[[#This Row],[T1_Attendances]]+NHS_A_E[[#This Row],[Other_Attendances]]</f>
        <v>1907</v>
      </c>
      <c r="P777">
        <f>MATCH(LEFT(A777,FIND("-",A777)-1),{"April","May","June","July","August","September","October","November","December","January","February","March"},0)</f>
        <v>4</v>
      </c>
      <c r="Q777" s="3">
        <f t="shared" si="24"/>
        <v>0</v>
      </c>
      <c r="R777" t="str">
        <f t="shared" si="25"/>
        <v>July</v>
      </c>
    </row>
    <row r="778" spans="1:18" x14ac:dyDescent="0.35">
      <c r="A778" t="s">
        <v>428</v>
      </c>
      <c r="B778" t="s">
        <v>389</v>
      </c>
      <c r="C778" t="s">
        <v>20</v>
      </c>
      <c r="D778" t="s">
        <v>390</v>
      </c>
      <c r="E778">
        <v>4999</v>
      </c>
      <c r="F778">
        <v>0</v>
      </c>
      <c r="G778">
        <v>1353</v>
      </c>
      <c r="H778">
        <v>0</v>
      </c>
      <c r="I778">
        <v>196</v>
      </c>
      <c r="J778">
        <v>38</v>
      </c>
      <c r="K778" s="1">
        <v>45839</v>
      </c>
      <c r="L778" t="s">
        <v>429</v>
      </c>
      <c r="M778" t="s">
        <v>427</v>
      </c>
      <c r="N778" s="2">
        <f>IFERROR(NHS_A_E[[#This Row],[T1_Over4hrs]]/NHS_A_E[[#This Row],[T1_Attendances]], 0)</f>
        <v>0.27065413082616524</v>
      </c>
      <c r="O778">
        <f>NHS_A_E[[#This Row],[T1_Attendances]]+NHS_A_E[[#This Row],[Other_Attendances]]</f>
        <v>4999</v>
      </c>
      <c r="P778">
        <f>MATCH(LEFT(A778,FIND("-",A778)-1),{"April","May","June","July","August","September","October","November","December","January","February","March"},0)</f>
        <v>4</v>
      </c>
      <c r="Q778" s="3">
        <f t="shared" si="24"/>
        <v>7.6015203040608118E-3</v>
      </c>
      <c r="R778" t="str">
        <f t="shared" si="25"/>
        <v>July</v>
      </c>
    </row>
    <row r="779" spans="1:18" x14ac:dyDescent="0.35">
      <c r="A779" t="s">
        <v>428</v>
      </c>
      <c r="B779" t="s">
        <v>289</v>
      </c>
      <c r="C779" t="s">
        <v>30</v>
      </c>
      <c r="D779" t="s">
        <v>290</v>
      </c>
      <c r="E779">
        <v>0</v>
      </c>
      <c r="F779">
        <v>0</v>
      </c>
      <c r="G779">
        <v>0</v>
      </c>
      <c r="H779">
        <v>0</v>
      </c>
      <c r="I779">
        <v>0</v>
      </c>
      <c r="J779">
        <v>0</v>
      </c>
      <c r="K779" s="1">
        <v>45839</v>
      </c>
      <c r="L779" t="s">
        <v>429</v>
      </c>
      <c r="M779" t="s">
        <v>427</v>
      </c>
      <c r="N779" s="2">
        <f>IFERROR(NHS_A_E[[#This Row],[T1_Over4hrs]]/NHS_A_E[[#This Row],[T1_Attendances]], 0)</f>
        <v>0</v>
      </c>
      <c r="O779">
        <f>NHS_A_E[[#This Row],[T1_Attendances]]+NHS_A_E[[#This Row],[Other_Attendances]]</f>
        <v>0</v>
      </c>
      <c r="P779">
        <f>MATCH(LEFT(A779,FIND("-",A779)-1),{"April","May","June","July","August","September","October","November","December","January","February","March"},0)</f>
        <v>4</v>
      </c>
      <c r="Q779" s="3">
        <f t="shared" si="24"/>
        <v>0</v>
      </c>
      <c r="R779" t="str">
        <f t="shared" si="25"/>
        <v>July</v>
      </c>
    </row>
    <row r="780" spans="1:18" x14ac:dyDescent="0.35">
      <c r="A780" t="s">
        <v>428</v>
      </c>
      <c r="B780" t="s">
        <v>291</v>
      </c>
      <c r="C780" t="s">
        <v>63</v>
      </c>
      <c r="D780" t="s">
        <v>292</v>
      </c>
      <c r="E780">
        <v>5442</v>
      </c>
      <c r="F780">
        <v>1184</v>
      </c>
      <c r="G780">
        <v>1319</v>
      </c>
      <c r="H780">
        <v>0</v>
      </c>
      <c r="I780">
        <v>103</v>
      </c>
      <c r="J780">
        <v>0</v>
      </c>
      <c r="K780" s="1">
        <v>45839</v>
      </c>
      <c r="L780" t="s">
        <v>429</v>
      </c>
      <c r="M780" t="s">
        <v>427</v>
      </c>
      <c r="N780" s="2">
        <f>IFERROR(NHS_A_E[[#This Row],[T1_Over4hrs]]/NHS_A_E[[#This Row],[T1_Attendances]], 0)</f>
        <v>0.24237412715913267</v>
      </c>
      <c r="O780">
        <f>NHS_A_E[[#This Row],[T1_Attendances]]+NHS_A_E[[#This Row],[Other_Attendances]]</f>
        <v>6626</v>
      </c>
      <c r="P780">
        <f>MATCH(LEFT(A780,FIND("-",A780)-1),{"April","May","June","July","August","September","October","November","December","January","February","March"},0)</f>
        <v>4</v>
      </c>
      <c r="Q780" s="3">
        <f t="shared" si="24"/>
        <v>0</v>
      </c>
      <c r="R780" t="str">
        <f t="shared" si="25"/>
        <v>July</v>
      </c>
    </row>
    <row r="781" spans="1:18" x14ac:dyDescent="0.35">
      <c r="A781" t="s">
        <v>428</v>
      </c>
      <c r="B781" t="s">
        <v>27</v>
      </c>
      <c r="C781" t="s">
        <v>20</v>
      </c>
      <c r="D781" t="s">
        <v>28</v>
      </c>
      <c r="E781">
        <v>7303</v>
      </c>
      <c r="F781">
        <v>13900</v>
      </c>
      <c r="G781">
        <v>2993</v>
      </c>
      <c r="H781">
        <v>789</v>
      </c>
      <c r="I781">
        <v>527</v>
      </c>
      <c r="J781">
        <v>178</v>
      </c>
      <c r="K781" s="1">
        <v>45839</v>
      </c>
      <c r="L781" t="s">
        <v>429</v>
      </c>
      <c r="M781" t="s">
        <v>427</v>
      </c>
      <c r="N781" s="2">
        <f>IFERROR(NHS_A_E[[#This Row],[T1_Over4hrs]]/NHS_A_E[[#This Row],[T1_Attendances]], 0)</f>
        <v>0.409831576064631</v>
      </c>
      <c r="O781">
        <f>NHS_A_E[[#This Row],[T1_Attendances]]+NHS_A_E[[#This Row],[Other_Attendances]]</f>
        <v>21203</v>
      </c>
      <c r="P781">
        <f>MATCH(LEFT(A781,FIND("-",A781)-1),{"April","May","June","July","August","September","October","November","December","January","February","March"},0)</f>
        <v>4</v>
      </c>
      <c r="Q781" s="3">
        <f t="shared" si="24"/>
        <v>2.4373545118444476E-2</v>
      </c>
      <c r="R781" t="str">
        <f t="shared" si="25"/>
        <v>July</v>
      </c>
    </row>
    <row r="782" spans="1:18" x14ac:dyDescent="0.35">
      <c r="A782" t="s">
        <v>428</v>
      </c>
      <c r="B782" t="s">
        <v>399</v>
      </c>
      <c r="C782" t="s">
        <v>40</v>
      </c>
      <c r="D782" t="s">
        <v>400</v>
      </c>
      <c r="E782">
        <v>8491</v>
      </c>
      <c r="F782">
        <v>498</v>
      </c>
      <c r="G782">
        <v>1950</v>
      </c>
      <c r="H782">
        <v>0</v>
      </c>
      <c r="I782">
        <v>305</v>
      </c>
      <c r="J782">
        <v>28</v>
      </c>
      <c r="K782" s="1">
        <v>45839</v>
      </c>
      <c r="L782" t="s">
        <v>429</v>
      </c>
      <c r="M782" t="s">
        <v>427</v>
      </c>
      <c r="N782" s="2">
        <f>IFERROR(NHS_A_E[[#This Row],[T1_Over4hrs]]/NHS_A_E[[#This Row],[T1_Attendances]], 0)</f>
        <v>0.22965492874808621</v>
      </c>
      <c r="O782">
        <f>NHS_A_E[[#This Row],[T1_Attendances]]+NHS_A_E[[#This Row],[Other_Attendances]]</f>
        <v>8989</v>
      </c>
      <c r="P782">
        <f>MATCH(LEFT(A782,FIND("-",A782)-1),{"April","May","June","July","August","September","October","November","December","January","February","March"},0)</f>
        <v>4</v>
      </c>
      <c r="Q782" s="3">
        <f t="shared" si="24"/>
        <v>3.2976092333058533E-3</v>
      </c>
      <c r="R782" t="str">
        <f t="shared" si="25"/>
        <v>July</v>
      </c>
    </row>
    <row r="783" spans="1:18" x14ac:dyDescent="0.35">
      <c r="A783" t="s">
        <v>428</v>
      </c>
      <c r="B783" t="s">
        <v>273</v>
      </c>
      <c r="C783" t="s">
        <v>30</v>
      </c>
      <c r="D783" t="s">
        <v>274</v>
      </c>
      <c r="E783">
        <v>4616</v>
      </c>
      <c r="F783">
        <v>0</v>
      </c>
      <c r="G783">
        <v>2765</v>
      </c>
      <c r="H783">
        <v>0</v>
      </c>
      <c r="I783">
        <v>238</v>
      </c>
      <c r="J783">
        <v>271</v>
      </c>
      <c r="K783" s="1">
        <v>45839</v>
      </c>
      <c r="L783" t="s">
        <v>429</v>
      </c>
      <c r="M783" t="s">
        <v>427</v>
      </c>
      <c r="N783" s="2">
        <f>IFERROR(NHS_A_E[[#This Row],[T1_Over4hrs]]/NHS_A_E[[#This Row],[T1_Attendances]], 0)</f>
        <v>0.59900346620450606</v>
      </c>
      <c r="O783">
        <f>NHS_A_E[[#This Row],[T1_Attendances]]+NHS_A_E[[#This Row],[Other_Attendances]]</f>
        <v>4616</v>
      </c>
      <c r="P783">
        <f>MATCH(LEFT(A783,FIND("-",A783)-1),{"April","May","June","July","August","September","October","November","December","January","February","March"},0)</f>
        <v>4</v>
      </c>
      <c r="Q783" s="3">
        <f t="shared" si="24"/>
        <v>5.8708838821490465E-2</v>
      </c>
      <c r="R783" t="str">
        <f t="shared" si="25"/>
        <v>July</v>
      </c>
    </row>
    <row r="784" spans="1:18" x14ac:dyDescent="0.35">
      <c r="A784" t="s">
        <v>428</v>
      </c>
      <c r="B784" t="s">
        <v>413</v>
      </c>
      <c r="C784" t="s">
        <v>20</v>
      </c>
      <c r="D784" t="s">
        <v>414</v>
      </c>
      <c r="E784">
        <v>9802</v>
      </c>
      <c r="F784">
        <v>6098</v>
      </c>
      <c r="G784">
        <v>4393</v>
      </c>
      <c r="H784">
        <v>50</v>
      </c>
      <c r="I784">
        <v>623</v>
      </c>
      <c r="J784">
        <v>255</v>
      </c>
      <c r="K784" s="1">
        <v>45839</v>
      </c>
      <c r="L784" t="s">
        <v>429</v>
      </c>
      <c r="M784" t="s">
        <v>427</v>
      </c>
      <c r="N784" s="2">
        <f>IFERROR(NHS_A_E[[#This Row],[T1_Over4hrs]]/NHS_A_E[[#This Row],[T1_Attendances]], 0)</f>
        <v>0.44817384207304634</v>
      </c>
      <c r="O784">
        <f>NHS_A_E[[#This Row],[T1_Attendances]]+NHS_A_E[[#This Row],[Other_Attendances]]</f>
        <v>15900</v>
      </c>
      <c r="P784">
        <f>MATCH(LEFT(A784,FIND("-",A784)-1),{"April","May","June","July","August","September","October","November","December","January","February","March"},0)</f>
        <v>4</v>
      </c>
      <c r="Q784" s="3">
        <f t="shared" si="24"/>
        <v>2.6015098959396042E-2</v>
      </c>
      <c r="R784" t="str">
        <f t="shared" si="25"/>
        <v>July</v>
      </c>
    </row>
    <row r="785" spans="1:18" x14ac:dyDescent="0.35">
      <c r="A785" t="s">
        <v>428</v>
      </c>
      <c r="B785" t="s">
        <v>403</v>
      </c>
      <c r="C785" t="s">
        <v>15</v>
      </c>
      <c r="D785" t="s">
        <v>404</v>
      </c>
      <c r="E785">
        <v>0</v>
      </c>
      <c r="F785">
        <v>1603</v>
      </c>
      <c r="G785">
        <v>0</v>
      </c>
      <c r="H785">
        <v>30</v>
      </c>
      <c r="I785">
        <v>0</v>
      </c>
      <c r="J785">
        <v>0</v>
      </c>
      <c r="K785" s="1">
        <v>45839</v>
      </c>
      <c r="L785" t="s">
        <v>429</v>
      </c>
      <c r="M785" t="s">
        <v>427</v>
      </c>
      <c r="N785" s="2">
        <f>IFERROR(NHS_A_E[[#This Row],[T1_Over4hrs]]/NHS_A_E[[#This Row],[T1_Attendances]], 0)</f>
        <v>0</v>
      </c>
      <c r="O785">
        <f>NHS_A_E[[#This Row],[T1_Attendances]]+NHS_A_E[[#This Row],[Other_Attendances]]</f>
        <v>1603</v>
      </c>
      <c r="P785">
        <f>MATCH(LEFT(A785,FIND("-",A785)-1),{"April","May","June","July","August","September","October","November","December","January","February","March"},0)</f>
        <v>4</v>
      </c>
      <c r="Q785" s="3">
        <f t="shared" si="24"/>
        <v>0</v>
      </c>
      <c r="R785" t="str">
        <f t="shared" si="25"/>
        <v>July</v>
      </c>
    </row>
    <row r="786" spans="1:18" x14ac:dyDescent="0.35">
      <c r="A786" t="s">
        <v>428</v>
      </c>
      <c r="B786" t="s">
        <v>121</v>
      </c>
      <c r="C786" t="s">
        <v>15</v>
      </c>
      <c r="D786" t="s">
        <v>122</v>
      </c>
      <c r="E786">
        <v>7470</v>
      </c>
      <c r="F786">
        <v>3010</v>
      </c>
      <c r="G786">
        <v>3498</v>
      </c>
      <c r="H786">
        <v>25</v>
      </c>
      <c r="I786">
        <v>478</v>
      </c>
      <c r="J786">
        <v>133</v>
      </c>
      <c r="K786" s="1">
        <v>45839</v>
      </c>
      <c r="L786" t="s">
        <v>429</v>
      </c>
      <c r="M786" t="s">
        <v>427</v>
      </c>
      <c r="N786" s="2">
        <f>IFERROR(NHS_A_E[[#This Row],[T1_Over4hrs]]/NHS_A_E[[#This Row],[T1_Attendances]], 0)</f>
        <v>0.46827309236947789</v>
      </c>
      <c r="O786">
        <f>NHS_A_E[[#This Row],[T1_Attendances]]+NHS_A_E[[#This Row],[Other_Attendances]]</f>
        <v>10480</v>
      </c>
      <c r="P786">
        <f>MATCH(LEFT(A786,FIND("-",A786)-1),{"April","May","June","July","August","September","October","November","December","January","February","March"},0)</f>
        <v>4</v>
      </c>
      <c r="Q786" s="3">
        <f t="shared" si="24"/>
        <v>1.7804551539491297E-2</v>
      </c>
      <c r="R786" t="str">
        <f t="shared" si="25"/>
        <v>July</v>
      </c>
    </row>
    <row r="787" spans="1:18" x14ac:dyDescent="0.35">
      <c r="A787" t="s">
        <v>428</v>
      </c>
      <c r="B787" t="s">
        <v>275</v>
      </c>
      <c r="C787" t="s">
        <v>20</v>
      </c>
      <c r="D787" t="s">
        <v>276</v>
      </c>
      <c r="E787">
        <v>0</v>
      </c>
      <c r="F787">
        <v>8928</v>
      </c>
      <c r="G787">
        <v>0</v>
      </c>
      <c r="H787">
        <v>140</v>
      </c>
      <c r="I787">
        <v>0</v>
      </c>
      <c r="J787">
        <v>0</v>
      </c>
      <c r="K787" s="1">
        <v>45839</v>
      </c>
      <c r="L787" t="s">
        <v>429</v>
      </c>
      <c r="M787" t="s">
        <v>427</v>
      </c>
      <c r="N787" s="2">
        <f>IFERROR(NHS_A_E[[#This Row],[T1_Over4hrs]]/NHS_A_E[[#This Row],[T1_Attendances]], 0)</f>
        <v>0</v>
      </c>
      <c r="O787">
        <f>NHS_A_E[[#This Row],[T1_Attendances]]+NHS_A_E[[#This Row],[Other_Attendances]]</f>
        <v>8928</v>
      </c>
      <c r="P787">
        <f>MATCH(LEFT(A787,FIND("-",A787)-1),{"April","May","June","July","August","September","October","November","December","January","February","March"},0)</f>
        <v>4</v>
      </c>
      <c r="Q787" s="3">
        <f t="shared" si="24"/>
        <v>0</v>
      </c>
      <c r="R787" t="str">
        <f t="shared" si="25"/>
        <v>July</v>
      </c>
    </row>
    <row r="788" spans="1:18" x14ac:dyDescent="0.35">
      <c r="A788" t="s">
        <v>428</v>
      </c>
      <c r="B788" t="s">
        <v>363</v>
      </c>
      <c r="C788" t="s">
        <v>40</v>
      </c>
      <c r="D788" t="s">
        <v>364</v>
      </c>
      <c r="E788">
        <v>14228</v>
      </c>
      <c r="F788">
        <v>6778</v>
      </c>
      <c r="G788">
        <v>7003</v>
      </c>
      <c r="H788">
        <v>45</v>
      </c>
      <c r="I788">
        <v>1069</v>
      </c>
      <c r="J788">
        <v>896</v>
      </c>
      <c r="K788" s="1">
        <v>45839</v>
      </c>
      <c r="L788" t="s">
        <v>429</v>
      </c>
      <c r="M788" t="s">
        <v>427</v>
      </c>
      <c r="N788" s="2">
        <f>IFERROR(NHS_A_E[[#This Row],[T1_Over4hrs]]/NHS_A_E[[#This Row],[T1_Attendances]], 0)</f>
        <v>0.49219848186674164</v>
      </c>
      <c r="O788">
        <f>NHS_A_E[[#This Row],[T1_Attendances]]+NHS_A_E[[#This Row],[Other_Attendances]]</f>
        <v>21006</v>
      </c>
      <c r="P788">
        <f>MATCH(LEFT(A788,FIND("-",A788)-1),{"April","May","June","July","August","September","October","November","December","January","February","March"},0)</f>
        <v>4</v>
      </c>
      <c r="Q788" s="3">
        <f t="shared" si="24"/>
        <v>6.297441664323869E-2</v>
      </c>
      <c r="R788" t="str">
        <f t="shared" si="25"/>
        <v>July</v>
      </c>
    </row>
    <row r="789" spans="1:18" x14ac:dyDescent="0.35">
      <c r="A789" t="s">
        <v>428</v>
      </c>
      <c r="B789" t="s">
        <v>193</v>
      </c>
      <c r="C789" t="s">
        <v>63</v>
      </c>
      <c r="D789" t="s">
        <v>194</v>
      </c>
      <c r="E789">
        <v>0</v>
      </c>
      <c r="F789">
        <v>0</v>
      </c>
      <c r="G789">
        <v>0</v>
      </c>
      <c r="H789">
        <v>0</v>
      </c>
      <c r="I789">
        <v>0</v>
      </c>
      <c r="J789">
        <v>0</v>
      </c>
      <c r="K789" s="1">
        <v>45839</v>
      </c>
      <c r="L789" t="s">
        <v>429</v>
      </c>
      <c r="M789" t="s">
        <v>427</v>
      </c>
      <c r="N789" s="2">
        <f>IFERROR(NHS_A_E[[#This Row],[T1_Over4hrs]]/NHS_A_E[[#This Row],[T1_Attendances]], 0)</f>
        <v>0</v>
      </c>
      <c r="O789">
        <f>NHS_A_E[[#This Row],[T1_Attendances]]+NHS_A_E[[#This Row],[Other_Attendances]]</f>
        <v>0</v>
      </c>
      <c r="P789">
        <f>MATCH(LEFT(A789,FIND("-",A789)-1),{"April","May","June","July","August","September","October","November","December","January","February","March"},0)</f>
        <v>4</v>
      </c>
      <c r="Q789" s="3">
        <f t="shared" si="24"/>
        <v>0</v>
      </c>
      <c r="R789" t="str">
        <f t="shared" si="25"/>
        <v>July</v>
      </c>
    </row>
    <row r="790" spans="1:18" x14ac:dyDescent="0.35">
      <c r="A790" t="s">
        <v>428</v>
      </c>
      <c r="B790" t="s">
        <v>325</v>
      </c>
      <c r="C790" t="s">
        <v>40</v>
      </c>
      <c r="D790" t="s">
        <v>326</v>
      </c>
      <c r="E790">
        <v>0</v>
      </c>
      <c r="F790">
        <v>9119</v>
      </c>
      <c r="G790">
        <v>0</v>
      </c>
      <c r="H790">
        <v>297</v>
      </c>
      <c r="I790">
        <v>0</v>
      </c>
      <c r="J790">
        <v>0</v>
      </c>
      <c r="K790" s="1">
        <v>45839</v>
      </c>
      <c r="L790" t="s">
        <v>429</v>
      </c>
      <c r="M790" t="s">
        <v>427</v>
      </c>
      <c r="N790" s="2">
        <f>IFERROR(NHS_A_E[[#This Row],[T1_Over4hrs]]/NHS_A_E[[#This Row],[T1_Attendances]], 0)</f>
        <v>0</v>
      </c>
      <c r="O790">
        <f>NHS_A_E[[#This Row],[T1_Attendances]]+NHS_A_E[[#This Row],[Other_Attendances]]</f>
        <v>9119</v>
      </c>
      <c r="P790">
        <f>MATCH(LEFT(A790,FIND("-",A790)-1),{"April","May","June","July","August","September","October","November","December","January","February","March"},0)</f>
        <v>4</v>
      </c>
      <c r="Q790" s="3">
        <f t="shared" si="24"/>
        <v>0</v>
      </c>
      <c r="R790" t="str">
        <f t="shared" si="25"/>
        <v>July</v>
      </c>
    </row>
    <row r="791" spans="1:18" x14ac:dyDescent="0.35">
      <c r="A791" t="s">
        <v>428</v>
      </c>
      <c r="B791" t="s">
        <v>201</v>
      </c>
      <c r="C791" t="s">
        <v>20</v>
      </c>
      <c r="D791" t="s">
        <v>202</v>
      </c>
      <c r="E791">
        <v>0</v>
      </c>
      <c r="F791">
        <v>2043</v>
      </c>
      <c r="G791">
        <v>0</v>
      </c>
      <c r="H791">
        <v>17</v>
      </c>
      <c r="I791">
        <v>0</v>
      </c>
      <c r="J791">
        <v>0</v>
      </c>
      <c r="K791" s="1">
        <v>45839</v>
      </c>
      <c r="L791" t="s">
        <v>429</v>
      </c>
      <c r="M791" t="s">
        <v>427</v>
      </c>
      <c r="N791" s="2">
        <f>IFERROR(NHS_A_E[[#This Row],[T1_Over4hrs]]/NHS_A_E[[#This Row],[T1_Attendances]], 0)</f>
        <v>0</v>
      </c>
      <c r="O791">
        <f>NHS_A_E[[#This Row],[T1_Attendances]]+NHS_A_E[[#This Row],[Other_Attendances]]</f>
        <v>2043</v>
      </c>
      <c r="P791">
        <f>MATCH(LEFT(A791,FIND("-",A791)-1),{"April","May","June","July","August","September","October","November","December","January","February","March"},0)</f>
        <v>4</v>
      </c>
      <c r="Q791" s="3">
        <f t="shared" si="24"/>
        <v>0</v>
      </c>
      <c r="R791" t="str">
        <f t="shared" si="25"/>
        <v>July</v>
      </c>
    </row>
    <row r="792" spans="1:18" x14ac:dyDescent="0.35">
      <c r="A792" t="s">
        <v>428</v>
      </c>
      <c r="B792" t="s">
        <v>397</v>
      </c>
      <c r="C792" t="s">
        <v>63</v>
      </c>
      <c r="D792" t="s">
        <v>398</v>
      </c>
      <c r="E792">
        <v>0</v>
      </c>
      <c r="F792">
        <v>442</v>
      </c>
      <c r="G792">
        <v>0</v>
      </c>
      <c r="H792">
        <v>0</v>
      </c>
      <c r="I792">
        <v>0</v>
      </c>
      <c r="J792">
        <v>0</v>
      </c>
      <c r="K792" s="1">
        <v>45839</v>
      </c>
      <c r="L792" t="s">
        <v>429</v>
      </c>
      <c r="M792" t="s">
        <v>427</v>
      </c>
      <c r="N792" s="2">
        <f>IFERROR(NHS_A_E[[#This Row],[T1_Over4hrs]]/NHS_A_E[[#This Row],[T1_Attendances]], 0)</f>
        <v>0</v>
      </c>
      <c r="O792">
        <f>NHS_A_E[[#This Row],[T1_Attendances]]+NHS_A_E[[#This Row],[Other_Attendances]]</f>
        <v>442</v>
      </c>
      <c r="P792">
        <f>MATCH(LEFT(A792,FIND("-",A792)-1),{"April","May","June","July","August","September","October","November","December","January","February","March"},0)</f>
        <v>4</v>
      </c>
      <c r="Q792" s="3">
        <f t="shared" si="24"/>
        <v>0</v>
      </c>
      <c r="R792" t="str">
        <f t="shared" si="25"/>
        <v>July</v>
      </c>
    </row>
    <row r="793" spans="1:18" x14ac:dyDescent="0.35">
      <c r="A793" t="s">
        <v>428</v>
      </c>
      <c r="B793" t="s">
        <v>385</v>
      </c>
      <c r="C793" t="s">
        <v>20</v>
      </c>
      <c r="D793" t="s">
        <v>386</v>
      </c>
      <c r="E793">
        <v>0</v>
      </c>
      <c r="F793">
        <v>9521</v>
      </c>
      <c r="G793">
        <v>0</v>
      </c>
      <c r="H793">
        <v>261</v>
      </c>
      <c r="I793">
        <v>0</v>
      </c>
      <c r="J793">
        <v>0</v>
      </c>
      <c r="K793" s="1">
        <v>45839</v>
      </c>
      <c r="L793" t="s">
        <v>429</v>
      </c>
      <c r="M793" t="s">
        <v>427</v>
      </c>
      <c r="N793" s="2">
        <f>IFERROR(NHS_A_E[[#This Row],[T1_Over4hrs]]/NHS_A_E[[#This Row],[T1_Attendances]], 0)</f>
        <v>0</v>
      </c>
      <c r="O793">
        <f>NHS_A_E[[#This Row],[T1_Attendances]]+NHS_A_E[[#This Row],[Other_Attendances]]</f>
        <v>9521</v>
      </c>
      <c r="P793">
        <f>MATCH(LEFT(A793,FIND("-",A793)-1),{"April","May","June","July","August","September","October","November","December","January","February","March"},0)</f>
        <v>4</v>
      </c>
      <c r="Q793" s="3">
        <f t="shared" si="24"/>
        <v>0</v>
      </c>
      <c r="R793" t="str">
        <f t="shared" si="25"/>
        <v>July</v>
      </c>
    </row>
    <row r="794" spans="1:18" x14ac:dyDescent="0.35">
      <c r="A794" t="s">
        <v>428</v>
      </c>
      <c r="B794" t="s">
        <v>287</v>
      </c>
      <c r="C794" t="s">
        <v>40</v>
      </c>
      <c r="D794" t="s">
        <v>288</v>
      </c>
      <c r="E794">
        <v>0</v>
      </c>
      <c r="F794">
        <v>3233</v>
      </c>
      <c r="G794">
        <v>0</v>
      </c>
      <c r="H794">
        <v>0</v>
      </c>
      <c r="I794">
        <v>0</v>
      </c>
      <c r="J794">
        <v>0</v>
      </c>
      <c r="K794" s="1">
        <v>45839</v>
      </c>
      <c r="L794" t="s">
        <v>429</v>
      </c>
      <c r="M794" t="s">
        <v>427</v>
      </c>
      <c r="N794" s="2">
        <f>IFERROR(NHS_A_E[[#This Row],[T1_Over4hrs]]/NHS_A_E[[#This Row],[T1_Attendances]], 0)</f>
        <v>0</v>
      </c>
      <c r="O794">
        <f>NHS_A_E[[#This Row],[T1_Attendances]]+NHS_A_E[[#This Row],[Other_Attendances]]</f>
        <v>3233</v>
      </c>
      <c r="P794">
        <f>MATCH(LEFT(A794,FIND("-",A794)-1),{"April","May","June","July","August","September","October","November","December","January","February","March"},0)</f>
        <v>4</v>
      </c>
      <c r="Q794" s="3">
        <f t="shared" si="24"/>
        <v>0</v>
      </c>
      <c r="R794" t="str">
        <f t="shared" si="25"/>
        <v>July</v>
      </c>
    </row>
    <row r="795" spans="1:18" x14ac:dyDescent="0.35">
      <c r="A795" t="s">
        <v>428</v>
      </c>
      <c r="B795" t="s">
        <v>331</v>
      </c>
      <c r="C795" t="s">
        <v>15</v>
      </c>
      <c r="D795" t="s">
        <v>332</v>
      </c>
      <c r="E795">
        <v>0</v>
      </c>
      <c r="F795">
        <v>5273</v>
      </c>
      <c r="G795">
        <v>0</v>
      </c>
      <c r="H795">
        <v>91</v>
      </c>
      <c r="I795">
        <v>0</v>
      </c>
      <c r="J795">
        <v>0</v>
      </c>
      <c r="K795" s="1">
        <v>45839</v>
      </c>
      <c r="L795" t="s">
        <v>429</v>
      </c>
      <c r="M795" t="s">
        <v>427</v>
      </c>
      <c r="N795" s="2">
        <f>IFERROR(NHS_A_E[[#This Row],[T1_Over4hrs]]/NHS_A_E[[#This Row],[T1_Attendances]], 0)</f>
        <v>0</v>
      </c>
      <c r="O795">
        <f>NHS_A_E[[#This Row],[T1_Attendances]]+NHS_A_E[[#This Row],[Other_Attendances]]</f>
        <v>5273</v>
      </c>
      <c r="P795">
        <f>MATCH(LEFT(A795,FIND("-",A795)-1),{"April","May","June","July","August","September","October","November","December","January","February","March"},0)</f>
        <v>4</v>
      </c>
      <c r="Q795" s="3">
        <f t="shared" si="24"/>
        <v>0</v>
      </c>
      <c r="R795" t="str">
        <f t="shared" si="25"/>
        <v>July</v>
      </c>
    </row>
    <row r="796" spans="1:18" x14ac:dyDescent="0.35">
      <c r="A796" t="s">
        <v>428</v>
      </c>
      <c r="B796" t="s">
        <v>227</v>
      </c>
      <c r="C796" t="s">
        <v>30</v>
      </c>
      <c r="D796" t="s">
        <v>228</v>
      </c>
      <c r="E796">
        <v>0</v>
      </c>
      <c r="F796">
        <v>1261</v>
      </c>
      <c r="G796">
        <v>0</v>
      </c>
      <c r="H796">
        <v>2</v>
      </c>
      <c r="I796">
        <v>0</v>
      </c>
      <c r="J796">
        <v>0</v>
      </c>
      <c r="K796" s="1">
        <v>45839</v>
      </c>
      <c r="L796" t="s">
        <v>429</v>
      </c>
      <c r="M796" t="s">
        <v>427</v>
      </c>
      <c r="N796" s="2">
        <f>IFERROR(NHS_A_E[[#This Row],[T1_Over4hrs]]/NHS_A_E[[#This Row],[T1_Attendances]], 0)</f>
        <v>0</v>
      </c>
      <c r="O796">
        <f>NHS_A_E[[#This Row],[T1_Attendances]]+NHS_A_E[[#This Row],[Other_Attendances]]</f>
        <v>1261</v>
      </c>
      <c r="P796">
        <f>MATCH(LEFT(A796,FIND("-",A796)-1),{"April","May","June","July","August","September","October","November","December","January","February","March"},0)</f>
        <v>4</v>
      </c>
      <c r="Q796" s="3">
        <f t="shared" si="24"/>
        <v>0</v>
      </c>
      <c r="R796" t="str">
        <f t="shared" si="25"/>
        <v>July</v>
      </c>
    </row>
    <row r="797" spans="1:18" x14ac:dyDescent="0.35">
      <c r="A797" t="s">
        <v>428</v>
      </c>
      <c r="B797" t="s">
        <v>339</v>
      </c>
      <c r="C797" t="s">
        <v>20</v>
      </c>
      <c r="D797" t="s">
        <v>340</v>
      </c>
      <c r="E797">
        <v>15810</v>
      </c>
      <c r="F797">
        <v>0</v>
      </c>
      <c r="G797">
        <v>5015</v>
      </c>
      <c r="H797">
        <v>0</v>
      </c>
      <c r="I797">
        <v>903</v>
      </c>
      <c r="J797">
        <v>161</v>
      </c>
      <c r="K797" s="1">
        <v>45839</v>
      </c>
      <c r="L797" t="s">
        <v>429</v>
      </c>
      <c r="M797" t="s">
        <v>427</v>
      </c>
      <c r="N797" s="2">
        <f>IFERROR(NHS_A_E[[#This Row],[T1_Over4hrs]]/NHS_A_E[[#This Row],[T1_Attendances]], 0)</f>
        <v>0.31720430107526881</v>
      </c>
      <c r="O797">
        <f>NHS_A_E[[#This Row],[T1_Attendances]]+NHS_A_E[[#This Row],[Other_Attendances]]</f>
        <v>15810</v>
      </c>
      <c r="P797">
        <f>MATCH(LEFT(A797,FIND("-",A797)-1),{"April","May","June","July","August","September","October","November","December","January","February","March"},0)</f>
        <v>4</v>
      </c>
      <c r="Q797" s="3">
        <f t="shared" si="24"/>
        <v>1.0183428209993675E-2</v>
      </c>
      <c r="R797" t="str">
        <f t="shared" si="25"/>
        <v>July</v>
      </c>
    </row>
    <row r="798" spans="1:18" x14ac:dyDescent="0.35">
      <c r="A798" t="s">
        <v>428</v>
      </c>
      <c r="B798" t="s">
        <v>349</v>
      </c>
      <c r="C798" t="s">
        <v>20</v>
      </c>
      <c r="D798" t="s">
        <v>350</v>
      </c>
      <c r="E798">
        <v>13593</v>
      </c>
      <c r="F798">
        <v>4723</v>
      </c>
      <c r="G798">
        <v>5405</v>
      </c>
      <c r="H798">
        <v>19</v>
      </c>
      <c r="I798">
        <v>819</v>
      </c>
      <c r="J798">
        <v>131</v>
      </c>
      <c r="K798" s="1">
        <v>45839</v>
      </c>
      <c r="L798" t="s">
        <v>429</v>
      </c>
      <c r="M798" t="s">
        <v>427</v>
      </c>
      <c r="N798" s="2">
        <f>IFERROR(NHS_A_E[[#This Row],[T1_Over4hrs]]/NHS_A_E[[#This Row],[T1_Attendances]], 0)</f>
        <v>0.3976311336717428</v>
      </c>
      <c r="O798">
        <f>NHS_A_E[[#This Row],[T1_Attendances]]+NHS_A_E[[#This Row],[Other_Attendances]]</f>
        <v>18316</v>
      </c>
      <c r="P798">
        <f>MATCH(LEFT(A798,FIND("-",A798)-1),{"April","May","June","July","August","September","October","November","December","January","February","March"},0)</f>
        <v>4</v>
      </c>
      <c r="Q798" s="3">
        <f t="shared" si="24"/>
        <v>9.6373133230339154E-3</v>
      </c>
      <c r="R798" t="str">
        <f t="shared" si="25"/>
        <v>July</v>
      </c>
    </row>
    <row r="799" spans="1:18" x14ac:dyDescent="0.35">
      <c r="A799" t="s">
        <v>428</v>
      </c>
      <c r="B799" t="s">
        <v>265</v>
      </c>
      <c r="C799" t="s">
        <v>35</v>
      </c>
      <c r="D799" t="s">
        <v>266</v>
      </c>
      <c r="E799">
        <v>0</v>
      </c>
      <c r="F799">
        <v>2607</v>
      </c>
      <c r="G799">
        <v>0</v>
      </c>
      <c r="H799">
        <v>10</v>
      </c>
      <c r="I799">
        <v>0</v>
      </c>
      <c r="J799">
        <v>0</v>
      </c>
      <c r="K799" s="1">
        <v>45839</v>
      </c>
      <c r="L799" t="s">
        <v>429</v>
      </c>
      <c r="M799" t="s">
        <v>427</v>
      </c>
      <c r="N799" s="2">
        <f>IFERROR(NHS_A_E[[#This Row],[T1_Over4hrs]]/NHS_A_E[[#This Row],[T1_Attendances]], 0)</f>
        <v>0</v>
      </c>
      <c r="O799">
        <f>NHS_A_E[[#This Row],[T1_Attendances]]+NHS_A_E[[#This Row],[Other_Attendances]]</f>
        <v>2607</v>
      </c>
      <c r="P799">
        <f>MATCH(LEFT(A799,FIND("-",A799)-1),{"April","May","June","July","August","September","October","November","December","January","February","March"},0)</f>
        <v>4</v>
      </c>
      <c r="Q799" s="3">
        <f t="shared" si="24"/>
        <v>0</v>
      </c>
      <c r="R799" t="str">
        <f t="shared" si="25"/>
        <v>July</v>
      </c>
    </row>
    <row r="800" spans="1:18" x14ac:dyDescent="0.35">
      <c r="A800" t="s">
        <v>428</v>
      </c>
      <c r="B800" t="s">
        <v>165</v>
      </c>
      <c r="C800" t="s">
        <v>63</v>
      </c>
      <c r="D800" t="s">
        <v>166</v>
      </c>
      <c r="E800">
        <v>12588</v>
      </c>
      <c r="F800">
        <v>6401</v>
      </c>
      <c r="G800">
        <v>4243</v>
      </c>
      <c r="H800">
        <v>0</v>
      </c>
      <c r="I800">
        <v>407</v>
      </c>
      <c r="J800">
        <v>28</v>
      </c>
      <c r="K800" s="1">
        <v>45839</v>
      </c>
      <c r="L800" t="s">
        <v>429</v>
      </c>
      <c r="M800" t="s">
        <v>427</v>
      </c>
      <c r="N800" s="2">
        <f>IFERROR(NHS_A_E[[#This Row],[T1_Over4hrs]]/NHS_A_E[[#This Row],[T1_Attendances]], 0)</f>
        <v>0.33706704798220527</v>
      </c>
      <c r="O800">
        <f>NHS_A_E[[#This Row],[T1_Attendances]]+NHS_A_E[[#This Row],[Other_Attendances]]</f>
        <v>18989</v>
      </c>
      <c r="P800">
        <f>MATCH(LEFT(A800,FIND("-",A800)-1),{"April","May","June","July","August","September","October","November","December","January","February","March"},0)</f>
        <v>4</v>
      </c>
      <c r="Q800" s="3">
        <f t="shared" si="24"/>
        <v>2.2243406418811567E-3</v>
      </c>
      <c r="R800" t="str">
        <f t="shared" si="25"/>
        <v>July</v>
      </c>
    </row>
    <row r="801" spans="1:18" x14ac:dyDescent="0.35">
      <c r="A801" t="s">
        <v>428</v>
      </c>
      <c r="B801" t="s">
        <v>277</v>
      </c>
      <c r="C801" t="s">
        <v>15</v>
      </c>
      <c r="D801" t="s">
        <v>278</v>
      </c>
      <c r="E801">
        <v>0</v>
      </c>
      <c r="F801">
        <v>2286</v>
      </c>
      <c r="G801">
        <v>0</v>
      </c>
      <c r="H801">
        <v>267</v>
      </c>
      <c r="I801">
        <v>0</v>
      </c>
      <c r="J801">
        <v>0</v>
      </c>
      <c r="K801" s="1">
        <v>45839</v>
      </c>
      <c r="L801" t="s">
        <v>429</v>
      </c>
      <c r="M801" t="s">
        <v>427</v>
      </c>
      <c r="N801" s="2">
        <f>IFERROR(NHS_A_E[[#This Row],[T1_Over4hrs]]/NHS_A_E[[#This Row],[T1_Attendances]], 0)</f>
        <v>0</v>
      </c>
      <c r="O801">
        <f>NHS_A_E[[#This Row],[T1_Attendances]]+NHS_A_E[[#This Row],[Other_Attendances]]</f>
        <v>2286</v>
      </c>
      <c r="P801">
        <f>MATCH(LEFT(A801,FIND("-",A801)-1),{"April","May","June","July","August","September","October","November","December","January","February","March"},0)</f>
        <v>4</v>
      </c>
      <c r="Q801" s="3">
        <f t="shared" si="24"/>
        <v>0</v>
      </c>
      <c r="R801" t="str">
        <f t="shared" si="25"/>
        <v>July</v>
      </c>
    </row>
    <row r="802" spans="1:18" x14ac:dyDescent="0.35">
      <c r="A802" t="s">
        <v>433</v>
      </c>
      <c r="B802" t="s">
        <v>379</v>
      </c>
      <c r="C802" t="s">
        <v>63</v>
      </c>
      <c r="D802" t="s">
        <v>380</v>
      </c>
      <c r="E802">
        <v>0</v>
      </c>
      <c r="F802">
        <v>2063</v>
      </c>
      <c r="G802">
        <v>0</v>
      </c>
      <c r="H802">
        <v>9</v>
      </c>
      <c r="I802">
        <v>0</v>
      </c>
      <c r="J802">
        <v>0</v>
      </c>
      <c r="K802" s="1">
        <v>45870</v>
      </c>
      <c r="L802" t="s">
        <v>429</v>
      </c>
      <c r="M802" t="s">
        <v>427</v>
      </c>
      <c r="N802" s="2">
        <f>IFERROR(NHS_A_E[[#This Row],[T1_Over4hrs]]/NHS_A_E[[#This Row],[T1_Attendances]], 0)</f>
        <v>0</v>
      </c>
      <c r="O802">
        <f>NHS_A_E[[#This Row],[T1_Attendances]]+NHS_A_E[[#This Row],[Other_Attendances]]</f>
        <v>2063</v>
      </c>
      <c r="P802">
        <f>MATCH(LEFT(A802,FIND("-",A802)-1),{"April","May","June","July","August","September","October","November","December","January","February","March"},0)</f>
        <v>5</v>
      </c>
      <c r="Q802" s="3">
        <f t="shared" si="24"/>
        <v>0</v>
      </c>
      <c r="R802" t="str">
        <f t="shared" si="25"/>
        <v>August</v>
      </c>
    </row>
    <row r="803" spans="1:18" x14ac:dyDescent="0.35">
      <c r="A803" t="s">
        <v>433</v>
      </c>
      <c r="B803" t="s">
        <v>285</v>
      </c>
      <c r="C803" t="s">
        <v>40</v>
      </c>
      <c r="D803" t="s">
        <v>286</v>
      </c>
      <c r="E803">
        <v>0</v>
      </c>
      <c r="F803">
        <v>400</v>
      </c>
      <c r="G803">
        <v>0</v>
      </c>
      <c r="H803">
        <v>0</v>
      </c>
      <c r="I803">
        <v>0</v>
      </c>
      <c r="J803">
        <v>0</v>
      </c>
      <c r="K803" s="1">
        <v>45870</v>
      </c>
      <c r="L803" t="s">
        <v>429</v>
      </c>
      <c r="M803" t="s">
        <v>427</v>
      </c>
      <c r="N803" s="2">
        <f>IFERROR(NHS_A_E[[#This Row],[T1_Over4hrs]]/NHS_A_E[[#This Row],[T1_Attendances]], 0)</f>
        <v>0</v>
      </c>
      <c r="O803">
        <f>NHS_A_E[[#This Row],[T1_Attendances]]+NHS_A_E[[#This Row],[Other_Attendances]]</f>
        <v>400</v>
      </c>
      <c r="P803">
        <f>MATCH(LEFT(A803,FIND("-",A803)-1),{"April","May","June","July","August","September","October","November","December","January","February","March"},0)</f>
        <v>5</v>
      </c>
      <c r="Q803" s="3">
        <f t="shared" si="24"/>
        <v>0</v>
      </c>
      <c r="R803" t="str">
        <f t="shared" si="25"/>
        <v>August</v>
      </c>
    </row>
    <row r="804" spans="1:18" x14ac:dyDescent="0.35">
      <c r="A804" t="s">
        <v>433</v>
      </c>
      <c r="B804" t="s">
        <v>263</v>
      </c>
      <c r="C804" t="s">
        <v>35</v>
      </c>
      <c r="D804" t="s">
        <v>264</v>
      </c>
      <c r="E804">
        <v>0</v>
      </c>
      <c r="F804">
        <v>2709</v>
      </c>
      <c r="G804">
        <v>0</v>
      </c>
      <c r="H804">
        <v>10</v>
      </c>
      <c r="I804">
        <v>0</v>
      </c>
      <c r="J804">
        <v>0</v>
      </c>
      <c r="K804" s="1">
        <v>45870</v>
      </c>
      <c r="L804" t="s">
        <v>429</v>
      </c>
      <c r="M804" t="s">
        <v>427</v>
      </c>
      <c r="N804" s="2">
        <f>IFERROR(NHS_A_E[[#This Row],[T1_Over4hrs]]/NHS_A_E[[#This Row],[T1_Attendances]], 0)</f>
        <v>0</v>
      </c>
      <c r="O804">
        <f>NHS_A_E[[#This Row],[T1_Attendances]]+NHS_A_E[[#This Row],[Other_Attendances]]</f>
        <v>2709</v>
      </c>
      <c r="P804">
        <f>MATCH(LEFT(A804,FIND("-",A804)-1),{"April","May","June","July","August","September","October","November","December","January","February","March"},0)</f>
        <v>5</v>
      </c>
      <c r="Q804" s="3">
        <f t="shared" si="24"/>
        <v>0</v>
      </c>
      <c r="R804" t="str">
        <f t="shared" si="25"/>
        <v>August</v>
      </c>
    </row>
    <row r="805" spans="1:18" x14ac:dyDescent="0.35">
      <c r="A805" t="s">
        <v>433</v>
      </c>
      <c r="B805" t="s">
        <v>265</v>
      </c>
      <c r="C805" t="s">
        <v>35</v>
      </c>
      <c r="D805" t="s">
        <v>266</v>
      </c>
      <c r="E805">
        <v>0</v>
      </c>
      <c r="F805">
        <v>2504</v>
      </c>
      <c r="G805">
        <v>0</v>
      </c>
      <c r="H805">
        <v>5</v>
      </c>
      <c r="I805">
        <v>0</v>
      </c>
      <c r="J805">
        <v>0</v>
      </c>
      <c r="K805" s="1">
        <v>45870</v>
      </c>
      <c r="L805" t="s">
        <v>429</v>
      </c>
      <c r="M805" t="s">
        <v>427</v>
      </c>
      <c r="N805" s="2">
        <f>IFERROR(NHS_A_E[[#This Row],[T1_Over4hrs]]/NHS_A_E[[#This Row],[T1_Attendances]], 0)</f>
        <v>0</v>
      </c>
      <c r="O805">
        <f>NHS_A_E[[#This Row],[T1_Attendances]]+NHS_A_E[[#This Row],[Other_Attendances]]</f>
        <v>2504</v>
      </c>
      <c r="P805">
        <f>MATCH(LEFT(A805,FIND("-",A805)-1),{"April","May","June","July","August","September","October","November","December","January","February","March"},0)</f>
        <v>5</v>
      </c>
      <c r="Q805" s="3">
        <f t="shared" si="24"/>
        <v>0</v>
      </c>
      <c r="R805" t="str">
        <f t="shared" si="25"/>
        <v>August</v>
      </c>
    </row>
    <row r="806" spans="1:18" x14ac:dyDescent="0.35">
      <c r="A806" t="s">
        <v>433</v>
      </c>
      <c r="B806" t="s">
        <v>135</v>
      </c>
      <c r="C806" t="s">
        <v>40</v>
      </c>
      <c r="D806" t="s">
        <v>136</v>
      </c>
      <c r="E806">
        <v>0</v>
      </c>
      <c r="F806">
        <v>4902</v>
      </c>
      <c r="G806">
        <v>0</v>
      </c>
      <c r="H806">
        <v>36</v>
      </c>
      <c r="I806">
        <v>0</v>
      </c>
      <c r="J806">
        <v>0</v>
      </c>
      <c r="K806" s="1">
        <v>45870</v>
      </c>
      <c r="L806" t="s">
        <v>429</v>
      </c>
      <c r="M806" t="s">
        <v>427</v>
      </c>
      <c r="N806" s="2">
        <f>IFERROR(NHS_A_E[[#This Row],[T1_Over4hrs]]/NHS_A_E[[#This Row],[T1_Attendances]], 0)</f>
        <v>0</v>
      </c>
      <c r="O806">
        <f>NHS_A_E[[#This Row],[T1_Attendances]]+NHS_A_E[[#This Row],[Other_Attendances]]</f>
        <v>4902</v>
      </c>
      <c r="P806">
        <f>MATCH(LEFT(A806,FIND("-",A806)-1),{"April","May","June","July","August","September","October","November","December","January","February","March"},0)</f>
        <v>5</v>
      </c>
      <c r="Q806" s="3">
        <f t="shared" si="24"/>
        <v>0</v>
      </c>
      <c r="R806" t="str">
        <f t="shared" si="25"/>
        <v>August</v>
      </c>
    </row>
    <row r="807" spans="1:18" x14ac:dyDescent="0.35">
      <c r="A807" t="s">
        <v>433</v>
      </c>
      <c r="B807" t="s">
        <v>137</v>
      </c>
      <c r="C807" t="s">
        <v>40</v>
      </c>
      <c r="D807" t="s">
        <v>138</v>
      </c>
      <c r="E807">
        <v>0</v>
      </c>
      <c r="F807">
        <v>439</v>
      </c>
      <c r="G807">
        <v>0</v>
      </c>
      <c r="H807">
        <v>0</v>
      </c>
      <c r="I807">
        <v>0</v>
      </c>
      <c r="J807">
        <v>0</v>
      </c>
      <c r="K807" s="1">
        <v>45870</v>
      </c>
      <c r="L807" t="s">
        <v>429</v>
      </c>
      <c r="M807" t="s">
        <v>427</v>
      </c>
      <c r="N807" s="2">
        <f>IFERROR(NHS_A_E[[#This Row],[T1_Over4hrs]]/NHS_A_E[[#This Row],[T1_Attendances]], 0)</f>
        <v>0</v>
      </c>
      <c r="O807">
        <f>NHS_A_E[[#This Row],[T1_Attendances]]+NHS_A_E[[#This Row],[Other_Attendances]]</f>
        <v>439</v>
      </c>
      <c r="P807">
        <f>MATCH(LEFT(A807,FIND("-",A807)-1),{"April","May","June","July","August","September","October","November","December","January","February","March"},0)</f>
        <v>5</v>
      </c>
      <c r="Q807" s="3">
        <f t="shared" si="24"/>
        <v>0</v>
      </c>
      <c r="R807" t="str">
        <f t="shared" si="25"/>
        <v>August</v>
      </c>
    </row>
    <row r="808" spans="1:18" x14ac:dyDescent="0.35">
      <c r="A808" t="s">
        <v>433</v>
      </c>
      <c r="B808" t="s">
        <v>139</v>
      </c>
      <c r="C808" t="s">
        <v>40</v>
      </c>
      <c r="D808" t="s">
        <v>140</v>
      </c>
      <c r="E808">
        <v>0</v>
      </c>
      <c r="F808">
        <v>109</v>
      </c>
      <c r="G808">
        <v>0</v>
      </c>
      <c r="H808">
        <v>0</v>
      </c>
      <c r="I808">
        <v>0</v>
      </c>
      <c r="J808">
        <v>0</v>
      </c>
      <c r="K808" s="1">
        <v>45870</v>
      </c>
      <c r="L808" t="s">
        <v>429</v>
      </c>
      <c r="M808" t="s">
        <v>427</v>
      </c>
      <c r="N808" s="2">
        <f>IFERROR(NHS_A_E[[#This Row],[T1_Over4hrs]]/NHS_A_E[[#This Row],[T1_Attendances]], 0)</f>
        <v>0</v>
      </c>
      <c r="O808">
        <f>NHS_A_E[[#This Row],[T1_Attendances]]+NHS_A_E[[#This Row],[Other_Attendances]]</f>
        <v>109</v>
      </c>
      <c r="P808">
        <f>MATCH(LEFT(A808,FIND("-",A808)-1),{"April","May","June","July","August","September","October","November","December","January","February","March"},0)</f>
        <v>5</v>
      </c>
      <c r="Q808" s="3">
        <f t="shared" si="24"/>
        <v>0</v>
      </c>
      <c r="R808" t="str">
        <f t="shared" si="25"/>
        <v>August</v>
      </c>
    </row>
    <row r="809" spans="1:18" x14ac:dyDescent="0.35">
      <c r="A809" t="s">
        <v>433</v>
      </c>
      <c r="B809" t="s">
        <v>141</v>
      </c>
      <c r="C809" t="s">
        <v>40</v>
      </c>
      <c r="D809" t="s">
        <v>142</v>
      </c>
      <c r="E809">
        <v>0</v>
      </c>
      <c r="F809">
        <v>54</v>
      </c>
      <c r="G809">
        <v>0</v>
      </c>
      <c r="H809">
        <v>0</v>
      </c>
      <c r="I809">
        <v>0</v>
      </c>
      <c r="J809">
        <v>0</v>
      </c>
      <c r="K809" s="1">
        <v>45870</v>
      </c>
      <c r="L809" t="s">
        <v>429</v>
      </c>
      <c r="M809" t="s">
        <v>427</v>
      </c>
      <c r="N809" s="2">
        <f>IFERROR(NHS_A_E[[#This Row],[T1_Over4hrs]]/NHS_A_E[[#This Row],[T1_Attendances]], 0)</f>
        <v>0</v>
      </c>
      <c r="O809">
        <f>NHS_A_E[[#This Row],[T1_Attendances]]+NHS_A_E[[#This Row],[Other_Attendances]]</f>
        <v>54</v>
      </c>
      <c r="P809">
        <f>MATCH(LEFT(A809,FIND("-",A809)-1),{"April","May","June","July","August","September","October","November","December","January","February","March"},0)</f>
        <v>5</v>
      </c>
      <c r="Q809" s="3">
        <f t="shared" si="24"/>
        <v>0</v>
      </c>
      <c r="R809" t="str">
        <f t="shared" si="25"/>
        <v>August</v>
      </c>
    </row>
    <row r="810" spans="1:18" x14ac:dyDescent="0.35">
      <c r="A810" t="s">
        <v>433</v>
      </c>
      <c r="B810" t="s">
        <v>143</v>
      </c>
      <c r="C810" t="s">
        <v>40</v>
      </c>
      <c r="D810" t="s">
        <v>144</v>
      </c>
      <c r="E810">
        <v>0</v>
      </c>
      <c r="F810">
        <v>569</v>
      </c>
      <c r="G810">
        <v>0</v>
      </c>
      <c r="H810">
        <v>0</v>
      </c>
      <c r="I810">
        <v>0</v>
      </c>
      <c r="J810">
        <v>0</v>
      </c>
      <c r="K810" s="1">
        <v>45870</v>
      </c>
      <c r="L810" t="s">
        <v>429</v>
      </c>
      <c r="M810" t="s">
        <v>427</v>
      </c>
      <c r="N810" s="2">
        <f>IFERROR(NHS_A_E[[#This Row],[T1_Over4hrs]]/NHS_A_E[[#This Row],[T1_Attendances]], 0)</f>
        <v>0</v>
      </c>
      <c r="O810">
        <f>NHS_A_E[[#This Row],[T1_Attendances]]+NHS_A_E[[#This Row],[Other_Attendances]]</f>
        <v>569</v>
      </c>
      <c r="P810">
        <f>MATCH(LEFT(A810,FIND("-",A810)-1),{"April","May","June","July","August","September","October","November","December","January","February","March"},0)</f>
        <v>5</v>
      </c>
      <c r="Q810" s="3">
        <f t="shared" si="24"/>
        <v>0</v>
      </c>
      <c r="R810" t="str">
        <f t="shared" si="25"/>
        <v>August</v>
      </c>
    </row>
    <row r="811" spans="1:18" x14ac:dyDescent="0.35">
      <c r="A811" t="s">
        <v>433</v>
      </c>
      <c r="B811" t="s">
        <v>145</v>
      </c>
      <c r="C811" t="s">
        <v>40</v>
      </c>
      <c r="D811" t="s">
        <v>146</v>
      </c>
      <c r="E811">
        <v>0</v>
      </c>
      <c r="F811">
        <v>72</v>
      </c>
      <c r="G811">
        <v>0</v>
      </c>
      <c r="H811">
        <v>0</v>
      </c>
      <c r="I811">
        <v>0</v>
      </c>
      <c r="J811">
        <v>0</v>
      </c>
      <c r="K811" s="1">
        <v>45870</v>
      </c>
      <c r="L811" t="s">
        <v>429</v>
      </c>
      <c r="M811" t="s">
        <v>427</v>
      </c>
      <c r="N811" s="2">
        <f>IFERROR(NHS_A_E[[#This Row],[T1_Over4hrs]]/NHS_A_E[[#This Row],[T1_Attendances]], 0)</f>
        <v>0</v>
      </c>
      <c r="O811">
        <f>NHS_A_E[[#This Row],[T1_Attendances]]+NHS_A_E[[#This Row],[Other_Attendances]]</f>
        <v>72</v>
      </c>
      <c r="P811">
        <f>MATCH(LEFT(A811,FIND("-",A811)-1),{"April","May","June","July","August","September","October","November","December","January","February","March"},0)</f>
        <v>5</v>
      </c>
      <c r="Q811" s="3">
        <f t="shared" si="24"/>
        <v>0</v>
      </c>
      <c r="R811" t="str">
        <f t="shared" si="25"/>
        <v>August</v>
      </c>
    </row>
    <row r="812" spans="1:18" x14ac:dyDescent="0.35">
      <c r="A812" t="s">
        <v>433</v>
      </c>
      <c r="B812" t="s">
        <v>85</v>
      </c>
      <c r="C812" t="s">
        <v>63</v>
      </c>
      <c r="D812" t="s">
        <v>86</v>
      </c>
      <c r="E812">
        <v>8779</v>
      </c>
      <c r="F812">
        <v>3172</v>
      </c>
      <c r="G812">
        <v>2220</v>
      </c>
      <c r="H812">
        <v>0</v>
      </c>
      <c r="I812">
        <v>655</v>
      </c>
      <c r="J812">
        <v>49</v>
      </c>
      <c r="K812" s="1">
        <v>45870</v>
      </c>
      <c r="L812" t="s">
        <v>429</v>
      </c>
      <c r="M812" t="s">
        <v>427</v>
      </c>
      <c r="N812" s="2">
        <f>IFERROR(NHS_A_E[[#This Row],[T1_Over4hrs]]/NHS_A_E[[#This Row],[T1_Attendances]], 0)</f>
        <v>0.25287618179747123</v>
      </c>
      <c r="O812">
        <f>NHS_A_E[[#This Row],[T1_Attendances]]+NHS_A_E[[#This Row],[Other_Attendances]]</f>
        <v>11951</v>
      </c>
      <c r="P812">
        <f>MATCH(LEFT(A812,FIND("-",A812)-1),{"April","May","June","July","August","September","October","November","December","January","February","March"},0)</f>
        <v>5</v>
      </c>
      <c r="Q812" s="3">
        <f t="shared" si="24"/>
        <v>5.5815013099441849E-3</v>
      </c>
      <c r="R812" t="str">
        <f t="shared" si="25"/>
        <v>August</v>
      </c>
    </row>
    <row r="813" spans="1:18" x14ac:dyDescent="0.35">
      <c r="A813" t="s">
        <v>433</v>
      </c>
      <c r="B813" t="s">
        <v>89</v>
      </c>
      <c r="C813" t="s">
        <v>35</v>
      </c>
      <c r="D813" t="s">
        <v>90</v>
      </c>
      <c r="E813">
        <v>24281</v>
      </c>
      <c r="F813">
        <v>13934</v>
      </c>
      <c r="G813">
        <v>7742</v>
      </c>
      <c r="H813">
        <v>429</v>
      </c>
      <c r="I813">
        <v>1241</v>
      </c>
      <c r="J813">
        <v>1704</v>
      </c>
      <c r="K813" s="1">
        <v>45870</v>
      </c>
      <c r="L813" t="s">
        <v>429</v>
      </c>
      <c r="M813" t="s">
        <v>427</v>
      </c>
      <c r="N813" s="2">
        <f>IFERROR(NHS_A_E[[#This Row],[T1_Over4hrs]]/NHS_A_E[[#This Row],[T1_Attendances]], 0)</f>
        <v>0.31885012973106547</v>
      </c>
      <c r="O813">
        <f>NHS_A_E[[#This Row],[T1_Attendances]]+NHS_A_E[[#This Row],[Other_Attendances]]</f>
        <v>38215</v>
      </c>
      <c r="P813">
        <f>MATCH(LEFT(A813,FIND("-",A813)-1),{"April","May","June","July","August","September","October","November","December","January","February","March"},0)</f>
        <v>5</v>
      </c>
      <c r="Q813" s="3">
        <f t="shared" si="24"/>
        <v>7.0178328734401385E-2</v>
      </c>
      <c r="R813" t="str">
        <f t="shared" si="25"/>
        <v>August</v>
      </c>
    </row>
    <row r="814" spans="1:18" x14ac:dyDescent="0.35">
      <c r="A814" t="s">
        <v>433</v>
      </c>
      <c r="B814" t="s">
        <v>93</v>
      </c>
      <c r="C814" t="s">
        <v>63</v>
      </c>
      <c r="D814" t="s">
        <v>94</v>
      </c>
      <c r="E814">
        <v>10651</v>
      </c>
      <c r="F814">
        <v>7981</v>
      </c>
      <c r="G814">
        <v>5578</v>
      </c>
      <c r="H814">
        <v>309</v>
      </c>
      <c r="I814">
        <v>731</v>
      </c>
      <c r="J814">
        <v>315</v>
      </c>
      <c r="K814" s="1">
        <v>45870</v>
      </c>
      <c r="L814" t="s">
        <v>429</v>
      </c>
      <c r="M814" t="s">
        <v>427</v>
      </c>
      <c r="N814" s="2">
        <f>IFERROR(NHS_A_E[[#This Row],[T1_Over4hrs]]/NHS_A_E[[#This Row],[T1_Attendances]], 0)</f>
        <v>0.52370669420711669</v>
      </c>
      <c r="O814">
        <f>NHS_A_E[[#This Row],[T1_Attendances]]+NHS_A_E[[#This Row],[Other_Attendances]]</f>
        <v>18632</v>
      </c>
      <c r="P814">
        <f>MATCH(LEFT(A814,FIND("-",A814)-1),{"April","May","June","July","August","September","October","November","December","January","February","March"},0)</f>
        <v>5</v>
      </c>
      <c r="Q814" s="3">
        <f t="shared" si="24"/>
        <v>2.957468782273965E-2</v>
      </c>
      <c r="R814" t="str">
        <f t="shared" si="25"/>
        <v>August</v>
      </c>
    </row>
    <row r="815" spans="1:18" x14ac:dyDescent="0.35">
      <c r="A815" t="s">
        <v>433</v>
      </c>
      <c r="B815" t="s">
        <v>19</v>
      </c>
      <c r="C815" t="s">
        <v>20</v>
      </c>
      <c r="D815" t="s">
        <v>21</v>
      </c>
      <c r="E815">
        <v>8612</v>
      </c>
      <c r="F815">
        <v>0</v>
      </c>
      <c r="G815">
        <v>3527</v>
      </c>
      <c r="H815">
        <v>0</v>
      </c>
      <c r="I815">
        <v>794</v>
      </c>
      <c r="J815">
        <v>81</v>
      </c>
      <c r="K815" s="1">
        <v>45870</v>
      </c>
      <c r="L815" t="s">
        <v>429</v>
      </c>
      <c r="M815" t="s">
        <v>427</v>
      </c>
      <c r="N815" s="2">
        <f>IFERROR(NHS_A_E[[#This Row],[T1_Over4hrs]]/NHS_A_E[[#This Row],[T1_Attendances]], 0)</f>
        <v>0.40954482117974916</v>
      </c>
      <c r="O815">
        <f>NHS_A_E[[#This Row],[T1_Attendances]]+NHS_A_E[[#This Row],[Other_Attendances]]</f>
        <v>8612</v>
      </c>
      <c r="P815">
        <f>MATCH(LEFT(A815,FIND("-",A815)-1),{"April","May","June","July","August","September","October","November","December","January","February","March"},0)</f>
        <v>5</v>
      </c>
      <c r="Q815" s="3">
        <f t="shared" si="24"/>
        <v>9.4054807245703663E-3</v>
      </c>
      <c r="R815" t="str">
        <f t="shared" si="25"/>
        <v>August</v>
      </c>
    </row>
    <row r="816" spans="1:18" x14ac:dyDescent="0.35">
      <c r="A816" t="s">
        <v>433</v>
      </c>
      <c r="B816" t="s">
        <v>95</v>
      </c>
      <c r="C816" t="s">
        <v>23</v>
      </c>
      <c r="D816" t="s">
        <v>96</v>
      </c>
      <c r="E816">
        <v>7897</v>
      </c>
      <c r="F816">
        <v>4811</v>
      </c>
      <c r="G816">
        <v>3409</v>
      </c>
      <c r="H816">
        <v>8</v>
      </c>
      <c r="I816">
        <v>639</v>
      </c>
      <c r="J816">
        <v>0</v>
      </c>
      <c r="K816" s="1">
        <v>45870</v>
      </c>
      <c r="L816" t="s">
        <v>429</v>
      </c>
      <c r="M816" t="s">
        <v>427</v>
      </c>
      <c r="N816" s="2">
        <f>IFERROR(NHS_A_E[[#This Row],[T1_Over4hrs]]/NHS_A_E[[#This Row],[T1_Attendances]], 0)</f>
        <v>0.43168291756363175</v>
      </c>
      <c r="O816">
        <f>NHS_A_E[[#This Row],[T1_Attendances]]+NHS_A_E[[#This Row],[Other_Attendances]]</f>
        <v>12708</v>
      </c>
      <c r="P816">
        <f>MATCH(LEFT(A816,FIND("-",A816)-1),{"April","May","June","July","August","September","October","November","December","January","February","March"},0)</f>
        <v>5</v>
      </c>
      <c r="Q816" s="3">
        <f t="shared" si="24"/>
        <v>0</v>
      </c>
      <c r="R816" t="str">
        <f t="shared" si="25"/>
        <v>August</v>
      </c>
    </row>
    <row r="817" spans="1:18" x14ac:dyDescent="0.35">
      <c r="A817" t="s">
        <v>433</v>
      </c>
      <c r="B817" t="s">
        <v>97</v>
      </c>
      <c r="C817" t="s">
        <v>15</v>
      </c>
      <c r="D817" t="s">
        <v>98</v>
      </c>
      <c r="E817">
        <v>21592</v>
      </c>
      <c r="F817">
        <v>11268</v>
      </c>
      <c r="G817">
        <v>8450</v>
      </c>
      <c r="H817">
        <v>295</v>
      </c>
      <c r="I817">
        <v>1438</v>
      </c>
      <c r="J817">
        <v>260</v>
      </c>
      <c r="K817" s="1">
        <v>45870</v>
      </c>
      <c r="L817" t="s">
        <v>429</v>
      </c>
      <c r="M817" t="s">
        <v>427</v>
      </c>
      <c r="N817" s="2">
        <f>IFERROR(NHS_A_E[[#This Row],[T1_Over4hrs]]/NHS_A_E[[#This Row],[T1_Attendances]], 0)</f>
        <v>0.39134864764727678</v>
      </c>
      <c r="O817">
        <f>NHS_A_E[[#This Row],[T1_Attendances]]+NHS_A_E[[#This Row],[Other_Attendances]]</f>
        <v>32860</v>
      </c>
      <c r="P817">
        <f>MATCH(LEFT(A817,FIND("-",A817)-1),{"April","May","June","July","August","September","October","November","December","January","February","March"},0)</f>
        <v>5</v>
      </c>
      <c r="Q817" s="3">
        <f t="shared" si="24"/>
        <v>1.2041496850685439E-2</v>
      </c>
      <c r="R817" t="str">
        <f t="shared" si="25"/>
        <v>August</v>
      </c>
    </row>
    <row r="818" spans="1:18" x14ac:dyDescent="0.35">
      <c r="A818" t="s">
        <v>433</v>
      </c>
      <c r="B818" t="s">
        <v>32</v>
      </c>
      <c r="C818" t="s">
        <v>30</v>
      </c>
      <c r="D818" t="s">
        <v>33</v>
      </c>
      <c r="E818">
        <v>0</v>
      </c>
      <c r="F818">
        <v>0</v>
      </c>
      <c r="G818">
        <v>0</v>
      </c>
      <c r="H818">
        <v>0</v>
      </c>
      <c r="I818">
        <v>0</v>
      </c>
      <c r="J818">
        <v>0</v>
      </c>
      <c r="K818" s="1">
        <v>45870</v>
      </c>
      <c r="L818" t="s">
        <v>429</v>
      </c>
      <c r="M818" t="s">
        <v>427</v>
      </c>
      <c r="N818" s="2">
        <f>IFERROR(NHS_A_E[[#This Row],[T1_Over4hrs]]/NHS_A_E[[#This Row],[T1_Attendances]], 0)</f>
        <v>0</v>
      </c>
      <c r="O818">
        <f>NHS_A_E[[#This Row],[T1_Attendances]]+NHS_A_E[[#This Row],[Other_Attendances]]</f>
        <v>0</v>
      </c>
      <c r="P818">
        <f>MATCH(LEFT(A818,FIND("-",A818)-1),{"April","May","June","July","August","September","October","November","December","January","February","March"},0)</f>
        <v>5</v>
      </c>
      <c r="Q818" s="3">
        <f t="shared" si="24"/>
        <v>0</v>
      </c>
      <c r="R818" t="str">
        <f t="shared" si="25"/>
        <v>August</v>
      </c>
    </row>
    <row r="819" spans="1:18" x14ac:dyDescent="0.35">
      <c r="A819" t="s">
        <v>433</v>
      </c>
      <c r="B819" t="s">
        <v>159</v>
      </c>
      <c r="C819" t="s">
        <v>40</v>
      </c>
      <c r="D819" t="s">
        <v>160</v>
      </c>
      <c r="E819">
        <v>6336</v>
      </c>
      <c r="F819">
        <v>6177</v>
      </c>
      <c r="G819">
        <v>3353</v>
      </c>
      <c r="H819">
        <v>274</v>
      </c>
      <c r="I819">
        <v>738</v>
      </c>
      <c r="J819">
        <v>141</v>
      </c>
      <c r="K819" s="1">
        <v>45870</v>
      </c>
      <c r="L819" t="s">
        <v>429</v>
      </c>
      <c r="M819" t="s">
        <v>427</v>
      </c>
      <c r="N819" s="2">
        <f>IFERROR(NHS_A_E[[#This Row],[T1_Over4hrs]]/NHS_A_E[[#This Row],[T1_Attendances]], 0)</f>
        <v>0.52919823232323238</v>
      </c>
      <c r="O819">
        <f>NHS_A_E[[#This Row],[T1_Attendances]]+NHS_A_E[[#This Row],[Other_Attendances]]</f>
        <v>12513</v>
      </c>
      <c r="P819">
        <f>MATCH(LEFT(A819,FIND("-",A819)-1),{"April","May","June","July","August","September","October","November","December","January","February","March"},0)</f>
        <v>5</v>
      </c>
      <c r="Q819" s="3">
        <f t="shared" si="24"/>
        <v>2.225378787878788E-2</v>
      </c>
      <c r="R819" t="str">
        <f t="shared" si="25"/>
        <v>August</v>
      </c>
    </row>
    <row r="820" spans="1:18" x14ac:dyDescent="0.35">
      <c r="A820" t="s">
        <v>433</v>
      </c>
      <c r="B820" t="s">
        <v>393</v>
      </c>
      <c r="C820" t="s">
        <v>23</v>
      </c>
      <c r="D820" t="s">
        <v>394</v>
      </c>
      <c r="E820">
        <v>14143</v>
      </c>
      <c r="F820">
        <v>4627</v>
      </c>
      <c r="G820">
        <v>5568</v>
      </c>
      <c r="H820">
        <v>179</v>
      </c>
      <c r="I820">
        <v>599</v>
      </c>
      <c r="J820">
        <v>601</v>
      </c>
      <c r="K820" s="1">
        <v>45870</v>
      </c>
      <c r="L820" t="s">
        <v>429</v>
      </c>
      <c r="M820" t="s">
        <v>427</v>
      </c>
      <c r="N820" s="2">
        <f>IFERROR(NHS_A_E[[#This Row],[T1_Over4hrs]]/NHS_A_E[[#This Row],[T1_Attendances]], 0)</f>
        <v>0.39369299300007071</v>
      </c>
      <c r="O820">
        <f>NHS_A_E[[#This Row],[T1_Attendances]]+NHS_A_E[[#This Row],[Other_Attendances]]</f>
        <v>18770</v>
      </c>
      <c r="P820">
        <f>MATCH(LEFT(A820,FIND("-",A820)-1),{"April","May","June","July","August","September","October","November","December","January","February","March"},0)</f>
        <v>5</v>
      </c>
      <c r="Q820" s="3">
        <f t="shared" si="24"/>
        <v>4.2494520257371139E-2</v>
      </c>
      <c r="R820" t="str">
        <f t="shared" si="25"/>
        <v>August</v>
      </c>
    </row>
    <row r="821" spans="1:18" x14ac:dyDescent="0.35">
      <c r="A821" t="s">
        <v>433</v>
      </c>
      <c r="B821" t="s">
        <v>103</v>
      </c>
      <c r="C821" t="s">
        <v>20</v>
      </c>
      <c r="D821" t="s">
        <v>104</v>
      </c>
      <c r="E821">
        <v>12732</v>
      </c>
      <c r="F821">
        <v>9212</v>
      </c>
      <c r="G821">
        <v>5663</v>
      </c>
      <c r="H821">
        <v>161</v>
      </c>
      <c r="I821">
        <v>371</v>
      </c>
      <c r="J821">
        <v>75</v>
      </c>
      <c r="K821" s="1">
        <v>45870</v>
      </c>
      <c r="L821" t="s">
        <v>429</v>
      </c>
      <c r="M821" t="s">
        <v>427</v>
      </c>
      <c r="N821" s="2">
        <f>IFERROR(NHS_A_E[[#This Row],[T1_Over4hrs]]/NHS_A_E[[#This Row],[T1_Attendances]], 0)</f>
        <v>0.44478479421928996</v>
      </c>
      <c r="O821">
        <f>NHS_A_E[[#This Row],[T1_Attendances]]+NHS_A_E[[#This Row],[Other_Attendances]]</f>
        <v>21944</v>
      </c>
      <c r="P821">
        <f>MATCH(LEFT(A821,FIND("-",A821)-1),{"April","May","June","July","August","September","October","November","December","January","February","March"},0)</f>
        <v>5</v>
      </c>
      <c r="Q821" s="3">
        <f t="shared" si="24"/>
        <v>5.8906691800188499E-3</v>
      </c>
      <c r="R821" t="str">
        <f t="shared" si="25"/>
        <v>August</v>
      </c>
    </row>
    <row r="822" spans="1:18" x14ac:dyDescent="0.35">
      <c r="A822" t="s">
        <v>433</v>
      </c>
      <c r="B822" t="s">
        <v>107</v>
      </c>
      <c r="C822" t="s">
        <v>63</v>
      </c>
      <c r="D822" t="s">
        <v>108</v>
      </c>
      <c r="E822">
        <v>8548</v>
      </c>
      <c r="F822">
        <v>6683</v>
      </c>
      <c r="G822">
        <v>4509</v>
      </c>
      <c r="H822">
        <v>479</v>
      </c>
      <c r="I822">
        <v>869</v>
      </c>
      <c r="J822">
        <v>11</v>
      </c>
      <c r="K822" s="1">
        <v>45870</v>
      </c>
      <c r="L822" t="s">
        <v>429</v>
      </c>
      <c r="M822" t="s">
        <v>427</v>
      </c>
      <c r="N822" s="2">
        <f>IFERROR(NHS_A_E[[#This Row],[T1_Over4hrs]]/NHS_A_E[[#This Row],[T1_Attendances]], 0)</f>
        <v>0.52749181094992981</v>
      </c>
      <c r="O822">
        <f>NHS_A_E[[#This Row],[T1_Attendances]]+NHS_A_E[[#This Row],[Other_Attendances]]</f>
        <v>15231</v>
      </c>
      <c r="P822">
        <f>MATCH(LEFT(A822,FIND("-",A822)-1),{"April","May","June","July","August","September","October","November","December","January","February","March"},0)</f>
        <v>5</v>
      </c>
      <c r="Q822" s="3">
        <f t="shared" si="24"/>
        <v>1.2868507253158633E-3</v>
      </c>
      <c r="R822" t="str">
        <f t="shared" si="25"/>
        <v>August</v>
      </c>
    </row>
    <row r="823" spans="1:18" x14ac:dyDescent="0.35">
      <c r="A823" t="s">
        <v>433</v>
      </c>
      <c r="B823" t="s">
        <v>203</v>
      </c>
      <c r="C823" t="s">
        <v>40</v>
      </c>
      <c r="D823" t="s">
        <v>204</v>
      </c>
      <c r="E823">
        <v>0</v>
      </c>
      <c r="F823">
        <v>0</v>
      </c>
      <c r="G823">
        <v>0</v>
      </c>
      <c r="H823">
        <v>0</v>
      </c>
      <c r="I823">
        <v>0</v>
      </c>
      <c r="J823">
        <v>0</v>
      </c>
      <c r="K823" s="1">
        <v>45870</v>
      </c>
      <c r="L823" t="s">
        <v>429</v>
      </c>
      <c r="M823" t="s">
        <v>427</v>
      </c>
      <c r="N823" s="2">
        <f>IFERROR(NHS_A_E[[#This Row],[T1_Over4hrs]]/NHS_A_E[[#This Row],[T1_Attendances]], 0)</f>
        <v>0</v>
      </c>
      <c r="O823">
        <f>NHS_A_E[[#This Row],[T1_Attendances]]+NHS_A_E[[#This Row],[Other_Attendances]]</f>
        <v>0</v>
      </c>
      <c r="P823">
        <f>MATCH(LEFT(A823,FIND("-",A823)-1),{"April","May","June","July","August","September","October","November","December","January","February","March"},0)</f>
        <v>5</v>
      </c>
      <c r="Q823" s="3">
        <f t="shared" si="24"/>
        <v>0</v>
      </c>
      <c r="R823" t="str">
        <f t="shared" si="25"/>
        <v>August</v>
      </c>
    </row>
    <row r="824" spans="1:18" x14ac:dyDescent="0.35">
      <c r="A824" t="s">
        <v>433</v>
      </c>
      <c r="B824" t="s">
        <v>215</v>
      </c>
      <c r="C824" t="s">
        <v>35</v>
      </c>
      <c r="D824" t="s">
        <v>216</v>
      </c>
      <c r="E824">
        <v>8178</v>
      </c>
      <c r="F824">
        <v>3711</v>
      </c>
      <c r="G824">
        <v>2502</v>
      </c>
      <c r="H824">
        <v>127</v>
      </c>
      <c r="I824">
        <v>407</v>
      </c>
      <c r="J824">
        <v>498</v>
      </c>
      <c r="K824" s="1">
        <v>45870</v>
      </c>
      <c r="L824" t="s">
        <v>429</v>
      </c>
      <c r="M824" t="s">
        <v>427</v>
      </c>
      <c r="N824" s="2">
        <f>IFERROR(NHS_A_E[[#This Row],[T1_Over4hrs]]/NHS_A_E[[#This Row],[T1_Attendances]], 0)</f>
        <v>0.30594277329420394</v>
      </c>
      <c r="O824">
        <f>NHS_A_E[[#This Row],[T1_Attendances]]+NHS_A_E[[#This Row],[Other_Attendances]]</f>
        <v>11889</v>
      </c>
      <c r="P824">
        <f>MATCH(LEFT(A824,FIND("-",A824)-1),{"April","May","June","July","August","September","October","November","December","January","February","March"},0)</f>
        <v>5</v>
      </c>
      <c r="Q824" s="3">
        <f t="shared" si="24"/>
        <v>6.0895084372707263E-2</v>
      </c>
      <c r="R824" t="str">
        <f t="shared" si="25"/>
        <v>August</v>
      </c>
    </row>
    <row r="825" spans="1:18" x14ac:dyDescent="0.35">
      <c r="A825" t="s">
        <v>433</v>
      </c>
      <c r="B825" t="s">
        <v>301</v>
      </c>
      <c r="C825" t="s">
        <v>30</v>
      </c>
      <c r="D825" t="s">
        <v>302</v>
      </c>
      <c r="E825">
        <v>0</v>
      </c>
      <c r="F825">
        <v>4252</v>
      </c>
      <c r="G825">
        <v>0</v>
      </c>
      <c r="H825">
        <v>175</v>
      </c>
      <c r="I825">
        <v>0</v>
      </c>
      <c r="J825">
        <v>0</v>
      </c>
      <c r="K825" s="1">
        <v>45870</v>
      </c>
      <c r="L825" t="s">
        <v>429</v>
      </c>
      <c r="M825" t="s">
        <v>427</v>
      </c>
      <c r="N825" s="2">
        <f>IFERROR(NHS_A_E[[#This Row],[T1_Over4hrs]]/NHS_A_E[[#This Row],[T1_Attendances]], 0)</f>
        <v>0</v>
      </c>
      <c r="O825">
        <f>NHS_A_E[[#This Row],[T1_Attendances]]+NHS_A_E[[#This Row],[Other_Attendances]]</f>
        <v>4252</v>
      </c>
      <c r="P825">
        <f>MATCH(LEFT(A825,FIND("-",A825)-1),{"April","May","June","July","August","September","October","November","December","January","February","March"},0)</f>
        <v>5</v>
      </c>
      <c r="Q825" s="3">
        <f t="shared" si="24"/>
        <v>0</v>
      </c>
      <c r="R825" t="str">
        <f t="shared" si="25"/>
        <v>August</v>
      </c>
    </row>
    <row r="826" spans="1:18" x14ac:dyDescent="0.35">
      <c r="A826" t="s">
        <v>433</v>
      </c>
      <c r="B826" t="s">
        <v>367</v>
      </c>
      <c r="C826" t="s">
        <v>23</v>
      </c>
      <c r="D826" t="s">
        <v>368</v>
      </c>
      <c r="E826">
        <v>0</v>
      </c>
      <c r="F826">
        <v>1061</v>
      </c>
      <c r="G826">
        <v>0</v>
      </c>
      <c r="H826">
        <v>19</v>
      </c>
      <c r="I826">
        <v>0</v>
      </c>
      <c r="J826">
        <v>0</v>
      </c>
      <c r="K826" s="1">
        <v>45870</v>
      </c>
      <c r="L826" t="s">
        <v>429</v>
      </c>
      <c r="M826" t="s">
        <v>427</v>
      </c>
      <c r="N826" s="2">
        <f>IFERROR(NHS_A_E[[#This Row],[T1_Over4hrs]]/NHS_A_E[[#This Row],[T1_Attendances]], 0)</f>
        <v>0</v>
      </c>
      <c r="O826">
        <f>NHS_A_E[[#This Row],[T1_Attendances]]+NHS_A_E[[#This Row],[Other_Attendances]]</f>
        <v>1061</v>
      </c>
      <c r="P826">
        <f>MATCH(LEFT(A826,FIND("-",A826)-1),{"April","May","June","July","August","September","October","November","December","January","February","March"},0)</f>
        <v>5</v>
      </c>
      <c r="Q826" s="3">
        <f t="shared" si="24"/>
        <v>0</v>
      </c>
      <c r="R826" t="str">
        <f t="shared" si="25"/>
        <v>August</v>
      </c>
    </row>
    <row r="827" spans="1:18" x14ac:dyDescent="0.35">
      <c r="A827" t="s">
        <v>433</v>
      </c>
      <c r="B827" t="s">
        <v>349</v>
      </c>
      <c r="C827" t="s">
        <v>20</v>
      </c>
      <c r="D827" t="s">
        <v>350</v>
      </c>
      <c r="E827">
        <v>13530</v>
      </c>
      <c r="F827">
        <v>4517</v>
      </c>
      <c r="G827">
        <v>5694</v>
      </c>
      <c r="H827">
        <v>24</v>
      </c>
      <c r="I827">
        <v>724</v>
      </c>
      <c r="J827">
        <v>136</v>
      </c>
      <c r="K827" s="1">
        <v>45870</v>
      </c>
      <c r="L827" t="s">
        <v>429</v>
      </c>
      <c r="M827" t="s">
        <v>427</v>
      </c>
      <c r="N827" s="2">
        <f>IFERROR(NHS_A_E[[#This Row],[T1_Over4hrs]]/NHS_A_E[[#This Row],[T1_Attendances]], 0)</f>
        <v>0.42084257206208425</v>
      </c>
      <c r="O827">
        <f>NHS_A_E[[#This Row],[T1_Attendances]]+NHS_A_E[[#This Row],[Other_Attendances]]</f>
        <v>18047</v>
      </c>
      <c r="P827">
        <f>MATCH(LEFT(A827,FIND("-",A827)-1),{"April","May","June","July","August","September","October","November","December","January","February","March"},0)</f>
        <v>5</v>
      </c>
      <c r="Q827" s="3">
        <f t="shared" si="24"/>
        <v>1.0051736881005174E-2</v>
      </c>
      <c r="R827" t="str">
        <f t="shared" si="25"/>
        <v>August</v>
      </c>
    </row>
    <row r="828" spans="1:18" x14ac:dyDescent="0.35">
      <c r="A828" t="s">
        <v>433</v>
      </c>
      <c r="B828" t="s">
        <v>37</v>
      </c>
      <c r="C828" t="s">
        <v>35</v>
      </c>
      <c r="D828" t="s">
        <v>38</v>
      </c>
      <c r="E828">
        <v>14926</v>
      </c>
      <c r="F828">
        <v>8876</v>
      </c>
      <c r="G828">
        <v>7482</v>
      </c>
      <c r="H828">
        <v>185</v>
      </c>
      <c r="I828">
        <v>1087</v>
      </c>
      <c r="J828">
        <v>571</v>
      </c>
      <c r="K828" s="1">
        <v>45870</v>
      </c>
      <c r="L828" t="s">
        <v>429</v>
      </c>
      <c r="M828" t="s">
        <v>427</v>
      </c>
      <c r="N828" s="2">
        <f>IFERROR(NHS_A_E[[#This Row],[T1_Over4hrs]]/NHS_A_E[[#This Row],[T1_Attendances]], 0)</f>
        <v>0.50127294653624543</v>
      </c>
      <c r="O828">
        <f>NHS_A_E[[#This Row],[T1_Attendances]]+NHS_A_E[[#This Row],[Other_Attendances]]</f>
        <v>23802</v>
      </c>
      <c r="P828">
        <f>MATCH(LEFT(A828,FIND("-",A828)-1),{"April","May","June","July","August","September","October","November","December","January","February","March"},0)</f>
        <v>5</v>
      </c>
      <c r="Q828" s="3">
        <f t="shared" si="24"/>
        <v>3.8255393273482513E-2</v>
      </c>
      <c r="R828" t="str">
        <f t="shared" si="25"/>
        <v>August</v>
      </c>
    </row>
    <row r="829" spans="1:18" x14ac:dyDescent="0.35">
      <c r="A829" t="s">
        <v>433</v>
      </c>
      <c r="B829" t="s">
        <v>401</v>
      </c>
      <c r="C829" t="s">
        <v>35</v>
      </c>
      <c r="D829" t="s">
        <v>402</v>
      </c>
      <c r="E829">
        <v>12011</v>
      </c>
      <c r="F829">
        <v>4757</v>
      </c>
      <c r="G829">
        <v>4177</v>
      </c>
      <c r="H829">
        <v>0</v>
      </c>
      <c r="I829">
        <v>245</v>
      </c>
      <c r="J829">
        <v>565</v>
      </c>
      <c r="K829" s="1">
        <v>45870</v>
      </c>
      <c r="L829" t="s">
        <v>429</v>
      </c>
      <c r="M829" t="s">
        <v>427</v>
      </c>
      <c r="N829" s="2">
        <f>IFERROR(NHS_A_E[[#This Row],[T1_Over4hrs]]/NHS_A_E[[#This Row],[T1_Attendances]], 0)</f>
        <v>0.34776454916326699</v>
      </c>
      <c r="O829">
        <f>NHS_A_E[[#This Row],[T1_Attendances]]+NHS_A_E[[#This Row],[Other_Attendances]]</f>
        <v>16768</v>
      </c>
      <c r="P829">
        <f>MATCH(LEFT(A829,FIND("-",A829)-1),{"April","May","June","July","August","September","October","November","December","January","February","March"},0)</f>
        <v>5</v>
      </c>
      <c r="Q829" s="3">
        <f t="shared" si="24"/>
        <v>4.7040213137956872E-2</v>
      </c>
      <c r="R829" t="str">
        <f t="shared" si="25"/>
        <v>August</v>
      </c>
    </row>
    <row r="830" spans="1:18" x14ac:dyDescent="0.35">
      <c r="A830" t="s">
        <v>433</v>
      </c>
      <c r="B830" t="s">
        <v>399</v>
      </c>
      <c r="C830" t="s">
        <v>40</v>
      </c>
      <c r="D830" t="s">
        <v>400</v>
      </c>
      <c r="E830">
        <v>8133</v>
      </c>
      <c r="F830">
        <v>396</v>
      </c>
      <c r="G830">
        <v>1769</v>
      </c>
      <c r="H830">
        <v>0</v>
      </c>
      <c r="I830">
        <v>314</v>
      </c>
      <c r="J830">
        <v>14</v>
      </c>
      <c r="K830" s="1">
        <v>45870</v>
      </c>
      <c r="L830" t="s">
        <v>429</v>
      </c>
      <c r="M830" t="s">
        <v>427</v>
      </c>
      <c r="N830" s="2">
        <f>IFERROR(NHS_A_E[[#This Row],[T1_Over4hrs]]/NHS_A_E[[#This Row],[T1_Attendances]], 0)</f>
        <v>0.21750891429976638</v>
      </c>
      <c r="O830">
        <f>NHS_A_E[[#This Row],[T1_Attendances]]+NHS_A_E[[#This Row],[Other_Attendances]]</f>
        <v>8529</v>
      </c>
      <c r="P830">
        <f>MATCH(LEFT(A830,FIND("-",A830)-1),{"April","May","June","July","August","September","October","November","December","January","February","March"},0)</f>
        <v>5</v>
      </c>
      <c r="Q830" s="3">
        <f t="shared" si="24"/>
        <v>1.7213820238534366E-3</v>
      </c>
      <c r="R830" t="str">
        <f t="shared" si="25"/>
        <v>August</v>
      </c>
    </row>
    <row r="831" spans="1:18" x14ac:dyDescent="0.35">
      <c r="A831" t="s">
        <v>433</v>
      </c>
      <c r="B831" t="s">
        <v>39</v>
      </c>
      <c r="C831" t="s">
        <v>40</v>
      </c>
      <c r="D831" t="s">
        <v>41</v>
      </c>
      <c r="E831">
        <v>14640</v>
      </c>
      <c r="F831">
        <v>7982</v>
      </c>
      <c r="G831">
        <v>7035</v>
      </c>
      <c r="H831">
        <v>63</v>
      </c>
      <c r="I831">
        <v>1120</v>
      </c>
      <c r="J831">
        <v>443</v>
      </c>
      <c r="K831" s="1">
        <v>45870</v>
      </c>
      <c r="L831" t="s">
        <v>429</v>
      </c>
      <c r="M831" t="s">
        <v>427</v>
      </c>
      <c r="N831" s="2">
        <f>IFERROR(NHS_A_E[[#This Row],[T1_Over4hrs]]/NHS_A_E[[#This Row],[T1_Attendances]], 0)</f>
        <v>0.48053278688524592</v>
      </c>
      <c r="O831">
        <f>NHS_A_E[[#This Row],[T1_Attendances]]+NHS_A_E[[#This Row],[Other_Attendances]]</f>
        <v>22622</v>
      </c>
      <c r="P831">
        <f>MATCH(LEFT(A831,FIND("-",A831)-1),{"April","May","June","July","August","September","October","November","December","January","February","March"},0)</f>
        <v>5</v>
      </c>
      <c r="Q831" s="3">
        <f t="shared" si="24"/>
        <v>3.0259562841530054E-2</v>
      </c>
      <c r="R831" t="str">
        <f t="shared" si="25"/>
        <v>August</v>
      </c>
    </row>
    <row r="832" spans="1:18" x14ac:dyDescent="0.35">
      <c r="A832" t="s">
        <v>433</v>
      </c>
      <c r="B832" t="s">
        <v>415</v>
      </c>
      <c r="C832" t="s">
        <v>35</v>
      </c>
      <c r="D832" t="s">
        <v>416</v>
      </c>
      <c r="E832">
        <v>14770</v>
      </c>
      <c r="F832">
        <v>8831</v>
      </c>
      <c r="G832">
        <v>5957</v>
      </c>
      <c r="H832">
        <v>507</v>
      </c>
      <c r="I832">
        <v>1386</v>
      </c>
      <c r="J832">
        <v>572</v>
      </c>
      <c r="K832" s="1">
        <v>45870</v>
      </c>
      <c r="L832" t="s">
        <v>429</v>
      </c>
      <c r="M832" t="s">
        <v>427</v>
      </c>
      <c r="N832" s="2">
        <f>IFERROR(NHS_A_E[[#This Row],[T1_Over4hrs]]/NHS_A_E[[#This Row],[T1_Attendances]], 0)</f>
        <v>0.4033175355450237</v>
      </c>
      <c r="O832">
        <f>NHS_A_E[[#This Row],[T1_Attendances]]+NHS_A_E[[#This Row],[Other_Attendances]]</f>
        <v>23601</v>
      </c>
      <c r="P832">
        <f>MATCH(LEFT(A832,FIND("-",A832)-1),{"April","May","June","July","August","September","October","November","December","January","February","March"},0)</f>
        <v>5</v>
      </c>
      <c r="Q832" s="3">
        <f t="shared" si="24"/>
        <v>3.872714962762356E-2</v>
      </c>
      <c r="R832" t="str">
        <f t="shared" si="25"/>
        <v>August</v>
      </c>
    </row>
    <row r="833" spans="1:18" x14ac:dyDescent="0.35">
      <c r="A833" t="s">
        <v>433</v>
      </c>
      <c r="B833" t="s">
        <v>355</v>
      </c>
      <c r="C833" t="s">
        <v>30</v>
      </c>
      <c r="D833" t="s">
        <v>356</v>
      </c>
      <c r="E833">
        <v>7961</v>
      </c>
      <c r="F833">
        <v>2319</v>
      </c>
      <c r="G833">
        <v>3629</v>
      </c>
      <c r="H833">
        <v>9</v>
      </c>
      <c r="I833">
        <v>561</v>
      </c>
      <c r="J833">
        <v>381</v>
      </c>
      <c r="K833" s="1">
        <v>45870</v>
      </c>
      <c r="L833" t="s">
        <v>429</v>
      </c>
      <c r="M833" t="s">
        <v>427</v>
      </c>
      <c r="N833" s="2">
        <f>IFERROR(NHS_A_E[[#This Row],[T1_Over4hrs]]/NHS_A_E[[#This Row],[T1_Attendances]], 0)</f>
        <v>0.45584725536992843</v>
      </c>
      <c r="O833">
        <f>NHS_A_E[[#This Row],[T1_Attendances]]+NHS_A_E[[#This Row],[Other_Attendances]]</f>
        <v>10280</v>
      </c>
      <c r="P833">
        <f>MATCH(LEFT(A833,FIND("-",A833)-1),{"April","May","June","July","August","September","October","November","December","January","February","March"},0)</f>
        <v>5</v>
      </c>
      <c r="Q833" s="3">
        <f t="shared" si="24"/>
        <v>4.7858309257630953E-2</v>
      </c>
      <c r="R833" t="str">
        <f t="shared" si="25"/>
        <v>August</v>
      </c>
    </row>
    <row r="834" spans="1:18" x14ac:dyDescent="0.35">
      <c r="A834" t="s">
        <v>433</v>
      </c>
      <c r="B834" t="s">
        <v>357</v>
      </c>
      <c r="C834" t="s">
        <v>20</v>
      </c>
      <c r="D834" t="s">
        <v>358</v>
      </c>
      <c r="E834">
        <v>5788</v>
      </c>
      <c r="F834">
        <v>5189</v>
      </c>
      <c r="G834">
        <v>2994</v>
      </c>
      <c r="H834">
        <v>540</v>
      </c>
      <c r="I834">
        <v>700</v>
      </c>
      <c r="J834">
        <v>157</v>
      </c>
      <c r="K834" s="1">
        <v>45870</v>
      </c>
      <c r="L834" t="s">
        <v>429</v>
      </c>
      <c r="M834" t="s">
        <v>427</v>
      </c>
      <c r="N834" s="2">
        <f>IFERROR(NHS_A_E[[#This Row],[T1_Over4hrs]]/NHS_A_E[[#This Row],[T1_Attendances]], 0)</f>
        <v>0.51727712508638568</v>
      </c>
      <c r="O834">
        <f>NHS_A_E[[#This Row],[T1_Attendances]]+NHS_A_E[[#This Row],[Other_Attendances]]</f>
        <v>10977</v>
      </c>
      <c r="P834">
        <f>MATCH(LEFT(A834,FIND("-",A834)-1),{"April","May","June","July","August","September","October","November","December","January","February","March"},0)</f>
        <v>5</v>
      </c>
      <c r="Q834" s="3">
        <f t="shared" ref="Q834:Q897" si="26">IFERROR(J834/E834,0)</f>
        <v>2.7125086385625431E-2</v>
      </c>
      <c r="R834" t="str">
        <f t="shared" ref="R834:R897" si="27">TEXT(A834, "mmmm")</f>
        <v>August</v>
      </c>
    </row>
    <row r="835" spans="1:18" x14ac:dyDescent="0.35">
      <c r="A835" t="s">
        <v>433</v>
      </c>
      <c r="B835" t="s">
        <v>217</v>
      </c>
      <c r="C835" t="s">
        <v>15</v>
      </c>
      <c r="D835" t="s">
        <v>218</v>
      </c>
      <c r="E835">
        <v>10479</v>
      </c>
      <c r="F835">
        <v>3333</v>
      </c>
      <c r="G835">
        <v>4015</v>
      </c>
      <c r="H835">
        <v>24</v>
      </c>
      <c r="I835">
        <v>110</v>
      </c>
      <c r="J835">
        <v>11</v>
      </c>
      <c r="K835" s="1">
        <v>45870</v>
      </c>
      <c r="L835" t="s">
        <v>429</v>
      </c>
      <c r="M835" t="s">
        <v>427</v>
      </c>
      <c r="N835" s="2">
        <f>IFERROR(NHS_A_E[[#This Row],[T1_Over4hrs]]/NHS_A_E[[#This Row],[T1_Attendances]], 0)</f>
        <v>0.38314724687470181</v>
      </c>
      <c r="O835">
        <f>NHS_A_E[[#This Row],[T1_Attendances]]+NHS_A_E[[#This Row],[Other_Attendances]]</f>
        <v>13812</v>
      </c>
      <c r="P835">
        <f>MATCH(LEFT(A835,FIND("-",A835)-1),{"April","May","June","July","August","September","October","November","December","January","February","March"},0)</f>
        <v>5</v>
      </c>
      <c r="Q835" s="3">
        <f t="shared" si="26"/>
        <v>1.049718484588224E-3</v>
      </c>
      <c r="R835" t="str">
        <f t="shared" si="27"/>
        <v>August</v>
      </c>
    </row>
    <row r="836" spans="1:18" x14ac:dyDescent="0.35">
      <c r="A836" t="s">
        <v>433</v>
      </c>
      <c r="B836" t="s">
        <v>50</v>
      </c>
      <c r="C836" t="s">
        <v>15</v>
      </c>
      <c r="D836" t="s">
        <v>51</v>
      </c>
      <c r="E836">
        <v>10751</v>
      </c>
      <c r="F836">
        <v>3638</v>
      </c>
      <c r="G836">
        <v>2782</v>
      </c>
      <c r="H836">
        <v>10</v>
      </c>
      <c r="I836">
        <v>576</v>
      </c>
      <c r="J836">
        <v>17</v>
      </c>
      <c r="K836" s="1">
        <v>45870</v>
      </c>
      <c r="L836" t="s">
        <v>429</v>
      </c>
      <c r="M836" t="s">
        <v>427</v>
      </c>
      <c r="N836" s="2">
        <f>IFERROR(NHS_A_E[[#This Row],[T1_Over4hrs]]/NHS_A_E[[#This Row],[T1_Attendances]], 0)</f>
        <v>0.25876662636033859</v>
      </c>
      <c r="O836">
        <f>NHS_A_E[[#This Row],[T1_Attendances]]+NHS_A_E[[#This Row],[Other_Attendances]]</f>
        <v>14389</v>
      </c>
      <c r="P836">
        <f>MATCH(LEFT(A836,FIND("-",A836)-1),{"April","May","June","July","August","September","October","November","December","January","February","March"},0)</f>
        <v>5</v>
      </c>
      <c r="Q836" s="3">
        <f t="shared" si="26"/>
        <v>1.5812482559761883E-3</v>
      </c>
      <c r="R836" t="str">
        <f t="shared" si="27"/>
        <v>August</v>
      </c>
    </row>
    <row r="837" spans="1:18" x14ac:dyDescent="0.35">
      <c r="A837" t="s">
        <v>433</v>
      </c>
      <c r="B837" t="s">
        <v>56</v>
      </c>
      <c r="C837" t="s">
        <v>20</v>
      </c>
      <c r="D837" t="s">
        <v>57</v>
      </c>
      <c r="E837">
        <v>4767</v>
      </c>
      <c r="F837">
        <v>1883</v>
      </c>
      <c r="G837">
        <v>1763</v>
      </c>
      <c r="H837">
        <v>0</v>
      </c>
      <c r="I837">
        <v>329</v>
      </c>
      <c r="J837">
        <v>25</v>
      </c>
      <c r="K837" s="1">
        <v>45870</v>
      </c>
      <c r="L837" t="s">
        <v>429</v>
      </c>
      <c r="M837" t="s">
        <v>427</v>
      </c>
      <c r="N837" s="2">
        <f>IFERROR(NHS_A_E[[#This Row],[T1_Over4hrs]]/NHS_A_E[[#This Row],[T1_Attendances]], 0)</f>
        <v>0.36983427732326413</v>
      </c>
      <c r="O837">
        <f>NHS_A_E[[#This Row],[T1_Attendances]]+NHS_A_E[[#This Row],[Other_Attendances]]</f>
        <v>6650</v>
      </c>
      <c r="P837">
        <f>MATCH(LEFT(A837,FIND("-",A837)-1),{"April","May","June","July","August","September","October","November","December","January","February","March"},0)</f>
        <v>5</v>
      </c>
      <c r="Q837" s="3">
        <f t="shared" si="26"/>
        <v>5.2443885043003983E-3</v>
      </c>
      <c r="R837" t="str">
        <f t="shared" si="27"/>
        <v>August</v>
      </c>
    </row>
    <row r="838" spans="1:18" x14ac:dyDescent="0.35">
      <c r="A838" t="s">
        <v>433</v>
      </c>
      <c r="B838" t="s">
        <v>253</v>
      </c>
      <c r="C838" t="s">
        <v>63</v>
      </c>
      <c r="D838" t="s">
        <v>254</v>
      </c>
      <c r="E838">
        <v>5545</v>
      </c>
      <c r="F838">
        <v>4202</v>
      </c>
      <c r="G838">
        <v>1701</v>
      </c>
      <c r="H838">
        <v>28</v>
      </c>
      <c r="I838">
        <v>397</v>
      </c>
      <c r="J838">
        <v>0</v>
      </c>
      <c r="K838" s="1">
        <v>45870</v>
      </c>
      <c r="L838" t="s">
        <v>429</v>
      </c>
      <c r="M838" t="s">
        <v>427</v>
      </c>
      <c r="N838" s="2">
        <f>IFERROR(NHS_A_E[[#This Row],[T1_Over4hrs]]/NHS_A_E[[#This Row],[T1_Attendances]], 0)</f>
        <v>0.30676284941388637</v>
      </c>
      <c r="O838">
        <f>NHS_A_E[[#This Row],[T1_Attendances]]+NHS_A_E[[#This Row],[Other_Attendances]]</f>
        <v>9747</v>
      </c>
      <c r="P838">
        <f>MATCH(LEFT(A838,FIND("-",A838)-1),{"April","May","June","July","August","September","October","November","December","January","February","March"},0)</f>
        <v>5</v>
      </c>
      <c r="Q838" s="3">
        <f t="shared" si="26"/>
        <v>0</v>
      </c>
      <c r="R838" t="str">
        <f t="shared" si="27"/>
        <v>August</v>
      </c>
    </row>
    <row r="839" spans="1:18" x14ac:dyDescent="0.35">
      <c r="A839" t="s">
        <v>433</v>
      </c>
      <c r="B839" t="s">
        <v>62</v>
      </c>
      <c r="C839" t="s">
        <v>63</v>
      </c>
      <c r="D839" t="s">
        <v>64</v>
      </c>
      <c r="E839">
        <v>16690</v>
      </c>
      <c r="F839">
        <v>10848</v>
      </c>
      <c r="G839">
        <v>6048</v>
      </c>
      <c r="H839">
        <v>111</v>
      </c>
      <c r="I839">
        <v>1686</v>
      </c>
      <c r="J839">
        <v>119</v>
      </c>
      <c r="K839" s="1">
        <v>45870</v>
      </c>
      <c r="L839" t="s">
        <v>429</v>
      </c>
      <c r="M839" t="s">
        <v>427</v>
      </c>
      <c r="N839" s="2">
        <f>IFERROR(NHS_A_E[[#This Row],[T1_Over4hrs]]/NHS_A_E[[#This Row],[T1_Attendances]], 0)</f>
        <v>0.36237267825044939</v>
      </c>
      <c r="O839">
        <f>NHS_A_E[[#This Row],[T1_Attendances]]+NHS_A_E[[#This Row],[Other_Attendances]]</f>
        <v>27538</v>
      </c>
      <c r="P839">
        <f>MATCH(LEFT(A839,FIND("-",A839)-1),{"April","May","June","July","August","September","October","November","December","January","February","March"},0)</f>
        <v>5</v>
      </c>
      <c r="Q839" s="3">
        <f t="shared" si="26"/>
        <v>7.1300179748352305E-3</v>
      </c>
      <c r="R839" t="str">
        <f t="shared" si="27"/>
        <v>August</v>
      </c>
    </row>
    <row r="840" spans="1:18" x14ac:dyDescent="0.35">
      <c r="A840" t="s">
        <v>433</v>
      </c>
      <c r="B840" t="s">
        <v>157</v>
      </c>
      <c r="C840" t="s">
        <v>40</v>
      </c>
      <c r="D840" t="s">
        <v>158</v>
      </c>
      <c r="E840">
        <v>33886</v>
      </c>
      <c r="F840">
        <v>1779</v>
      </c>
      <c r="G840">
        <v>13154</v>
      </c>
      <c r="H840">
        <v>33</v>
      </c>
      <c r="I840">
        <v>2674</v>
      </c>
      <c r="J840">
        <v>1593</v>
      </c>
      <c r="K840" s="1">
        <v>45870</v>
      </c>
      <c r="L840" t="s">
        <v>429</v>
      </c>
      <c r="M840" t="s">
        <v>427</v>
      </c>
      <c r="N840" s="2">
        <f>IFERROR(NHS_A_E[[#This Row],[T1_Over4hrs]]/NHS_A_E[[#This Row],[T1_Attendances]], 0)</f>
        <v>0.38818391075960573</v>
      </c>
      <c r="O840">
        <f>NHS_A_E[[#This Row],[T1_Attendances]]+NHS_A_E[[#This Row],[Other_Attendances]]</f>
        <v>35665</v>
      </c>
      <c r="P840">
        <f>MATCH(LEFT(A840,FIND("-",A840)-1),{"April","May","June","July","August","September","October","November","December","January","February","March"},0)</f>
        <v>5</v>
      </c>
      <c r="Q840" s="3">
        <f t="shared" si="26"/>
        <v>4.7010564835035115E-2</v>
      </c>
      <c r="R840" t="str">
        <f t="shared" si="27"/>
        <v>August</v>
      </c>
    </row>
    <row r="841" spans="1:18" x14ac:dyDescent="0.35">
      <c r="A841" t="s">
        <v>433</v>
      </c>
      <c r="B841" t="s">
        <v>221</v>
      </c>
      <c r="C841" t="s">
        <v>63</v>
      </c>
      <c r="D841" t="s">
        <v>222</v>
      </c>
      <c r="E841">
        <v>9949</v>
      </c>
      <c r="F841">
        <v>13869</v>
      </c>
      <c r="G841">
        <v>2291</v>
      </c>
      <c r="H841">
        <v>4</v>
      </c>
      <c r="I841">
        <v>3</v>
      </c>
      <c r="J841">
        <v>0</v>
      </c>
      <c r="K841" s="1">
        <v>45870</v>
      </c>
      <c r="L841" t="s">
        <v>429</v>
      </c>
      <c r="M841" t="s">
        <v>427</v>
      </c>
      <c r="N841" s="2">
        <f>IFERROR(NHS_A_E[[#This Row],[T1_Over4hrs]]/NHS_A_E[[#This Row],[T1_Attendances]], 0)</f>
        <v>0.23027439943712935</v>
      </c>
      <c r="O841">
        <f>NHS_A_E[[#This Row],[T1_Attendances]]+NHS_A_E[[#This Row],[Other_Attendances]]</f>
        <v>23818</v>
      </c>
      <c r="P841">
        <f>MATCH(LEFT(A841,FIND("-",A841)-1),{"April","May","June","July","August","September","October","November","December","January","February","March"},0)</f>
        <v>5</v>
      </c>
      <c r="Q841" s="3">
        <f t="shared" si="26"/>
        <v>0</v>
      </c>
      <c r="R841" t="str">
        <f t="shared" si="27"/>
        <v>August</v>
      </c>
    </row>
    <row r="842" spans="1:18" x14ac:dyDescent="0.35">
      <c r="A842" t="s">
        <v>433</v>
      </c>
      <c r="B842" t="s">
        <v>123</v>
      </c>
      <c r="C842" t="s">
        <v>15</v>
      </c>
      <c r="D842" t="s">
        <v>124</v>
      </c>
      <c r="E842">
        <v>12118</v>
      </c>
      <c r="F842">
        <v>12969</v>
      </c>
      <c r="G842">
        <v>6199</v>
      </c>
      <c r="H842">
        <v>276</v>
      </c>
      <c r="I842">
        <v>384</v>
      </c>
      <c r="J842">
        <v>1311</v>
      </c>
      <c r="K842" s="1">
        <v>45870</v>
      </c>
      <c r="L842" t="s">
        <v>429</v>
      </c>
      <c r="M842" t="s">
        <v>427</v>
      </c>
      <c r="N842" s="2">
        <f>IFERROR(NHS_A_E[[#This Row],[T1_Over4hrs]]/NHS_A_E[[#This Row],[T1_Attendances]], 0)</f>
        <v>0.51155306156131375</v>
      </c>
      <c r="O842">
        <f>NHS_A_E[[#This Row],[T1_Attendances]]+NHS_A_E[[#This Row],[Other_Attendances]]</f>
        <v>25087</v>
      </c>
      <c r="P842">
        <f>MATCH(LEFT(A842,FIND("-",A842)-1),{"April","May","June","July","August","September","October","November","December","January","February","March"},0)</f>
        <v>5</v>
      </c>
      <c r="Q842" s="3">
        <f t="shared" si="26"/>
        <v>0.10818616933487374</v>
      </c>
      <c r="R842" t="str">
        <f t="shared" si="27"/>
        <v>August</v>
      </c>
    </row>
    <row r="843" spans="1:18" x14ac:dyDescent="0.35">
      <c r="A843" t="s">
        <v>433</v>
      </c>
      <c r="B843" t="s">
        <v>175</v>
      </c>
      <c r="C843" t="s">
        <v>63</v>
      </c>
      <c r="D843" t="s">
        <v>176</v>
      </c>
      <c r="E843">
        <v>4856</v>
      </c>
      <c r="F843">
        <v>10490</v>
      </c>
      <c r="G843">
        <v>2340</v>
      </c>
      <c r="H843">
        <v>20</v>
      </c>
      <c r="I843">
        <v>160</v>
      </c>
      <c r="J843">
        <v>6</v>
      </c>
      <c r="K843" s="1">
        <v>45870</v>
      </c>
      <c r="L843" t="s">
        <v>429</v>
      </c>
      <c r="M843" t="s">
        <v>427</v>
      </c>
      <c r="N843" s="2">
        <f>IFERROR(NHS_A_E[[#This Row],[T1_Over4hrs]]/NHS_A_E[[#This Row],[T1_Attendances]], 0)</f>
        <v>0.48187808896210871</v>
      </c>
      <c r="O843">
        <f>NHS_A_E[[#This Row],[T1_Attendances]]+NHS_A_E[[#This Row],[Other_Attendances]]</f>
        <v>15346</v>
      </c>
      <c r="P843">
        <f>MATCH(LEFT(A843,FIND("-",A843)-1),{"April","May","June","July","August","September","October","November","December","January","February","March"},0)</f>
        <v>5</v>
      </c>
      <c r="Q843" s="3">
        <f t="shared" si="26"/>
        <v>1.2355848434925864E-3</v>
      </c>
      <c r="R843" t="str">
        <f t="shared" si="27"/>
        <v>August</v>
      </c>
    </row>
    <row r="844" spans="1:18" x14ac:dyDescent="0.35">
      <c r="A844" t="s">
        <v>433</v>
      </c>
      <c r="B844" t="s">
        <v>187</v>
      </c>
      <c r="C844" t="s">
        <v>30</v>
      </c>
      <c r="D844" t="s">
        <v>188</v>
      </c>
      <c r="E844">
        <v>7677</v>
      </c>
      <c r="F844">
        <v>1012</v>
      </c>
      <c r="G844">
        <v>2936</v>
      </c>
      <c r="H844">
        <v>47</v>
      </c>
      <c r="I844">
        <v>495</v>
      </c>
      <c r="J844">
        <v>198</v>
      </c>
      <c r="K844" s="1">
        <v>45870</v>
      </c>
      <c r="L844" t="s">
        <v>429</v>
      </c>
      <c r="M844" t="s">
        <v>427</v>
      </c>
      <c r="N844" s="2">
        <f>IFERROR(NHS_A_E[[#This Row],[T1_Over4hrs]]/NHS_A_E[[#This Row],[T1_Attendances]], 0)</f>
        <v>0.38244105770483261</v>
      </c>
      <c r="O844">
        <f>NHS_A_E[[#This Row],[T1_Attendances]]+NHS_A_E[[#This Row],[Other_Attendances]]</f>
        <v>8689</v>
      </c>
      <c r="P844">
        <f>MATCH(LEFT(A844,FIND("-",A844)-1),{"April","May","June","July","August","September","October","November","December","January","February","March"},0)</f>
        <v>5</v>
      </c>
      <c r="Q844" s="3">
        <f t="shared" si="26"/>
        <v>2.5791324736225089E-2</v>
      </c>
      <c r="R844" t="str">
        <f t="shared" si="27"/>
        <v>August</v>
      </c>
    </row>
    <row r="845" spans="1:18" x14ac:dyDescent="0.35">
      <c r="A845" t="s">
        <v>433</v>
      </c>
      <c r="B845" t="s">
        <v>133</v>
      </c>
      <c r="C845" t="s">
        <v>15</v>
      </c>
      <c r="D845" t="s">
        <v>134</v>
      </c>
      <c r="E845">
        <v>0</v>
      </c>
      <c r="F845">
        <v>1435</v>
      </c>
      <c r="G845">
        <v>0</v>
      </c>
      <c r="H845">
        <v>7</v>
      </c>
      <c r="I845">
        <v>0</v>
      </c>
      <c r="J845">
        <v>0</v>
      </c>
      <c r="K845" s="1">
        <v>45870</v>
      </c>
      <c r="L845" t="s">
        <v>429</v>
      </c>
      <c r="M845" t="s">
        <v>427</v>
      </c>
      <c r="N845" s="2">
        <f>IFERROR(NHS_A_E[[#This Row],[T1_Over4hrs]]/NHS_A_E[[#This Row],[T1_Attendances]], 0)</f>
        <v>0</v>
      </c>
      <c r="O845">
        <f>NHS_A_E[[#This Row],[T1_Attendances]]+NHS_A_E[[#This Row],[Other_Attendances]]</f>
        <v>1435</v>
      </c>
      <c r="P845">
        <f>MATCH(LEFT(A845,FIND("-",A845)-1),{"April","May","June","July","August","September","October","November","December","January","February","March"},0)</f>
        <v>5</v>
      </c>
      <c r="Q845" s="3">
        <f t="shared" si="26"/>
        <v>0</v>
      </c>
      <c r="R845" t="str">
        <f t="shared" si="27"/>
        <v>August</v>
      </c>
    </row>
    <row r="846" spans="1:18" x14ac:dyDescent="0.35">
      <c r="A846" t="s">
        <v>433</v>
      </c>
      <c r="B846" t="s">
        <v>193</v>
      </c>
      <c r="C846" t="s">
        <v>63</v>
      </c>
      <c r="D846" t="s">
        <v>194</v>
      </c>
      <c r="E846">
        <v>0</v>
      </c>
      <c r="F846">
        <v>0</v>
      </c>
      <c r="G846">
        <v>0</v>
      </c>
      <c r="H846">
        <v>0</v>
      </c>
      <c r="I846">
        <v>0</v>
      </c>
      <c r="J846">
        <v>0</v>
      </c>
      <c r="K846" s="1">
        <v>45870</v>
      </c>
      <c r="L846" t="s">
        <v>429</v>
      </c>
      <c r="M846" t="s">
        <v>427</v>
      </c>
      <c r="N846" s="2">
        <f>IFERROR(NHS_A_E[[#This Row],[T1_Over4hrs]]/NHS_A_E[[#This Row],[T1_Attendances]], 0)</f>
        <v>0</v>
      </c>
      <c r="O846">
        <f>NHS_A_E[[#This Row],[T1_Attendances]]+NHS_A_E[[#This Row],[Other_Attendances]]</f>
        <v>0</v>
      </c>
      <c r="P846">
        <f>MATCH(LEFT(A846,FIND("-",A846)-1),{"April","May","June","July","August","September","October","November","December","January","February","March"},0)</f>
        <v>5</v>
      </c>
      <c r="Q846" s="3">
        <f t="shared" si="26"/>
        <v>0</v>
      </c>
      <c r="R846" t="str">
        <f t="shared" si="27"/>
        <v>August</v>
      </c>
    </row>
    <row r="847" spans="1:18" x14ac:dyDescent="0.35">
      <c r="A847" t="s">
        <v>433</v>
      </c>
      <c r="B847" t="s">
        <v>199</v>
      </c>
      <c r="C847" t="s">
        <v>40</v>
      </c>
      <c r="D847" t="s">
        <v>200</v>
      </c>
      <c r="E847">
        <v>10809</v>
      </c>
      <c r="F847">
        <v>2433</v>
      </c>
      <c r="G847">
        <v>5879</v>
      </c>
      <c r="H847">
        <v>468</v>
      </c>
      <c r="I847">
        <v>612</v>
      </c>
      <c r="J847">
        <v>1300</v>
      </c>
      <c r="K847" s="1">
        <v>45870</v>
      </c>
      <c r="L847" t="s">
        <v>429</v>
      </c>
      <c r="M847" t="s">
        <v>427</v>
      </c>
      <c r="N847" s="2">
        <f>IFERROR(NHS_A_E[[#This Row],[T1_Over4hrs]]/NHS_A_E[[#This Row],[T1_Attendances]], 0)</f>
        <v>0.54389860301600523</v>
      </c>
      <c r="O847">
        <f>NHS_A_E[[#This Row],[T1_Attendances]]+NHS_A_E[[#This Row],[Other_Attendances]]</f>
        <v>13242</v>
      </c>
      <c r="P847">
        <f>MATCH(LEFT(A847,FIND("-",A847)-1),{"April","May","June","July","August","September","October","November","December","January","February","March"},0)</f>
        <v>5</v>
      </c>
      <c r="Q847" s="3">
        <f t="shared" si="26"/>
        <v>0.12027014524932926</v>
      </c>
      <c r="R847" t="str">
        <f t="shared" si="27"/>
        <v>August</v>
      </c>
    </row>
    <row r="848" spans="1:18" x14ac:dyDescent="0.35">
      <c r="A848" t="s">
        <v>433</v>
      </c>
      <c r="B848" t="s">
        <v>325</v>
      </c>
      <c r="C848" t="s">
        <v>40</v>
      </c>
      <c r="D848" t="s">
        <v>326</v>
      </c>
      <c r="E848">
        <v>0</v>
      </c>
      <c r="F848">
        <v>9050</v>
      </c>
      <c r="G848">
        <v>0</v>
      </c>
      <c r="H848">
        <v>265</v>
      </c>
      <c r="I848">
        <v>0</v>
      </c>
      <c r="J848">
        <v>0</v>
      </c>
      <c r="K848" s="1">
        <v>45870</v>
      </c>
      <c r="L848" t="s">
        <v>429</v>
      </c>
      <c r="M848" t="s">
        <v>427</v>
      </c>
      <c r="N848" s="2">
        <f>IFERROR(NHS_A_E[[#This Row],[T1_Over4hrs]]/NHS_A_E[[#This Row],[T1_Attendances]], 0)</f>
        <v>0</v>
      </c>
      <c r="O848">
        <f>NHS_A_E[[#This Row],[T1_Attendances]]+NHS_A_E[[#This Row],[Other_Attendances]]</f>
        <v>9050</v>
      </c>
      <c r="P848">
        <f>MATCH(LEFT(A848,FIND("-",A848)-1),{"April","May","June","July","August","September","October","November","December","January","February","March"},0)</f>
        <v>5</v>
      </c>
      <c r="Q848" s="3">
        <f t="shared" si="26"/>
        <v>0</v>
      </c>
      <c r="R848" t="str">
        <f t="shared" si="27"/>
        <v>August</v>
      </c>
    </row>
    <row r="849" spans="1:18" x14ac:dyDescent="0.35">
      <c r="A849" t="s">
        <v>433</v>
      </c>
      <c r="B849" t="s">
        <v>34</v>
      </c>
      <c r="C849" t="s">
        <v>35</v>
      </c>
      <c r="D849" t="s">
        <v>36</v>
      </c>
      <c r="E849">
        <v>12899</v>
      </c>
      <c r="F849">
        <v>12956</v>
      </c>
      <c r="G849">
        <v>5551</v>
      </c>
      <c r="H849">
        <v>91</v>
      </c>
      <c r="I849">
        <v>613</v>
      </c>
      <c r="J849">
        <v>677</v>
      </c>
      <c r="K849" s="1">
        <v>45870</v>
      </c>
      <c r="L849" t="s">
        <v>429</v>
      </c>
      <c r="M849" t="s">
        <v>427</v>
      </c>
      <c r="N849" s="2">
        <f>IFERROR(NHS_A_E[[#This Row],[T1_Over4hrs]]/NHS_A_E[[#This Row],[T1_Attendances]], 0)</f>
        <v>0.4303434374757733</v>
      </c>
      <c r="O849">
        <f>NHS_A_E[[#This Row],[T1_Attendances]]+NHS_A_E[[#This Row],[Other_Attendances]]</f>
        <v>25855</v>
      </c>
      <c r="P849">
        <f>MATCH(LEFT(A849,FIND("-",A849)-1),{"April","May","June","July","August","September","October","November","December","January","February","March"},0)</f>
        <v>5</v>
      </c>
      <c r="Q849" s="3">
        <f t="shared" si="26"/>
        <v>5.2484688735560898E-2</v>
      </c>
      <c r="R849" t="str">
        <f t="shared" si="27"/>
        <v>August</v>
      </c>
    </row>
    <row r="850" spans="1:18" x14ac:dyDescent="0.35">
      <c r="A850" t="s">
        <v>433</v>
      </c>
      <c r="B850" t="s">
        <v>353</v>
      </c>
      <c r="C850" t="s">
        <v>40</v>
      </c>
      <c r="D850" t="s">
        <v>354</v>
      </c>
      <c r="E850">
        <v>12593</v>
      </c>
      <c r="F850">
        <v>6773</v>
      </c>
      <c r="G850">
        <v>3693</v>
      </c>
      <c r="H850">
        <v>201</v>
      </c>
      <c r="I850">
        <v>1084</v>
      </c>
      <c r="J850">
        <v>172</v>
      </c>
      <c r="K850" s="1">
        <v>45870</v>
      </c>
      <c r="L850" t="s">
        <v>429</v>
      </c>
      <c r="M850" t="s">
        <v>427</v>
      </c>
      <c r="N850" s="2">
        <f>IFERROR(NHS_A_E[[#This Row],[T1_Over4hrs]]/NHS_A_E[[#This Row],[T1_Attendances]], 0)</f>
        <v>0.29325815929484633</v>
      </c>
      <c r="O850">
        <f>NHS_A_E[[#This Row],[T1_Attendances]]+NHS_A_E[[#This Row],[Other_Attendances]]</f>
        <v>19366</v>
      </c>
      <c r="P850">
        <f>MATCH(LEFT(A850,FIND("-",A850)-1),{"April","May","June","July","August","September","October","November","December","January","February","March"},0)</f>
        <v>5</v>
      </c>
      <c r="Q850" s="3">
        <f t="shared" si="26"/>
        <v>1.3658381640593981E-2</v>
      </c>
      <c r="R850" t="str">
        <f t="shared" si="27"/>
        <v>August</v>
      </c>
    </row>
    <row r="851" spans="1:18" x14ac:dyDescent="0.35">
      <c r="A851" t="s">
        <v>433</v>
      </c>
      <c r="B851" t="s">
        <v>173</v>
      </c>
      <c r="C851" t="s">
        <v>23</v>
      </c>
      <c r="D851" t="s">
        <v>174</v>
      </c>
      <c r="E851">
        <v>12652</v>
      </c>
      <c r="F851">
        <v>8082</v>
      </c>
      <c r="G851">
        <v>3830</v>
      </c>
      <c r="H851">
        <v>2</v>
      </c>
      <c r="I851">
        <v>733</v>
      </c>
      <c r="J851">
        <v>162</v>
      </c>
      <c r="K851" s="1">
        <v>45870</v>
      </c>
      <c r="L851" t="s">
        <v>429</v>
      </c>
      <c r="M851" t="s">
        <v>427</v>
      </c>
      <c r="N851" s="2">
        <f>IFERROR(NHS_A_E[[#This Row],[T1_Over4hrs]]/NHS_A_E[[#This Row],[T1_Attendances]], 0)</f>
        <v>0.30271893771735692</v>
      </c>
      <c r="O851">
        <f>NHS_A_E[[#This Row],[T1_Attendances]]+NHS_A_E[[#This Row],[Other_Attendances]]</f>
        <v>20734</v>
      </c>
      <c r="P851">
        <f>MATCH(LEFT(A851,FIND("-",A851)-1),{"April","May","June","July","August","September","October","November","December","January","February","March"},0)</f>
        <v>5</v>
      </c>
      <c r="Q851" s="3">
        <f t="shared" si="26"/>
        <v>1.2804299715460007E-2</v>
      </c>
      <c r="R851" t="str">
        <f t="shared" si="27"/>
        <v>August</v>
      </c>
    </row>
    <row r="852" spans="1:18" x14ac:dyDescent="0.35">
      <c r="A852" t="s">
        <v>433</v>
      </c>
      <c r="B852" t="s">
        <v>25</v>
      </c>
      <c r="C852" t="s">
        <v>15</v>
      </c>
      <c r="D852" t="s">
        <v>26</v>
      </c>
      <c r="E852">
        <v>0</v>
      </c>
      <c r="F852">
        <v>11693</v>
      </c>
      <c r="G852">
        <v>0</v>
      </c>
      <c r="H852">
        <v>164</v>
      </c>
      <c r="I852">
        <v>0</v>
      </c>
      <c r="J852">
        <v>0</v>
      </c>
      <c r="K852" s="1">
        <v>45870</v>
      </c>
      <c r="L852" t="s">
        <v>429</v>
      </c>
      <c r="M852" t="s">
        <v>427</v>
      </c>
      <c r="N852" s="2">
        <f>IFERROR(NHS_A_E[[#This Row],[T1_Over4hrs]]/NHS_A_E[[#This Row],[T1_Attendances]], 0)</f>
        <v>0</v>
      </c>
      <c r="O852">
        <f>NHS_A_E[[#This Row],[T1_Attendances]]+NHS_A_E[[#This Row],[Other_Attendances]]</f>
        <v>11693</v>
      </c>
      <c r="P852">
        <f>MATCH(LEFT(A852,FIND("-",A852)-1),{"April","May","June","July","August","September","October","November","December","January","February","March"},0)</f>
        <v>5</v>
      </c>
      <c r="Q852" s="3">
        <f t="shared" si="26"/>
        <v>0</v>
      </c>
      <c r="R852" t="str">
        <f t="shared" si="27"/>
        <v>August</v>
      </c>
    </row>
    <row r="853" spans="1:18" x14ac:dyDescent="0.35">
      <c r="A853" t="s">
        <v>433</v>
      </c>
      <c r="B853" t="s">
        <v>213</v>
      </c>
      <c r="C853" t="s">
        <v>23</v>
      </c>
      <c r="D853" t="s">
        <v>214</v>
      </c>
      <c r="E853">
        <v>10179</v>
      </c>
      <c r="F853">
        <v>5448</v>
      </c>
      <c r="G853">
        <v>4045</v>
      </c>
      <c r="H853">
        <v>51</v>
      </c>
      <c r="I853">
        <v>537</v>
      </c>
      <c r="J853">
        <v>309</v>
      </c>
      <c r="K853" s="1">
        <v>45870</v>
      </c>
      <c r="L853" t="s">
        <v>429</v>
      </c>
      <c r="M853" t="s">
        <v>427</v>
      </c>
      <c r="N853" s="2">
        <f>IFERROR(NHS_A_E[[#This Row],[T1_Over4hrs]]/NHS_A_E[[#This Row],[T1_Attendances]], 0)</f>
        <v>0.39738677669712152</v>
      </c>
      <c r="O853">
        <f>NHS_A_E[[#This Row],[T1_Attendances]]+NHS_A_E[[#This Row],[Other_Attendances]]</f>
        <v>15627</v>
      </c>
      <c r="P853">
        <f>MATCH(LEFT(A853,FIND("-",A853)-1),{"April","May","June","July","August","September","October","November","December","January","February","March"},0)</f>
        <v>5</v>
      </c>
      <c r="Q853" s="3">
        <f t="shared" si="26"/>
        <v>3.0356616563513114E-2</v>
      </c>
      <c r="R853" t="str">
        <f t="shared" si="27"/>
        <v>August</v>
      </c>
    </row>
    <row r="854" spans="1:18" x14ac:dyDescent="0.35">
      <c r="A854" t="s">
        <v>433</v>
      </c>
      <c r="B854" t="s">
        <v>105</v>
      </c>
      <c r="C854" t="s">
        <v>15</v>
      </c>
      <c r="D854" t="s">
        <v>106</v>
      </c>
      <c r="E854">
        <v>11290</v>
      </c>
      <c r="F854">
        <v>0</v>
      </c>
      <c r="G854">
        <v>3822</v>
      </c>
      <c r="H854">
        <v>0</v>
      </c>
      <c r="I854">
        <v>271</v>
      </c>
      <c r="J854">
        <v>14</v>
      </c>
      <c r="K854" s="1">
        <v>45870</v>
      </c>
      <c r="L854" t="s">
        <v>429</v>
      </c>
      <c r="M854" t="s">
        <v>427</v>
      </c>
      <c r="N854" s="2">
        <f>IFERROR(NHS_A_E[[#This Row],[T1_Over4hrs]]/NHS_A_E[[#This Row],[T1_Attendances]], 0)</f>
        <v>0.33852967227635078</v>
      </c>
      <c r="O854">
        <f>NHS_A_E[[#This Row],[T1_Attendances]]+NHS_A_E[[#This Row],[Other_Attendances]]</f>
        <v>11290</v>
      </c>
      <c r="P854">
        <f>MATCH(LEFT(A854,FIND("-",A854)-1),{"April","May","June","July","August","September","October","November","December","January","February","March"},0)</f>
        <v>5</v>
      </c>
      <c r="Q854" s="3">
        <f t="shared" si="26"/>
        <v>1.2400354295837024E-3</v>
      </c>
      <c r="R854" t="str">
        <f t="shared" si="27"/>
        <v>August</v>
      </c>
    </row>
    <row r="855" spans="1:18" x14ac:dyDescent="0.35">
      <c r="A855" t="s">
        <v>433</v>
      </c>
      <c r="B855" t="s">
        <v>155</v>
      </c>
      <c r="C855" t="s">
        <v>15</v>
      </c>
      <c r="D855" t="s">
        <v>156</v>
      </c>
      <c r="E855">
        <v>10133</v>
      </c>
      <c r="F855">
        <v>2836</v>
      </c>
      <c r="G855">
        <v>3508</v>
      </c>
      <c r="H855">
        <v>0</v>
      </c>
      <c r="I855">
        <v>377</v>
      </c>
      <c r="J855">
        <v>1</v>
      </c>
      <c r="K855" s="1">
        <v>45870</v>
      </c>
      <c r="L855" t="s">
        <v>429</v>
      </c>
      <c r="M855" t="s">
        <v>427</v>
      </c>
      <c r="N855" s="2">
        <f>IFERROR(NHS_A_E[[#This Row],[T1_Over4hrs]]/NHS_A_E[[#This Row],[T1_Attendances]], 0)</f>
        <v>0.34619559853942566</v>
      </c>
      <c r="O855">
        <f>NHS_A_E[[#This Row],[T1_Attendances]]+NHS_A_E[[#This Row],[Other_Attendances]]</f>
        <v>12969</v>
      </c>
      <c r="P855">
        <f>MATCH(LEFT(A855,FIND("-",A855)-1),{"April","May","June","July","August","September","October","November","December","January","February","March"},0)</f>
        <v>5</v>
      </c>
      <c r="Q855" s="3">
        <f t="shared" si="26"/>
        <v>9.8687456824237644E-5</v>
      </c>
      <c r="R855" t="str">
        <f t="shared" si="27"/>
        <v>August</v>
      </c>
    </row>
    <row r="856" spans="1:18" x14ac:dyDescent="0.35">
      <c r="A856" t="s">
        <v>433</v>
      </c>
      <c r="B856" t="s">
        <v>42</v>
      </c>
      <c r="C856" t="s">
        <v>40</v>
      </c>
      <c r="D856" t="s">
        <v>43</v>
      </c>
      <c r="E856">
        <v>10497</v>
      </c>
      <c r="F856">
        <v>5389</v>
      </c>
      <c r="G856">
        <v>4638</v>
      </c>
      <c r="H856">
        <v>306</v>
      </c>
      <c r="I856">
        <v>704</v>
      </c>
      <c r="J856">
        <v>346</v>
      </c>
      <c r="K856" s="1">
        <v>45870</v>
      </c>
      <c r="L856" t="s">
        <v>429</v>
      </c>
      <c r="M856" t="s">
        <v>427</v>
      </c>
      <c r="N856" s="2">
        <f>IFERROR(NHS_A_E[[#This Row],[T1_Over4hrs]]/NHS_A_E[[#This Row],[T1_Attendances]], 0)</f>
        <v>0.44184052586453271</v>
      </c>
      <c r="O856">
        <f>NHS_A_E[[#This Row],[T1_Attendances]]+NHS_A_E[[#This Row],[Other_Attendances]]</f>
        <v>15886</v>
      </c>
      <c r="P856">
        <f>MATCH(LEFT(A856,FIND("-",A856)-1),{"April","May","June","July","August","September","October","November","December","January","February","March"},0)</f>
        <v>5</v>
      </c>
      <c r="Q856" s="3">
        <f t="shared" si="26"/>
        <v>3.2961798609126416E-2</v>
      </c>
      <c r="R856" t="str">
        <f t="shared" si="27"/>
        <v>August</v>
      </c>
    </row>
    <row r="857" spans="1:18" x14ac:dyDescent="0.35">
      <c r="A857" t="s">
        <v>433</v>
      </c>
      <c r="B857" t="s">
        <v>361</v>
      </c>
      <c r="C857" t="s">
        <v>40</v>
      </c>
      <c r="D857" t="s">
        <v>362</v>
      </c>
      <c r="E857">
        <v>9509</v>
      </c>
      <c r="F857">
        <v>7752</v>
      </c>
      <c r="G857">
        <v>3416</v>
      </c>
      <c r="H857">
        <v>79</v>
      </c>
      <c r="I857">
        <v>532</v>
      </c>
      <c r="J857">
        <v>626</v>
      </c>
      <c r="K857" s="1">
        <v>45870</v>
      </c>
      <c r="L857" t="s">
        <v>429</v>
      </c>
      <c r="M857" t="s">
        <v>427</v>
      </c>
      <c r="N857" s="2">
        <f>IFERROR(NHS_A_E[[#This Row],[T1_Over4hrs]]/NHS_A_E[[#This Row],[T1_Attendances]], 0)</f>
        <v>0.3592386160479546</v>
      </c>
      <c r="O857">
        <f>NHS_A_E[[#This Row],[T1_Attendances]]+NHS_A_E[[#This Row],[Other_Attendances]]</f>
        <v>17261</v>
      </c>
      <c r="P857">
        <f>MATCH(LEFT(A857,FIND("-",A857)-1),{"April","May","June","July","August","September","October","November","December","January","February","March"},0)</f>
        <v>5</v>
      </c>
      <c r="Q857" s="3">
        <f t="shared" si="26"/>
        <v>6.5832369334314855E-2</v>
      </c>
      <c r="R857" t="str">
        <f t="shared" si="27"/>
        <v>August</v>
      </c>
    </row>
    <row r="858" spans="1:18" x14ac:dyDescent="0.35">
      <c r="A858" t="s">
        <v>433</v>
      </c>
      <c r="B858" t="s">
        <v>171</v>
      </c>
      <c r="C858" t="s">
        <v>35</v>
      </c>
      <c r="D858" t="s">
        <v>172</v>
      </c>
      <c r="E858">
        <v>10186</v>
      </c>
      <c r="F858">
        <v>2468</v>
      </c>
      <c r="G858">
        <v>2878</v>
      </c>
      <c r="H858">
        <v>197</v>
      </c>
      <c r="I858">
        <v>930</v>
      </c>
      <c r="J858">
        <v>642</v>
      </c>
      <c r="K858" s="1">
        <v>45870</v>
      </c>
      <c r="L858" t="s">
        <v>429</v>
      </c>
      <c r="M858" t="s">
        <v>427</v>
      </c>
      <c r="N858" s="2">
        <f>IFERROR(NHS_A_E[[#This Row],[T1_Over4hrs]]/NHS_A_E[[#This Row],[T1_Attendances]], 0)</f>
        <v>0.28254466915374044</v>
      </c>
      <c r="O858">
        <f>NHS_A_E[[#This Row],[T1_Attendances]]+NHS_A_E[[#This Row],[Other_Attendances]]</f>
        <v>12654</v>
      </c>
      <c r="P858">
        <f>MATCH(LEFT(A858,FIND("-",A858)-1),{"April","May","June","July","August","September","October","November","December","January","February","March"},0)</f>
        <v>5</v>
      </c>
      <c r="Q858" s="3">
        <f t="shared" si="26"/>
        <v>6.3027685057922639E-2</v>
      </c>
      <c r="R858" t="str">
        <f t="shared" si="27"/>
        <v>August</v>
      </c>
    </row>
    <row r="859" spans="1:18" x14ac:dyDescent="0.35">
      <c r="A859" t="s">
        <v>433</v>
      </c>
      <c r="B859" t="s">
        <v>153</v>
      </c>
      <c r="C859" t="s">
        <v>30</v>
      </c>
      <c r="D859" t="s">
        <v>154</v>
      </c>
      <c r="E859">
        <v>11574</v>
      </c>
      <c r="F859">
        <v>3051</v>
      </c>
      <c r="G859">
        <v>4473</v>
      </c>
      <c r="H859">
        <v>81</v>
      </c>
      <c r="I859">
        <v>1048</v>
      </c>
      <c r="J859">
        <v>410</v>
      </c>
      <c r="K859" s="1">
        <v>45870</v>
      </c>
      <c r="L859" t="s">
        <v>429</v>
      </c>
      <c r="M859" t="s">
        <v>427</v>
      </c>
      <c r="N859" s="2">
        <f>IFERROR(NHS_A_E[[#This Row],[T1_Over4hrs]]/NHS_A_E[[#This Row],[T1_Attendances]], 0)</f>
        <v>0.38646967340590982</v>
      </c>
      <c r="O859">
        <f>NHS_A_E[[#This Row],[T1_Attendances]]+NHS_A_E[[#This Row],[Other_Attendances]]</f>
        <v>14625</v>
      </c>
      <c r="P859">
        <f>MATCH(LEFT(A859,FIND("-",A859)-1),{"April","May","June","July","August","September","October","November","December","January","February","March"},0)</f>
        <v>5</v>
      </c>
      <c r="Q859" s="3">
        <f t="shared" si="26"/>
        <v>3.5424226715050973E-2</v>
      </c>
      <c r="R859" t="str">
        <f t="shared" si="27"/>
        <v>August</v>
      </c>
    </row>
    <row r="860" spans="1:18" x14ac:dyDescent="0.35">
      <c r="A860" t="s">
        <v>433</v>
      </c>
      <c r="B860" t="s">
        <v>119</v>
      </c>
      <c r="C860" t="s">
        <v>15</v>
      </c>
      <c r="D860" t="s">
        <v>120</v>
      </c>
      <c r="E860">
        <v>10063</v>
      </c>
      <c r="F860">
        <v>3030</v>
      </c>
      <c r="G860">
        <v>2802</v>
      </c>
      <c r="H860">
        <v>58</v>
      </c>
      <c r="I860">
        <v>189</v>
      </c>
      <c r="J860">
        <v>261</v>
      </c>
      <c r="K860" s="1">
        <v>45870</v>
      </c>
      <c r="L860" t="s">
        <v>429</v>
      </c>
      <c r="M860" t="s">
        <v>427</v>
      </c>
      <c r="N860" s="2">
        <f>IFERROR(NHS_A_E[[#This Row],[T1_Over4hrs]]/NHS_A_E[[#This Row],[T1_Attendances]], 0)</f>
        <v>0.27844579151346516</v>
      </c>
      <c r="O860">
        <f>NHS_A_E[[#This Row],[T1_Attendances]]+NHS_A_E[[#This Row],[Other_Attendances]]</f>
        <v>13093</v>
      </c>
      <c r="P860">
        <f>MATCH(LEFT(A860,FIND("-",A860)-1),{"April","May","June","July","August","September","October","November","December","January","February","March"},0)</f>
        <v>5</v>
      </c>
      <c r="Q860" s="3">
        <f t="shared" si="26"/>
        <v>2.5936599423631124E-2</v>
      </c>
      <c r="R860" t="str">
        <f t="shared" si="27"/>
        <v>August</v>
      </c>
    </row>
    <row r="861" spans="1:18" x14ac:dyDescent="0.35">
      <c r="A861" t="s">
        <v>433</v>
      </c>
      <c r="B861" t="s">
        <v>359</v>
      </c>
      <c r="C861" t="s">
        <v>40</v>
      </c>
      <c r="D861" t="s">
        <v>360</v>
      </c>
      <c r="E861">
        <v>9641</v>
      </c>
      <c r="F861">
        <v>3598</v>
      </c>
      <c r="G861">
        <v>3211</v>
      </c>
      <c r="H861">
        <v>51</v>
      </c>
      <c r="I861">
        <v>1812</v>
      </c>
      <c r="J861">
        <v>78</v>
      </c>
      <c r="K861" s="1">
        <v>45870</v>
      </c>
      <c r="L861" t="s">
        <v>429</v>
      </c>
      <c r="M861" t="s">
        <v>427</v>
      </c>
      <c r="N861" s="2">
        <f>IFERROR(NHS_A_E[[#This Row],[T1_Over4hrs]]/NHS_A_E[[#This Row],[T1_Attendances]], 0)</f>
        <v>0.33305673685302356</v>
      </c>
      <c r="O861">
        <f>NHS_A_E[[#This Row],[T1_Attendances]]+NHS_A_E[[#This Row],[Other_Attendances]]</f>
        <v>13239</v>
      </c>
      <c r="P861">
        <f>MATCH(LEFT(A861,FIND("-",A861)-1),{"April","May","June","July","August","September","October","November","December","January","February","March"},0)</f>
        <v>5</v>
      </c>
      <c r="Q861" s="3">
        <f t="shared" si="26"/>
        <v>8.0904470490613008E-3</v>
      </c>
      <c r="R861" t="str">
        <f t="shared" si="27"/>
        <v>August</v>
      </c>
    </row>
    <row r="862" spans="1:18" x14ac:dyDescent="0.35">
      <c r="A862" t="s">
        <v>433</v>
      </c>
      <c r="B862" t="s">
        <v>52</v>
      </c>
      <c r="C862" t="s">
        <v>40</v>
      </c>
      <c r="D862" t="s">
        <v>53</v>
      </c>
      <c r="E862">
        <v>9943</v>
      </c>
      <c r="F862">
        <v>1700</v>
      </c>
      <c r="G862">
        <v>4224</v>
      </c>
      <c r="H862">
        <v>84</v>
      </c>
      <c r="I862">
        <v>558</v>
      </c>
      <c r="J862">
        <v>667</v>
      </c>
      <c r="K862" s="1">
        <v>45870</v>
      </c>
      <c r="L862" t="s">
        <v>429</v>
      </c>
      <c r="M862" t="s">
        <v>427</v>
      </c>
      <c r="N862" s="2">
        <f>IFERROR(NHS_A_E[[#This Row],[T1_Over4hrs]]/NHS_A_E[[#This Row],[T1_Attendances]], 0)</f>
        <v>0.42482148244996482</v>
      </c>
      <c r="O862">
        <f>NHS_A_E[[#This Row],[T1_Attendances]]+NHS_A_E[[#This Row],[Other_Attendances]]</f>
        <v>11643</v>
      </c>
      <c r="P862">
        <f>MATCH(LEFT(A862,FIND("-",A862)-1),{"April","May","June","July","August","September","October","November","December","January","February","March"},0)</f>
        <v>5</v>
      </c>
      <c r="Q862" s="3">
        <f t="shared" si="26"/>
        <v>6.7082369506185249E-2</v>
      </c>
      <c r="R862" t="str">
        <f t="shared" si="27"/>
        <v>August</v>
      </c>
    </row>
    <row r="863" spans="1:18" x14ac:dyDescent="0.35">
      <c r="A863" t="s">
        <v>433</v>
      </c>
      <c r="B863" t="s">
        <v>387</v>
      </c>
      <c r="C863" t="s">
        <v>35</v>
      </c>
      <c r="D863" t="s">
        <v>388</v>
      </c>
      <c r="E863">
        <v>0</v>
      </c>
      <c r="F863">
        <v>1827</v>
      </c>
      <c r="G863">
        <v>0</v>
      </c>
      <c r="H863">
        <v>87</v>
      </c>
      <c r="I863">
        <v>0</v>
      </c>
      <c r="J863">
        <v>0</v>
      </c>
      <c r="K863" s="1">
        <v>45870</v>
      </c>
      <c r="L863" t="s">
        <v>429</v>
      </c>
      <c r="M863" t="s">
        <v>427</v>
      </c>
      <c r="N863" s="2">
        <f>IFERROR(NHS_A_E[[#This Row],[T1_Over4hrs]]/NHS_A_E[[#This Row],[T1_Attendances]], 0)</f>
        <v>0</v>
      </c>
      <c r="O863">
        <f>NHS_A_E[[#This Row],[T1_Attendances]]+NHS_A_E[[#This Row],[Other_Attendances]]</f>
        <v>1827</v>
      </c>
      <c r="P863">
        <f>MATCH(LEFT(A863,FIND("-",A863)-1),{"April","May","June","July","August","September","October","November","December","January","February","March"},0)</f>
        <v>5</v>
      </c>
      <c r="Q863" s="3">
        <f t="shared" si="26"/>
        <v>0</v>
      </c>
      <c r="R863" t="str">
        <f t="shared" si="27"/>
        <v>August</v>
      </c>
    </row>
    <row r="864" spans="1:18" x14ac:dyDescent="0.35">
      <c r="A864" t="s">
        <v>433</v>
      </c>
      <c r="B864" t="s">
        <v>417</v>
      </c>
      <c r="C864" t="s">
        <v>63</v>
      </c>
      <c r="D864" t="s">
        <v>418</v>
      </c>
      <c r="E864">
        <v>8627</v>
      </c>
      <c r="F864">
        <v>2024</v>
      </c>
      <c r="G864">
        <v>3510</v>
      </c>
      <c r="H864">
        <v>55</v>
      </c>
      <c r="I864">
        <v>441</v>
      </c>
      <c r="J864">
        <v>309</v>
      </c>
      <c r="K864" s="1">
        <v>45870</v>
      </c>
      <c r="L864" t="s">
        <v>429</v>
      </c>
      <c r="M864" t="s">
        <v>427</v>
      </c>
      <c r="N864" s="2">
        <f>IFERROR(NHS_A_E[[#This Row],[T1_Over4hrs]]/NHS_A_E[[#This Row],[T1_Attendances]], 0)</f>
        <v>0.40686217688651904</v>
      </c>
      <c r="O864">
        <f>NHS_A_E[[#This Row],[T1_Attendances]]+NHS_A_E[[#This Row],[Other_Attendances]]</f>
        <v>10651</v>
      </c>
      <c r="P864">
        <f>MATCH(LEFT(A864,FIND("-",A864)-1),{"April","May","June","July","August","September","October","November","December","January","February","March"},0)</f>
        <v>5</v>
      </c>
      <c r="Q864" s="3">
        <f t="shared" si="26"/>
        <v>3.5817781384026894E-2</v>
      </c>
      <c r="R864" t="str">
        <f t="shared" si="27"/>
        <v>August</v>
      </c>
    </row>
    <row r="865" spans="1:18" x14ac:dyDescent="0.35">
      <c r="A865" t="s">
        <v>433</v>
      </c>
      <c r="B865" t="s">
        <v>83</v>
      </c>
      <c r="C865" t="s">
        <v>35</v>
      </c>
      <c r="D865" t="s">
        <v>84</v>
      </c>
      <c r="E865">
        <v>13561</v>
      </c>
      <c r="F865">
        <v>14231</v>
      </c>
      <c r="G865">
        <v>6568</v>
      </c>
      <c r="H865">
        <v>189</v>
      </c>
      <c r="I865">
        <v>621</v>
      </c>
      <c r="J865">
        <v>517</v>
      </c>
      <c r="K865" s="1">
        <v>45870</v>
      </c>
      <c r="L865" t="s">
        <v>429</v>
      </c>
      <c r="M865" t="s">
        <v>427</v>
      </c>
      <c r="N865" s="2">
        <f>IFERROR(NHS_A_E[[#This Row],[T1_Over4hrs]]/NHS_A_E[[#This Row],[T1_Attendances]], 0)</f>
        <v>0.48433006415456087</v>
      </c>
      <c r="O865">
        <f>NHS_A_E[[#This Row],[T1_Attendances]]+NHS_A_E[[#This Row],[Other_Attendances]]</f>
        <v>27792</v>
      </c>
      <c r="P865">
        <f>MATCH(LEFT(A865,FIND("-",A865)-1),{"April","May","June","July","August","September","October","November","December","January","February","March"},0)</f>
        <v>5</v>
      </c>
      <c r="Q865" s="3">
        <f t="shared" si="26"/>
        <v>3.8124032151021309E-2</v>
      </c>
      <c r="R865" t="str">
        <f t="shared" si="27"/>
        <v>August</v>
      </c>
    </row>
    <row r="866" spans="1:18" x14ac:dyDescent="0.35">
      <c r="A866" t="s">
        <v>433</v>
      </c>
      <c r="B866" t="s">
        <v>211</v>
      </c>
      <c r="C866" t="s">
        <v>30</v>
      </c>
      <c r="D866" t="s">
        <v>212</v>
      </c>
      <c r="E866">
        <v>7825</v>
      </c>
      <c r="F866">
        <v>2889</v>
      </c>
      <c r="G866">
        <v>4186</v>
      </c>
      <c r="H866">
        <v>96</v>
      </c>
      <c r="I866">
        <v>711</v>
      </c>
      <c r="J866">
        <v>450</v>
      </c>
      <c r="K866" s="1">
        <v>45870</v>
      </c>
      <c r="L866" t="s">
        <v>429</v>
      </c>
      <c r="M866" t="s">
        <v>427</v>
      </c>
      <c r="N866" s="2">
        <f>IFERROR(NHS_A_E[[#This Row],[T1_Over4hrs]]/NHS_A_E[[#This Row],[T1_Attendances]], 0)</f>
        <v>0.53495207667731626</v>
      </c>
      <c r="O866">
        <f>NHS_A_E[[#This Row],[T1_Attendances]]+NHS_A_E[[#This Row],[Other_Attendances]]</f>
        <v>10714</v>
      </c>
      <c r="P866">
        <f>MATCH(LEFT(A866,FIND("-",A866)-1),{"April","May","June","July","August","September","October","November","December","January","February","March"},0)</f>
        <v>5</v>
      </c>
      <c r="Q866" s="3">
        <f t="shared" si="26"/>
        <v>5.7507987220447282E-2</v>
      </c>
      <c r="R866" t="str">
        <f t="shared" si="27"/>
        <v>August</v>
      </c>
    </row>
    <row r="867" spans="1:18" x14ac:dyDescent="0.35">
      <c r="A867" t="s">
        <v>433</v>
      </c>
      <c r="B867" t="s">
        <v>125</v>
      </c>
      <c r="C867" t="s">
        <v>35</v>
      </c>
      <c r="D867" t="s">
        <v>126</v>
      </c>
      <c r="E867">
        <v>0</v>
      </c>
      <c r="F867">
        <v>11651</v>
      </c>
      <c r="G867">
        <v>0</v>
      </c>
      <c r="H867">
        <v>123</v>
      </c>
      <c r="I867">
        <v>0</v>
      </c>
      <c r="J867">
        <v>0</v>
      </c>
      <c r="K867" s="1">
        <v>45870</v>
      </c>
      <c r="L867" t="s">
        <v>429</v>
      </c>
      <c r="M867" t="s">
        <v>427</v>
      </c>
      <c r="N867" s="2">
        <f>IFERROR(NHS_A_E[[#This Row],[T1_Over4hrs]]/NHS_A_E[[#This Row],[T1_Attendances]], 0)</f>
        <v>0</v>
      </c>
      <c r="O867">
        <f>NHS_A_E[[#This Row],[T1_Attendances]]+NHS_A_E[[#This Row],[Other_Attendances]]</f>
        <v>11651</v>
      </c>
      <c r="P867">
        <f>MATCH(LEFT(A867,FIND("-",A867)-1),{"April","May","June","July","August","September","October","November","December","January","February","March"},0)</f>
        <v>5</v>
      </c>
      <c r="Q867" s="3">
        <f t="shared" si="26"/>
        <v>0</v>
      </c>
      <c r="R867" t="str">
        <f t="shared" si="27"/>
        <v>August</v>
      </c>
    </row>
    <row r="868" spans="1:18" x14ac:dyDescent="0.35">
      <c r="A868" t="s">
        <v>433</v>
      </c>
      <c r="B868" t="s">
        <v>131</v>
      </c>
      <c r="C868" t="s">
        <v>40</v>
      </c>
      <c r="D868" t="s">
        <v>132</v>
      </c>
      <c r="E868">
        <v>17915</v>
      </c>
      <c r="F868">
        <v>9428</v>
      </c>
      <c r="G868">
        <v>8093</v>
      </c>
      <c r="H868">
        <v>1</v>
      </c>
      <c r="I868">
        <v>979</v>
      </c>
      <c r="J868">
        <v>521</v>
      </c>
      <c r="K868" s="1">
        <v>45870</v>
      </c>
      <c r="L868" t="s">
        <v>429</v>
      </c>
      <c r="M868" t="s">
        <v>427</v>
      </c>
      <c r="N868" s="2">
        <f>IFERROR(NHS_A_E[[#This Row],[T1_Over4hrs]]/NHS_A_E[[#This Row],[T1_Attendances]], 0)</f>
        <v>0.45174434831147081</v>
      </c>
      <c r="O868">
        <f>NHS_A_E[[#This Row],[T1_Attendances]]+NHS_A_E[[#This Row],[Other_Attendances]]</f>
        <v>27343</v>
      </c>
      <c r="P868">
        <f>MATCH(LEFT(A868,FIND("-",A868)-1),{"April","May","June","July","August","September","October","November","December","January","February","March"},0)</f>
        <v>5</v>
      </c>
      <c r="Q868" s="3">
        <f t="shared" si="26"/>
        <v>2.9081775048841754E-2</v>
      </c>
      <c r="R868" t="str">
        <f t="shared" si="27"/>
        <v>August</v>
      </c>
    </row>
    <row r="869" spans="1:18" x14ac:dyDescent="0.35">
      <c r="A869" t="s">
        <v>433</v>
      </c>
      <c r="B869" t="s">
        <v>149</v>
      </c>
      <c r="C869" t="s">
        <v>15</v>
      </c>
      <c r="D869" t="s">
        <v>150</v>
      </c>
      <c r="E869">
        <v>10329</v>
      </c>
      <c r="F869">
        <v>2870</v>
      </c>
      <c r="G869">
        <v>4125</v>
      </c>
      <c r="H869">
        <v>19</v>
      </c>
      <c r="I869">
        <v>900</v>
      </c>
      <c r="J869">
        <v>933</v>
      </c>
      <c r="K869" s="1">
        <v>45870</v>
      </c>
      <c r="L869" t="s">
        <v>429</v>
      </c>
      <c r="M869" t="s">
        <v>427</v>
      </c>
      <c r="N869" s="2">
        <f>IFERROR(NHS_A_E[[#This Row],[T1_Over4hrs]]/NHS_A_E[[#This Row],[T1_Attendances]], 0)</f>
        <v>0.39936102236421728</v>
      </c>
      <c r="O869">
        <f>NHS_A_E[[#This Row],[T1_Attendances]]+NHS_A_E[[#This Row],[Other_Attendances]]</f>
        <v>13199</v>
      </c>
      <c r="P869">
        <f>MATCH(LEFT(A869,FIND("-",A869)-1),{"April","May","June","July","August","September","October","November","December","January","February","March"},0)</f>
        <v>5</v>
      </c>
      <c r="Q869" s="3">
        <f t="shared" si="26"/>
        <v>9.0328202149288411E-2</v>
      </c>
      <c r="R869" t="str">
        <f t="shared" si="27"/>
        <v>August</v>
      </c>
    </row>
    <row r="870" spans="1:18" x14ac:dyDescent="0.35">
      <c r="A870" t="s">
        <v>433</v>
      </c>
      <c r="B870" t="s">
        <v>151</v>
      </c>
      <c r="C870" t="s">
        <v>30</v>
      </c>
      <c r="D870" t="s">
        <v>152</v>
      </c>
      <c r="E870">
        <v>25001</v>
      </c>
      <c r="F870">
        <v>9576</v>
      </c>
      <c r="G870">
        <v>9353</v>
      </c>
      <c r="H870">
        <v>245</v>
      </c>
      <c r="I870">
        <v>1063</v>
      </c>
      <c r="J870">
        <v>958</v>
      </c>
      <c r="K870" s="1">
        <v>45870</v>
      </c>
      <c r="L870" t="s">
        <v>429</v>
      </c>
      <c r="M870" t="s">
        <v>427</v>
      </c>
      <c r="N870" s="2">
        <f>IFERROR(NHS_A_E[[#This Row],[T1_Over4hrs]]/NHS_A_E[[#This Row],[T1_Attendances]], 0)</f>
        <v>0.37410503579856808</v>
      </c>
      <c r="O870">
        <f>NHS_A_E[[#This Row],[T1_Attendances]]+NHS_A_E[[#This Row],[Other_Attendances]]</f>
        <v>34577</v>
      </c>
      <c r="P870">
        <f>MATCH(LEFT(A870,FIND("-",A870)-1),{"April","May","June","July","August","September","October","November","December","January","February","March"},0)</f>
        <v>5</v>
      </c>
      <c r="Q870" s="3">
        <f t="shared" si="26"/>
        <v>3.8318467261309545E-2</v>
      </c>
      <c r="R870" t="str">
        <f t="shared" si="27"/>
        <v>August</v>
      </c>
    </row>
    <row r="871" spans="1:18" x14ac:dyDescent="0.35">
      <c r="A871" t="s">
        <v>433</v>
      </c>
      <c r="B871" t="s">
        <v>223</v>
      </c>
      <c r="C871" t="s">
        <v>15</v>
      </c>
      <c r="D871" t="s">
        <v>224</v>
      </c>
      <c r="E871">
        <v>11803</v>
      </c>
      <c r="F871">
        <v>3273</v>
      </c>
      <c r="G871">
        <v>3313</v>
      </c>
      <c r="H871">
        <v>99</v>
      </c>
      <c r="I871">
        <v>411</v>
      </c>
      <c r="J871">
        <v>0</v>
      </c>
      <c r="K871" s="1">
        <v>45870</v>
      </c>
      <c r="L871" t="s">
        <v>429</v>
      </c>
      <c r="M871" t="s">
        <v>427</v>
      </c>
      <c r="N871" s="2">
        <f>IFERROR(NHS_A_E[[#This Row],[T1_Over4hrs]]/NHS_A_E[[#This Row],[T1_Attendances]], 0)</f>
        <v>0.28069134965686687</v>
      </c>
      <c r="O871">
        <f>NHS_A_E[[#This Row],[T1_Attendances]]+NHS_A_E[[#This Row],[Other_Attendances]]</f>
        <v>15076</v>
      </c>
      <c r="P871">
        <f>MATCH(LEFT(A871,FIND("-",A871)-1),{"April","May","June","July","August","September","October","November","December","January","February","March"},0)</f>
        <v>5</v>
      </c>
      <c r="Q871" s="3">
        <f t="shared" si="26"/>
        <v>0</v>
      </c>
      <c r="R871" t="str">
        <f t="shared" si="27"/>
        <v>August</v>
      </c>
    </row>
    <row r="872" spans="1:18" x14ac:dyDescent="0.35">
      <c r="A872" t="s">
        <v>433</v>
      </c>
      <c r="B872" t="s">
        <v>165</v>
      </c>
      <c r="C872" t="s">
        <v>63</v>
      </c>
      <c r="D872" t="s">
        <v>166</v>
      </c>
      <c r="E872">
        <v>11603</v>
      </c>
      <c r="F872">
        <v>5845</v>
      </c>
      <c r="G872">
        <v>4166</v>
      </c>
      <c r="H872">
        <v>0</v>
      </c>
      <c r="I872">
        <v>356</v>
      </c>
      <c r="J872">
        <v>41</v>
      </c>
      <c r="K872" s="1">
        <v>45870</v>
      </c>
      <c r="L872" t="s">
        <v>429</v>
      </c>
      <c r="M872" t="s">
        <v>427</v>
      </c>
      <c r="N872" s="2">
        <f>IFERROR(NHS_A_E[[#This Row],[T1_Over4hrs]]/NHS_A_E[[#This Row],[T1_Attendances]], 0)</f>
        <v>0.35904507454968543</v>
      </c>
      <c r="O872">
        <f>NHS_A_E[[#This Row],[T1_Attendances]]+NHS_A_E[[#This Row],[Other_Attendances]]</f>
        <v>17448</v>
      </c>
      <c r="P872">
        <f>MATCH(LEFT(A872,FIND("-",A872)-1),{"April","May","June","July","August","September","October","November","December","January","February","March"},0)</f>
        <v>5</v>
      </c>
      <c r="Q872" s="3">
        <f t="shared" si="26"/>
        <v>3.5335689045936395E-3</v>
      </c>
      <c r="R872" t="str">
        <f t="shared" si="27"/>
        <v>August</v>
      </c>
    </row>
    <row r="873" spans="1:18" x14ac:dyDescent="0.35">
      <c r="A873" t="s">
        <v>433</v>
      </c>
      <c r="B873" t="s">
        <v>22</v>
      </c>
      <c r="C873" t="s">
        <v>23</v>
      </c>
      <c r="D873" t="s">
        <v>24</v>
      </c>
      <c r="E873">
        <v>12119</v>
      </c>
      <c r="F873">
        <v>13420</v>
      </c>
      <c r="G873">
        <v>5908</v>
      </c>
      <c r="H873">
        <v>502</v>
      </c>
      <c r="I873">
        <v>886</v>
      </c>
      <c r="J873">
        <v>356</v>
      </c>
      <c r="K873" s="1">
        <v>45870</v>
      </c>
      <c r="L873" t="s">
        <v>429</v>
      </c>
      <c r="M873" t="s">
        <v>427</v>
      </c>
      <c r="N873" s="2">
        <f>IFERROR(NHS_A_E[[#This Row],[T1_Over4hrs]]/NHS_A_E[[#This Row],[T1_Attendances]], 0)</f>
        <v>0.4874989685617625</v>
      </c>
      <c r="O873">
        <f>NHS_A_E[[#This Row],[T1_Attendances]]+NHS_A_E[[#This Row],[Other_Attendances]]</f>
        <v>25539</v>
      </c>
      <c r="P873">
        <f>MATCH(LEFT(A873,FIND("-",A873)-1),{"April","May","June","July","August","September","October","November","December","January","February","March"},0)</f>
        <v>5</v>
      </c>
      <c r="Q873" s="3">
        <f t="shared" si="26"/>
        <v>2.9375361003383116E-2</v>
      </c>
      <c r="R873" t="str">
        <f t="shared" si="27"/>
        <v>August</v>
      </c>
    </row>
    <row r="874" spans="1:18" x14ac:dyDescent="0.35">
      <c r="A874" t="s">
        <v>433</v>
      </c>
      <c r="B874" t="s">
        <v>48</v>
      </c>
      <c r="C874" t="s">
        <v>40</v>
      </c>
      <c r="D874" t="s">
        <v>49</v>
      </c>
      <c r="E874">
        <v>6371</v>
      </c>
      <c r="F874">
        <v>1621</v>
      </c>
      <c r="G874">
        <v>2175</v>
      </c>
      <c r="H874">
        <v>49</v>
      </c>
      <c r="I874">
        <v>269</v>
      </c>
      <c r="J874">
        <v>441</v>
      </c>
      <c r="K874" s="1">
        <v>45870</v>
      </c>
      <c r="L874" t="s">
        <v>429</v>
      </c>
      <c r="M874" t="s">
        <v>427</v>
      </c>
      <c r="N874" s="2">
        <f>IFERROR(NHS_A_E[[#This Row],[T1_Over4hrs]]/NHS_A_E[[#This Row],[T1_Attendances]], 0)</f>
        <v>0.34139067650290378</v>
      </c>
      <c r="O874">
        <f>NHS_A_E[[#This Row],[T1_Attendances]]+NHS_A_E[[#This Row],[Other_Attendances]]</f>
        <v>7992</v>
      </c>
      <c r="P874">
        <f>MATCH(LEFT(A874,FIND("-",A874)-1),{"April","May","June","July","August","September","October","November","December","January","February","March"},0)</f>
        <v>5</v>
      </c>
      <c r="Q874" s="3">
        <f t="shared" si="26"/>
        <v>6.9219902684037049E-2</v>
      </c>
      <c r="R874" t="str">
        <f t="shared" si="27"/>
        <v>August</v>
      </c>
    </row>
    <row r="875" spans="1:18" x14ac:dyDescent="0.35">
      <c r="A875" t="s">
        <v>433</v>
      </c>
      <c r="B875" t="s">
        <v>251</v>
      </c>
      <c r="C875" t="s">
        <v>35</v>
      </c>
      <c r="D875" t="s">
        <v>252</v>
      </c>
      <c r="E875">
        <v>6570</v>
      </c>
      <c r="F875">
        <v>8123</v>
      </c>
      <c r="G875">
        <v>3420</v>
      </c>
      <c r="H875">
        <v>267</v>
      </c>
      <c r="I875">
        <v>288</v>
      </c>
      <c r="J875">
        <v>222</v>
      </c>
      <c r="K875" s="1">
        <v>45870</v>
      </c>
      <c r="L875" t="s">
        <v>429</v>
      </c>
      <c r="M875" t="s">
        <v>427</v>
      </c>
      <c r="N875" s="2">
        <f>IFERROR(NHS_A_E[[#This Row],[T1_Over4hrs]]/NHS_A_E[[#This Row],[T1_Attendances]], 0)</f>
        <v>0.52054794520547942</v>
      </c>
      <c r="O875">
        <f>NHS_A_E[[#This Row],[T1_Attendances]]+NHS_A_E[[#This Row],[Other_Attendances]]</f>
        <v>14693</v>
      </c>
      <c r="P875">
        <f>MATCH(LEFT(A875,FIND("-",A875)-1),{"April","May","June","July","August","September","October","November","December","January","February","March"},0)</f>
        <v>5</v>
      </c>
      <c r="Q875" s="3">
        <f t="shared" si="26"/>
        <v>3.3789954337899546E-2</v>
      </c>
      <c r="R875" t="str">
        <f t="shared" si="27"/>
        <v>August</v>
      </c>
    </row>
    <row r="876" spans="1:18" x14ac:dyDescent="0.35">
      <c r="A876" t="s">
        <v>433</v>
      </c>
      <c r="B876" t="s">
        <v>247</v>
      </c>
      <c r="C876" t="s">
        <v>15</v>
      </c>
      <c r="D876" t="s">
        <v>248</v>
      </c>
      <c r="E876">
        <v>0</v>
      </c>
      <c r="F876">
        <v>5095</v>
      </c>
      <c r="G876">
        <v>0</v>
      </c>
      <c r="H876">
        <v>167</v>
      </c>
      <c r="I876">
        <v>0</v>
      </c>
      <c r="J876">
        <v>0</v>
      </c>
      <c r="K876" s="1">
        <v>45870</v>
      </c>
      <c r="L876" t="s">
        <v>429</v>
      </c>
      <c r="M876" t="s">
        <v>427</v>
      </c>
      <c r="N876" s="2">
        <f>IFERROR(NHS_A_E[[#This Row],[T1_Over4hrs]]/NHS_A_E[[#This Row],[T1_Attendances]], 0)</f>
        <v>0</v>
      </c>
      <c r="O876">
        <f>NHS_A_E[[#This Row],[T1_Attendances]]+NHS_A_E[[#This Row],[Other_Attendances]]</f>
        <v>5095</v>
      </c>
      <c r="P876">
        <f>MATCH(LEFT(A876,FIND("-",A876)-1),{"April","May","June","July","August","September","October","November","December","January","February","March"},0)</f>
        <v>5</v>
      </c>
      <c r="Q876" s="3">
        <f t="shared" si="26"/>
        <v>0</v>
      </c>
      <c r="R876" t="str">
        <f t="shared" si="27"/>
        <v>August</v>
      </c>
    </row>
    <row r="877" spans="1:18" x14ac:dyDescent="0.35">
      <c r="A877" t="s">
        <v>433</v>
      </c>
      <c r="B877" t="s">
        <v>129</v>
      </c>
      <c r="C877" t="s">
        <v>63</v>
      </c>
      <c r="D877" t="s">
        <v>130</v>
      </c>
      <c r="E877">
        <v>13912</v>
      </c>
      <c r="F877">
        <v>3919</v>
      </c>
      <c r="G877">
        <v>4851</v>
      </c>
      <c r="H877">
        <v>5</v>
      </c>
      <c r="I877">
        <v>1164</v>
      </c>
      <c r="J877">
        <v>108</v>
      </c>
      <c r="K877" s="1">
        <v>45870</v>
      </c>
      <c r="L877" t="s">
        <v>429</v>
      </c>
      <c r="M877" t="s">
        <v>427</v>
      </c>
      <c r="N877" s="2">
        <f>IFERROR(NHS_A_E[[#This Row],[T1_Over4hrs]]/NHS_A_E[[#This Row],[T1_Attendances]], 0)</f>
        <v>0.34869177688326625</v>
      </c>
      <c r="O877">
        <f>NHS_A_E[[#This Row],[T1_Attendances]]+NHS_A_E[[#This Row],[Other_Attendances]]</f>
        <v>17831</v>
      </c>
      <c r="P877">
        <f>MATCH(LEFT(A877,FIND("-",A877)-1),{"April","May","June","July","August","September","October","November","December","January","February","March"},0)</f>
        <v>5</v>
      </c>
      <c r="Q877" s="3">
        <f t="shared" si="26"/>
        <v>7.7630822311673372E-3</v>
      </c>
      <c r="R877" t="str">
        <f t="shared" si="27"/>
        <v>August</v>
      </c>
    </row>
    <row r="878" spans="1:18" x14ac:dyDescent="0.35">
      <c r="A878" t="s">
        <v>433</v>
      </c>
      <c r="B878" t="s">
        <v>407</v>
      </c>
      <c r="C878" t="s">
        <v>35</v>
      </c>
      <c r="D878" t="s">
        <v>408</v>
      </c>
      <c r="E878">
        <v>0</v>
      </c>
      <c r="F878">
        <v>0</v>
      </c>
      <c r="G878">
        <v>0</v>
      </c>
      <c r="H878">
        <v>0</v>
      </c>
      <c r="I878">
        <v>0</v>
      </c>
      <c r="J878">
        <v>0</v>
      </c>
      <c r="K878" s="1">
        <v>45870</v>
      </c>
      <c r="L878" t="s">
        <v>429</v>
      </c>
      <c r="M878" t="s">
        <v>427</v>
      </c>
      <c r="N878" s="2">
        <f>IFERROR(NHS_A_E[[#This Row],[T1_Over4hrs]]/NHS_A_E[[#This Row],[T1_Attendances]], 0)</f>
        <v>0</v>
      </c>
      <c r="O878">
        <f>NHS_A_E[[#This Row],[T1_Attendances]]+NHS_A_E[[#This Row],[Other_Attendances]]</f>
        <v>0</v>
      </c>
      <c r="P878">
        <f>MATCH(LEFT(A878,FIND("-",A878)-1),{"April","May","June","July","August","September","October","November","December","January","February","March"},0)</f>
        <v>5</v>
      </c>
      <c r="Q878" s="3">
        <f t="shared" si="26"/>
        <v>0</v>
      </c>
      <c r="R878" t="str">
        <f t="shared" si="27"/>
        <v>August</v>
      </c>
    </row>
    <row r="879" spans="1:18" x14ac:dyDescent="0.35">
      <c r="A879" t="s">
        <v>433</v>
      </c>
      <c r="B879" t="s">
        <v>60</v>
      </c>
      <c r="C879" t="s">
        <v>35</v>
      </c>
      <c r="D879" t="s">
        <v>61</v>
      </c>
      <c r="E879">
        <v>18603</v>
      </c>
      <c r="F879">
        <v>5508</v>
      </c>
      <c r="G879">
        <v>5678</v>
      </c>
      <c r="H879">
        <v>42</v>
      </c>
      <c r="I879">
        <v>679</v>
      </c>
      <c r="J879">
        <v>39</v>
      </c>
      <c r="K879" s="1">
        <v>45870</v>
      </c>
      <c r="L879" t="s">
        <v>429</v>
      </c>
      <c r="M879" t="s">
        <v>427</v>
      </c>
      <c r="N879" s="2">
        <f>IFERROR(NHS_A_E[[#This Row],[T1_Over4hrs]]/NHS_A_E[[#This Row],[T1_Attendances]], 0)</f>
        <v>0.30521958823845619</v>
      </c>
      <c r="O879">
        <f>NHS_A_E[[#This Row],[T1_Attendances]]+NHS_A_E[[#This Row],[Other_Attendances]]</f>
        <v>24111</v>
      </c>
      <c r="P879">
        <f>MATCH(LEFT(A879,FIND("-",A879)-1),{"April","May","June","July","August","September","October","November","December","January","February","March"},0)</f>
        <v>5</v>
      </c>
      <c r="Q879" s="3">
        <f t="shared" si="26"/>
        <v>2.0964360587002098E-3</v>
      </c>
      <c r="R879" t="str">
        <f t="shared" si="27"/>
        <v>August</v>
      </c>
    </row>
    <row r="880" spans="1:18" x14ac:dyDescent="0.35">
      <c r="A880" t="s">
        <v>433</v>
      </c>
      <c r="B880" t="s">
        <v>317</v>
      </c>
      <c r="C880" t="s">
        <v>63</v>
      </c>
      <c r="D880" t="s">
        <v>318</v>
      </c>
      <c r="E880">
        <v>7133</v>
      </c>
      <c r="F880">
        <v>9234</v>
      </c>
      <c r="G880">
        <v>3730</v>
      </c>
      <c r="H880">
        <v>302</v>
      </c>
      <c r="I880">
        <v>381</v>
      </c>
      <c r="J880">
        <v>11</v>
      </c>
      <c r="K880" s="1">
        <v>45870</v>
      </c>
      <c r="L880" t="s">
        <v>429</v>
      </c>
      <c r="M880" t="s">
        <v>427</v>
      </c>
      <c r="N880" s="2">
        <f>IFERROR(NHS_A_E[[#This Row],[T1_Over4hrs]]/NHS_A_E[[#This Row],[T1_Attendances]], 0)</f>
        <v>0.52292163185195573</v>
      </c>
      <c r="O880">
        <f>NHS_A_E[[#This Row],[T1_Attendances]]+NHS_A_E[[#This Row],[Other_Attendances]]</f>
        <v>16367</v>
      </c>
      <c r="P880">
        <f>MATCH(LEFT(A880,FIND("-",A880)-1),{"April","May","June","July","August","September","October","November","December","January","February","March"},0)</f>
        <v>5</v>
      </c>
      <c r="Q880" s="3">
        <f t="shared" si="26"/>
        <v>1.5421281368288237E-3</v>
      </c>
      <c r="R880" t="str">
        <f t="shared" si="27"/>
        <v>August</v>
      </c>
    </row>
    <row r="881" spans="1:18" x14ac:dyDescent="0.35">
      <c r="A881" t="s">
        <v>433</v>
      </c>
      <c r="B881" t="s">
        <v>169</v>
      </c>
      <c r="C881" t="s">
        <v>20</v>
      </c>
      <c r="D881" t="s">
        <v>170</v>
      </c>
      <c r="E881">
        <v>9415</v>
      </c>
      <c r="F881">
        <v>0</v>
      </c>
      <c r="G881">
        <v>3069</v>
      </c>
      <c r="H881">
        <v>0</v>
      </c>
      <c r="I881">
        <v>553</v>
      </c>
      <c r="J881">
        <v>126</v>
      </c>
      <c r="K881" s="1">
        <v>45870</v>
      </c>
      <c r="L881" t="s">
        <v>429</v>
      </c>
      <c r="M881" t="s">
        <v>427</v>
      </c>
      <c r="N881" s="2">
        <f>IFERROR(NHS_A_E[[#This Row],[T1_Over4hrs]]/NHS_A_E[[#This Row],[T1_Attendances]], 0)</f>
        <v>0.32596919808815722</v>
      </c>
      <c r="O881">
        <f>NHS_A_E[[#This Row],[T1_Attendances]]+NHS_A_E[[#This Row],[Other_Attendances]]</f>
        <v>9415</v>
      </c>
      <c r="P881">
        <f>MATCH(LEFT(A881,FIND("-",A881)-1),{"April","May","June","July","August","September","October","November","December","January","February","March"},0)</f>
        <v>5</v>
      </c>
      <c r="Q881" s="3">
        <f t="shared" si="26"/>
        <v>1.3382899628252789E-2</v>
      </c>
      <c r="R881" t="str">
        <f t="shared" si="27"/>
        <v>August</v>
      </c>
    </row>
    <row r="882" spans="1:18" x14ac:dyDescent="0.35">
      <c r="A882" t="s">
        <v>433</v>
      </c>
      <c r="B882" t="s">
        <v>271</v>
      </c>
      <c r="C882" t="s">
        <v>30</v>
      </c>
      <c r="D882" t="s">
        <v>272</v>
      </c>
      <c r="E882">
        <v>0</v>
      </c>
      <c r="F882">
        <v>12199</v>
      </c>
      <c r="G882">
        <v>0</v>
      </c>
      <c r="H882">
        <v>174</v>
      </c>
      <c r="I882">
        <v>0</v>
      </c>
      <c r="J882">
        <v>0</v>
      </c>
      <c r="K882" s="1">
        <v>45870</v>
      </c>
      <c r="L882" t="s">
        <v>429</v>
      </c>
      <c r="M882" t="s">
        <v>427</v>
      </c>
      <c r="N882" s="2">
        <f>IFERROR(NHS_A_E[[#This Row],[T1_Over4hrs]]/NHS_A_E[[#This Row],[T1_Attendances]], 0)</f>
        <v>0</v>
      </c>
      <c r="O882">
        <f>NHS_A_E[[#This Row],[T1_Attendances]]+NHS_A_E[[#This Row],[Other_Attendances]]</f>
        <v>12199</v>
      </c>
      <c r="P882">
        <f>MATCH(LEFT(A882,FIND("-",A882)-1),{"April","May","June","July","August","September","October","November","December","January","February","March"},0)</f>
        <v>5</v>
      </c>
      <c r="Q882" s="3">
        <f t="shared" si="26"/>
        <v>0</v>
      </c>
      <c r="R882" t="str">
        <f t="shared" si="27"/>
        <v>August</v>
      </c>
    </row>
    <row r="883" spans="1:18" x14ac:dyDescent="0.35">
      <c r="A883" t="s">
        <v>433</v>
      </c>
      <c r="B883" t="s">
        <v>177</v>
      </c>
      <c r="C883" t="s">
        <v>63</v>
      </c>
      <c r="D883" t="s">
        <v>178</v>
      </c>
      <c r="E883">
        <v>9446</v>
      </c>
      <c r="F883">
        <v>4336</v>
      </c>
      <c r="G883">
        <v>5071</v>
      </c>
      <c r="H883">
        <v>183</v>
      </c>
      <c r="I883">
        <v>932</v>
      </c>
      <c r="J883">
        <v>337</v>
      </c>
      <c r="K883" s="1">
        <v>45870</v>
      </c>
      <c r="L883" t="s">
        <v>429</v>
      </c>
      <c r="M883" t="s">
        <v>427</v>
      </c>
      <c r="N883" s="2">
        <f>IFERROR(NHS_A_E[[#This Row],[T1_Over4hrs]]/NHS_A_E[[#This Row],[T1_Attendances]], 0)</f>
        <v>0.53684099089561721</v>
      </c>
      <c r="O883">
        <f>NHS_A_E[[#This Row],[T1_Attendances]]+NHS_A_E[[#This Row],[Other_Attendances]]</f>
        <v>13782</v>
      </c>
      <c r="P883">
        <f>MATCH(LEFT(A883,FIND("-",A883)-1),{"April","May","June","July","August","September","October","November","December","January","February","March"},0)</f>
        <v>5</v>
      </c>
      <c r="Q883" s="3">
        <f t="shared" si="26"/>
        <v>3.5676476815583315E-2</v>
      </c>
      <c r="R883" t="str">
        <f t="shared" si="27"/>
        <v>August</v>
      </c>
    </row>
    <row r="884" spans="1:18" x14ac:dyDescent="0.35">
      <c r="A884" t="s">
        <v>433</v>
      </c>
      <c r="B884" t="s">
        <v>179</v>
      </c>
      <c r="C884" t="s">
        <v>40</v>
      </c>
      <c r="D884" t="s">
        <v>180</v>
      </c>
      <c r="E884">
        <v>16973</v>
      </c>
      <c r="F884">
        <v>3804</v>
      </c>
      <c r="G884">
        <v>6965</v>
      </c>
      <c r="H884">
        <v>328</v>
      </c>
      <c r="I884">
        <v>1042</v>
      </c>
      <c r="J884">
        <v>1061</v>
      </c>
      <c r="K884" s="1">
        <v>45870</v>
      </c>
      <c r="L884" t="s">
        <v>429</v>
      </c>
      <c r="M884" t="s">
        <v>427</v>
      </c>
      <c r="N884" s="2">
        <f>IFERROR(NHS_A_E[[#This Row],[T1_Over4hrs]]/NHS_A_E[[#This Row],[T1_Attendances]], 0)</f>
        <v>0.41035762681906557</v>
      </c>
      <c r="O884">
        <f>NHS_A_E[[#This Row],[T1_Attendances]]+NHS_A_E[[#This Row],[Other_Attendances]]</f>
        <v>20777</v>
      </c>
      <c r="P884">
        <f>MATCH(LEFT(A884,FIND("-",A884)-1),{"April","May","June","July","August","September","October","November","December","January","February","March"},0)</f>
        <v>5</v>
      </c>
      <c r="Q884" s="3">
        <f t="shared" si="26"/>
        <v>6.2511046956931604E-2</v>
      </c>
      <c r="R884" t="str">
        <f t="shared" si="27"/>
        <v>August</v>
      </c>
    </row>
    <row r="885" spans="1:18" x14ac:dyDescent="0.35">
      <c r="A885" t="s">
        <v>433</v>
      </c>
      <c r="B885" t="s">
        <v>409</v>
      </c>
      <c r="C885" t="s">
        <v>15</v>
      </c>
      <c r="D885" t="s">
        <v>410</v>
      </c>
      <c r="E885">
        <v>18957</v>
      </c>
      <c r="F885">
        <v>2245</v>
      </c>
      <c r="G885">
        <v>4236</v>
      </c>
      <c r="H885">
        <v>20</v>
      </c>
      <c r="I885">
        <v>932</v>
      </c>
      <c r="J885">
        <v>130</v>
      </c>
      <c r="K885" s="1">
        <v>45870</v>
      </c>
      <c r="L885" t="s">
        <v>429</v>
      </c>
      <c r="M885" t="s">
        <v>427</v>
      </c>
      <c r="N885" s="2">
        <f>IFERROR(NHS_A_E[[#This Row],[T1_Over4hrs]]/NHS_A_E[[#This Row],[T1_Attendances]], 0)</f>
        <v>0.22345307801867384</v>
      </c>
      <c r="O885">
        <f>NHS_A_E[[#This Row],[T1_Attendances]]+NHS_A_E[[#This Row],[Other_Attendances]]</f>
        <v>21202</v>
      </c>
      <c r="P885">
        <f>MATCH(LEFT(A885,FIND("-",A885)-1),{"April","May","June","July","August","September","October","November","December","January","February","March"},0)</f>
        <v>5</v>
      </c>
      <c r="Q885" s="3">
        <f t="shared" si="26"/>
        <v>6.8576251516590178E-3</v>
      </c>
      <c r="R885" t="str">
        <f t="shared" si="27"/>
        <v>August</v>
      </c>
    </row>
    <row r="886" spans="1:18" x14ac:dyDescent="0.35">
      <c r="A886" t="s">
        <v>433</v>
      </c>
      <c r="B886" t="s">
        <v>183</v>
      </c>
      <c r="C886" t="s">
        <v>23</v>
      </c>
      <c r="D886" t="s">
        <v>184</v>
      </c>
      <c r="E886">
        <v>7834</v>
      </c>
      <c r="F886">
        <v>7109</v>
      </c>
      <c r="G886">
        <v>2415</v>
      </c>
      <c r="H886">
        <v>47</v>
      </c>
      <c r="I886">
        <v>591</v>
      </c>
      <c r="J886">
        <v>27</v>
      </c>
      <c r="K886" s="1">
        <v>45870</v>
      </c>
      <c r="L886" t="s">
        <v>429</v>
      </c>
      <c r="M886" t="s">
        <v>427</v>
      </c>
      <c r="N886" s="2">
        <f>IFERROR(NHS_A_E[[#This Row],[T1_Over4hrs]]/NHS_A_E[[#This Row],[T1_Attendances]], 0)</f>
        <v>0.30827163645647176</v>
      </c>
      <c r="O886">
        <f>NHS_A_E[[#This Row],[T1_Attendances]]+NHS_A_E[[#This Row],[Other_Attendances]]</f>
        <v>14943</v>
      </c>
      <c r="P886">
        <f>MATCH(LEFT(A886,FIND("-",A886)-1),{"April","May","June","July","August","September","October","November","December","January","February","March"},0)</f>
        <v>5</v>
      </c>
      <c r="Q886" s="3">
        <f t="shared" si="26"/>
        <v>3.4465151901965792E-3</v>
      </c>
      <c r="R886" t="str">
        <f t="shared" si="27"/>
        <v>August</v>
      </c>
    </row>
    <row r="887" spans="1:18" x14ac:dyDescent="0.35">
      <c r="A887" t="s">
        <v>433</v>
      </c>
      <c r="B887" t="s">
        <v>363</v>
      </c>
      <c r="C887" t="s">
        <v>40</v>
      </c>
      <c r="D887" t="s">
        <v>364</v>
      </c>
      <c r="E887">
        <v>13741</v>
      </c>
      <c r="F887">
        <v>6029</v>
      </c>
      <c r="G887">
        <v>6939</v>
      </c>
      <c r="H887">
        <v>79</v>
      </c>
      <c r="I887">
        <v>1186</v>
      </c>
      <c r="J887">
        <v>846</v>
      </c>
      <c r="K887" s="1">
        <v>45870</v>
      </c>
      <c r="L887" t="s">
        <v>429</v>
      </c>
      <c r="M887" t="s">
        <v>427</v>
      </c>
      <c r="N887" s="2">
        <f>IFERROR(NHS_A_E[[#This Row],[T1_Over4hrs]]/NHS_A_E[[#This Row],[T1_Attendances]], 0)</f>
        <v>0.50498508114402152</v>
      </c>
      <c r="O887">
        <f>NHS_A_E[[#This Row],[T1_Attendances]]+NHS_A_E[[#This Row],[Other_Attendances]]</f>
        <v>19770</v>
      </c>
      <c r="P887">
        <f>MATCH(LEFT(A887,FIND("-",A887)-1),{"April","May","June","July","August","September","October","November","December","January","February","March"},0)</f>
        <v>5</v>
      </c>
      <c r="Q887" s="3">
        <f t="shared" si="26"/>
        <v>6.1567571501346334E-2</v>
      </c>
      <c r="R887" t="str">
        <f t="shared" si="27"/>
        <v>August</v>
      </c>
    </row>
    <row r="888" spans="1:18" x14ac:dyDescent="0.35">
      <c r="A888" t="s">
        <v>433</v>
      </c>
      <c r="B888" t="s">
        <v>189</v>
      </c>
      <c r="C888" t="s">
        <v>30</v>
      </c>
      <c r="D888" t="s">
        <v>190</v>
      </c>
      <c r="E888">
        <v>6781</v>
      </c>
      <c r="F888">
        <v>2860</v>
      </c>
      <c r="G888">
        <v>3543</v>
      </c>
      <c r="H888">
        <v>37</v>
      </c>
      <c r="I888">
        <v>729</v>
      </c>
      <c r="J888">
        <v>825</v>
      </c>
      <c r="K888" s="1">
        <v>45870</v>
      </c>
      <c r="L888" t="s">
        <v>429</v>
      </c>
      <c r="M888" t="s">
        <v>427</v>
      </c>
      <c r="N888" s="2">
        <f>IFERROR(NHS_A_E[[#This Row],[T1_Over4hrs]]/NHS_A_E[[#This Row],[T1_Attendances]], 0)</f>
        <v>0.52248930836159857</v>
      </c>
      <c r="O888">
        <f>NHS_A_E[[#This Row],[T1_Attendances]]+NHS_A_E[[#This Row],[Other_Attendances]]</f>
        <v>9641</v>
      </c>
      <c r="P888">
        <f>MATCH(LEFT(A888,FIND("-",A888)-1),{"April","May","June","July","August","September","October","November","December","January","February","March"},0)</f>
        <v>5</v>
      </c>
      <c r="Q888" s="3">
        <f t="shared" si="26"/>
        <v>0.12166347146438579</v>
      </c>
      <c r="R888" t="str">
        <f t="shared" si="27"/>
        <v>August</v>
      </c>
    </row>
    <row r="889" spans="1:18" x14ac:dyDescent="0.35">
      <c r="A889" t="s">
        <v>433</v>
      </c>
      <c r="B889" t="s">
        <v>373</v>
      </c>
      <c r="C889" t="s">
        <v>40</v>
      </c>
      <c r="D889" t="s">
        <v>374</v>
      </c>
      <c r="E889">
        <v>12151</v>
      </c>
      <c r="F889">
        <v>0</v>
      </c>
      <c r="G889">
        <v>6909</v>
      </c>
      <c r="H889">
        <v>0</v>
      </c>
      <c r="I889">
        <v>251</v>
      </c>
      <c r="J889">
        <v>566</v>
      </c>
      <c r="K889" s="1">
        <v>45870</v>
      </c>
      <c r="L889" t="s">
        <v>429</v>
      </c>
      <c r="M889" t="s">
        <v>427</v>
      </c>
      <c r="N889" s="2">
        <f>IFERROR(NHS_A_E[[#This Row],[T1_Over4hrs]]/NHS_A_E[[#This Row],[T1_Attendances]], 0)</f>
        <v>0.56859517735165832</v>
      </c>
      <c r="O889">
        <f>NHS_A_E[[#This Row],[T1_Attendances]]+NHS_A_E[[#This Row],[Other_Attendances]]</f>
        <v>12151</v>
      </c>
      <c r="P889">
        <f>MATCH(LEFT(A889,FIND("-",A889)-1),{"April","May","June","July","August","September","October","November","December","January","February","March"},0)</f>
        <v>5</v>
      </c>
      <c r="Q889" s="3">
        <f t="shared" si="26"/>
        <v>4.6580528351576E-2</v>
      </c>
      <c r="R889" t="str">
        <f t="shared" si="27"/>
        <v>August</v>
      </c>
    </row>
    <row r="890" spans="1:18" x14ac:dyDescent="0.35">
      <c r="A890" t="s">
        <v>433</v>
      </c>
      <c r="B890" t="s">
        <v>191</v>
      </c>
      <c r="C890" t="s">
        <v>15</v>
      </c>
      <c r="D890" t="s">
        <v>192</v>
      </c>
      <c r="E890">
        <v>8785</v>
      </c>
      <c r="F890">
        <v>2555</v>
      </c>
      <c r="G890">
        <v>3560</v>
      </c>
      <c r="H890">
        <v>44</v>
      </c>
      <c r="I890">
        <v>204</v>
      </c>
      <c r="J890">
        <v>6</v>
      </c>
      <c r="K890" s="1">
        <v>45870</v>
      </c>
      <c r="L890" t="s">
        <v>429</v>
      </c>
      <c r="M890" t="s">
        <v>427</v>
      </c>
      <c r="N890" s="2">
        <f>IFERROR(NHS_A_E[[#This Row],[T1_Over4hrs]]/NHS_A_E[[#This Row],[T1_Attendances]], 0)</f>
        <v>0.40523619806488331</v>
      </c>
      <c r="O890">
        <f>NHS_A_E[[#This Row],[T1_Attendances]]+NHS_A_E[[#This Row],[Other_Attendances]]</f>
        <v>11340</v>
      </c>
      <c r="P890">
        <f>MATCH(LEFT(A890,FIND("-",A890)-1),{"April","May","June","July","August","September","October","November","December","January","February","March"},0)</f>
        <v>5</v>
      </c>
      <c r="Q890" s="3">
        <f t="shared" si="26"/>
        <v>6.8298235628912922E-4</v>
      </c>
      <c r="R890" t="str">
        <f t="shared" si="27"/>
        <v>August</v>
      </c>
    </row>
    <row r="891" spans="1:18" x14ac:dyDescent="0.35">
      <c r="A891" t="s">
        <v>433</v>
      </c>
      <c r="B891" t="s">
        <v>377</v>
      </c>
      <c r="C891" t="s">
        <v>63</v>
      </c>
      <c r="D891" t="s">
        <v>378</v>
      </c>
      <c r="E891">
        <v>15988</v>
      </c>
      <c r="F891">
        <v>6316</v>
      </c>
      <c r="G891">
        <v>5760</v>
      </c>
      <c r="H891">
        <v>146</v>
      </c>
      <c r="I891">
        <v>1544</v>
      </c>
      <c r="J891">
        <v>9</v>
      </c>
      <c r="K891" s="1">
        <v>45870</v>
      </c>
      <c r="L891" t="s">
        <v>429</v>
      </c>
      <c r="M891" t="s">
        <v>427</v>
      </c>
      <c r="N891" s="2">
        <f>IFERROR(NHS_A_E[[#This Row],[T1_Over4hrs]]/NHS_A_E[[#This Row],[T1_Attendances]], 0)</f>
        <v>0.360270202651989</v>
      </c>
      <c r="O891">
        <f>NHS_A_E[[#This Row],[T1_Attendances]]+NHS_A_E[[#This Row],[Other_Attendances]]</f>
        <v>22304</v>
      </c>
      <c r="P891">
        <f>MATCH(LEFT(A891,FIND("-",A891)-1),{"April","May","June","July","August","September","October","November","December","January","February","March"},0)</f>
        <v>5</v>
      </c>
      <c r="Q891" s="3">
        <f t="shared" si="26"/>
        <v>5.6292219164373277E-4</v>
      </c>
      <c r="R891" t="str">
        <f t="shared" si="27"/>
        <v>August</v>
      </c>
    </row>
    <row r="892" spans="1:18" x14ac:dyDescent="0.35">
      <c r="A892" t="s">
        <v>433</v>
      </c>
      <c r="B892" t="s">
        <v>197</v>
      </c>
      <c r="C892" t="s">
        <v>63</v>
      </c>
      <c r="D892" t="s">
        <v>198</v>
      </c>
      <c r="E892">
        <v>12390</v>
      </c>
      <c r="F892">
        <v>4169</v>
      </c>
      <c r="G892">
        <v>4837</v>
      </c>
      <c r="H892">
        <v>0</v>
      </c>
      <c r="I892">
        <v>1701</v>
      </c>
      <c r="J892">
        <v>9</v>
      </c>
      <c r="K892" s="1">
        <v>45870</v>
      </c>
      <c r="L892" t="s">
        <v>429</v>
      </c>
      <c r="M892" t="s">
        <v>427</v>
      </c>
      <c r="N892" s="2">
        <f>IFERROR(NHS_A_E[[#This Row],[T1_Over4hrs]]/NHS_A_E[[#This Row],[T1_Attendances]], 0)</f>
        <v>0.39039548022598869</v>
      </c>
      <c r="O892">
        <f>NHS_A_E[[#This Row],[T1_Attendances]]+NHS_A_E[[#This Row],[Other_Attendances]]</f>
        <v>16559</v>
      </c>
      <c r="P892">
        <f>MATCH(LEFT(A892,FIND("-",A892)-1),{"April","May","June","July","August","September","October","November","December","January","February","March"},0)</f>
        <v>5</v>
      </c>
      <c r="Q892" s="3">
        <f t="shared" si="26"/>
        <v>7.2639225181598058E-4</v>
      </c>
      <c r="R892" t="str">
        <f t="shared" si="27"/>
        <v>August</v>
      </c>
    </row>
    <row r="893" spans="1:18" x14ac:dyDescent="0.35">
      <c r="A893" t="s">
        <v>433</v>
      </c>
      <c r="B893" t="s">
        <v>369</v>
      </c>
      <c r="C893" t="s">
        <v>30</v>
      </c>
      <c r="D893" t="s">
        <v>370</v>
      </c>
      <c r="E893">
        <v>0</v>
      </c>
      <c r="F893">
        <v>2740</v>
      </c>
      <c r="G893">
        <v>0</v>
      </c>
      <c r="H893">
        <v>41</v>
      </c>
      <c r="I893">
        <v>0</v>
      </c>
      <c r="J893">
        <v>0</v>
      </c>
      <c r="K893" s="1">
        <v>45870</v>
      </c>
      <c r="L893" t="s">
        <v>429</v>
      </c>
      <c r="M893" t="s">
        <v>427</v>
      </c>
      <c r="N893" s="2">
        <f>IFERROR(NHS_A_E[[#This Row],[T1_Over4hrs]]/NHS_A_E[[#This Row],[T1_Attendances]], 0)</f>
        <v>0</v>
      </c>
      <c r="O893">
        <f>NHS_A_E[[#This Row],[T1_Attendances]]+NHS_A_E[[#This Row],[Other_Attendances]]</f>
        <v>2740</v>
      </c>
      <c r="P893">
        <f>MATCH(LEFT(A893,FIND("-",A893)-1),{"April","May","June","July","August","September","October","November","December","January","February","March"},0)</f>
        <v>5</v>
      </c>
      <c r="Q893" s="3">
        <f t="shared" si="26"/>
        <v>0</v>
      </c>
      <c r="R893" t="str">
        <f t="shared" si="27"/>
        <v>August</v>
      </c>
    </row>
    <row r="894" spans="1:18" x14ac:dyDescent="0.35">
      <c r="A894" t="s">
        <v>433</v>
      </c>
      <c r="B894" t="s">
        <v>205</v>
      </c>
      <c r="C894" t="s">
        <v>35</v>
      </c>
      <c r="D894" t="s">
        <v>206</v>
      </c>
      <c r="E894">
        <v>11631</v>
      </c>
      <c r="F894">
        <v>6812</v>
      </c>
      <c r="G894">
        <v>5103</v>
      </c>
      <c r="H894">
        <v>226</v>
      </c>
      <c r="I894">
        <v>645</v>
      </c>
      <c r="J894">
        <v>0</v>
      </c>
      <c r="K894" s="1">
        <v>45870</v>
      </c>
      <c r="L894" t="s">
        <v>429</v>
      </c>
      <c r="M894" t="s">
        <v>427</v>
      </c>
      <c r="N894" s="2">
        <f>IFERROR(NHS_A_E[[#This Row],[T1_Over4hrs]]/NHS_A_E[[#This Row],[T1_Attendances]], 0)</f>
        <v>0.43874129481557905</v>
      </c>
      <c r="O894">
        <f>NHS_A_E[[#This Row],[T1_Attendances]]+NHS_A_E[[#This Row],[Other_Attendances]]</f>
        <v>18443</v>
      </c>
      <c r="P894">
        <f>MATCH(LEFT(A894,FIND("-",A894)-1),{"April","May","June","July","August","September","October","November","December","January","February","March"},0)</f>
        <v>5</v>
      </c>
      <c r="Q894" s="3">
        <f t="shared" si="26"/>
        <v>0</v>
      </c>
      <c r="R894" t="str">
        <f t="shared" si="27"/>
        <v>August</v>
      </c>
    </row>
    <row r="895" spans="1:18" x14ac:dyDescent="0.35">
      <c r="A895" t="s">
        <v>433</v>
      </c>
      <c r="B895" t="s">
        <v>397</v>
      </c>
      <c r="C895" t="s">
        <v>63</v>
      </c>
      <c r="D895" t="s">
        <v>398</v>
      </c>
      <c r="E895">
        <v>0</v>
      </c>
      <c r="F895">
        <v>343</v>
      </c>
      <c r="G895">
        <v>0</v>
      </c>
      <c r="H895">
        <v>0</v>
      </c>
      <c r="I895">
        <v>0</v>
      </c>
      <c r="J895">
        <v>0</v>
      </c>
      <c r="K895" s="1">
        <v>45870</v>
      </c>
      <c r="L895" t="s">
        <v>429</v>
      </c>
      <c r="M895" t="s">
        <v>427</v>
      </c>
      <c r="N895" s="2">
        <f>IFERROR(NHS_A_E[[#This Row],[T1_Over4hrs]]/NHS_A_E[[#This Row],[T1_Attendances]], 0)</f>
        <v>0</v>
      </c>
      <c r="O895">
        <f>NHS_A_E[[#This Row],[T1_Attendances]]+NHS_A_E[[#This Row],[Other_Attendances]]</f>
        <v>343</v>
      </c>
      <c r="P895">
        <f>MATCH(LEFT(A895,FIND("-",A895)-1),{"April","May","June","July","August","September","October","November","December","January","February","March"},0)</f>
        <v>5</v>
      </c>
      <c r="Q895" s="3">
        <f t="shared" si="26"/>
        <v>0</v>
      </c>
      <c r="R895" t="str">
        <f t="shared" si="27"/>
        <v>August</v>
      </c>
    </row>
    <row r="896" spans="1:18" x14ac:dyDescent="0.35">
      <c r="A896" t="s">
        <v>433</v>
      </c>
      <c r="B896" t="s">
        <v>111</v>
      </c>
      <c r="C896" t="s">
        <v>40</v>
      </c>
      <c r="D896" t="s">
        <v>112</v>
      </c>
      <c r="E896">
        <v>0</v>
      </c>
      <c r="F896">
        <v>531</v>
      </c>
      <c r="G896">
        <v>0</v>
      </c>
      <c r="H896">
        <v>0</v>
      </c>
      <c r="I896">
        <v>0</v>
      </c>
      <c r="J896">
        <v>0</v>
      </c>
      <c r="K896" s="1">
        <v>45870</v>
      </c>
      <c r="L896" t="s">
        <v>429</v>
      </c>
      <c r="M896" t="s">
        <v>427</v>
      </c>
      <c r="N896" s="2">
        <f>IFERROR(NHS_A_E[[#This Row],[T1_Over4hrs]]/NHS_A_E[[#This Row],[T1_Attendances]], 0)</f>
        <v>0</v>
      </c>
      <c r="O896">
        <f>NHS_A_E[[#This Row],[T1_Attendances]]+NHS_A_E[[#This Row],[Other_Attendances]]</f>
        <v>531</v>
      </c>
      <c r="P896">
        <f>MATCH(LEFT(A896,FIND("-",A896)-1),{"April","May","June","July","August","September","October","November","December","January","February","March"},0)</f>
        <v>5</v>
      </c>
      <c r="Q896" s="3">
        <f t="shared" si="26"/>
        <v>0</v>
      </c>
      <c r="R896" t="str">
        <f t="shared" si="27"/>
        <v>August</v>
      </c>
    </row>
    <row r="897" spans="1:18" x14ac:dyDescent="0.35">
      <c r="A897" t="s">
        <v>433</v>
      </c>
      <c r="B897" t="s">
        <v>147</v>
      </c>
      <c r="C897" t="s">
        <v>40</v>
      </c>
      <c r="D897" t="s">
        <v>148</v>
      </c>
      <c r="E897">
        <v>0</v>
      </c>
      <c r="F897">
        <v>1904</v>
      </c>
      <c r="G897">
        <v>0</v>
      </c>
      <c r="H897">
        <v>1</v>
      </c>
      <c r="I897">
        <v>0</v>
      </c>
      <c r="J897">
        <v>0</v>
      </c>
      <c r="K897" s="1">
        <v>45870</v>
      </c>
      <c r="L897" t="s">
        <v>429</v>
      </c>
      <c r="M897" t="s">
        <v>427</v>
      </c>
      <c r="N897" s="2">
        <f>IFERROR(NHS_A_E[[#This Row],[T1_Over4hrs]]/NHS_A_E[[#This Row],[T1_Attendances]], 0)</f>
        <v>0</v>
      </c>
      <c r="O897">
        <f>NHS_A_E[[#This Row],[T1_Attendances]]+NHS_A_E[[#This Row],[Other_Attendances]]</f>
        <v>1904</v>
      </c>
      <c r="P897">
        <f>MATCH(LEFT(A897,FIND("-",A897)-1),{"April","May","June","July","August","September","October","November","December","January","February","March"},0)</f>
        <v>5</v>
      </c>
      <c r="Q897" s="3">
        <f t="shared" si="26"/>
        <v>0</v>
      </c>
      <c r="R897" t="str">
        <f t="shared" si="27"/>
        <v>August</v>
      </c>
    </row>
    <row r="898" spans="1:18" x14ac:dyDescent="0.35">
      <c r="A898" t="s">
        <v>433</v>
      </c>
      <c r="B898" t="s">
        <v>209</v>
      </c>
      <c r="C898" t="s">
        <v>35</v>
      </c>
      <c r="D898" t="s">
        <v>210</v>
      </c>
      <c r="E898">
        <v>24190</v>
      </c>
      <c r="F898">
        <v>17263</v>
      </c>
      <c r="G898">
        <v>10598</v>
      </c>
      <c r="H898">
        <v>1175</v>
      </c>
      <c r="I898">
        <v>1234</v>
      </c>
      <c r="J898">
        <v>799</v>
      </c>
      <c r="K898" s="1">
        <v>45870</v>
      </c>
      <c r="L898" t="s">
        <v>429</v>
      </c>
      <c r="M898" t="s">
        <v>427</v>
      </c>
      <c r="N898" s="2">
        <f>IFERROR(NHS_A_E[[#This Row],[T1_Over4hrs]]/NHS_A_E[[#This Row],[T1_Attendances]], 0)</f>
        <v>0.43811492352211656</v>
      </c>
      <c r="O898">
        <f>NHS_A_E[[#This Row],[T1_Attendances]]+NHS_A_E[[#This Row],[Other_Attendances]]</f>
        <v>41453</v>
      </c>
      <c r="P898">
        <f>MATCH(LEFT(A898,FIND("-",A898)-1),{"April","May","June","July","August","September","October","November","December","January","February","March"},0)</f>
        <v>5</v>
      </c>
      <c r="Q898" s="3">
        <f t="shared" ref="Q898:Q961" si="28">IFERROR(J898/E898,0)</f>
        <v>3.3030177759404714E-2</v>
      </c>
      <c r="R898" t="str">
        <f t="shared" ref="R898:R961" si="29">TEXT(A898, "mmmm")</f>
        <v>August</v>
      </c>
    </row>
    <row r="899" spans="1:18" x14ac:dyDescent="0.35">
      <c r="A899" t="s">
        <v>433</v>
      </c>
      <c r="B899" t="s">
        <v>289</v>
      </c>
      <c r="C899" t="s">
        <v>30</v>
      </c>
      <c r="D899" t="s">
        <v>290</v>
      </c>
      <c r="E899">
        <v>0</v>
      </c>
      <c r="F899">
        <v>0</v>
      </c>
      <c r="G899">
        <v>0</v>
      </c>
      <c r="H899">
        <v>0</v>
      </c>
      <c r="I899">
        <v>0</v>
      </c>
      <c r="J899">
        <v>0</v>
      </c>
      <c r="K899" s="1">
        <v>45870</v>
      </c>
      <c r="L899" t="s">
        <v>429</v>
      </c>
      <c r="M899" t="s">
        <v>427</v>
      </c>
      <c r="N899" s="2">
        <f>IFERROR(NHS_A_E[[#This Row],[T1_Over4hrs]]/NHS_A_E[[#This Row],[T1_Attendances]], 0)</f>
        <v>0</v>
      </c>
      <c r="O899">
        <f>NHS_A_E[[#This Row],[T1_Attendances]]+NHS_A_E[[#This Row],[Other_Attendances]]</f>
        <v>0</v>
      </c>
      <c r="P899">
        <f>MATCH(LEFT(A899,FIND("-",A899)-1),{"April","May","June","July","August","September","October","November","December","January","February","March"},0)</f>
        <v>5</v>
      </c>
      <c r="Q899" s="3">
        <f t="shared" si="28"/>
        <v>0</v>
      </c>
      <c r="R899" t="str">
        <f t="shared" si="29"/>
        <v>August</v>
      </c>
    </row>
    <row r="900" spans="1:18" x14ac:dyDescent="0.35">
      <c r="A900" t="s">
        <v>433</v>
      </c>
      <c r="B900" t="s">
        <v>27</v>
      </c>
      <c r="C900" t="s">
        <v>20</v>
      </c>
      <c r="D900" t="s">
        <v>28</v>
      </c>
      <c r="E900">
        <v>7624</v>
      </c>
      <c r="F900">
        <v>13575</v>
      </c>
      <c r="G900">
        <v>3456</v>
      </c>
      <c r="H900">
        <v>810</v>
      </c>
      <c r="I900">
        <v>613</v>
      </c>
      <c r="J900">
        <v>303</v>
      </c>
      <c r="K900" s="1">
        <v>45870</v>
      </c>
      <c r="L900" t="s">
        <v>429</v>
      </c>
      <c r="M900" t="s">
        <v>427</v>
      </c>
      <c r="N900" s="2">
        <f>IFERROR(NHS_A_E[[#This Row],[T1_Over4hrs]]/NHS_A_E[[#This Row],[T1_Attendances]], 0)</f>
        <v>0.45330535152151102</v>
      </c>
      <c r="O900">
        <f>NHS_A_E[[#This Row],[T1_Attendances]]+NHS_A_E[[#This Row],[Other_Attendances]]</f>
        <v>21199</v>
      </c>
      <c r="P900">
        <f>MATCH(LEFT(A900,FIND("-",A900)-1),{"April","May","June","July","August","September","October","November","December","January","February","March"},0)</f>
        <v>5</v>
      </c>
      <c r="Q900" s="3">
        <f t="shared" si="28"/>
        <v>3.9742917103882475E-2</v>
      </c>
      <c r="R900" t="str">
        <f t="shared" si="29"/>
        <v>August</v>
      </c>
    </row>
    <row r="901" spans="1:18" x14ac:dyDescent="0.35">
      <c r="A901" t="s">
        <v>433</v>
      </c>
      <c r="B901" t="s">
        <v>345</v>
      </c>
      <c r="C901" t="s">
        <v>23</v>
      </c>
      <c r="D901" t="s">
        <v>346</v>
      </c>
      <c r="E901">
        <v>16039</v>
      </c>
      <c r="F901">
        <v>7600</v>
      </c>
      <c r="G901">
        <v>5896</v>
      </c>
      <c r="H901">
        <v>0</v>
      </c>
      <c r="I901">
        <v>82</v>
      </c>
      <c r="J901">
        <v>3</v>
      </c>
      <c r="K901" s="1">
        <v>45870</v>
      </c>
      <c r="L901" t="s">
        <v>429</v>
      </c>
      <c r="M901" t="s">
        <v>427</v>
      </c>
      <c r="N901" s="2">
        <f>IFERROR(NHS_A_E[[#This Row],[T1_Over4hrs]]/NHS_A_E[[#This Row],[T1_Attendances]], 0)</f>
        <v>0.36760396533449718</v>
      </c>
      <c r="O901">
        <f>NHS_A_E[[#This Row],[T1_Attendances]]+NHS_A_E[[#This Row],[Other_Attendances]]</f>
        <v>23639</v>
      </c>
      <c r="P901">
        <f>MATCH(LEFT(A901,FIND("-",A901)-1),{"April","May","June","July","August","September","October","November","December","January","February","March"},0)</f>
        <v>5</v>
      </c>
      <c r="Q901" s="3">
        <f t="shared" si="28"/>
        <v>1.8704408005486625E-4</v>
      </c>
      <c r="R901" t="str">
        <f t="shared" si="29"/>
        <v>August</v>
      </c>
    </row>
    <row r="902" spans="1:18" x14ac:dyDescent="0.35">
      <c r="A902" t="s">
        <v>433</v>
      </c>
      <c r="B902" t="s">
        <v>381</v>
      </c>
      <c r="C902" t="s">
        <v>40</v>
      </c>
      <c r="D902" t="s">
        <v>382</v>
      </c>
      <c r="E902">
        <v>0</v>
      </c>
      <c r="F902">
        <v>306</v>
      </c>
      <c r="G902">
        <v>0</v>
      </c>
      <c r="H902">
        <v>0</v>
      </c>
      <c r="I902">
        <v>0</v>
      </c>
      <c r="J902">
        <v>0</v>
      </c>
      <c r="K902" s="1">
        <v>45870</v>
      </c>
      <c r="L902" t="s">
        <v>429</v>
      </c>
      <c r="M902" t="s">
        <v>427</v>
      </c>
      <c r="N902" s="2">
        <f>IFERROR(NHS_A_E[[#This Row],[T1_Over4hrs]]/NHS_A_E[[#This Row],[T1_Attendances]], 0)</f>
        <v>0</v>
      </c>
      <c r="O902">
        <f>NHS_A_E[[#This Row],[T1_Attendances]]+NHS_A_E[[#This Row],[Other_Attendances]]</f>
        <v>306</v>
      </c>
      <c r="P902">
        <f>MATCH(LEFT(A902,FIND("-",A902)-1),{"April","May","June","July","August","September","October","November","December","January","February","March"},0)</f>
        <v>5</v>
      </c>
      <c r="Q902" s="3">
        <f t="shared" si="28"/>
        <v>0</v>
      </c>
      <c r="R902" t="str">
        <f t="shared" si="29"/>
        <v>August</v>
      </c>
    </row>
    <row r="903" spans="1:18" x14ac:dyDescent="0.35">
      <c r="A903" t="s">
        <v>433</v>
      </c>
      <c r="B903" t="s">
        <v>331</v>
      </c>
      <c r="C903" t="s">
        <v>15</v>
      </c>
      <c r="D903" t="s">
        <v>332</v>
      </c>
      <c r="E903">
        <v>0</v>
      </c>
      <c r="F903">
        <v>5076</v>
      </c>
      <c r="G903">
        <v>0</v>
      </c>
      <c r="H903">
        <v>48</v>
      </c>
      <c r="I903">
        <v>0</v>
      </c>
      <c r="J903">
        <v>0</v>
      </c>
      <c r="K903" s="1">
        <v>45870</v>
      </c>
      <c r="L903" t="s">
        <v>429</v>
      </c>
      <c r="M903" t="s">
        <v>427</v>
      </c>
      <c r="N903" s="2">
        <f>IFERROR(NHS_A_E[[#This Row],[T1_Over4hrs]]/NHS_A_E[[#This Row],[T1_Attendances]], 0)</f>
        <v>0</v>
      </c>
      <c r="O903">
        <f>NHS_A_E[[#This Row],[T1_Attendances]]+NHS_A_E[[#This Row],[Other_Attendances]]</f>
        <v>5076</v>
      </c>
      <c r="P903">
        <f>MATCH(LEFT(A903,FIND("-",A903)-1),{"April","May","June","July","August","September","October","November","December","January","February","March"},0)</f>
        <v>5</v>
      </c>
      <c r="Q903" s="3">
        <f t="shared" si="28"/>
        <v>0</v>
      </c>
      <c r="R903" t="str">
        <f t="shared" si="29"/>
        <v>August</v>
      </c>
    </row>
    <row r="904" spans="1:18" x14ac:dyDescent="0.35">
      <c r="A904" t="s">
        <v>433</v>
      </c>
      <c r="B904" t="s">
        <v>161</v>
      </c>
      <c r="C904" t="s">
        <v>30</v>
      </c>
      <c r="D904" t="s">
        <v>162</v>
      </c>
      <c r="E904">
        <v>6896</v>
      </c>
      <c r="F904">
        <v>2901</v>
      </c>
      <c r="G904">
        <v>4340</v>
      </c>
      <c r="H904">
        <v>16</v>
      </c>
      <c r="I904">
        <v>611</v>
      </c>
      <c r="J904">
        <v>378</v>
      </c>
      <c r="K904" s="1">
        <v>45870</v>
      </c>
      <c r="L904" t="s">
        <v>429</v>
      </c>
      <c r="M904" t="s">
        <v>427</v>
      </c>
      <c r="N904" s="2">
        <f>IFERROR(NHS_A_E[[#This Row],[T1_Over4hrs]]/NHS_A_E[[#This Row],[T1_Attendances]], 0)</f>
        <v>0.62935034802784218</v>
      </c>
      <c r="O904">
        <f>NHS_A_E[[#This Row],[T1_Attendances]]+NHS_A_E[[#This Row],[Other_Attendances]]</f>
        <v>9797</v>
      </c>
      <c r="P904">
        <f>MATCH(LEFT(A904,FIND("-",A904)-1),{"April","May","June","July","August","September","October","November","December","January","February","March"},0)</f>
        <v>5</v>
      </c>
      <c r="Q904" s="3">
        <f t="shared" si="28"/>
        <v>5.4814385150812064E-2</v>
      </c>
      <c r="R904" t="str">
        <f t="shared" si="29"/>
        <v>August</v>
      </c>
    </row>
    <row r="905" spans="1:18" x14ac:dyDescent="0.35">
      <c r="A905" t="s">
        <v>433</v>
      </c>
      <c r="B905" t="s">
        <v>46</v>
      </c>
      <c r="C905" t="s">
        <v>40</v>
      </c>
      <c r="D905" t="s">
        <v>47</v>
      </c>
      <c r="E905">
        <v>0</v>
      </c>
      <c r="F905">
        <v>0</v>
      </c>
      <c r="G905">
        <v>0</v>
      </c>
      <c r="H905">
        <v>0</v>
      </c>
      <c r="I905">
        <v>0</v>
      </c>
      <c r="J905">
        <v>0</v>
      </c>
      <c r="K905" s="1">
        <v>45870</v>
      </c>
      <c r="L905" t="s">
        <v>429</v>
      </c>
      <c r="M905" t="s">
        <v>427</v>
      </c>
      <c r="N905" s="2">
        <f>IFERROR(NHS_A_E[[#This Row],[T1_Over4hrs]]/NHS_A_E[[#This Row],[T1_Attendances]], 0)</f>
        <v>0</v>
      </c>
      <c r="O905">
        <f>NHS_A_E[[#This Row],[T1_Attendances]]+NHS_A_E[[#This Row],[Other_Attendances]]</f>
        <v>0</v>
      </c>
      <c r="P905">
        <f>MATCH(LEFT(A905,FIND("-",A905)-1),{"April","May","June","July","August","September","October","November","December","January","February","March"},0)</f>
        <v>5</v>
      </c>
      <c r="Q905" s="3">
        <f t="shared" si="28"/>
        <v>0</v>
      </c>
      <c r="R905" t="str">
        <f t="shared" si="29"/>
        <v>August</v>
      </c>
    </row>
    <row r="906" spans="1:18" x14ac:dyDescent="0.35">
      <c r="A906" t="s">
        <v>433</v>
      </c>
      <c r="B906" t="s">
        <v>58</v>
      </c>
      <c r="C906" t="s">
        <v>40</v>
      </c>
      <c r="D906" t="s">
        <v>59</v>
      </c>
      <c r="E906">
        <v>3491</v>
      </c>
      <c r="F906">
        <v>0</v>
      </c>
      <c r="G906">
        <v>155</v>
      </c>
      <c r="H906">
        <v>0</v>
      </c>
      <c r="I906">
        <v>7</v>
      </c>
      <c r="J906">
        <v>1</v>
      </c>
      <c r="K906" s="1">
        <v>45870</v>
      </c>
      <c r="L906" t="s">
        <v>429</v>
      </c>
      <c r="M906" t="s">
        <v>427</v>
      </c>
      <c r="N906" s="2">
        <f>IFERROR(NHS_A_E[[#This Row],[T1_Over4hrs]]/NHS_A_E[[#This Row],[T1_Attendances]], 0)</f>
        <v>4.439988541965053E-2</v>
      </c>
      <c r="O906">
        <f>NHS_A_E[[#This Row],[T1_Attendances]]+NHS_A_E[[#This Row],[Other_Attendances]]</f>
        <v>3491</v>
      </c>
      <c r="P906">
        <f>MATCH(LEFT(A906,FIND("-",A906)-1),{"April","May","June","July","August","September","October","November","December","January","February","March"},0)</f>
        <v>5</v>
      </c>
      <c r="Q906" s="3">
        <f t="shared" si="28"/>
        <v>2.8645087367516471E-4</v>
      </c>
      <c r="R906" t="str">
        <f t="shared" si="29"/>
        <v>August</v>
      </c>
    </row>
    <row r="907" spans="1:18" x14ac:dyDescent="0.35">
      <c r="A907" t="s">
        <v>433</v>
      </c>
      <c r="B907" t="s">
        <v>327</v>
      </c>
      <c r="C907" t="s">
        <v>40</v>
      </c>
      <c r="D907" t="s">
        <v>328</v>
      </c>
      <c r="E907">
        <v>0</v>
      </c>
      <c r="F907">
        <v>7623</v>
      </c>
      <c r="G907">
        <v>0</v>
      </c>
      <c r="H907">
        <v>226</v>
      </c>
      <c r="I907">
        <v>0</v>
      </c>
      <c r="J907">
        <v>0</v>
      </c>
      <c r="K907" s="1">
        <v>45870</v>
      </c>
      <c r="L907" t="s">
        <v>429</v>
      </c>
      <c r="M907" t="s">
        <v>427</v>
      </c>
      <c r="N907" s="2">
        <f>IFERROR(NHS_A_E[[#This Row],[T1_Over4hrs]]/NHS_A_E[[#This Row],[T1_Attendances]], 0)</f>
        <v>0</v>
      </c>
      <c r="O907">
        <f>NHS_A_E[[#This Row],[T1_Attendances]]+NHS_A_E[[#This Row],[Other_Attendances]]</f>
        <v>7623</v>
      </c>
      <c r="P907">
        <f>MATCH(LEFT(A907,FIND("-",A907)-1),{"April","May","June","July","August","September","October","November","December","January","February","March"},0)</f>
        <v>5</v>
      </c>
      <c r="Q907" s="3">
        <f t="shared" si="28"/>
        <v>0</v>
      </c>
      <c r="R907" t="str">
        <f t="shared" si="29"/>
        <v>August</v>
      </c>
    </row>
    <row r="908" spans="1:18" x14ac:dyDescent="0.35">
      <c r="A908" t="s">
        <v>433</v>
      </c>
      <c r="B908" t="s">
        <v>261</v>
      </c>
      <c r="C908" t="s">
        <v>15</v>
      </c>
      <c r="D908" t="s">
        <v>262</v>
      </c>
      <c r="E908">
        <v>0</v>
      </c>
      <c r="F908">
        <v>4916</v>
      </c>
      <c r="G908">
        <v>0</v>
      </c>
      <c r="H908">
        <v>0</v>
      </c>
      <c r="I908">
        <v>0</v>
      </c>
      <c r="J908">
        <v>0</v>
      </c>
      <c r="K908" s="1">
        <v>45870</v>
      </c>
      <c r="L908" t="s">
        <v>429</v>
      </c>
      <c r="M908" t="s">
        <v>427</v>
      </c>
      <c r="N908" s="2">
        <f>IFERROR(NHS_A_E[[#This Row],[T1_Over4hrs]]/NHS_A_E[[#This Row],[T1_Attendances]], 0)</f>
        <v>0</v>
      </c>
      <c r="O908">
        <f>NHS_A_E[[#This Row],[T1_Attendances]]+NHS_A_E[[#This Row],[Other_Attendances]]</f>
        <v>4916</v>
      </c>
      <c r="P908">
        <f>MATCH(LEFT(A908,FIND("-",A908)-1),{"April","May","June","July","August","September","October","November","December","January","February","March"},0)</f>
        <v>5</v>
      </c>
      <c r="Q908" s="3">
        <f t="shared" si="28"/>
        <v>0</v>
      </c>
      <c r="R908" t="str">
        <f t="shared" si="29"/>
        <v>August</v>
      </c>
    </row>
    <row r="909" spans="1:18" x14ac:dyDescent="0.35">
      <c r="A909" t="s">
        <v>433</v>
      </c>
      <c r="B909" t="s">
        <v>371</v>
      </c>
      <c r="C909" t="s">
        <v>35</v>
      </c>
      <c r="D909" t="s">
        <v>372</v>
      </c>
      <c r="E909">
        <v>5574</v>
      </c>
      <c r="F909">
        <v>6493</v>
      </c>
      <c r="G909">
        <v>2127</v>
      </c>
      <c r="H909">
        <v>64</v>
      </c>
      <c r="I909">
        <v>181</v>
      </c>
      <c r="J909">
        <v>8</v>
      </c>
      <c r="K909" s="1">
        <v>45870</v>
      </c>
      <c r="L909" t="s">
        <v>429</v>
      </c>
      <c r="M909" t="s">
        <v>427</v>
      </c>
      <c r="N909" s="2">
        <f>IFERROR(NHS_A_E[[#This Row],[T1_Over4hrs]]/NHS_A_E[[#This Row],[T1_Attendances]], 0)</f>
        <v>0.38159311087190528</v>
      </c>
      <c r="O909">
        <f>NHS_A_E[[#This Row],[T1_Attendances]]+NHS_A_E[[#This Row],[Other_Attendances]]</f>
        <v>12067</v>
      </c>
      <c r="P909">
        <f>MATCH(LEFT(A909,FIND("-",A909)-1),{"April","May","June","July","August","September","October","November","December","January","February","March"},0)</f>
        <v>5</v>
      </c>
      <c r="Q909" s="3">
        <f t="shared" si="28"/>
        <v>1.4352350197344816E-3</v>
      </c>
      <c r="R909" t="str">
        <f t="shared" si="29"/>
        <v>August</v>
      </c>
    </row>
    <row r="910" spans="1:18" x14ac:dyDescent="0.35">
      <c r="A910" t="s">
        <v>433</v>
      </c>
      <c r="B910" t="s">
        <v>269</v>
      </c>
      <c r="C910" t="s">
        <v>40</v>
      </c>
      <c r="D910" t="s">
        <v>270</v>
      </c>
      <c r="E910">
        <v>5759</v>
      </c>
      <c r="F910">
        <v>201</v>
      </c>
      <c r="G910">
        <v>2318</v>
      </c>
      <c r="H910">
        <v>0</v>
      </c>
      <c r="I910">
        <v>454</v>
      </c>
      <c r="J910">
        <v>207</v>
      </c>
      <c r="K910" s="1">
        <v>45870</v>
      </c>
      <c r="L910" t="s">
        <v>429</v>
      </c>
      <c r="M910" t="s">
        <v>427</v>
      </c>
      <c r="N910" s="2">
        <f>IFERROR(NHS_A_E[[#This Row],[T1_Over4hrs]]/NHS_A_E[[#This Row],[T1_Attendances]], 0)</f>
        <v>0.4025004341031429</v>
      </c>
      <c r="O910">
        <f>NHS_A_E[[#This Row],[T1_Attendances]]+NHS_A_E[[#This Row],[Other_Attendances]]</f>
        <v>5960</v>
      </c>
      <c r="P910">
        <f>MATCH(LEFT(A910,FIND("-",A910)-1),{"April","May","June","July","August","September","October","November","December","January","February","March"},0)</f>
        <v>5</v>
      </c>
      <c r="Q910" s="3">
        <f t="shared" si="28"/>
        <v>3.5943740232679287E-2</v>
      </c>
      <c r="R910" t="str">
        <f t="shared" si="29"/>
        <v>August</v>
      </c>
    </row>
    <row r="911" spans="1:18" x14ac:dyDescent="0.35">
      <c r="A911" t="s">
        <v>433</v>
      </c>
      <c r="B911" t="s">
        <v>54</v>
      </c>
      <c r="C911" t="s">
        <v>15</v>
      </c>
      <c r="D911" t="s">
        <v>55</v>
      </c>
      <c r="E911">
        <v>0</v>
      </c>
      <c r="F911">
        <v>4244</v>
      </c>
      <c r="G911">
        <v>0</v>
      </c>
      <c r="H911">
        <v>116</v>
      </c>
      <c r="I911">
        <v>0</v>
      </c>
      <c r="J911">
        <v>0</v>
      </c>
      <c r="K911" s="1">
        <v>45870</v>
      </c>
      <c r="L911" t="s">
        <v>429</v>
      </c>
      <c r="M911" t="s">
        <v>427</v>
      </c>
      <c r="N911" s="2">
        <f>IFERROR(NHS_A_E[[#This Row],[T1_Over4hrs]]/NHS_A_E[[#This Row],[T1_Attendances]], 0)</f>
        <v>0</v>
      </c>
      <c r="O911">
        <f>NHS_A_E[[#This Row],[T1_Attendances]]+NHS_A_E[[#This Row],[Other_Attendances]]</f>
        <v>4244</v>
      </c>
      <c r="P911">
        <f>MATCH(LEFT(A911,FIND("-",A911)-1),{"April","May","June","July","August","September","October","November","December","January","February","March"},0)</f>
        <v>5</v>
      </c>
      <c r="Q911" s="3">
        <f t="shared" si="28"/>
        <v>0</v>
      </c>
      <c r="R911" t="str">
        <f t="shared" si="29"/>
        <v>August</v>
      </c>
    </row>
    <row r="912" spans="1:18" x14ac:dyDescent="0.35">
      <c r="A912" t="s">
        <v>433</v>
      </c>
      <c r="B912" t="s">
        <v>235</v>
      </c>
      <c r="C912" t="s">
        <v>35</v>
      </c>
      <c r="D912" t="s">
        <v>236</v>
      </c>
      <c r="E912">
        <v>10343</v>
      </c>
      <c r="F912">
        <v>0</v>
      </c>
      <c r="G912">
        <v>1958</v>
      </c>
      <c r="H912">
        <v>0</v>
      </c>
      <c r="I912">
        <v>224</v>
      </c>
      <c r="J912">
        <v>35</v>
      </c>
      <c r="K912" s="1">
        <v>45870</v>
      </c>
      <c r="L912" t="s">
        <v>429</v>
      </c>
      <c r="M912" t="s">
        <v>427</v>
      </c>
      <c r="N912" s="2">
        <f>IFERROR(NHS_A_E[[#This Row],[T1_Over4hrs]]/NHS_A_E[[#This Row],[T1_Attendances]], 0)</f>
        <v>0.18930677753069708</v>
      </c>
      <c r="O912">
        <f>NHS_A_E[[#This Row],[T1_Attendances]]+NHS_A_E[[#This Row],[Other_Attendances]]</f>
        <v>10343</v>
      </c>
      <c r="P912">
        <f>MATCH(LEFT(A912,FIND("-",A912)-1),{"April","May","June","July","August","September","October","November","December","January","February","March"},0)</f>
        <v>5</v>
      </c>
      <c r="Q912" s="3">
        <f t="shared" si="28"/>
        <v>3.383931161171807E-3</v>
      </c>
      <c r="R912" t="str">
        <f t="shared" si="29"/>
        <v>August</v>
      </c>
    </row>
    <row r="913" spans="1:18" x14ac:dyDescent="0.35">
      <c r="A913" t="s">
        <v>433</v>
      </c>
      <c r="B913" t="s">
        <v>275</v>
      </c>
      <c r="C913" t="s">
        <v>20</v>
      </c>
      <c r="D913" t="s">
        <v>276</v>
      </c>
      <c r="E913">
        <v>0</v>
      </c>
      <c r="F913">
        <v>8680</v>
      </c>
      <c r="G913">
        <v>0</v>
      </c>
      <c r="H913">
        <v>125</v>
      </c>
      <c r="I913">
        <v>0</v>
      </c>
      <c r="J913">
        <v>0</v>
      </c>
      <c r="K913" s="1">
        <v>45870</v>
      </c>
      <c r="L913" t="s">
        <v>429</v>
      </c>
      <c r="M913" t="s">
        <v>427</v>
      </c>
      <c r="N913" s="2">
        <f>IFERROR(NHS_A_E[[#This Row],[T1_Over4hrs]]/NHS_A_E[[#This Row],[T1_Attendances]], 0)</f>
        <v>0</v>
      </c>
      <c r="O913">
        <f>NHS_A_E[[#This Row],[T1_Attendances]]+NHS_A_E[[#This Row],[Other_Attendances]]</f>
        <v>8680</v>
      </c>
      <c r="P913">
        <f>MATCH(LEFT(A913,FIND("-",A913)-1),{"April","May","June","July","August","September","October","November","December","January","February","March"},0)</f>
        <v>5</v>
      </c>
      <c r="Q913" s="3">
        <f t="shared" si="28"/>
        <v>0</v>
      </c>
      <c r="R913" t="str">
        <f t="shared" si="29"/>
        <v>August</v>
      </c>
    </row>
    <row r="914" spans="1:18" x14ac:dyDescent="0.35">
      <c r="A914" t="s">
        <v>433</v>
      </c>
      <c r="B914" t="s">
        <v>255</v>
      </c>
      <c r="C914" t="s">
        <v>15</v>
      </c>
      <c r="D914" t="s">
        <v>256</v>
      </c>
      <c r="E914">
        <v>0</v>
      </c>
      <c r="F914">
        <v>0</v>
      </c>
      <c r="G914">
        <v>0</v>
      </c>
      <c r="H914">
        <v>0</v>
      </c>
      <c r="I914">
        <v>0</v>
      </c>
      <c r="J914">
        <v>0</v>
      </c>
      <c r="K914" s="1">
        <v>45870</v>
      </c>
      <c r="L914" t="s">
        <v>429</v>
      </c>
      <c r="M914" t="s">
        <v>427</v>
      </c>
      <c r="N914" s="2">
        <f>IFERROR(NHS_A_E[[#This Row],[T1_Over4hrs]]/NHS_A_E[[#This Row],[T1_Attendances]], 0)</f>
        <v>0</v>
      </c>
      <c r="O914">
        <f>NHS_A_E[[#This Row],[T1_Attendances]]+NHS_A_E[[#This Row],[Other_Attendances]]</f>
        <v>0</v>
      </c>
      <c r="P914">
        <f>MATCH(LEFT(A914,FIND("-",A914)-1),{"April","May","June","July","August","September","October","November","December","January","February","March"},0)</f>
        <v>5</v>
      </c>
      <c r="Q914" s="3">
        <f t="shared" si="28"/>
        <v>0</v>
      </c>
      <c r="R914" t="str">
        <f t="shared" si="29"/>
        <v>August</v>
      </c>
    </row>
    <row r="915" spans="1:18" x14ac:dyDescent="0.35">
      <c r="A915" t="s">
        <v>433</v>
      </c>
      <c r="B915" t="s">
        <v>257</v>
      </c>
      <c r="C915" t="s">
        <v>35</v>
      </c>
      <c r="D915" t="s">
        <v>258</v>
      </c>
      <c r="E915">
        <v>0</v>
      </c>
      <c r="F915">
        <v>7556</v>
      </c>
      <c r="G915">
        <v>0</v>
      </c>
      <c r="H915">
        <v>113</v>
      </c>
      <c r="I915">
        <v>0</v>
      </c>
      <c r="J915">
        <v>0</v>
      </c>
      <c r="K915" s="1">
        <v>45870</v>
      </c>
      <c r="L915" t="s">
        <v>429</v>
      </c>
      <c r="M915" t="s">
        <v>427</v>
      </c>
      <c r="N915" s="2">
        <f>IFERROR(NHS_A_E[[#This Row],[T1_Over4hrs]]/NHS_A_E[[#This Row],[T1_Attendances]], 0)</f>
        <v>0</v>
      </c>
      <c r="O915">
        <f>NHS_A_E[[#This Row],[T1_Attendances]]+NHS_A_E[[#This Row],[Other_Attendances]]</f>
        <v>7556</v>
      </c>
      <c r="P915">
        <f>MATCH(LEFT(A915,FIND("-",A915)-1),{"April","May","June","July","August","September","October","November","December","January","February","March"},0)</f>
        <v>5</v>
      </c>
      <c r="Q915" s="3">
        <f t="shared" si="28"/>
        <v>0</v>
      </c>
      <c r="R915" t="str">
        <f t="shared" si="29"/>
        <v>August</v>
      </c>
    </row>
    <row r="916" spans="1:18" x14ac:dyDescent="0.35">
      <c r="A916" t="s">
        <v>433</v>
      </c>
      <c r="B916" t="s">
        <v>14</v>
      </c>
      <c r="C916" t="s">
        <v>15</v>
      </c>
      <c r="D916" t="s">
        <v>16</v>
      </c>
      <c r="E916">
        <v>0</v>
      </c>
      <c r="F916">
        <v>2599</v>
      </c>
      <c r="G916">
        <v>0</v>
      </c>
      <c r="H916">
        <v>0</v>
      </c>
      <c r="I916">
        <v>0</v>
      </c>
      <c r="J916">
        <v>0</v>
      </c>
      <c r="K916" s="1">
        <v>45870</v>
      </c>
      <c r="L916" t="s">
        <v>429</v>
      </c>
      <c r="M916" t="s">
        <v>427</v>
      </c>
      <c r="N916" s="2">
        <f>IFERROR(NHS_A_E[[#This Row],[T1_Over4hrs]]/NHS_A_E[[#This Row],[T1_Attendances]], 0)</f>
        <v>0</v>
      </c>
      <c r="O916">
        <f>NHS_A_E[[#This Row],[T1_Attendances]]+NHS_A_E[[#This Row],[Other_Attendances]]</f>
        <v>2599</v>
      </c>
      <c r="P916">
        <f>MATCH(LEFT(A916,FIND("-",A916)-1),{"April","May","June","July","August","September","October","November","December","January","February","March"},0)</f>
        <v>5</v>
      </c>
      <c r="Q916" s="3">
        <f t="shared" si="28"/>
        <v>0</v>
      </c>
      <c r="R916" t="str">
        <f t="shared" si="29"/>
        <v>August</v>
      </c>
    </row>
    <row r="917" spans="1:18" x14ac:dyDescent="0.35">
      <c r="A917" t="s">
        <v>433</v>
      </c>
      <c r="B917" t="s">
        <v>385</v>
      </c>
      <c r="C917" t="s">
        <v>20</v>
      </c>
      <c r="D917" t="s">
        <v>386</v>
      </c>
      <c r="E917">
        <v>0</v>
      </c>
      <c r="F917">
        <v>8674</v>
      </c>
      <c r="G917">
        <v>0</v>
      </c>
      <c r="H917">
        <v>264</v>
      </c>
      <c r="I917">
        <v>0</v>
      </c>
      <c r="J917">
        <v>0</v>
      </c>
      <c r="K917" s="1">
        <v>45870</v>
      </c>
      <c r="L917" t="s">
        <v>429</v>
      </c>
      <c r="M917" t="s">
        <v>427</v>
      </c>
      <c r="N917" s="2">
        <f>IFERROR(NHS_A_E[[#This Row],[T1_Over4hrs]]/NHS_A_E[[#This Row],[T1_Attendances]], 0)</f>
        <v>0</v>
      </c>
      <c r="O917">
        <f>NHS_A_E[[#This Row],[T1_Attendances]]+NHS_A_E[[#This Row],[Other_Attendances]]</f>
        <v>8674</v>
      </c>
      <c r="P917">
        <f>MATCH(LEFT(A917,FIND("-",A917)-1),{"April","May","June","July","August","September","October","November","December","January","February","March"},0)</f>
        <v>5</v>
      </c>
      <c r="Q917" s="3">
        <f t="shared" si="28"/>
        <v>0</v>
      </c>
      <c r="R917" t="str">
        <f t="shared" si="29"/>
        <v>August</v>
      </c>
    </row>
    <row r="918" spans="1:18" x14ac:dyDescent="0.35">
      <c r="A918" t="s">
        <v>433</v>
      </c>
      <c r="B918" t="s">
        <v>75</v>
      </c>
      <c r="C918" t="s">
        <v>63</v>
      </c>
      <c r="D918" t="s">
        <v>76</v>
      </c>
      <c r="E918">
        <v>0</v>
      </c>
      <c r="F918">
        <v>3507</v>
      </c>
      <c r="G918">
        <v>0</v>
      </c>
      <c r="H918">
        <v>262</v>
      </c>
      <c r="I918">
        <v>0</v>
      </c>
      <c r="J918">
        <v>0</v>
      </c>
      <c r="K918" s="1">
        <v>45870</v>
      </c>
      <c r="L918" t="s">
        <v>429</v>
      </c>
      <c r="M918" t="s">
        <v>427</v>
      </c>
      <c r="N918" s="2">
        <f>IFERROR(NHS_A_E[[#This Row],[T1_Over4hrs]]/NHS_A_E[[#This Row],[T1_Attendances]], 0)</f>
        <v>0</v>
      </c>
      <c r="O918">
        <f>NHS_A_E[[#This Row],[T1_Attendances]]+NHS_A_E[[#This Row],[Other_Attendances]]</f>
        <v>3507</v>
      </c>
      <c r="P918">
        <f>MATCH(LEFT(A918,FIND("-",A918)-1),{"April","May","June","July","August","September","October","November","December","January","February","March"},0)</f>
        <v>5</v>
      </c>
      <c r="Q918" s="3">
        <f t="shared" si="28"/>
        <v>0</v>
      </c>
      <c r="R918" t="str">
        <f t="shared" si="29"/>
        <v>August</v>
      </c>
    </row>
    <row r="919" spans="1:18" x14ac:dyDescent="0.35">
      <c r="A919" t="s">
        <v>433</v>
      </c>
      <c r="B919" t="s">
        <v>77</v>
      </c>
      <c r="C919" t="s">
        <v>63</v>
      </c>
      <c r="D919" t="s">
        <v>78</v>
      </c>
      <c r="E919">
        <v>0</v>
      </c>
      <c r="F919">
        <v>1732</v>
      </c>
      <c r="G919">
        <v>0</v>
      </c>
      <c r="H919">
        <v>73</v>
      </c>
      <c r="I919">
        <v>0</v>
      </c>
      <c r="J919">
        <v>0</v>
      </c>
      <c r="K919" s="1">
        <v>45870</v>
      </c>
      <c r="L919" t="s">
        <v>429</v>
      </c>
      <c r="M919" t="s">
        <v>427</v>
      </c>
      <c r="N919" s="2">
        <f>IFERROR(NHS_A_E[[#This Row],[T1_Over4hrs]]/NHS_A_E[[#This Row],[T1_Attendances]], 0)</f>
        <v>0</v>
      </c>
      <c r="O919">
        <f>NHS_A_E[[#This Row],[T1_Attendances]]+NHS_A_E[[#This Row],[Other_Attendances]]</f>
        <v>1732</v>
      </c>
      <c r="P919">
        <f>MATCH(LEFT(A919,FIND("-",A919)-1),{"April","May","June","July","August","September","October","November","December","January","February","March"},0)</f>
        <v>5</v>
      </c>
      <c r="Q919" s="3">
        <f t="shared" si="28"/>
        <v>0</v>
      </c>
      <c r="R919" t="str">
        <f t="shared" si="29"/>
        <v>August</v>
      </c>
    </row>
    <row r="920" spans="1:18" x14ac:dyDescent="0.35">
      <c r="A920" t="s">
        <v>433</v>
      </c>
      <c r="B920" t="s">
        <v>79</v>
      </c>
      <c r="C920" t="s">
        <v>63</v>
      </c>
      <c r="D920" t="s">
        <v>80</v>
      </c>
      <c r="E920">
        <v>0</v>
      </c>
      <c r="F920">
        <v>2699</v>
      </c>
      <c r="G920">
        <v>0</v>
      </c>
      <c r="H920">
        <v>156</v>
      </c>
      <c r="I920">
        <v>0</v>
      </c>
      <c r="J920">
        <v>0</v>
      </c>
      <c r="K920" s="1">
        <v>45870</v>
      </c>
      <c r="L920" t="s">
        <v>429</v>
      </c>
      <c r="M920" t="s">
        <v>427</v>
      </c>
      <c r="N920" s="2">
        <f>IFERROR(NHS_A_E[[#This Row],[T1_Over4hrs]]/NHS_A_E[[#This Row],[T1_Attendances]], 0)</f>
        <v>0</v>
      </c>
      <c r="O920">
        <f>NHS_A_E[[#This Row],[T1_Attendances]]+NHS_A_E[[#This Row],[Other_Attendances]]</f>
        <v>2699</v>
      </c>
      <c r="P920">
        <f>MATCH(LEFT(A920,FIND("-",A920)-1),{"April","May","June","July","August","September","October","November","December","January","February","March"},0)</f>
        <v>5</v>
      </c>
      <c r="Q920" s="3">
        <f t="shared" si="28"/>
        <v>0</v>
      </c>
      <c r="R920" t="str">
        <f t="shared" si="29"/>
        <v>August</v>
      </c>
    </row>
    <row r="921" spans="1:18" x14ac:dyDescent="0.35">
      <c r="A921" t="s">
        <v>433</v>
      </c>
      <c r="B921" t="s">
        <v>81</v>
      </c>
      <c r="C921" t="s">
        <v>63</v>
      </c>
      <c r="D921" t="s">
        <v>82</v>
      </c>
      <c r="E921">
        <v>0</v>
      </c>
      <c r="F921">
        <v>1554</v>
      </c>
      <c r="G921">
        <v>0</v>
      </c>
      <c r="H921">
        <v>7</v>
      </c>
      <c r="I921">
        <v>0</v>
      </c>
      <c r="J921">
        <v>0</v>
      </c>
      <c r="K921" s="1">
        <v>45870</v>
      </c>
      <c r="L921" t="s">
        <v>429</v>
      </c>
      <c r="M921" t="s">
        <v>427</v>
      </c>
      <c r="N921" s="2">
        <f>IFERROR(NHS_A_E[[#This Row],[T1_Over4hrs]]/NHS_A_E[[#This Row],[T1_Attendances]], 0)</f>
        <v>0</v>
      </c>
      <c r="O921">
        <f>NHS_A_E[[#This Row],[T1_Attendances]]+NHS_A_E[[#This Row],[Other_Attendances]]</f>
        <v>1554</v>
      </c>
      <c r="P921">
        <f>MATCH(LEFT(A921,FIND("-",A921)-1),{"April","May","June","July","August","September","October","November","December","January","February","March"},0)</f>
        <v>5</v>
      </c>
      <c r="Q921" s="3">
        <f t="shared" si="28"/>
        <v>0</v>
      </c>
      <c r="R921" t="str">
        <f t="shared" si="29"/>
        <v>August</v>
      </c>
    </row>
    <row r="922" spans="1:18" x14ac:dyDescent="0.35">
      <c r="A922" t="s">
        <v>433</v>
      </c>
      <c r="B922" t="s">
        <v>339</v>
      </c>
      <c r="C922" t="s">
        <v>20</v>
      </c>
      <c r="D922" t="s">
        <v>340</v>
      </c>
      <c r="E922">
        <v>14677</v>
      </c>
      <c r="F922">
        <v>0</v>
      </c>
      <c r="G922">
        <v>5119</v>
      </c>
      <c r="H922">
        <v>0</v>
      </c>
      <c r="I922">
        <v>885</v>
      </c>
      <c r="J922">
        <v>188</v>
      </c>
      <c r="K922" s="1">
        <v>45870</v>
      </c>
      <c r="L922" t="s">
        <v>429</v>
      </c>
      <c r="M922" t="s">
        <v>427</v>
      </c>
      <c r="N922" s="2">
        <f>IFERROR(NHS_A_E[[#This Row],[T1_Over4hrs]]/NHS_A_E[[#This Row],[T1_Attendances]], 0)</f>
        <v>0.34877699802411938</v>
      </c>
      <c r="O922">
        <f>NHS_A_E[[#This Row],[T1_Attendances]]+NHS_A_E[[#This Row],[Other_Attendances]]</f>
        <v>14677</v>
      </c>
      <c r="P922">
        <f>MATCH(LEFT(A922,FIND("-",A922)-1),{"April","May","June","July","August","September","October","November","December","January","February","March"},0)</f>
        <v>5</v>
      </c>
      <c r="Q922" s="3">
        <f t="shared" si="28"/>
        <v>1.2809157184710773E-2</v>
      </c>
      <c r="R922" t="str">
        <f t="shared" si="29"/>
        <v>August</v>
      </c>
    </row>
    <row r="923" spans="1:18" x14ac:dyDescent="0.35">
      <c r="A923" t="s">
        <v>433</v>
      </c>
      <c r="B923" t="s">
        <v>329</v>
      </c>
      <c r="C923" t="s">
        <v>40</v>
      </c>
      <c r="D923" t="s">
        <v>430</v>
      </c>
      <c r="E923">
        <v>0</v>
      </c>
      <c r="F923">
        <v>3664</v>
      </c>
      <c r="G923">
        <v>0</v>
      </c>
      <c r="H923">
        <v>871</v>
      </c>
      <c r="I923">
        <v>0</v>
      </c>
      <c r="J923">
        <v>0</v>
      </c>
      <c r="K923" s="1">
        <v>45870</v>
      </c>
      <c r="L923" t="s">
        <v>429</v>
      </c>
      <c r="M923" t="s">
        <v>427</v>
      </c>
      <c r="N923" s="2">
        <f>IFERROR(NHS_A_E[[#This Row],[T1_Over4hrs]]/NHS_A_E[[#This Row],[T1_Attendances]], 0)</f>
        <v>0</v>
      </c>
      <c r="O923">
        <f>NHS_A_E[[#This Row],[T1_Attendances]]+NHS_A_E[[#This Row],[Other_Attendances]]</f>
        <v>3664</v>
      </c>
      <c r="P923">
        <f>MATCH(LEFT(A923,FIND("-",A923)-1),{"April","May","June","July","August","September","October","November","December","January","February","March"},0)</f>
        <v>5</v>
      </c>
      <c r="Q923" s="3">
        <f t="shared" si="28"/>
        <v>0</v>
      </c>
      <c r="R923" t="str">
        <f t="shared" si="29"/>
        <v>August</v>
      </c>
    </row>
    <row r="924" spans="1:18" x14ac:dyDescent="0.35">
      <c r="A924" t="s">
        <v>433</v>
      </c>
      <c r="B924" t="s">
        <v>389</v>
      </c>
      <c r="C924" t="s">
        <v>20</v>
      </c>
      <c r="D924" t="s">
        <v>390</v>
      </c>
      <c r="E924">
        <v>5127</v>
      </c>
      <c r="F924">
        <v>0</v>
      </c>
      <c r="G924">
        <v>1675</v>
      </c>
      <c r="H924">
        <v>0</v>
      </c>
      <c r="I924">
        <v>196</v>
      </c>
      <c r="J924">
        <v>44</v>
      </c>
      <c r="K924" s="1">
        <v>45870</v>
      </c>
      <c r="L924" t="s">
        <v>429</v>
      </c>
      <c r="M924" t="s">
        <v>427</v>
      </c>
      <c r="N924" s="2">
        <f>IFERROR(NHS_A_E[[#This Row],[T1_Over4hrs]]/NHS_A_E[[#This Row],[T1_Attendances]], 0)</f>
        <v>0.3267017749171055</v>
      </c>
      <c r="O924">
        <f>NHS_A_E[[#This Row],[T1_Attendances]]+NHS_A_E[[#This Row],[Other_Attendances]]</f>
        <v>5127</v>
      </c>
      <c r="P924">
        <f>MATCH(LEFT(A924,FIND("-",A924)-1),{"April","May","June","July","August","September","October","November","December","January","February","March"},0)</f>
        <v>5</v>
      </c>
      <c r="Q924" s="3">
        <f t="shared" si="28"/>
        <v>8.5820167739418772E-3</v>
      </c>
      <c r="R924" t="str">
        <f t="shared" si="29"/>
        <v>August</v>
      </c>
    </row>
    <row r="925" spans="1:18" x14ac:dyDescent="0.35">
      <c r="A925" t="s">
        <v>433</v>
      </c>
      <c r="B925" t="s">
        <v>315</v>
      </c>
      <c r="C925" t="s">
        <v>23</v>
      </c>
      <c r="D925" t="s">
        <v>316</v>
      </c>
      <c r="E925">
        <v>7618</v>
      </c>
      <c r="F925">
        <v>1350</v>
      </c>
      <c r="G925">
        <v>3025</v>
      </c>
      <c r="H925">
        <v>0</v>
      </c>
      <c r="I925">
        <v>521</v>
      </c>
      <c r="J925">
        <v>230</v>
      </c>
      <c r="K925" s="1">
        <v>45870</v>
      </c>
      <c r="L925" t="s">
        <v>429</v>
      </c>
      <c r="M925" t="s">
        <v>427</v>
      </c>
      <c r="N925" s="2">
        <f>IFERROR(NHS_A_E[[#This Row],[T1_Over4hrs]]/NHS_A_E[[#This Row],[T1_Attendances]], 0)</f>
        <v>0.39708584930427931</v>
      </c>
      <c r="O925">
        <f>NHS_A_E[[#This Row],[T1_Attendances]]+NHS_A_E[[#This Row],[Other_Attendances]]</f>
        <v>8968</v>
      </c>
      <c r="P925">
        <f>MATCH(LEFT(A925,FIND("-",A925)-1),{"April","May","June","July","August","September","October","November","December","January","February","March"},0)</f>
        <v>5</v>
      </c>
      <c r="Q925" s="3">
        <f t="shared" si="28"/>
        <v>3.0191651352060908E-2</v>
      </c>
      <c r="R925" t="str">
        <f t="shared" si="29"/>
        <v>August</v>
      </c>
    </row>
    <row r="926" spans="1:18" x14ac:dyDescent="0.35">
      <c r="A926" t="s">
        <v>433</v>
      </c>
      <c r="B926" t="s">
        <v>313</v>
      </c>
      <c r="C926" t="s">
        <v>20</v>
      </c>
      <c r="D926" t="s">
        <v>314</v>
      </c>
      <c r="E926">
        <v>0</v>
      </c>
      <c r="F926">
        <v>0</v>
      </c>
      <c r="G926">
        <v>0</v>
      </c>
      <c r="H926">
        <v>0</v>
      </c>
      <c r="I926">
        <v>0</v>
      </c>
      <c r="J926">
        <v>0</v>
      </c>
      <c r="K926" s="1">
        <v>45870</v>
      </c>
      <c r="L926" t="s">
        <v>429</v>
      </c>
      <c r="M926" t="s">
        <v>427</v>
      </c>
      <c r="N926" s="2">
        <f>IFERROR(NHS_A_E[[#This Row],[T1_Over4hrs]]/NHS_A_E[[#This Row],[T1_Attendances]], 0)</f>
        <v>0</v>
      </c>
      <c r="O926">
        <f>NHS_A_E[[#This Row],[T1_Attendances]]+NHS_A_E[[#This Row],[Other_Attendances]]</f>
        <v>0</v>
      </c>
      <c r="P926">
        <f>MATCH(LEFT(A926,FIND("-",A926)-1),{"April","May","June","July","August","September","October","November","December","January","February","March"},0)</f>
        <v>5</v>
      </c>
      <c r="Q926" s="3">
        <f t="shared" si="28"/>
        <v>0</v>
      </c>
      <c r="R926" t="str">
        <f t="shared" si="29"/>
        <v>August</v>
      </c>
    </row>
    <row r="927" spans="1:18" x14ac:dyDescent="0.35">
      <c r="A927" t="s">
        <v>433</v>
      </c>
      <c r="B927" t="s">
        <v>127</v>
      </c>
      <c r="C927" t="s">
        <v>15</v>
      </c>
      <c r="D927" t="s">
        <v>128</v>
      </c>
      <c r="E927">
        <v>0</v>
      </c>
      <c r="F927">
        <v>1869</v>
      </c>
      <c r="G927">
        <v>0</v>
      </c>
      <c r="H927">
        <v>0</v>
      </c>
      <c r="I927">
        <v>0</v>
      </c>
      <c r="J927">
        <v>0</v>
      </c>
      <c r="K927" s="1">
        <v>45870</v>
      </c>
      <c r="L927" t="s">
        <v>429</v>
      </c>
      <c r="M927" t="s">
        <v>427</v>
      </c>
      <c r="N927" s="2">
        <f>IFERROR(NHS_A_E[[#This Row],[T1_Over4hrs]]/NHS_A_E[[#This Row],[T1_Attendances]], 0)</f>
        <v>0</v>
      </c>
      <c r="O927">
        <f>NHS_A_E[[#This Row],[T1_Attendances]]+NHS_A_E[[#This Row],[Other_Attendances]]</f>
        <v>1869</v>
      </c>
      <c r="P927">
        <f>MATCH(LEFT(A927,FIND("-",A927)-1),{"April","May","June","July","August","September","October","November","December","January","February","March"},0)</f>
        <v>5</v>
      </c>
      <c r="Q927" s="3">
        <f t="shared" si="28"/>
        <v>0</v>
      </c>
      <c r="R927" t="str">
        <f t="shared" si="29"/>
        <v>August</v>
      </c>
    </row>
    <row r="928" spans="1:18" x14ac:dyDescent="0.35">
      <c r="A928" t="s">
        <v>433</v>
      </c>
      <c r="B928" t="s">
        <v>431</v>
      </c>
      <c r="C928" t="s">
        <v>15</v>
      </c>
      <c r="D928" t="s">
        <v>432</v>
      </c>
      <c r="E928">
        <v>0</v>
      </c>
      <c r="F928">
        <v>2531</v>
      </c>
      <c r="G928">
        <v>0</v>
      </c>
      <c r="H928">
        <v>0</v>
      </c>
      <c r="I928">
        <v>0</v>
      </c>
      <c r="J928">
        <v>0</v>
      </c>
      <c r="K928" s="1">
        <v>45870</v>
      </c>
      <c r="L928" t="s">
        <v>429</v>
      </c>
      <c r="M928" t="s">
        <v>427</v>
      </c>
      <c r="N928" s="2">
        <f>IFERROR(NHS_A_E[[#This Row],[T1_Over4hrs]]/NHS_A_E[[#This Row],[T1_Attendances]], 0)</f>
        <v>0</v>
      </c>
      <c r="O928">
        <f>NHS_A_E[[#This Row],[T1_Attendances]]+NHS_A_E[[#This Row],[Other_Attendances]]</f>
        <v>2531</v>
      </c>
      <c r="P928">
        <f>MATCH(LEFT(A928,FIND("-",A928)-1),{"April","May","June","July","August","September","October","November","December","January","February","March"},0)</f>
        <v>5</v>
      </c>
      <c r="Q928" s="3">
        <f t="shared" si="28"/>
        <v>0</v>
      </c>
      <c r="R928" t="str">
        <f t="shared" si="29"/>
        <v>August</v>
      </c>
    </row>
    <row r="929" spans="1:18" x14ac:dyDescent="0.35">
      <c r="A929" t="s">
        <v>433</v>
      </c>
      <c r="B929" t="s">
        <v>307</v>
      </c>
      <c r="C929" t="s">
        <v>40</v>
      </c>
      <c r="D929" t="s">
        <v>308</v>
      </c>
      <c r="E929">
        <v>0</v>
      </c>
      <c r="F929">
        <v>3085</v>
      </c>
      <c r="G929">
        <v>0</v>
      </c>
      <c r="H929">
        <v>0</v>
      </c>
      <c r="I929">
        <v>0</v>
      </c>
      <c r="J929">
        <v>0</v>
      </c>
      <c r="K929" s="1">
        <v>45870</v>
      </c>
      <c r="L929" t="s">
        <v>429</v>
      </c>
      <c r="M929" t="s">
        <v>427</v>
      </c>
      <c r="N929" s="2">
        <f>IFERROR(NHS_A_E[[#This Row],[T1_Over4hrs]]/NHS_A_E[[#This Row],[T1_Attendances]], 0)</f>
        <v>0</v>
      </c>
      <c r="O929">
        <f>NHS_A_E[[#This Row],[T1_Attendances]]+NHS_A_E[[#This Row],[Other_Attendances]]</f>
        <v>3085</v>
      </c>
      <c r="P929">
        <f>MATCH(LEFT(A929,FIND("-",A929)-1),{"April","May","June","July","August","September","October","November","December","January","February","March"},0)</f>
        <v>5</v>
      </c>
      <c r="Q929" s="3">
        <f t="shared" si="28"/>
        <v>0</v>
      </c>
      <c r="R929" t="str">
        <f t="shared" si="29"/>
        <v>August</v>
      </c>
    </row>
    <row r="930" spans="1:18" x14ac:dyDescent="0.35">
      <c r="A930" t="s">
        <v>433</v>
      </c>
      <c r="B930" t="s">
        <v>245</v>
      </c>
      <c r="C930" t="s">
        <v>15</v>
      </c>
      <c r="D930" t="s">
        <v>246</v>
      </c>
      <c r="E930">
        <v>0</v>
      </c>
      <c r="F930">
        <v>1089</v>
      </c>
      <c r="G930">
        <v>0</v>
      </c>
      <c r="H930">
        <v>0</v>
      </c>
      <c r="I930">
        <v>0</v>
      </c>
      <c r="J930">
        <v>0</v>
      </c>
      <c r="K930" s="1">
        <v>45870</v>
      </c>
      <c r="L930" t="s">
        <v>429</v>
      </c>
      <c r="M930" t="s">
        <v>427</v>
      </c>
      <c r="N930" s="2">
        <f>IFERROR(NHS_A_E[[#This Row],[T1_Over4hrs]]/NHS_A_E[[#This Row],[T1_Attendances]], 0)</f>
        <v>0</v>
      </c>
      <c r="O930">
        <f>NHS_A_E[[#This Row],[T1_Attendances]]+NHS_A_E[[#This Row],[Other_Attendances]]</f>
        <v>1089</v>
      </c>
      <c r="P930">
        <f>MATCH(LEFT(A930,FIND("-",A930)-1),{"April","May","June","July","August","September","October","November","December","January","February","March"},0)</f>
        <v>5</v>
      </c>
      <c r="Q930" s="3">
        <f t="shared" si="28"/>
        <v>0</v>
      </c>
      <c r="R930" t="str">
        <f t="shared" si="29"/>
        <v>August</v>
      </c>
    </row>
    <row r="931" spans="1:18" x14ac:dyDescent="0.35">
      <c r="A931" t="s">
        <v>433</v>
      </c>
      <c r="B931" t="s">
        <v>287</v>
      </c>
      <c r="C931" t="s">
        <v>40</v>
      </c>
      <c r="D931" t="s">
        <v>288</v>
      </c>
      <c r="E931">
        <v>0</v>
      </c>
      <c r="F931">
        <v>2916</v>
      </c>
      <c r="G931">
        <v>0</v>
      </c>
      <c r="H931">
        <v>0</v>
      </c>
      <c r="I931">
        <v>0</v>
      </c>
      <c r="J931">
        <v>0</v>
      </c>
      <c r="K931" s="1">
        <v>45870</v>
      </c>
      <c r="L931" t="s">
        <v>429</v>
      </c>
      <c r="M931" t="s">
        <v>427</v>
      </c>
      <c r="N931" s="2">
        <f>IFERROR(NHS_A_E[[#This Row],[T1_Over4hrs]]/NHS_A_E[[#This Row],[T1_Attendances]], 0)</f>
        <v>0</v>
      </c>
      <c r="O931">
        <f>NHS_A_E[[#This Row],[T1_Attendances]]+NHS_A_E[[#This Row],[Other_Attendances]]</f>
        <v>2916</v>
      </c>
      <c r="P931">
        <f>MATCH(LEFT(A931,FIND("-",A931)-1),{"April","May","June","July","August","September","October","November","December","January","February","March"},0)</f>
        <v>5</v>
      </c>
      <c r="Q931" s="3">
        <f t="shared" si="28"/>
        <v>0</v>
      </c>
      <c r="R931" t="str">
        <f t="shared" si="29"/>
        <v>August</v>
      </c>
    </row>
    <row r="932" spans="1:18" x14ac:dyDescent="0.35">
      <c r="A932" t="s">
        <v>433</v>
      </c>
      <c r="B932" t="s">
        <v>277</v>
      </c>
      <c r="C932" t="s">
        <v>15</v>
      </c>
      <c r="D932" t="s">
        <v>278</v>
      </c>
      <c r="E932">
        <v>0</v>
      </c>
      <c r="F932">
        <v>2325</v>
      </c>
      <c r="G932">
        <v>0</v>
      </c>
      <c r="H932">
        <v>23</v>
      </c>
      <c r="I932">
        <v>0</v>
      </c>
      <c r="J932">
        <v>0</v>
      </c>
      <c r="K932" s="1">
        <v>45870</v>
      </c>
      <c r="L932" t="s">
        <v>429</v>
      </c>
      <c r="M932" t="s">
        <v>427</v>
      </c>
      <c r="N932" s="2">
        <f>IFERROR(NHS_A_E[[#This Row],[T1_Over4hrs]]/NHS_A_E[[#This Row],[T1_Attendances]], 0)</f>
        <v>0</v>
      </c>
      <c r="O932">
        <f>NHS_A_E[[#This Row],[T1_Attendances]]+NHS_A_E[[#This Row],[Other_Attendances]]</f>
        <v>2325</v>
      </c>
      <c r="P932">
        <f>MATCH(LEFT(A932,FIND("-",A932)-1),{"April","May","June","July","August","September","October","November","December","January","February","March"},0)</f>
        <v>5</v>
      </c>
      <c r="Q932" s="3">
        <f t="shared" si="28"/>
        <v>0</v>
      </c>
      <c r="R932" t="str">
        <f t="shared" si="29"/>
        <v>August</v>
      </c>
    </row>
    <row r="933" spans="1:18" x14ac:dyDescent="0.35">
      <c r="A933" t="s">
        <v>433</v>
      </c>
      <c r="B933" t="s">
        <v>279</v>
      </c>
      <c r="C933" t="s">
        <v>15</v>
      </c>
      <c r="D933" t="s">
        <v>280</v>
      </c>
      <c r="E933">
        <v>0</v>
      </c>
      <c r="F933">
        <v>2325</v>
      </c>
      <c r="G933">
        <v>0</v>
      </c>
      <c r="H933">
        <v>23</v>
      </c>
      <c r="I933">
        <v>0</v>
      </c>
      <c r="J933">
        <v>0</v>
      </c>
      <c r="K933" s="1">
        <v>45870</v>
      </c>
      <c r="L933" t="s">
        <v>429</v>
      </c>
      <c r="M933" t="s">
        <v>427</v>
      </c>
      <c r="N933" s="2">
        <f>IFERROR(NHS_A_E[[#This Row],[T1_Over4hrs]]/NHS_A_E[[#This Row],[T1_Attendances]], 0)</f>
        <v>0</v>
      </c>
      <c r="O933">
        <f>NHS_A_E[[#This Row],[T1_Attendances]]+NHS_A_E[[#This Row],[Other_Attendances]]</f>
        <v>2325</v>
      </c>
      <c r="P933">
        <f>MATCH(LEFT(A933,FIND("-",A933)-1),{"April","May","June","July","August","September","October","November","December","January","February","March"},0)</f>
        <v>5</v>
      </c>
      <c r="Q933" s="3">
        <f t="shared" si="28"/>
        <v>0</v>
      </c>
      <c r="R933" t="str">
        <f t="shared" si="29"/>
        <v>August</v>
      </c>
    </row>
    <row r="934" spans="1:18" x14ac:dyDescent="0.35">
      <c r="A934" t="s">
        <v>433</v>
      </c>
      <c r="B934" t="s">
        <v>291</v>
      </c>
      <c r="C934" t="s">
        <v>63</v>
      </c>
      <c r="D934" t="s">
        <v>292</v>
      </c>
      <c r="E934">
        <v>5031</v>
      </c>
      <c r="F934">
        <v>1100</v>
      </c>
      <c r="G934">
        <v>1103</v>
      </c>
      <c r="H934">
        <v>0</v>
      </c>
      <c r="I934">
        <v>95</v>
      </c>
      <c r="J934">
        <v>0</v>
      </c>
      <c r="K934" s="1">
        <v>45870</v>
      </c>
      <c r="L934" t="s">
        <v>429</v>
      </c>
      <c r="M934" t="s">
        <v>427</v>
      </c>
      <c r="N934" s="2">
        <f>IFERROR(NHS_A_E[[#This Row],[T1_Over4hrs]]/NHS_A_E[[#This Row],[T1_Attendances]], 0)</f>
        <v>0.21924070761280062</v>
      </c>
      <c r="O934">
        <f>NHS_A_E[[#This Row],[T1_Attendances]]+NHS_A_E[[#This Row],[Other_Attendances]]</f>
        <v>6131</v>
      </c>
      <c r="P934">
        <f>MATCH(LEFT(A934,FIND("-",A934)-1),{"April","May","June","July","August","September","October","November","December","January","February","March"},0)</f>
        <v>5</v>
      </c>
      <c r="Q934" s="3">
        <f t="shared" si="28"/>
        <v>0</v>
      </c>
      <c r="R934" t="str">
        <f t="shared" si="29"/>
        <v>August</v>
      </c>
    </row>
    <row r="935" spans="1:18" x14ac:dyDescent="0.35">
      <c r="A935" t="s">
        <v>433</v>
      </c>
      <c r="B935" t="s">
        <v>299</v>
      </c>
      <c r="C935" t="s">
        <v>63</v>
      </c>
      <c r="D935" t="s">
        <v>300</v>
      </c>
      <c r="E935">
        <v>15446</v>
      </c>
      <c r="F935">
        <v>0</v>
      </c>
      <c r="G935">
        <v>2708</v>
      </c>
      <c r="H935">
        <v>0</v>
      </c>
      <c r="I935">
        <v>846</v>
      </c>
      <c r="J935">
        <v>16</v>
      </c>
      <c r="K935" s="1">
        <v>45870</v>
      </c>
      <c r="L935" t="s">
        <v>429</v>
      </c>
      <c r="M935" t="s">
        <v>427</v>
      </c>
      <c r="N935" s="2">
        <f>IFERROR(NHS_A_E[[#This Row],[T1_Over4hrs]]/NHS_A_E[[#This Row],[T1_Attendances]], 0)</f>
        <v>0.17532047131943546</v>
      </c>
      <c r="O935">
        <f>NHS_A_E[[#This Row],[T1_Attendances]]+NHS_A_E[[#This Row],[Other_Attendances]]</f>
        <v>15446</v>
      </c>
      <c r="P935">
        <f>MATCH(LEFT(A935,FIND("-",A935)-1),{"April","May","June","July","August","September","October","November","December","January","February","March"},0)</f>
        <v>5</v>
      </c>
      <c r="Q935" s="3">
        <f t="shared" si="28"/>
        <v>1.035866891104493E-3</v>
      </c>
      <c r="R935" t="str">
        <f t="shared" si="29"/>
        <v>August</v>
      </c>
    </row>
    <row r="936" spans="1:18" x14ac:dyDescent="0.35">
      <c r="A936" t="s">
        <v>433</v>
      </c>
      <c r="B936" t="s">
        <v>305</v>
      </c>
      <c r="C936" t="s">
        <v>30</v>
      </c>
      <c r="D936" t="s">
        <v>306</v>
      </c>
      <c r="E936">
        <v>0</v>
      </c>
      <c r="F936">
        <v>1643</v>
      </c>
      <c r="G936">
        <v>0</v>
      </c>
      <c r="H936">
        <v>2</v>
      </c>
      <c r="I936">
        <v>0</v>
      </c>
      <c r="J936">
        <v>0</v>
      </c>
      <c r="K936" s="1">
        <v>45870</v>
      </c>
      <c r="L936" t="s">
        <v>429</v>
      </c>
      <c r="M936" t="s">
        <v>427</v>
      </c>
      <c r="N936" s="2">
        <f>IFERROR(NHS_A_E[[#This Row],[T1_Over4hrs]]/NHS_A_E[[#This Row],[T1_Attendances]], 0)</f>
        <v>0</v>
      </c>
      <c r="O936">
        <f>NHS_A_E[[#This Row],[T1_Attendances]]+NHS_A_E[[#This Row],[Other_Attendances]]</f>
        <v>1643</v>
      </c>
      <c r="P936">
        <f>MATCH(LEFT(A936,FIND("-",A936)-1),{"April","May","June","July","August","September","October","November","December","January","February","March"},0)</f>
        <v>5</v>
      </c>
      <c r="Q936" s="3">
        <f t="shared" si="28"/>
        <v>0</v>
      </c>
      <c r="R936" t="str">
        <f t="shared" si="29"/>
        <v>August</v>
      </c>
    </row>
    <row r="937" spans="1:18" x14ac:dyDescent="0.35">
      <c r="A937" t="s">
        <v>433</v>
      </c>
      <c r="B937" t="s">
        <v>281</v>
      </c>
      <c r="C937" t="s">
        <v>40</v>
      </c>
      <c r="D937" t="s">
        <v>282</v>
      </c>
      <c r="E937">
        <v>0</v>
      </c>
      <c r="F937">
        <v>5641</v>
      </c>
      <c r="G937">
        <v>0</v>
      </c>
      <c r="H937">
        <v>0</v>
      </c>
      <c r="I937">
        <v>0</v>
      </c>
      <c r="J937">
        <v>0</v>
      </c>
      <c r="K937" s="1">
        <v>45870</v>
      </c>
      <c r="L937" t="s">
        <v>429</v>
      </c>
      <c r="M937" t="s">
        <v>427</v>
      </c>
      <c r="N937" s="2">
        <f>IFERROR(NHS_A_E[[#This Row],[T1_Over4hrs]]/NHS_A_E[[#This Row],[T1_Attendances]], 0)</f>
        <v>0</v>
      </c>
      <c r="O937">
        <f>NHS_A_E[[#This Row],[T1_Attendances]]+NHS_A_E[[#This Row],[Other_Attendances]]</f>
        <v>5641</v>
      </c>
      <c r="P937">
        <f>MATCH(LEFT(A937,FIND("-",A937)-1),{"April","May","June","July","August","September","October","November","December","January","February","March"},0)</f>
        <v>5</v>
      </c>
      <c r="Q937" s="3">
        <f t="shared" si="28"/>
        <v>0</v>
      </c>
      <c r="R937" t="str">
        <f t="shared" si="29"/>
        <v>August</v>
      </c>
    </row>
    <row r="938" spans="1:18" x14ac:dyDescent="0.35">
      <c r="A938" t="s">
        <v>433</v>
      </c>
      <c r="B938" t="s">
        <v>321</v>
      </c>
      <c r="C938" t="s">
        <v>20</v>
      </c>
      <c r="D938" t="s">
        <v>322</v>
      </c>
      <c r="E938">
        <v>0</v>
      </c>
      <c r="F938">
        <v>482</v>
      </c>
      <c r="G938">
        <v>0</v>
      </c>
      <c r="H938">
        <v>0</v>
      </c>
      <c r="I938">
        <v>0</v>
      </c>
      <c r="J938">
        <v>0</v>
      </c>
      <c r="K938" s="1">
        <v>45870</v>
      </c>
      <c r="L938" t="s">
        <v>429</v>
      </c>
      <c r="M938" t="s">
        <v>427</v>
      </c>
      <c r="N938" s="2">
        <f>IFERROR(NHS_A_E[[#This Row],[T1_Over4hrs]]/NHS_A_E[[#This Row],[T1_Attendances]], 0)</f>
        <v>0</v>
      </c>
      <c r="O938">
        <f>NHS_A_E[[#This Row],[T1_Attendances]]+NHS_A_E[[#This Row],[Other_Attendances]]</f>
        <v>482</v>
      </c>
      <c r="P938">
        <f>MATCH(LEFT(A938,FIND("-",A938)-1),{"April","May","June","July","August","September","October","November","December","January","February","March"},0)</f>
        <v>5</v>
      </c>
      <c r="Q938" s="3">
        <f t="shared" si="28"/>
        <v>0</v>
      </c>
      <c r="R938" t="str">
        <f t="shared" si="29"/>
        <v>August</v>
      </c>
    </row>
    <row r="939" spans="1:18" x14ac:dyDescent="0.35">
      <c r="A939" t="s">
        <v>433</v>
      </c>
      <c r="B939" t="s">
        <v>405</v>
      </c>
      <c r="C939" t="s">
        <v>15</v>
      </c>
      <c r="D939" t="s">
        <v>406</v>
      </c>
      <c r="E939">
        <v>9278</v>
      </c>
      <c r="F939">
        <v>5843</v>
      </c>
      <c r="G939">
        <v>3599</v>
      </c>
      <c r="H939">
        <v>689</v>
      </c>
      <c r="I939">
        <v>334</v>
      </c>
      <c r="J939">
        <v>696</v>
      </c>
      <c r="K939" s="1">
        <v>45870</v>
      </c>
      <c r="L939" t="s">
        <v>429</v>
      </c>
      <c r="M939" t="s">
        <v>427</v>
      </c>
      <c r="N939" s="2">
        <f>IFERROR(NHS_A_E[[#This Row],[T1_Over4hrs]]/NHS_A_E[[#This Row],[T1_Attendances]], 0)</f>
        <v>0.38790687648200045</v>
      </c>
      <c r="O939">
        <f>NHS_A_E[[#This Row],[T1_Attendances]]+NHS_A_E[[#This Row],[Other_Attendances]]</f>
        <v>15121</v>
      </c>
      <c r="P939">
        <f>MATCH(LEFT(A939,FIND("-",A939)-1),{"April","May","June","July","August","September","October","November","December","January","February","March"},0)</f>
        <v>5</v>
      </c>
      <c r="Q939" s="3">
        <f t="shared" si="28"/>
        <v>7.5016167277430476E-2</v>
      </c>
      <c r="R939" t="str">
        <f t="shared" si="29"/>
        <v>August</v>
      </c>
    </row>
    <row r="940" spans="1:18" x14ac:dyDescent="0.35">
      <c r="A940" t="s">
        <v>433</v>
      </c>
      <c r="B940" t="s">
        <v>295</v>
      </c>
      <c r="C940" t="s">
        <v>15</v>
      </c>
      <c r="D940" t="s">
        <v>296</v>
      </c>
      <c r="E940">
        <v>10052</v>
      </c>
      <c r="F940">
        <v>0</v>
      </c>
      <c r="G940">
        <v>3904</v>
      </c>
      <c r="H940">
        <v>0</v>
      </c>
      <c r="I940">
        <v>552</v>
      </c>
      <c r="J940">
        <v>538</v>
      </c>
      <c r="K940" s="1">
        <v>45870</v>
      </c>
      <c r="L940" t="s">
        <v>429</v>
      </c>
      <c r="M940" t="s">
        <v>427</v>
      </c>
      <c r="N940" s="2">
        <f>IFERROR(NHS_A_E[[#This Row],[T1_Over4hrs]]/NHS_A_E[[#This Row],[T1_Attendances]], 0)</f>
        <v>0.38838042180660565</v>
      </c>
      <c r="O940">
        <f>NHS_A_E[[#This Row],[T1_Attendances]]+NHS_A_E[[#This Row],[Other_Attendances]]</f>
        <v>10052</v>
      </c>
      <c r="P940">
        <f>MATCH(LEFT(A940,FIND("-",A940)-1),{"April","May","June","July","August","September","October","November","December","January","February","March"},0)</f>
        <v>5</v>
      </c>
      <c r="Q940" s="3">
        <f t="shared" si="28"/>
        <v>5.3521687226422601E-2</v>
      </c>
      <c r="R940" t="str">
        <f t="shared" si="29"/>
        <v>August</v>
      </c>
    </row>
    <row r="941" spans="1:18" x14ac:dyDescent="0.35">
      <c r="A941" t="s">
        <v>433</v>
      </c>
      <c r="B941" t="s">
        <v>297</v>
      </c>
      <c r="C941" t="s">
        <v>15</v>
      </c>
      <c r="D941" t="s">
        <v>298</v>
      </c>
      <c r="E941">
        <v>0</v>
      </c>
      <c r="F941">
        <v>2986</v>
      </c>
      <c r="G941">
        <v>0</v>
      </c>
      <c r="H941">
        <v>65</v>
      </c>
      <c r="I941">
        <v>0</v>
      </c>
      <c r="J941">
        <v>0</v>
      </c>
      <c r="K941" s="1">
        <v>45870</v>
      </c>
      <c r="L941" t="s">
        <v>429</v>
      </c>
      <c r="M941" t="s">
        <v>427</v>
      </c>
      <c r="N941" s="2">
        <f>IFERROR(NHS_A_E[[#This Row],[T1_Over4hrs]]/NHS_A_E[[#This Row],[T1_Attendances]], 0)</f>
        <v>0</v>
      </c>
      <c r="O941">
        <f>NHS_A_E[[#This Row],[T1_Attendances]]+NHS_A_E[[#This Row],[Other_Attendances]]</f>
        <v>2986</v>
      </c>
      <c r="P941">
        <f>MATCH(LEFT(A941,FIND("-",A941)-1),{"April","May","June","July","August","September","October","November","December","January","February","March"},0)</f>
        <v>5</v>
      </c>
      <c r="Q941" s="3">
        <f t="shared" si="28"/>
        <v>0</v>
      </c>
      <c r="R941" t="str">
        <f t="shared" si="29"/>
        <v>August</v>
      </c>
    </row>
    <row r="942" spans="1:18" x14ac:dyDescent="0.35">
      <c r="A942" t="s">
        <v>433</v>
      </c>
      <c r="B942" t="s">
        <v>267</v>
      </c>
      <c r="C942" t="s">
        <v>15</v>
      </c>
      <c r="D942" t="s">
        <v>268</v>
      </c>
      <c r="E942">
        <v>0</v>
      </c>
      <c r="F942">
        <v>6264</v>
      </c>
      <c r="G942">
        <v>0</v>
      </c>
      <c r="H942">
        <v>21</v>
      </c>
      <c r="I942">
        <v>0</v>
      </c>
      <c r="J942">
        <v>0</v>
      </c>
      <c r="K942" s="1">
        <v>45870</v>
      </c>
      <c r="L942" t="s">
        <v>429</v>
      </c>
      <c r="M942" t="s">
        <v>427</v>
      </c>
      <c r="N942" s="2">
        <f>IFERROR(NHS_A_E[[#This Row],[T1_Over4hrs]]/NHS_A_E[[#This Row],[T1_Attendances]], 0)</f>
        <v>0</v>
      </c>
      <c r="O942">
        <f>NHS_A_E[[#This Row],[T1_Attendances]]+NHS_A_E[[#This Row],[Other_Attendances]]</f>
        <v>6264</v>
      </c>
      <c r="P942">
        <f>MATCH(LEFT(A942,FIND("-",A942)-1),{"April","May","June","July","August","September","October","November","December","January","February","March"},0)</f>
        <v>5</v>
      </c>
      <c r="Q942" s="3">
        <f t="shared" si="28"/>
        <v>0</v>
      </c>
      <c r="R942" t="str">
        <f t="shared" si="29"/>
        <v>August</v>
      </c>
    </row>
    <row r="943" spans="1:18" x14ac:dyDescent="0.35">
      <c r="A943" t="s">
        <v>433</v>
      </c>
      <c r="B943" t="s">
        <v>239</v>
      </c>
      <c r="C943" t="s">
        <v>35</v>
      </c>
      <c r="D943" t="s">
        <v>240</v>
      </c>
      <c r="E943">
        <v>0</v>
      </c>
      <c r="F943">
        <v>998</v>
      </c>
      <c r="G943">
        <v>0</v>
      </c>
      <c r="H943">
        <v>0</v>
      </c>
      <c r="I943">
        <v>0</v>
      </c>
      <c r="J943">
        <v>0</v>
      </c>
      <c r="K943" s="1">
        <v>45870</v>
      </c>
      <c r="L943" t="s">
        <v>429</v>
      </c>
      <c r="M943" t="s">
        <v>427</v>
      </c>
      <c r="N943" s="2">
        <f>IFERROR(NHS_A_E[[#This Row],[T1_Over4hrs]]/NHS_A_E[[#This Row],[T1_Attendances]], 0)</f>
        <v>0</v>
      </c>
      <c r="O943">
        <f>NHS_A_E[[#This Row],[T1_Attendances]]+NHS_A_E[[#This Row],[Other_Attendances]]</f>
        <v>998</v>
      </c>
      <c r="P943">
        <f>MATCH(LEFT(A943,FIND("-",A943)-1),{"April","May","June","July","August","September","October","November","December","January","February","March"},0)</f>
        <v>5</v>
      </c>
      <c r="Q943" s="3">
        <f t="shared" si="28"/>
        <v>0</v>
      </c>
      <c r="R943" t="str">
        <f t="shared" si="29"/>
        <v>August</v>
      </c>
    </row>
    <row r="944" spans="1:18" x14ac:dyDescent="0.35">
      <c r="A944" t="s">
        <v>433</v>
      </c>
      <c r="B944" t="s">
        <v>243</v>
      </c>
      <c r="C944" t="s">
        <v>23</v>
      </c>
      <c r="D944" t="s">
        <v>244</v>
      </c>
      <c r="E944">
        <v>0</v>
      </c>
      <c r="F944">
        <v>2050</v>
      </c>
      <c r="G944">
        <v>0</v>
      </c>
      <c r="H944">
        <v>98</v>
      </c>
      <c r="I944">
        <v>0</v>
      </c>
      <c r="J944">
        <v>0</v>
      </c>
      <c r="K944" s="1">
        <v>45870</v>
      </c>
      <c r="L944" t="s">
        <v>429</v>
      </c>
      <c r="M944" t="s">
        <v>427</v>
      </c>
      <c r="N944" s="2">
        <f>IFERROR(NHS_A_E[[#This Row],[T1_Over4hrs]]/NHS_A_E[[#This Row],[T1_Attendances]], 0)</f>
        <v>0</v>
      </c>
      <c r="O944">
        <f>NHS_A_E[[#This Row],[T1_Attendances]]+NHS_A_E[[#This Row],[Other_Attendances]]</f>
        <v>2050</v>
      </c>
      <c r="P944">
        <f>MATCH(LEFT(A944,FIND("-",A944)-1),{"April","May","June","July","August","September","October","November","December","January","February","March"},0)</f>
        <v>5</v>
      </c>
      <c r="Q944" s="3">
        <f t="shared" si="28"/>
        <v>0</v>
      </c>
      <c r="R944" t="str">
        <f t="shared" si="29"/>
        <v>August</v>
      </c>
    </row>
    <row r="945" spans="1:18" x14ac:dyDescent="0.35">
      <c r="A945" t="s">
        <v>433</v>
      </c>
      <c r="B945" t="s">
        <v>383</v>
      </c>
      <c r="C945" t="s">
        <v>20</v>
      </c>
      <c r="D945" t="s">
        <v>384</v>
      </c>
      <c r="E945">
        <v>0</v>
      </c>
      <c r="F945">
        <v>103</v>
      </c>
      <c r="G945">
        <v>0</v>
      </c>
      <c r="H945">
        <v>0</v>
      </c>
      <c r="I945">
        <v>0</v>
      </c>
      <c r="J945">
        <v>0</v>
      </c>
      <c r="K945" s="1">
        <v>45870</v>
      </c>
      <c r="L945" t="s">
        <v>429</v>
      </c>
      <c r="M945" t="s">
        <v>427</v>
      </c>
      <c r="N945" s="2">
        <f>IFERROR(NHS_A_E[[#This Row],[T1_Over4hrs]]/NHS_A_E[[#This Row],[T1_Attendances]], 0)</f>
        <v>0</v>
      </c>
      <c r="O945">
        <f>NHS_A_E[[#This Row],[T1_Attendances]]+NHS_A_E[[#This Row],[Other_Attendances]]</f>
        <v>103</v>
      </c>
      <c r="P945">
        <f>MATCH(LEFT(A945,FIND("-",A945)-1),{"April","May","June","July","August","September","October","November","December","January","February","March"},0)</f>
        <v>5</v>
      </c>
      <c r="Q945" s="3">
        <f t="shared" si="28"/>
        <v>0</v>
      </c>
      <c r="R945" t="str">
        <f t="shared" si="29"/>
        <v>August</v>
      </c>
    </row>
    <row r="946" spans="1:18" x14ac:dyDescent="0.35">
      <c r="A946" t="s">
        <v>433</v>
      </c>
      <c r="B946" t="s">
        <v>335</v>
      </c>
      <c r="C946" t="s">
        <v>63</v>
      </c>
      <c r="D946" t="s">
        <v>336</v>
      </c>
      <c r="E946">
        <v>10927</v>
      </c>
      <c r="F946">
        <v>5708</v>
      </c>
      <c r="G946">
        <v>5402</v>
      </c>
      <c r="H946">
        <v>132</v>
      </c>
      <c r="I946">
        <v>663</v>
      </c>
      <c r="J946">
        <v>4</v>
      </c>
      <c r="K946" s="1">
        <v>45870</v>
      </c>
      <c r="L946" t="s">
        <v>429</v>
      </c>
      <c r="M946" t="s">
        <v>427</v>
      </c>
      <c r="N946" s="2">
        <f>IFERROR(NHS_A_E[[#This Row],[T1_Over4hrs]]/NHS_A_E[[#This Row],[T1_Attendances]], 0)</f>
        <v>0.49437173972728105</v>
      </c>
      <c r="O946">
        <f>NHS_A_E[[#This Row],[T1_Attendances]]+NHS_A_E[[#This Row],[Other_Attendances]]</f>
        <v>16635</v>
      </c>
      <c r="P946">
        <f>MATCH(LEFT(A946,FIND("-",A946)-1),{"April","May","June","July","August","September","October","November","December","January","February","March"},0)</f>
        <v>5</v>
      </c>
      <c r="Q946" s="3">
        <f t="shared" si="28"/>
        <v>3.6606570879472864E-4</v>
      </c>
      <c r="R946" t="str">
        <f t="shared" si="29"/>
        <v>August</v>
      </c>
    </row>
    <row r="947" spans="1:18" x14ac:dyDescent="0.35">
      <c r="A947" t="s">
        <v>433</v>
      </c>
      <c r="B947" t="s">
        <v>343</v>
      </c>
      <c r="C947" t="s">
        <v>30</v>
      </c>
      <c r="D947" t="s">
        <v>344</v>
      </c>
      <c r="E947">
        <v>4303</v>
      </c>
      <c r="F947">
        <v>0</v>
      </c>
      <c r="G947">
        <v>424</v>
      </c>
      <c r="H947">
        <v>0</v>
      </c>
      <c r="I947">
        <v>0</v>
      </c>
      <c r="J947">
        <v>0</v>
      </c>
      <c r="K947" s="1">
        <v>45870</v>
      </c>
      <c r="L947" t="s">
        <v>429</v>
      </c>
      <c r="M947" t="s">
        <v>427</v>
      </c>
      <c r="N947" s="2">
        <f>IFERROR(NHS_A_E[[#This Row],[T1_Over4hrs]]/NHS_A_E[[#This Row],[T1_Attendances]], 0)</f>
        <v>9.8535905182430869E-2</v>
      </c>
      <c r="O947">
        <f>NHS_A_E[[#This Row],[T1_Attendances]]+NHS_A_E[[#This Row],[Other_Attendances]]</f>
        <v>4303</v>
      </c>
      <c r="P947">
        <f>MATCH(LEFT(A947,FIND("-",A947)-1),{"April","May","June","July","August","September","October","November","December","January","February","March"},0)</f>
        <v>5</v>
      </c>
      <c r="Q947" s="3">
        <f t="shared" si="28"/>
        <v>0</v>
      </c>
      <c r="R947" t="str">
        <f t="shared" si="29"/>
        <v>August</v>
      </c>
    </row>
    <row r="948" spans="1:18" x14ac:dyDescent="0.35">
      <c r="A948" t="s">
        <v>433</v>
      </c>
      <c r="B948" t="s">
        <v>231</v>
      </c>
      <c r="C948" t="s">
        <v>63</v>
      </c>
      <c r="D948" t="s">
        <v>232</v>
      </c>
      <c r="E948">
        <v>9140</v>
      </c>
      <c r="F948">
        <v>0</v>
      </c>
      <c r="G948">
        <v>1992</v>
      </c>
      <c r="H948">
        <v>0</v>
      </c>
      <c r="I948">
        <v>260</v>
      </c>
      <c r="J948">
        <v>0</v>
      </c>
      <c r="K948" s="1">
        <v>45870</v>
      </c>
      <c r="L948" t="s">
        <v>429</v>
      </c>
      <c r="M948" t="s">
        <v>427</v>
      </c>
      <c r="N948" s="2">
        <f>IFERROR(NHS_A_E[[#This Row],[T1_Over4hrs]]/NHS_A_E[[#This Row],[T1_Attendances]], 0)</f>
        <v>0.21794310722100657</v>
      </c>
      <c r="O948">
        <f>NHS_A_E[[#This Row],[T1_Attendances]]+NHS_A_E[[#This Row],[Other_Attendances]]</f>
        <v>9140</v>
      </c>
      <c r="P948">
        <f>MATCH(LEFT(A948,FIND("-",A948)-1),{"April","May","June","July","August","September","October","November","December","January","February","March"},0)</f>
        <v>5</v>
      </c>
      <c r="Q948" s="3">
        <f t="shared" si="28"/>
        <v>0</v>
      </c>
      <c r="R948" t="str">
        <f t="shared" si="29"/>
        <v>August</v>
      </c>
    </row>
    <row r="949" spans="1:18" x14ac:dyDescent="0.35">
      <c r="A949" t="s">
        <v>433</v>
      </c>
      <c r="B949" t="s">
        <v>391</v>
      </c>
      <c r="C949" t="s">
        <v>63</v>
      </c>
      <c r="D949" t="s">
        <v>392</v>
      </c>
      <c r="E949">
        <v>3594</v>
      </c>
      <c r="F949">
        <v>0</v>
      </c>
      <c r="G949">
        <v>173</v>
      </c>
      <c r="H949">
        <v>0</v>
      </c>
      <c r="I949">
        <v>8</v>
      </c>
      <c r="J949">
        <v>0</v>
      </c>
      <c r="K949" s="1">
        <v>45870</v>
      </c>
      <c r="L949" t="s">
        <v>429</v>
      </c>
      <c r="M949" t="s">
        <v>427</v>
      </c>
      <c r="N949" s="2">
        <f>IFERROR(NHS_A_E[[#This Row],[T1_Over4hrs]]/NHS_A_E[[#This Row],[T1_Attendances]], 0)</f>
        <v>4.8135781858653311E-2</v>
      </c>
      <c r="O949">
        <f>NHS_A_E[[#This Row],[T1_Attendances]]+NHS_A_E[[#This Row],[Other_Attendances]]</f>
        <v>3594</v>
      </c>
      <c r="P949">
        <f>MATCH(LEFT(A949,FIND("-",A949)-1),{"April","May","June","July","August","September","October","November","December","January","February","March"},0)</f>
        <v>5</v>
      </c>
      <c r="Q949" s="3">
        <f t="shared" si="28"/>
        <v>0</v>
      </c>
      <c r="R949" t="str">
        <f t="shared" si="29"/>
        <v>August</v>
      </c>
    </row>
    <row r="950" spans="1:18" x14ac:dyDescent="0.35">
      <c r="A950" t="s">
        <v>433</v>
      </c>
      <c r="B950" t="s">
        <v>67</v>
      </c>
      <c r="C950" t="s">
        <v>30</v>
      </c>
      <c r="D950" t="s">
        <v>68</v>
      </c>
      <c r="E950">
        <v>0</v>
      </c>
      <c r="F950">
        <v>0</v>
      </c>
      <c r="G950">
        <v>0</v>
      </c>
      <c r="H950">
        <v>0</v>
      </c>
      <c r="I950">
        <v>0</v>
      </c>
      <c r="J950">
        <v>0</v>
      </c>
      <c r="K950" s="1">
        <v>45870</v>
      </c>
      <c r="L950" t="s">
        <v>429</v>
      </c>
      <c r="M950" t="s">
        <v>427</v>
      </c>
      <c r="N950" s="2">
        <f>IFERROR(NHS_A_E[[#This Row],[T1_Over4hrs]]/NHS_A_E[[#This Row],[T1_Attendances]], 0)</f>
        <v>0</v>
      </c>
      <c r="O950">
        <f>NHS_A_E[[#This Row],[T1_Attendances]]+NHS_A_E[[#This Row],[Other_Attendances]]</f>
        <v>0</v>
      </c>
      <c r="P950">
        <f>MATCH(LEFT(A950,FIND("-",A950)-1),{"April","May","June","July","August","September","October","November","December","January","February","March"},0)</f>
        <v>5</v>
      </c>
      <c r="Q950" s="3">
        <f t="shared" si="28"/>
        <v>0</v>
      </c>
      <c r="R950" t="str">
        <f t="shared" si="29"/>
        <v>August</v>
      </c>
    </row>
    <row r="951" spans="1:18" x14ac:dyDescent="0.35">
      <c r="A951" t="s">
        <v>433</v>
      </c>
      <c r="B951" t="s">
        <v>99</v>
      </c>
      <c r="C951" t="s">
        <v>30</v>
      </c>
      <c r="D951" t="s">
        <v>100</v>
      </c>
      <c r="E951">
        <v>0</v>
      </c>
      <c r="F951">
        <v>0</v>
      </c>
      <c r="G951">
        <v>0</v>
      </c>
      <c r="H951">
        <v>0</v>
      </c>
      <c r="I951">
        <v>0</v>
      </c>
      <c r="J951">
        <v>0</v>
      </c>
      <c r="K951" s="1">
        <v>45870</v>
      </c>
      <c r="L951" t="s">
        <v>429</v>
      </c>
      <c r="M951" t="s">
        <v>427</v>
      </c>
      <c r="N951" s="2">
        <f>IFERROR(NHS_A_E[[#This Row],[T1_Over4hrs]]/NHS_A_E[[#This Row],[T1_Attendances]], 0)</f>
        <v>0</v>
      </c>
      <c r="O951">
        <f>NHS_A_E[[#This Row],[T1_Attendances]]+NHS_A_E[[#This Row],[Other_Attendances]]</f>
        <v>0</v>
      </c>
      <c r="P951">
        <f>MATCH(LEFT(A951,FIND("-",A951)-1),{"April","May","June","July","August","September","October","November","December","January","February","March"},0)</f>
        <v>5</v>
      </c>
      <c r="Q951" s="3">
        <f t="shared" si="28"/>
        <v>0</v>
      </c>
      <c r="R951" t="str">
        <f t="shared" si="29"/>
        <v>August</v>
      </c>
    </row>
    <row r="952" spans="1:18" x14ac:dyDescent="0.35">
      <c r="A952" t="s">
        <v>433</v>
      </c>
      <c r="B952" t="s">
        <v>109</v>
      </c>
      <c r="C952" t="s">
        <v>35</v>
      </c>
      <c r="D952" t="s">
        <v>110</v>
      </c>
      <c r="E952">
        <v>9878</v>
      </c>
      <c r="F952">
        <v>6783</v>
      </c>
      <c r="G952">
        <v>3438</v>
      </c>
      <c r="H952">
        <v>168</v>
      </c>
      <c r="I952">
        <v>107</v>
      </c>
      <c r="J952">
        <v>61</v>
      </c>
      <c r="K952" s="1">
        <v>45870</v>
      </c>
      <c r="L952" t="s">
        <v>429</v>
      </c>
      <c r="M952" t="s">
        <v>427</v>
      </c>
      <c r="N952" s="2">
        <f>IFERROR(NHS_A_E[[#This Row],[T1_Over4hrs]]/NHS_A_E[[#This Row],[T1_Attendances]], 0)</f>
        <v>0.34804616319092935</v>
      </c>
      <c r="O952">
        <f>NHS_A_E[[#This Row],[T1_Attendances]]+NHS_A_E[[#This Row],[Other_Attendances]]</f>
        <v>16661</v>
      </c>
      <c r="P952">
        <f>MATCH(LEFT(A952,FIND("-",A952)-1),{"April","May","June","July","August","September","October","November","December","January","February","March"},0)</f>
        <v>5</v>
      </c>
      <c r="Q952" s="3">
        <f t="shared" si="28"/>
        <v>6.1753391374772225E-3</v>
      </c>
      <c r="R952" t="str">
        <f t="shared" si="29"/>
        <v>August</v>
      </c>
    </row>
    <row r="953" spans="1:18" x14ac:dyDescent="0.35">
      <c r="A953" t="s">
        <v>433</v>
      </c>
      <c r="B953" t="s">
        <v>351</v>
      </c>
      <c r="C953" t="s">
        <v>63</v>
      </c>
      <c r="D953" t="s">
        <v>352</v>
      </c>
      <c r="E953">
        <v>9249</v>
      </c>
      <c r="F953">
        <v>6912</v>
      </c>
      <c r="G953">
        <v>4275</v>
      </c>
      <c r="H953">
        <v>53</v>
      </c>
      <c r="I953">
        <v>653</v>
      </c>
      <c r="J953">
        <v>594</v>
      </c>
      <c r="K953" s="1">
        <v>45870</v>
      </c>
      <c r="L953" t="s">
        <v>429</v>
      </c>
      <c r="M953" t="s">
        <v>427</v>
      </c>
      <c r="N953" s="2">
        <f>IFERROR(NHS_A_E[[#This Row],[T1_Over4hrs]]/NHS_A_E[[#This Row],[T1_Attendances]], 0)</f>
        <v>0.46221213104119363</v>
      </c>
      <c r="O953">
        <f>NHS_A_E[[#This Row],[T1_Attendances]]+NHS_A_E[[#This Row],[Other_Attendances]]</f>
        <v>16161</v>
      </c>
      <c r="P953">
        <f>MATCH(LEFT(A953,FIND("-",A953)-1),{"April","May","June","July","August","September","October","November","December","January","February","March"},0)</f>
        <v>5</v>
      </c>
      <c r="Q953" s="3">
        <f t="shared" si="28"/>
        <v>6.4223159260460586E-2</v>
      </c>
      <c r="R953" t="str">
        <f t="shared" si="29"/>
        <v>August</v>
      </c>
    </row>
    <row r="954" spans="1:18" x14ac:dyDescent="0.35">
      <c r="A954" t="s">
        <v>433</v>
      </c>
      <c r="B954" t="s">
        <v>273</v>
      </c>
      <c r="C954" t="s">
        <v>30</v>
      </c>
      <c r="D954" t="s">
        <v>274</v>
      </c>
      <c r="E954">
        <v>4192</v>
      </c>
      <c r="F954">
        <v>0</v>
      </c>
      <c r="G954">
        <v>2265</v>
      </c>
      <c r="H954">
        <v>0</v>
      </c>
      <c r="I954">
        <v>214</v>
      </c>
      <c r="J954">
        <v>432</v>
      </c>
      <c r="K954" s="1">
        <v>45870</v>
      </c>
      <c r="L954" t="s">
        <v>429</v>
      </c>
      <c r="M954" t="s">
        <v>427</v>
      </c>
      <c r="N954" s="2">
        <f>IFERROR(NHS_A_E[[#This Row],[T1_Over4hrs]]/NHS_A_E[[#This Row],[T1_Attendances]], 0)</f>
        <v>0.54031488549618323</v>
      </c>
      <c r="O954">
        <f>NHS_A_E[[#This Row],[T1_Attendances]]+NHS_A_E[[#This Row],[Other_Attendances]]</f>
        <v>4192</v>
      </c>
      <c r="P954">
        <f>MATCH(LEFT(A954,FIND("-",A954)-1),{"April","May","June","July","August","September","October","November","December","January","February","March"},0)</f>
        <v>5</v>
      </c>
      <c r="Q954" s="3">
        <f t="shared" si="28"/>
        <v>0.10305343511450382</v>
      </c>
      <c r="R954" t="str">
        <f t="shared" si="29"/>
        <v>August</v>
      </c>
    </row>
    <row r="955" spans="1:18" x14ac:dyDescent="0.35">
      <c r="A955" t="s">
        <v>433</v>
      </c>
      <c r="B955" t="s">
        <v>233</v>
      </c>
      <c r="C955" t="s">
        <v>30</v>
      </c>
      <c r="D955" t="s">
        <v>234</v>
      </c>
      <c r="E955">
        <v>5200</v>
      </c>
      <c r="F955">
        <v>2249</v>
      </c>
      <c r="G955">
        <v>2523</v>
      </c>
      <c r="H955">
        <v>127</v>
      </c>
      <c r="I955">
        <v>763</v>
      </c>
      <c r="J955">
        <v>330</v>
      </c>
      <c r="K955" s="1">
        <v>45870</v>
      </c>
      <c r="L955" t="s">
        <v>429</v>
      </c>
      <c r="M955" t="s">
        <v>427</v>
      </c>
      <c r="N955" s="2">
        <f>IFERROR(NHS_A_E[[#This Row],[T1_Over4hrs]]/NHS_A_E[[#This Row],[T1_Attendances]], 0)</f>
        <v>0.4851923076923077</v>
      </c>
      <c r="O955">
        <f>NHS_A_E[[#This Row],[T1_Attendances]]+NHS_A_E[[#This Row],[Other_Attendances]]</f>
        <v>7449</v>
      </c>
      <c r="P955">
        <f>MATCH(LEFT(A955,FIND("-",A955)-1),{"April","May","June","July","August","September","October","November","December","January","February","March"},0)</f>
        <v>5</v>
      </c>
      <c r="Q955" s="3">
        <f t="shared" si="28"/>
        <v>6.3461538461538458E-2</v>
      </c>
      <c r="R955" t="str">
        <f t="shared" si="29"/>
        <v>August</v>
      </c>
    </row>
    <row r="956" spans="1:18" x14ac:dyDescent="0.35">
      <c r="A956" t="s">
        <v>433</v>
      </c>
      <c r="B956" t="s">
        <v>411</v>
      </c>
      <c r="C956" t="s">
        <v>35</v>
      </c>
      <c r="D956" t="s">
        <v>412</v>
      </c>
      <c r="E956">
        <v>8361</v>
      </c>
      <c r="F956">
        <v>0</v>
      </c>
      <c r="G956">
        <v>2409</v>
      </c>
      <c r="H956">
        <v>0</v>
      </c>
      <c r="I956">
        <v>235</v>
      </c>
      <c r="J956">
        <v>137</v>
      </c>
      <c r="K956" s="1">
        <v>45870</v>
      </c>
      <c r="L956" t="s">
        <v>429</v>
      </c>
      <c r="M956" t="s">
        <v>427</v>
      </c>
      <c r="N956" s="2">
        <f>IFERROR(NHS_A_E[[#This Row],[T1_Over4hrs]]/NHS_A_E[[#This Row],[T1_Attendances]], 0)</f>
        <v>0.28812343021169717</v>
      </c>
      <c r="O956">
        <f>NHS_A_E[[#This Row],[T1_Attendances]]+NHS_A_E[[#This Row],[Other_Attendances]]</f>
        <v>8361</v>
      </c>
      <c r="P956">
        <f>MATCH(LEFT(A956,FIND("-",A956)-1),{"April","May","June","July","August","September","October","November","December","January","February","March"},0)</f>
        <v>5</v>
      </c>
      <c r="Q956" s="3">
        <f t="shared" si="28"/>
        <v>1.638559980863533E-2</v>
      </c>
      <c r="R956" t="str">
        <f t="shared" si="29"/>
        <v>August</v>
      </c>
    </row>
    <row r="957" spans="1:18" x14ac:dyDescent="0.35">
      <c r="A957" t="s">
        <v>433</v>
      </c>
      <c r="B957" t="s">
        <v>323</v>
      </c>
      <c r="C957" t="s">
        <v>23</v>
      </c>
      <c r="D957" t="s">
        <v>324</v>
      </c>
      <c r="E957">
        <v>7952</v>
      </c>
      <c r="F957">
        <v>1746</v>
      </c>
      <c r="G957">
        <v>2556</v>
      </c>
      <c r="H957">
        <v>0</v>
      </c>
      <c r="I957">
        <v>484</v>
      </c>
      <c r="J957">
        <v>195</v>
      </c>
      <c r="K957" s="1">
        <v>45870</v>
      </c>
      <c r="L957" t="s">
        <v>429</v>
      </c>
      <c r="M957" t="s">
        <v>427</v>
      </c>
      <c r="N957" s="2">
        <f>IFERROR(NHS_A_E[[#This Row],[T1_Over4hrs]]/NHS_A_E[[#This Row],[T1_Attendances]], 0)</f>
        <v>0.32142857142857145</v>
      </c>
      <c r="O957">
        <f>NHS_A_E[[#This Row],[T1_Attendances]]+NHS_A_E[[#This Row],[Other_Attendances]]</f>
        <v>9698</v>
      </c>
      <c r="P957">
        <f>MATCH(LEFT(A957,FIND("-",A957)-1),{"April","May","June","July","August","September","October","November","December","January","February","March"},0)</f>
        <v>5</v>
      </c>
      <c r="Q957" s="3">
        <f t="shared" si="28"/>
        <v>2.4522132796780685E-2</v>
      </c>
      <c r="R957" t="str">
        <f t="shared" si="29"/>
        <v>August</v>
      </c>
    </row>
    <row r="958" spans="1:18" x14ac:dyDescent="0.35">
      <c r="A958" t="s">
        <v>433</v>
      </c>
      <c r="B958" t="s">
        <v>65</v>
      </c>
      <c r="C958" t="s">
        <v>30</v>
      </c>
      <c r="D958" t="s">
        <v>66</v>
      </c>
      <c r="E958">
        <v>7288</v>
      </c>
      <c r="F958">
        <v>4956</v>
      </c>
      <c r="G958">
        <v>2788</v>
      </c>
      <c r="H958">
        <v>30</v>
      </c>
      <c r="I958">
        <v>530</v>
      </c>
      <c r="J958">
        <v>260</v>
      </c>
      <c r="K958" s="1">
        <v>45870</v>
      </c>
      <c r="L958" t="s">
        <v>429</v>
      </c>
      <c r="M958" t="s">
        <v>427</v>
      </c>
      <c r="N958" s="2">
        <f>IFERROR(NHS_A_E[[#This Row],[T1_Over4hrs]]/NHS_A_E[[#This Row],[T1_Attendances]], 0)</f>
        <v>0.38254665203073546</v>
      </c>
      <c r="O958">
        <f>NHS_A_E[[#This Row],[T1_Attendances]]+NHS_A_E[[#This Row],[Other_Attendances]]</f>
        <v>12244</v>
      </c>
      <c r="P958">
        <f>MATCH(LEFT(A958,FIND("-",A958)-1),{"April","May","June","July","August","September","October","November","December","January","February","March"},0)</f>
        <v>5</v>
      </c>
      <c r="Q958" s="3">
        <f t="shared" si="28"/>
        <v>3.5675082327113063E-2</v>
      </c>
      <c r="R958" t="str">
        <f t="shared" si="29"/>
        <v>August</v>
      </c>
    </row>
    <row r="959" spans="1:18" x14ac:dyDescent="0.35">
      <c r="A959" t="s">
        <v>433</v>
      </c>
      <c r="B959" t="s">
        <v>219</v>
      </c>
      <c r="C959" t="s">
        <v>30</v>
      </c>
      <c r="D959" t="s">
        <v>220</v>
      </c>
      <c r="E959">
        <v>9279</v>
      </c>
      <c r="F959">
        <v>3181</v>
      </c>
      <c r="G959">
        <v>3434</v>
      </c>
      <c r="H959">
        <v>78</v>
      </c>
      <c r="I959">
        <v>684</v>
      </c>
      <c r="J959">
        <v>360</v>
      </c>
      <c r="K959" s="1">
        <v>45870</v>
      </c>
      <c r="L959" t="s">
        <v>429</v>
      </c>
      <c r="M959" t="s">
        <v>427</v>
      </c>
      <c r="N959" s="2">
        <f>IFERROR(NHS_A_E[[#This Row],[T1_Over4hrs]]/NHS_A_E[[#This Row],[T1_Attendances]], 0)</f>
        <v>0.37008298308007326</v>
      </c>
      <c r="O959">
        <f>NHS_A_E[[#This Row],[T1_Attendances]]+NHS_A_E[[#This Row],[Other_Attendances]]</f>
        <v>12460</v>
      </c>
      <c r="P959">
        <f>MATCH(LEFT(A959,FIND("-",A959)-1),{"April","May","June","July","August","September","October","November","December","January","February","March"},0)</f>
        <v>5</v>
      </c>
      <c r="Q959" s="3">
        <f t="shared" si="28"/>
        <v>3.8797284190106696E-2</v>
      </c>
      <c r="R959" t="str">
        <f t="shared" si="29"/>
        <v>August</v>
      </c>
    </row>
    <row r="960" spans="1:18" x14ac:dyDescent="0.35">
      <c r="A960" t="s">
        <v>433</v>
      </c>
      <c r="B960" t="s">
        <v>319</v>
      </c>
      <c r="C960" t="s">
        <v>63</v>
      </c>
      <c r="D960" t="s">
        <v>320</v>
      </c>
      <c r="E960">
        <v>0</v>
      </c>
      <c r="F960">
        <v>1210</v>
      </c>
      <c r="G960">
        <v>0</v>
      </c>
      <c r="H960">
        <v>7</v>
      </c>
      <c r="I960">
        <v>0</v>
      </c>
      <c r="J960">
        <v>0</v>
      </c>
      <c r="K960" s="1">
        <v>45870</v>
      </c>
      <c r="L960" t="s">
        <v>429</v>
      </c>
      <c r="M960" t="s">
        <v>427</v>
      </c>
      <c r="N960" s="2">
        <f>IFERROR(NHS_A_E[[#This Row],[T1_Over4hrs]]/NHS_A_E[[#This Row],[T1_Attendances]], 0)</f>
        <v>0</v>
      </c>
      <c r="O960">
        <f>NHS_A_E[[#This Row],[T1_Attendances]]+NHS_A_E[[#This Row],[Other_Attendances]]</f>
        <v>1210</v>
      </c>
      <c r="P960">
        <f>MATCH(LEFT(A960,FIND("-",A960)-1),{"April","May","June","July","August","September","October","November","December","January","February","March"},0)</f>
        <v>5</v>
      </c>
      <c r="Q960" s="3">
        <f t="shared" si="28"/>
        <v>0</v>
      </c>
      <c r="R960" t="str">
        <f t="shared" si="29"/>
        <v>August</v>
      </c>
    </row>
    <row r="961" spans="1:18" x14ac:dyDescent="0.35">
      <c r="A961" t="s">
        <v>433</v>
      </c>
      <c r="B961" t="s">
        <v>181</v>
      </c>
      <c r="C961" t="s">
        <v>40</v>
      </c>
      <c r="D961" t="s">
        <v>182</v>
      </c>
      <c r="E961">
        <v>20916</v>
      </c>
      <c r="F961">
        <v>0</v>
      </c>
      <c r="G961">
        <v>8251</v>
      </c>
      <c r="H961">
        <v>0</v>
      </c>
      <c r="I961">
        <v>1161</v>
      </c>
      <c r="J961">
        <v>964</v>
      </c>
      <c r="K961" s="1">
        <v>45870</v>
      </c>
      <c r="L961" t="s">
        <v>429</v>
      </c>
      <c r="M961" t="s">
        <v>427</v>
      </c>
      <c r="N961" s="2">
        <f>IFERROR(NHS_A_E[[#This Row],[T1_Over4hrs]]/NHS_A_E[[#This Row],[T1_Attendances]], 0)</f>
        <v>0.39448269267546376</v>
      </c>
      <c r="O961">
        <f>NHS_A_E[[#This Row],[T1_Attendances]]+NHS_A_E[[#This Row],[Other_Attendances]]</f>
        <v>20916</v>
      </c>
      <c r="P961">
        <f>MATCH(LEFT(A961,FIND("-",A961)-1),{"April","May","June","July","August","September","October","November","December","January","February","March"},0)</f>
        <v>5</v>
      </c>
      <c r="Q961" s="3">
        <f t="shared" si="28"/>
        <v>4.6089118378275007E-2</v>
      </c>
      <c r="R961" t="str">
        <f t="shared" si="29"/>
        <v>August</v>
      </c>
    </row>
    <row r="962" spans="1:18" x14ac:dyDescent="0.35">
      <c r="A962" t="s">
        <v>433</v>
      </c>
      <c r="B962" t="s">
        <v>185</v>
      </c>
      <c r="C962" t="s">
        <v>23</v>
      </c>
      <c r="D962" t="s">
        <v>186</v>
      </c>
      <c r="E962">
        <v>8370</v>
      </c>
      <c r="F962">
        <v>8102</v>
      </c>
      <c r="G962">
        <v>3609</v>
      </c>
      <c r="H962">
        <v>42</v>
      </c>
      <c r="I962">
        <v>192</v>
      </c>
      <c r="J962">
        <v>23</v>
      </c>
      <c r="K962" s="1">
        <v>45870</v>
      </c>
      <c r="L962" t="s">
        <v>429</v>
      </c>
      <c r="M962" t="s">
        <v>427</v>
      </c>
      <c r="N962" s="2">
        <f>IFERROR(NHS_A_E[[#This Row],[T1_Over4hrs]]/NHS_A_E[[#This Row],[T1_Attendances]], 0)</f>
        <v>0.4311827956989247</v>
      </c>
      <c r="O962">
        <f>NHS_A_E[[#This Row],[T1_Attendances]]+NHS_A_E[[#This Row],[Other_Attendances]]</f>
        <v>16472</v>
      </c>
      <c r="P962">
        <f>MATCH(LEFT(A962,FIND("-",A962)-1),{"April","May","June","July","August","September","October","November","December","January","February","March"},0)</f>
        <v>5</v>
      </c>
      <c r="Q962" s="3">
        <f t="shared" ref="Q962:Q1025" si="30">IFERROR(J962/E962,0)</f>
        <v>2.7479091995221026E-3</v>
      </c>
      <c r="R962" t="str">
        <f t="shared" ref="R962:R1025" si="31">TEXT(A962, "mmmm")</f>
        <v>August</v>
      </c>
    </row>
    <row r="963" spans="1:18" x14ac:dyDescent="0.35">
      <c r="A963" t="s">
        <v>433</v>
      </c>
      <c r="B963" t="s">
        <v>375</v>
      </c>
      <c r="C963" t="s">
        <v>40</v>
      </c>
      <c r="D963" t="s">
        <v>376</v>
      </c>
      <c r="E963">
        <v>10876</v>
      </c>
      <c r="F963">
        <v>7706</v>
      </c>
      <c r="G963">
        <v>3770</v>
      </c>
      <c r="H963">
        <v>133</v>
      </c>
      <c r="I963">
        <v>645</v>
      </c>
      <c r="J963">
        <v>102</v>
      </c>
      <c r="K963" s="1">
        <v>45870</v>
      </c>
      <c r="L963" t="s">
        <v>429</v>
      </c>
      <c r="M963" t="s">
        <v>427</v>
      </c>
      <c r="N963" s="2">
        <f>IFERROR(NHS_A_E[[#This Row],[T1_Over4hrs]]/NHS_A_E[[#This Row],[T1_Attendances]], 0)</f>
        <v>0.3466347922030158</v>
      </c>
      <c r="O963">
        <f>NHS_A_E[[#This Row],[T1_Attendances]]+NHS_A_E[[#This Row],[Other_Attendances]]</f>
        <v>18582</v>
      </c>
      <c r="P963">
        <f>MATCH(LEFT(A963,FIND("-",A963)-1),{"April","May","June","July","August","September","October","November","December","January","February","March"},0)</f>
        <v>5</v>
      </c>
      <c r="Q963" s="3">
        <f t="shared" si="30"/>
        <v>9.3784479588083849E-3</v>
      </c>
      <c r="R963" t="str">
        <f t="shared" si="31"/>
        <v>August</v>
      </c>
    </row>
    <row r="964" spans="1:18" x14ac:dyDescent="0.35">
      <c r="A964" t="s">
        <v>433</v>
      </c>
      <c r="B964" t="s">
        <v>195</v>
      </c>
      <c r="C964" t="s">
        <v>30</v>
      </c>
      <c r="D964" t="s">
        <v>196</v>
      </c>
      <c r="E964">
        <v>9421</v>
      </c>
      <c r="F964">
        <v>10199</v>
      </c>
      <c r="G964">
        <v>4240</v>
      </c>
      <c r="H964">
        <v>56</v>
      </c>
      <c r="I964">
        <v>820</v>
      </c>
      <c r="J964">
        <v>262</v>
      </c>
      <c r="K964" s="1">
        <v>45870</v>
      </c>
      <c r="L964" t="s">
        <v>429</v>
      </c>
      <c r="M964" t="s">
        <v>427</v>
      </c>
      <c r="N964" s="2">
        <f>IFERROR(NHS_A_E[[#This Row],[T1_Over4hrs]]/NHS_A_E[[#This Row],[T1_Attendances]], 0)</f>
        <v>0.45005838021441463</v>
      </c>
      <c r="O964">
        <f>NHS_A_E[[#This Row],[T1_Attendances]]+NHS_A_E[[#This Row],[Other_Attendances]]</f>
        <v>19620</v>
      </c>
      <c r="P964">
        <f>MATCH(LEFT(A964,FIND("-",A964)-1),{"April","May","June","July","August","September","October","November","December","January","February","March"},0)</f>
        <v>5</v>
      </c>
      <c r="Q964" s="3">
        <f t="shared" si="30"/>
        <v>2.7810211230230336E-2</v>
      </c>
      <c r="R964" t="str">
        <f t="shared" si="31"/>
        <v>August</v>
      </c>
    </row>
    <row r="965" spans="1:18" x14ac:dyDescent="0.35">
      <c r="A965" t="s">
        <v>433</v>
      </c>
      <c r="B965" t="s">
        <v>237</v>
      </c>
      <c r="C965" t="s">
        <v>30</v>
      </c>
      <c r="D965" t="s">
        <v>238</v>
      </c>
      <c r="E965">
        <v>13281</v>
      </c>
      <c r="F965">
        <v>10655</v>
      </c>
      <c r="G965">
        <v>4442</v>
      </c>
      <c r="H965">
        <v>595</v>
      </c>
      <c r="I965">
        <v>577</v>
      </c>
      <c r="J965">
        <v>925</v>
      </c>
      <c r="K965" s="1">
        <v>45870</v>
      </c>
      <c r="L965" t="s">
        <v>429</v>
      </c>
      <c r="M965" t="s">
        <v>427</v>
      </c>
      <c r="N965" s="2">
        <f>IFERROR(NHS_A_E[[#This Row],[T1_Over4hrs]]/NHS_A_E[[#This Row],[T1_Attendances]], 0)</f>
        <v>0.33446276635795497</v>
      </c>
      <c r="O965">
        <f>NHS_A_E[[#This Row],[T1_Attendances]]+NHS_A_E[[#This Row],[Other_Attendances]]</f>
        <v>23936</v>
      </c>
      <c r="P965">
        <f>MATCH(LEFT(A965,FIND("-",A965)-1),{"April","May","June","July","August","September","October","November","December","January","February","March"},0)</f>
        <v>5</v>
      </c>
      <c r="Q965" s="3">
        <f t="shared" si="30"/>
        <v>6.9648369851667793E-2</v>
      </c>
      <c r="R965" t="str">
        <f t="shared" si="31"/>
        <v>August</v>
      </c>
    </row>
    <row r="966" spans="1:18" x14ac:dyDescent="0.35">
      <c r="A966" t="s">
        <v>433</v>
      </c>
      <c r="B966" t="s">
        <v>207</v>
      </c>
      <c r="C966" t="s">
        <v>15</v>
      </c>
      <c r="D966" t="s">
        <v>208</v>
      </c>
      <c r="E966">
        <v>26764</v>
      </c>
      <c r="F966">
        <v>2094</v>
      </c>
      <c r="G966">
        <v>10519</v>
      </c>
      <c r="H966">
        <v>235</v>
      </c>
      <c r="I966">
        <v>632</v>
      </c>
      <c r="J966">
        <v>534</v>
      </c>
      <c r="K966" s="1">
        <v>45870</v>
      </c>
      <c r="L966" t="s">
        <v>429</v>
      </c>
      <c r="M966" t="s">
        <v>427</v>
      </c>
      <c r="N966" s="2">
        <f>IFERROR(NHS_A_E[[#This Row],[T1_Over4hrs]]/NHS_A_E[[#This Row],[T1_Attendances]], 0)</f>
        <v>0.39302794798983709</v>
      </c>
      <c r="O966">
        <f>NHS_A_E[[#This Row],[T1_Attendances]]+NHS_A_E[[#This Row],[Other_Attendances]]</f>
        <v>28858</v>
      </c>
      <c r="P966">
        <f>MATCH(LEFT(A966,FIND("-",A966)-1),{"April","May","June","July","August","September","October","November","December","January","February","March"},0)</f>
        <v>5</v>
      </c>
      <c r="Q966" s="3">
        <f t="shared" si="30"/>
        <v>1.9952174562845613E-2</v>
      </c>
      <c r="R966" t="str">
        <f t="shared" si="31"/>
        <v>August</v>
      </c>
    </row>
    <row r="967" spans="1:18" x14ac:dyDescent="0.35">
      <c r="A967" t="s">
        <v>433</v>
      </c>
      <c r="B967" t="s">
        <v>259</v>
      </c>
      <c r="C967" t="s">
        <v>40</v>
      </c>
      <c r="D967" t="s">
        <v>260</v>
      </c>
      <c r="E967">
        <v>0</v>
      </c>
      <c r="F967">
        <v>0</v>
      </c>
      <c r="G967">
        <v>0</v>
      </c>
      <c r="H967">
        <v>0</v>
      </c>
      <c r="I967">
        <v>0</v>
      </c>
      <c r="J967">
        <v>0</v>
      </c>
      <c r="K967" s="1">
        <v>45870</v>
      </c>
      <c r="L967" t="s">
        <v>429</v>
      </c>
      <c r="M967" t="s">
        <v>427</v>
      </c>
      <c r="N967" s="2">
        <f>IFERROR(NHS_A_E[[#This Row],[T1_Over4hrs]]/NHS_A_E[[#This Row],[T1_Attendances]], 0)</f>
        <v>0</v>
      </c>
      <c r="O967">
        <f>NHS_A_E[[#This Row],[T1_Attendances]]+NHS_A_E[[#This Row],[Other_Attendances]]</f>
        <v>0</v>
      </c>
      <c r="P967">
        <f>MATCH(LEFT(A967,FIND("-",A967)-1),{"April","May","June","July","August","September","October","November","December","January","February","March"},0)</f>
        <v>5</v>
      </c>
      <c r="Q967" s="3">
        <f t="shared" si="30"/>
        <v>0</v>
      </c>
      <c r="R967" t="str">
        <f t="shared" si="31"/>
        <v>August</v>
      </c>
    </row>
    <row r="968" spans="1:18" x14ac:dyDescent="0.35">
      <c r="A968" t="s">
        <v>433</v>
      </c>
      <c r="B968" t="s">
        <v>420</v>
      </c>
      <c r="C968" t="s">
        <v>15</v>
      </c>
      <c r="D968" t="s">
        <v>421</v>
      </c>
      <c r="E968">
        <v>0</v>
      </c>
      <c r="F968">
        <v>2864</v>
      </c>
      <c r="G968">
        <v>0</v>
      </c>
      <c r="H968">
        <v>0</v>
      </c>
      <c r="I968">
        <v>0</v>
      </c>
      <c r="J968">
        <v>0</v>
      </c>
      <c r="K968" s="1">
        <v>45870</v>
      </c>
      <c r="L968" t="s">
        <v>429</v>
      </c>
      <c r="M968" t="s">
        <v>427</v>
      </c>
      <c r="N968" s="2">
        <f>IFERROR(NHS_A_E[[#This Row],[T1_Over4hrs]]/NHS_A_E[[#This Row],[T1_Attendances]], 0)</f>
        <v>0</v>
      </c>
      <c r="O968">
        <f>NHS_A_E[[#This Row],[T1_Attendances]]+NHS_A_E[[#This Row],[Other_Attendances]]</f>
        <v>2864</v>
      </c>
      <c r="P968">
        <f>MATCH(LEFT(A968,FIND("-",A968)-1),{"April","May","June","July","August","September","October","November","December","January","February","March"},0)</f>
        <v>5</v>
      </c>
      <c r="Q968" s="3">
        <f t="shared" si="30"/>
        <v>0</v>
      </c>
      <c r="R968" t="str">
        <f t="shared" si="31"/>
        <v>August</v>
      </c>
    </row>
    <row r="969" spans="1:18" x14ac:dyDescent="0.35">
      <c r="A969" t="s">
        <v>433</v>
      </c>
      <c r="B969" t="s">
        <v>337</v>
      </c>
      <c r="C969" t="s">
        <v>20</v>
      </c>
      <c r="D969" t="s">
        <v>338</v>
      </c>
      <c r="E969">
        <v>14621</v>
      </c>
      <c r="F969">
        <v>5370</v>
      </c>
      <c r="G969">
        <v>5621</v>
      </c>
      <c r="H969">
        <v>0</v>
      </c>
      <c r="I969">
        <v>617</v>
      </c>
      <c r="J969">
        <v>57</v>
      </c>
      <c r="K969" s="1">
        <v>45870</v>
      </c>
      <c r="L969" t="s">
        <v>429</v>
      </c>
      <c r="M969" t="s">
        <v>427</v>
      </c>
      <c r="N969" s="2">
        <f>IFERROR(NHS_A_E[[#This Row],[T1_Over4hrs]]/NHS_A_E[[#This Row],[T1_Attendances]], 0)</f>
        <v>0.38444702824704191</v>
      </c>
      <c r="O969">
        <f>NHS_A_E[[#This Row],[T1_Attendances]]+NHS_A_E[[#This Row],[Other_Attendances]]</f>
        <v>19991</v>
      </c>
      <c r="P969">
        <f>MATCH(LEFT(A969,FIND("-",A969)-1),{"April","May","June","July","August","September","October","November","December","January","February","March"},0)</f>
        <v>5</v>
      </c>
      <c r="Q969" s="3">
        <f t="shared" si="30"/>
        <v>3.898502154435401E-3</v>
      </c>
      <c r="R969" t="str">
        <f t="shared" si="31"/>
        <v>August</v>
      </c>
    </row>
    <row r="970" spans="1:18" x14ac:dyDescent="0.35">
      <c r="A970" t="s">
        <v>433</v>
      </c>
      <c r="B970" t="s">
        <v>73</v>
      </c>
      <c r="C970" t="s">
        <v>15</v>
      </c>
      <c r="D970" t="s">
        <v>74</v>
      </c>
      <c r="E970">
        <v>4420</v>
      </c>
      <c r="F970">
        <v>1844</v>
      </c>
      <c r="G970">
        <v>1619</v>
      </c>
      <c r="H970">
        <v>65</v>
      </c>
      <c r="I970">
        <v>228</v>
      </c>
      <c r="J970">
        <v>100</v>
      </c>
      <c r="K970" s="1">
        <v>45870</v>
      </c>
      <c r="L970" t="s">
        <v>429</v>
      </c>
      <c r="M970" t="s">
        <v>427</v>
      </c>
      <c r="N970" s="2">
        <f>IFERROR(NHS_A_E[[#This Row],[T1_Over4hrs]]/NHS_A_E[[#This Row],[T1_Attendances]], 0)</f>
        <v>0.36628959276018097</v>
      </c>
      <c r="O970">
        <f>NHS_A_E[[#This Row],[T1_Attendances]]+NHS_A_E[[#This Row],[Other_Attendances]]</f>
        <v>6264</v>
      </c>
      <c r="P970">
        <f>MATCH(LEFT(A970,FIND("-",A970)-1),{"April","May","June","July","August","September","October","November","December","January","February","March"},0)</f>
        <v>5</v>
      </c>
      <c r="Q970" s="3">
        <f t="shared" si="30"/>
        <v>2.2624434389140271E-2</v>
      </c>
      <c r="R970" t="str">
        <f t="shared" si="31"/>
        <v>August</v>
      </c>
    </row>
    <row r="971" spans="1:18" x14ac:dyDescent="0.35">
      <c r="A971" t="s">
        <v>433</v>
      </c>
      <c r="B971" t="s">
        <v>87</v>
      </c>
      <c r="C971" t="s">
        <v>23</v>
      </c>
      <c r="D971" t="s">
        <v>88</v>
      </c>
      <c r="E971">
        <v>28878</v>
      </c>
      <c r="F971">
        <v>4089</v>
      </c>
      <c r="G971">
        <v>7915</v>
      </c>
      <c r="H971">
        <v>106</v>
      </c>
      <c r="I971">
        <v>1943</v>
      </c>
      <c r="J971">
        <v>303</v>
      </c>
      <c r="K971" s="1">
        <v>45870</v>
      </c>
      <c r="L971" t="s">
        <v>429</v>
      </c>
      <c r="M971" t="s">
        <v>427</v>
      </c>
      <c r="N971" s="2">
        <f>IFERROR(NHS_A_E[[#This Row],[T1_Over4hrs]]/NHS_A_E[[#This Row],[T1_Attendances]], 0)</f>
        <v>0.2740840778447261</v>
      </c>
      <c r="O971">
        <f>NHS_A_E[[#This Row],[T1_Attendances]]+NHS_A_E[[#This Row],[Other_Attendances]]</f>
        <v>32967</v>
      </c>
      <c r="P971">
        <f>MATCH(LEFT(A971,FIND("-",A971)-1),{"April","May","June","July","August","September","October","November","December","January","February","March"},0)</f>
        <v>5</v>
      </c>
      <c r="Q971" s="3">
        <f t="shared" si="30"/>
        <v>1.0492416372324953E-2</v>
      </c>
      <c r="R971" t="str">
        <f t="shared" si="31"/>
        <v>August</v>
      </c>
    </row>
    <row r="972" spans="1:18" x14ac:dyDescent="0.35">
      <c r="A972" t="s">
        <v>433</v>
      </c>
      <c r="B972" t="s">
        <v>91</v>
      </c>
      <c r="C972" t="s">
        <v>30</v>
      </c>
      <c r="D972" t="s">
        <v>92</v>
      </c>
      <c r="E972">
        <v>16472</v>
      </c>
      <c r="F972">
        <v>7270</v>
      </c>
      <c r="G972">
        <v>6432</v>
      </c>
      <c r="H972">
        <v>79</v>
      </c>
      <c r="I972">
        <v>566</v>
      </c>
      <c r="J972">
        <v>290</v>
      </c>
      <c r="K972" s="1">
        <v>45870</v>
      </c>
      <c r="L972" t="s">
        <v>429</v>
      </c>
      <c r="M972" t="s">
        <v>427</v>
      </c>
      <c r="N972" s="2">
        <f>IFERROR(NHS_A_E[[#This Row],[T1_Over4hrs]]/NHS_A_E[[#This Row],[T1_Attendances]], 0)</f>
        <v>0.39048081593006312</v>
      </c>
      <c r="O972">
        <f>NHS_A_E[[#This Row],[T1_Attendances]]+NHS_A_E[[#This Row],[Other_Attendances]]</f>
        <v>23742</v>
      </c>
      <c r="P972">
        <f>MATCH(LEFT(A972,FIND("-",A972)-1),{"April","May","June","July","August","September","October","November","December","January","February","March"},0)</f>
        <v>5</v>
      </c>
      <c r="Q972" s="3">
        <f t="shared" si="30"/>
        <v>1.7605633802816902E-2</v>
      </c>
      <c r="R972" t="str">
        <f t="shared" si="31"/>
        <v>August</v>
      </c>
    </row>
    <row r="973" spans="1:18" x14ac:dyDescent="0.35">
      <c r="A973" t="s">
        <v>433</v>
      </c>
      <c r="B973" t="s">
        <v>101</v>
      </c>
      <c r="C973" t="s">
        <v>63</v>
      </c>
      <c r="D973" t="s">
        <v>102</v>
      </c>
      <c r="E973">
        <v>8638</v>
      </c>
      <c r="F973">
        <v>0</v>
      </c>
      <c r="G973">
        <v>2524</v>
      </c>
      <c r="H973">
        <v>0</v>
      </c>
      <c r="I973">
        <v>318</v>
      </c>
      <c r="J973">
        <v>0</v>
      </c>
      <c r="K973" s="1">
        <v>45870</v>
      </c>
      <c r="L973" t="s">
        <v>429</v>
      </c>
      <c r="M973" t="s">
        <v>427</v>
      </c>
      <c r="N973" s="2">
        <f>IFERROR(NHS_A_E[[#This Row],[T1_Over4hrs]]/NHS_A_E[[#This Row],[T1_Attendances]], 0)</f>
        <v>0.29219726788608474</v>
      </c>
      <c r="O973">
        <f>NHS_A_E[[#This Row],[T1_Attendances]]+NHS_A_E[[#This Row],[Other_Attendances]]</f>
        <v>8638</v>
      </c>
      <c r="P973">
        <f>MATCH(LEFT(A973,FIND("-",A973)-1),{"April","May","June","July","August","September","October","November","December","January","February","March"},0)</f>
        <v>5</v>
      </c>
      <c r="Q973" s="3">
        <f t="shared" si="30"/>
        <v>0</v>
      </c>
      <c r="R973" t="str">
        <f t="shared" si="31"/>
        <v>August</v>
      </c>
    </row>
    <row r="974" spans="1:18" x14ac:dyDescent="0.35">
      <c r="A974" t="s">
        <v>433</v>
      </c>
      <c r="B974" t="s">
        <v>347</v>
      </c>
      <c r="C974" t="s">
        <v>63</v>
      </c>
      <c r="D974" t="s">
        <v>348</v>
      </c>
      <c r="E974">
        <v>6036</v>
      </c>
      <c r="F974">
        <v>0</v>
      </c>
      <c r="G974">
        <v>2246</v>
      </c>
      <c r="H974">
        <v>0</v>
      </c>
      <c r="I974">
        <v>424</v>
      </c>
      <c r="J974">
        <v>61</v>
      </c>
      <c r="K974" s="1">
        <v>45870</v>
      </c>
      <c r="L974" t="s">
        <v>429</v>
      </c>
      <c r="M974" t="s">
        <v>427</v>
      </c>
      <c r="N974" s="2">
        <f>IFERROR(NHS_A_E[[#This Row],[T1_Over4hrs]]/NHS_A_E[[#This Row],[T1_Attendances]], 0)</f>
        <v>0.37210072895957585</v>
      </c>
      <c r="O974">
        <f>NHS_A_E[[#This Row],[T1_Attendances]]+NHS_A_E[[#This Row],[Other_Attendances]]</f>
        <v>6036</v>
      </c>
      <c r="P974">
        <f>MATCH(LEFT(A974,FIND("-",A974)-1),{"April","May","June","July","August","September","October","November","December","January","February","March"},0)</f>
        <v>5</v>
      </c>
      <c r="Q974" s="3">
        <f t="shared" si="30"/>
        <v>1.0106030483764083E-2</v>
      </c>
      <c r="R974" t="str">
        <f t="shared" si="31"/>
        <v>August</v>
      </c>
    </row>
    <row r="975" spans="1:18" x14ac:dyDescent="0.35">
      <c r="A975" t="s">
        <v>433</v>
      </c>
      <c r="B975" t="s">
        <v>229</v>
      </c>
      <c r="C975" t="s">
        <v>23</v>
      </c>
      <c r="D975" t="s">
        <v>230</v>
      </c>
      <c r="E975">
        <v>6802</v>
      </c>
      <c r="F975">
        <v>1151</v>
      </c>
      <c r="G975">
        <v>3245</v>
      </c>
      <c r="H975">
        <v>0</v>
      </c>
      <c r="I975">
        <v>702</v>
      </c>
      <c r="J975">
        <v>124</v>
      </c>
      <c r="K975" s="1">
        <v>45870</v>
      </c>
      <c r="L975" t="s">
        <v>429</v>
      </c>
      <c r="M975" t="s">
        <v>427</v>
      </c>
      <c r="N975" s="2">
        <f>IFERROR(NHS_A_E[[#This Row],[T1_Over4hrs]]/NHS_A_E[[#This Row],[T1_Attendances]], 0)</f>
        <v>0.47706556895030872</v>
      </c>
      <c r="O975">
        <f>NHS_A_E[[#This Row],[T1_Attendances]]+NHS_A_E[[#This Row],[Other_Attendances]]</f>
        <v>7953</v>
      </c>
      <c r="P975">
        <f>MATCH(LEFT(A975,FIND("-",A975)-1),{"April","May","June","July","August","September","October","November","December","January","February","March"},0)</f>
        <v>5</v>
      </c>
      <c r="Q975" s="3">
        <f t="shared" si="30"/>
        <v>1.822993237283152E-2</v>
      </c>
      <c r="R975" t="str">
        <f t="shared" si="31"/>
        <v>August</v>
      </c>
    </row>
    <row r="976" spans="1:18" x14ac:dyDescent="0.35">
      <c r="A976" t="s">
        <v>433</v>
      </c>
      <c r="B976" t="s">
        <v>249</v>
      </c>
      <c r="C976" t="s">
        <v>20</v>
      </c>
      <c r="D976" t="s">
        <v>250</v>
      </c>
      <c r="E976">
        <v>6928</v>
      </c>
      <c r="F976">
        <v>3552</v>
      </c>
      <c r="G976">
        <v>2700</v>
      </c>
      <c r="H976">
        <v>17</v>
      </c>
      <c r="I976">
        <v>179</v>
      </c>
      <c r="J976">
        <v>31</v>
      </c>
      <c r="K976" s="1">
        <v>45870</v>
      </c>
      <c r="L976" t="s">
        <v>429</v>
      </c>
      <c r="M976" t="s">
        <v>427</v>
      </c>
      <c r="N976" s="2">
        <f>IFERROR(NHS_A_E[[#This Row],[T1_Over4hrs]]/NHS_A_E[[#This Row],[T1_Attendances]], 0)</f>
        <v>0.38972286374133946</v>
      </c>
      <c r="O976">
        <f>NHS_A_E[[#This Row],[T1_Attendances]]+NHS_A_E[[#This Row],[Other_Attendances]]</f>
        <v>10480</v>
      </c>
      <c r="P976">
        <f>MATCH(LEFT(A976,FIND("-",A976)-1),{"April","May","June","July","August","September","October","November","December","January","February","March"},0)</f>
        <v>5</v>
      </c>
      <c r="Q976" s="3">
        <f t="shared" si="30"/>
        <v>4.4745958429561203E-3</v>
      </c>
      <c r="R976" t="str">
        <f t="shared" si="31"/>
        <v>August</v>
      </c>
    </row>
    <row r="977" spans="1:18" x14ac:dyDescent="0.35">
      <c r="A977" t="s">
        <v>433</v>
      </c>
      <c r="B977" t="s">
        <v>395</v>
      </c>
      <c r="C977" t="s">
        <v>23</v>
      </c>
      <c r="D977" t="s">
        <v>396</v>
      </c>
      <c r="E977">
        <v>7826</v>
      </c>
      <c r="F977">
        <v>649</v>
      </c>
      <c r="G977">
        <v>2231</v>
      </c>
      <c r="H977">
        <v>0</v>
      </c>
      <c r="I977">
        <v>438</v>
      </c>
      <c r="J977">
        <v>199</v>
      </c>
      <c r="K977" s="1">
        <v>45870</v>
      </c>
      <c r="L977" t="s">
        <v>429</v>
      </c>
      <c r="M977" t="s">
        <v>427</v>
      </c>
      <c r="N977" s="2">
        <f>IFERROR(NHS_A_E[[#This Row],[T1_Over4hrs]]/NHS_A_E[[#This Row],[T1_Attendances]], 0)</f>
        <v>0.2850753897265525</v>
      </c>
      <c r="O977">
        <f>NHS_A_E[[#This Row],[T1_Attendances]]+NHS_A_E[[#This Row],[Other_Attendances]]</f>
        <v>8475</v>
      </c>
      <c r="P977">
        <f>MATCH(LEFT(A977,FIND("-",A977)-1),{"April","May","June","July","August","September","October","November","December","January","February","March"},0)</f>
        <v>5</v>
      </c>
      <c r="Q977" s="3">
        <f t="shared" si="30"/>
        <v>2.5428060311781242E-2</v>
      </c>
      <c r="R977" t="str">
        <f t="shared" si="31"/>
        <v>August</v>
      </c>
    </row>
    <row r="978" spans="1:18" x14ac:dyDescent="0.35">
      <c r="A978" t="s">
        <v>433</v>
      </c>
      <c r="B978" t="s">
        <v>413</v>
      </c>
      <c r="C978" t="s">
        <v>20</v>
      </c>
      <c r="D978" t="s">
        <v>414</v>
      </c>
      <c r="E978">
        <v>9265</v>
      </c>
      <c r="F978">
        <v>5765</v>
      </c>
      <c r="G978">
        <v>4281</v>
      </c>
      <c r="H978">
        <v>95</v>
      </c>
      <c r="I978">
        <v>680</v>
      </c>
      <c r="J978">
        <v>329</v>
      </c>
      <c r="K978" s="1">
        <v>45870</v>
      </c>
      <c r="L978" t="s">
        <v>429</v>
      </c>
      <c r="M978" t="s">
        <v>427</v>
      </c>
      <c r="N978" s="2">
        <f>IFERROR(NHS_A_E[[#This Row],[T1_Over4hrs]]/NHS_A_E[[#This Row],[T1_Attendances]], 0)</f>
        <v>0.462061521856449</v>
      </c>
      <c r="O978">
        <f>NHS_A_E[[#This Row],[T1_Attendances]]+NHS_A_E[[#This Row],[Other_Attendances]]</f>
        <v>15030</v>
      </c>
      <c r="P978">
        <f>MATCH(LEFT(A978,FIND("-",A978)-1),{"April","May","June","July","August","September","October","November","December","January","February","March"},0)</f>
        <v>5</v>
      </c>
      <c r="Q978" s="3">
        <f t="shared" si="30"/>
        <v>3.5509983810037775E-2</v>
      </c>
      <c r="R978" t="str">
        <f t="shared" si="31"/>
        <v>August</v>
      </c>
    </row>
    <row r="979" spans="1:18" x14ac:dyDescent="0.35">
      <c r="A979" t="s">
        <v>433</v>
      </c>
      <c r="B979" t="s">
        <v>44</v>
      </c>
      <c r="C979" t="s">
        <v>40</v>
      </c>
      <c r="D979" t="s">
        <v>45</v>
      </c>
      <c r="E979">
        <v>11743</v>
      </c>
      <c r="F979">
        <v>5448</v>
      </c>
      <c r="G979">
        <v>4495</v>
      </c>
      <c r="H979">
        <v>82</v>
      </c>
      <c r="I979">
        <v>74</v>
      </c>
      <c r="J979">
        <v>9</v>
      </c>
      <c r="K979" s="1">
        <v>45870</v>
      </c>
      <c r="L979" t="s">
        <v>429</v>
      </c>
      <c r="M979" t="s">
        <v>427</v>
      </c>
      <c r="N979" s="2">
        <f>IFERROR(NHS_A_E[[#This Row],[T1_Over4hrs]]/NHS_A_E[[#This Row],[T1_Attendances]], 0)</f>
        <v>0.38278123137188114</v>
      </c>
      <c r="O979">
        <f>NHS_A_E[[#This Row],[T1_Attendances]]+NHS_A_E[[#This Row],[Other_Attendances]]</f>
        <v>17191</v>
      </c>
      <c r="P979">
        <f>MATCH(LEFT(A979,FIND("-",A979)-1),{"April","May","June","July","August","September","October","November","December","January","February","March"},0)</f>
        <v>5</v>
      </c>
      <c r="Q979" s="3">
        <f t="shared" si="30"/>
        <v>7.6641403389253167E-4</v>
      </c>
      <c r="R979" t="str">
        <f t="shared" si="31"/>
        <v>August</v>
      </c>
    </row>
    <row r="980" spans="1:18" x14ac:dyDescent="0.35">
      <c r="A980" t="s">
        <v>433</v>
      </c>
      <c r="B980" t="s">
        <v>167</v>
      </c>
      <c r="C980" t="s">
        <v>30</v>
      </c>
      <c r="D980" t="s">
        <v>168</v>
      </c>
      <c r="E980">
        <v>7488</v>
      </c>
      <c r="F980">
        <v>3890</v>
      </c>
      <c r="G980">
        <v>3709</v>
      </c>
      <c r="H980">
        <v>318</v>
      </c>
      <c r="I980">
        <v>481</v>
      </c>
      <c r="J980">
        <v>331</v>
      </c>
      <c r="K980" s="1">
        <v>45870</v>
      </c>
      <c r="L980" t="s">
        <v>429</v>
      </c>
      <c r="M980" t="s">
        <v>427</v>
      </c>
      <c r="N980" s="2">
        <f>IFERROR(NHS_A_E[[#This Row],[T1_Over4hrs]]/NHS_A_E[[#This Row],[T1_Attendances]], 0)</f>
        <v>0.49532585470085472</v>
      </c>
      <c r="O980">
        <f>NHS_A_E[[#This Row],[T1_Attendances]]+NHS_A_E[[#This Row],[Other_Attendances]]</f>
        <v>11378</v>
      </c>
      <c r="P980">
        <f>MATCH(LEFT(A980,FIND("-",A980)-1),{"April","May","June","July","August","September","October","November","December","January","February","March"},0)</f>
        <v>5</v>
      </c>
      <c r="Q980" s="3">
        <f t="shared" si="30"/>
        <v>4.4204059829059832E-2</v>
      </c>
      <c r="R980" t="str">
        <f t="shared" si="31"/>
        <v>August</v>
      </c>
    </row>
    <row r="981" spans="1:18" x14ac:dyDescent="0.35">
      <c r="A981" t="s">
        <v>433</v>
      </c>
      <c r="B981" t="s">
        <v>403</v>
      </c>
      <c r="C981" t="s">
        <v>15</v>
      </c>
      <c r="D981" t="s">
        <v>404</v>
      </c>
      <c r="E981">
        <v>0</v>
      </c>
      <c r="F981">
        <v>1387</v>
      </c>
      <c r="G981">
        <v>0</v>
      </c>
      <c r="H981">
        <v>2</v>
      </c>
      <c r="I981">
        <v>0</v>
      </c>
      <c r="J981">
        <v>0</v>
      </c>
      <c r="K981" s="1">
        <v>45870</v>
      </c>
      <c r="L981" t="s">
        <v>429</v>
      </c>
      <c r="M981" t="s">
        <v>427</v>
      </c>
      <c r="N981" s="2">
        <f>IFERROR(NHS_A_E[[#This Row],[T1_Over4hrs]]/NHS_A_E[[#This Row],[T1_Attendances]], 0)</f>
        <v>0</v>
      </c>
      <c r="O981">
        <f>NHS_A_E[[#This Row],[T1_Attendances]]+NHS_A_E[[#This Row],[Other_Attendances]]</f>
        <v>1387</v>
      </c>
      <c r="P981">
        <f>MATCH(LEFT(A981,FIND("-",A981)-1),{"April","May","June","July","August","September","October","November","December","January","February","March"},0)</f>
        <v>5</v>
      </c>
      <c r="Q981" s="3">
        <f t="shared" si="30"/>
        <v>0</v>
      </c>
      <c r="R981" t="str">
        <f t="shared" si="31"/>
        <v>August</v>
      </c>
    </row>
    <row r="982" spans="1:18" x14ac:dyDescent="0.35">
      <c r="A982" t="s">
        <v>433</v>
      </c>
      <c r="B982" t="s">
        <v>365</v>
      </c>
      <c r="C982" t="s">
        <v>35</v>
      </c>
      <c r="D982" t="s">
        <v>366</v>
      </c>
      <c r="E982">
        <v>12926</v>
      </c>
      <c r="F982">
        <v>0</v>
      </c>
      <c r="G982">
        <v>3381</v>
      </c>
      <c r="H982">
        <v>0</v>
      </c>
      <c r="I982">
        <v>299</v>
      </c>
      <c r="J982">
        <v>72</v>
      </c>
      <c r="K982" s="1">
        <v>45870</v>
      </c>
      <c r="L982" t="s">
        <v>429</v>
      </c>
      <c r="M982" t="s">
        <v>427</v>
      </c>
      <c r="N982" s="2">
        <f>IFERROR(NHS_A_E[[#This Row],[T1_Over4hrs]]/NHS_A_E[[#This Row],[T1_Attendances]], 0)</f>
        <v>0.26156583629893237</v>
      </c>
      <c r="O982">
        <f>NHS_A_E[[#This Row],[T1_Attendances]]+NHS_A_E[[#This Row],[Other_Attendances]]</f>
        <v>12926</v>
      </c>
      <c r="P982">
        <f>MATCH(LEFT(A982,FIND("-",A982)-1),{"April","May","June","July","August","September","October","November","December","January","February","March"},0)</f>
        <v>5</v>
      </c>
      <c r="Q982" s="3">
        <f t="shared" si="30"/>
        <v>5.5701686523286402E-3</v>
      </c>
      <c r="R982" t="str">
        <f t="shared" si="31"/>
        <v>August</v>
      </c>
    </row>
    <row r="983" spans="1:18" x14ac:dyDescent="0.35">
      <c r="A983" t="s">
        <v>433</v>
      </c>
      <c r="B983" t="s">
        <v>69</v>
      </c>
      <c r="C983" t="s">
        <v>20</v>
      </c>
      <c r="D983" t="s">
        <v>70</v>
      </c>
      <c r="E983">
        <v>13420</v>
      </c>
      <c r="F983">
        <v>0</v>
      </c>
      <c r="G983">
        <v>5301</v>
      </c>
      <c r="H983">
        <v>0</v>
      </c>
      <c r="I983">
        <v>439</v>
      </c>
      <c r="J983">
        <v>221</v>
      </c>
      <c r="K983" s="1">
        <v>45870</v>
      </c>
      <c r="L983" t="s">
        <v>429</v>
      </c>
      <c r="M983" t="s">
        <v>427</v>
      </c>
      <c r="N983" s="2">
        <f>IFERROR(NHS_A_E[[#This Row],[T1_Over4hrs]]/NHS_A_E[[#This Row],[T1_Attendances]], 0)</f>
        <v>0.39500745156482864</v>
      </c>
      <c r="O983">
        <f>NHS_A_E[[#This Row],[T1_Attendances]]+NHS_A_E[[#This Row],[Other_Attendances]]</f>
        <v>13420</v>
      </c>
      <c r="P983">
        <f>MATCH(LEFT(A983,FIND("-",A983)-1),{"April","May","June","July","August","September","October","November","December","January","February","March"},0)</f>
        <v>5</v>
      </c>
      <c r="Q983" s="3">
        <f t="shared" si="30"/>
        <v>1.6467958271236961E-2</v>
      </c>
      <c r="R983" t="str">
        <f t="shared" si="31"/>
        <v>August</v>
      </c>
    </row>
    <row r="984" spans="1:18" x14ac:dyDescent="0.35">
      <c r="A984" t="s">
        <v>433</v>
      </c>
      <c r="B984" t="s">
        <v>121</v>
      </c>
      <c r="C984" t="s">
        <v>15</v>
      </c>
      <c r="D984" t="s">
        <v>122</v>
      </c>
      <c r="E984">
        <v>6990</v>
      </c>
      <c r="F984">
        <v>2820</v>
      </c>
      <c r="G984">
        <v>3499</v>
      </c>
      <c r="H984">
        <v>31</v>
      </c>
      <c r="I984">
        <v>535</v>
      </c>
      <c r="J984">
        <v>118</v>
      </c>
      <c r="K984" s="1">
        <v>45870</v>
      </c>
      <c r="L984" t="s">
        <v>429</v>
      </c>
      <c r="M984" t="s">
        <v>427</v>
      </c>
      <c r="N984" s="2">
        <f>IFERROR(NHS_A_E[[#This Row],[T1_Over4hrs]]/NHS_A_E[[#This Row],[T1_Attendances]], 0)</f>
        <v>0.5005722460658083</v>
      </c>
      <c r="O984">
        <f>NHS_A_E[[#This Row],[T1_Attendances]]+NHS_A_E[[#This Row],[Other_Attendances]]</f>
        <v>9810</v>
      </c>
      <c r="P984">
        <f>MATCH(LEFT(A984,FIND("-",A984)-1),{"April","May","June","July","August","September","October","November","December","January","February","March"},0)</f>
        <v>5</v>
      </c>
      <c r="Q984" s="3">
        <f t="shared" si="30"/>
        <v>1.688125894134478E-2</v>
      </c>
      <c r="R984" t="str">
        <f t="shared" si="31"/>
        <v>August</v>
      </c>
    </row>
    <row r="985" spans="1:18" x14ac:dyDescent="0.35">
      <c r="A985" t="s">
        <v>433</v>
      </c>
      <c r="B985" t="s">
        <v>201</v>
      </c>
      <c r="C985" t="s">
        <v>20</v>
      </c>
      <c r="D985" t="s">
        <v>202</v>
      </c>
      <c r="E985">
        <v>0</v>
      </c>
      <c r="F985">
        <v>1972</v>
      </c>
      <c r="G985">
        <v>0</v>
      </c>
      <c r="H985">
        <v>47</v>
      </c>
      <c r="I985">
        <v>0</v>
      </c>
      <c r="J985">
        <v>0</v>
      </c>
      <c r="K985" s="1">
        <v>45870</v>
      </c>
      <c r="L985" t="s">
        <v>429</v>
      </c>
      <c r="M985" t="s">
        <v>427</v>
      </c>
      <c r="N985" s="2">
        <f>IFERROR(NHS_A_E[[#This Row],[T1_Over4hrs]]/NHS_A_E[[#This Row],[T1_Attendances]], 0)</f>
        <v>0</v>
      </c>
      <c r="O985">
        <f>NHS_A_E[[#This Row],[T1_Attendances]]+NHS_A_E[[#This Row],[Other_Attendances]]</f>
        <v>1972</v>
      </c>
      <c r="P985">
        <f>MATCH(LEFT(A985,FIND("-",A985)-1),{"April","May","June","July","August","September","October","November","December","January","February","March"},0)</f>
        <v>5</v>
      </c>
      <c r="Q985" s="3">
        <f t="shared" si="30"/>
        <v>0</v>
      </c>
      <c r="R985" t="str">
        <f t="shared" si="31"/>
        <v>August</v>
      </c>
    </row>
    <row r="986" spans="1:18" x14ac:dyDescent="0.35">
      <c r="A986" t="s">
        <v>433</v>
      </c>
      <c r="B986" t="s">
        <v>303</v>
      </c>
      <c r="C986" t="s">
        <v>23</v>
      </c>
      <c r="D986" t="s">
        <v>304</v>
      </c>
      <c r="E986">
        <v>0</v>
      </c>
      <c r="F986">
        <v>2334</v>
      </c>
      <c r="G986">
        <v>0</v>
      </c>
      <c r="H986">
        <v>0</v>
      </c>
      <c r="I986">
        <v>0</v>
      </c>
      <c r="J986">
        <v>0</v>
      </c>
      <c r="K986" s="1">
        <v>45870</v>
      </c>
      <c r="L986" t="s">
        <v>429</v>
      </c>
      <c r="M986" t="s">
        <v>427</v>
      </c>
      <c r="N986" s="2">
        <f>IFERROR(NHS_A_E[[#This Row],[T1_Over4hrs]]/NHS_A_E[[#This Row],[T1_Attendances]], 0)</f>
        <v>0</v>
      </c>
      <c r="O986">
        <f>NHS_A_E[[#This Row],[T1_Attendances]]+NHS_A_E[[#This Row],[Other_Attendances]]</f>
        <v>2334</v>
      </c>
      <c r="P986">
        <f>MATCH(LEFT(A986,FIND("-",A986)-1),{"April","May","June","July","August","September","October","November","December","January","February","March"},0)</f>
        <v>5</v>
      </c>
      <c r="Q986" s="3">
        <f t="shared" si="30"/>
        <v>0</v>
      </c>
      <c r="R986" t="str">
        <f t="shared" si="31"/>
        <v>August</v>
      </c>
    </row>
    <row r="987" spans="1:18" x14ac:dyDescent="0.35">
      <c r="A987" t="s">
        <v>433</v>
      </c>
      <c r="B987" t="s">
        <v>241</v>
      </c>
      <c r="C987" t="s">
        <v>40</v>
      </c>
      <c r="D987" t="s">
        <v>242</v>
      </c>
      <c r="E987">
        <v>0</v>
      </c>
      <c r="F987">
        <v>0</v>
      </c>
      <c r="G987">
        <v>0</v>
      </c>
      <c r="H987">
        <v>0</v>
      </c>
      <c r="I987">
        <v>0</v>
      </c>
      <c r="J987">
        <v>0</v>
      </c>
      <c r="K987" s="1">
        <v>45870</v>
      </c>
      <c r="L987" t="s">
        <v>429</v>
      </c>
      <c r="M987" t="s">
        <v>427</v>
      </c>
      <c r="N987" s="2">
        <f>IFERROR(NHS_A_E[[#This Row],[T1_Over4hrs]]/NHS_A_E[[#This Row],[T1_Attendances]], 0)</f>
        <v>0</v>
      </c>
      <c r="O987">
        <f>NHS_A_E[[#This Row],[T1_Attendances]]+NHS_A_E[[#This Row],[Other_Attendances]]</f>
        <v>0</v>
      </c>
      <c r="P987">
        <f>MATCH(LEFT(A987,FIND("-",A987)-1),{"April","May","June","July","August","September","October","November","December","January","February","March"},0)</f>
        <v>5</v>
      </c>
      <c r="Q987" s="3">
        <f t="shared" si="30"/>
        <v>0</v>
      </c>
      <c r="R987" t="str">
        <f t="shared" si="31"/>
        <v>August</v>
      </c>
    </row>
    <row r="988" spans="1:18" x14ac:dyDescent="0.35">
      <c r="A988" t="s">
        <v>433</v>
      </c>
      <c r="B988" t="s">
        <v>163</v>
      </c>
      <c r="C988" t="s">
        <v>35</v>
      </c>
      <c r="D988" t="s">
        <v>164</v>
      </c>
      <c r="E988">
        <v>0</v>
      </c>
      <c r="F988">
        <v>3363</v>
      </c>
      <c r="G988">
        <v>0</v>
      </c>
      <c r="H988">
        <v>13</v>
      </c>
      <c r="I988">
        <v>0</v>
      </c>
      <c r="J988">
        <v>0</v>
      </c>
      <c r="K988" s="1">
        <v>45870</v>
      </c>
      <c r="L988" t="s">
        <v>429</v>
      </c>
      <c r="M988" t="s">
        <v>427</v>
      </c>
      <c r="N988" s="2">
        <f>IFERROR(NHS_A_E[[#This Row],[T1_Over4hrs]]/NHS_A_E[[#This Row],[T1_Attendances]], 0)</f>
        <v>0</v>
      </c>
      <c r="O988">
        <f>NHS_A_E[[#This Row],[T1_Attendances]]+NHS_A_E[[#This Row],[Other_Attendances]]</f>
        <v>3363</v>
      </c>
      <c r="P988">
        <f>MATCH(LEFT(A988,FIND("-",A988)-1),{"April","May","June","July","August","September","October","November","December","January","February","March"},0)</f>
        <v>5</v>
      </c>
      <c r="Q988" s="3">
        <f t="shared" si="30"/>
        <v>0</v>
      </c>
      <c r="R988" t="str">
        <f t="shared" si="31"/>
        <v>August</v>
      </c>
    </row>
    <row r="989" spans="1:18" x14ac:dyDescent="0.35">
      <c r="A989" t="s">
        <v>433</v>
      </c>
      <c r="B989" t="s">
        <v>422</v>
      </c>
      <c r="C989" t="s">
        <v>20</v>
      </c>
      <c r="D989" t="s">
        <v>423</v>
      </c>
      <c r="E989">
        <v>0</v>
      </c>
      <c r="F989">
        <v>1058</v>
      </c>
      <c r="G989">
        <v>0</v>
      </c>
      <c r="H989">
        <v>7</v>
      </c>
      <c r="I989">
        <v>0</v>
      </c>
      <c r="J989">
        <v>0</v>
      </c>
      <c r="K989" s="1">
        <v>45870</v>
      </c>
      <c r="L989" t="s">
        <v>429</v>
      </c>
      <c r="M989" t="s">
        <v>427</v>
      </c>
      <c r="N989" s="2">
        <f>IFERROR(NHS_A_E[[#This Row],[T1_Over4hrs]]/NHS_A_E[[#This Row],[T1_Attendances]], 0)</f>
        <v>0</v>
      </c>
      <c r="O989">
        <f>NHS_A_E[[#This Row],[T1_Attendances]]+NHS_A_E[[#This Row],[Other_Attendances]]</f>
        <v>1058</v>
      </c>
      <c r="P989">
        <f>MATCH(LEFT(A989,FIND("-",A989)-1),{"April","May","June","July","August","September","October","November","December","January","February","March"},0)</f>
        <v>5</v>
      </c>
      <c r="Q989" s="3">
        <f t="shared" si="30"/>
        <v>0</v>
      </c>
      <c r="R989" t="str">
        <f t="shared" si="31"/>
        <v>August</v>
      </c>
    </row>
    <row r="990" spans="1:18" x14ac:dyDescent="0.35">
      <c r="A990" t="s">
        <v>433</v>
      </c>
      <c r="B990" t="s">
        <v>424</v>
      </c>
      <c r="C990" t="s">
        <v>20</v>
      </c>
      <c r="D990" t="s">
        <v>425</v>
      </c>
      <c r="E990">
        <v>0</v>
      </c>
      <c r="F990">
        <v>1685</v>
      </c>
      <c r="G990">
        <v>0</v>
      </c>
      <c r="H990">
        <v>9</v>
      </c>
      <c r="I990">
        <v>0</v>
      </c>
      <c r="J990">
        <v>0</v>
      </c>
      <c r="K990" s="1">
        <v>45870</v>
      </c>
      <c r="L990" t="s">
        <v>429</v>
      </c>
      <c r="M990" t="s">
        <v>427</v>
      </c>
      <c r="N990" s="2">
        <f>IFERROR(NHS_A_E[[#This Row],[T1_Over4hrs]]/NHS_A_E[[#This Row],[T1_Attendances]], 0)</f>
        <v>0</v>
      </c>
      <c r="O990">
        <f>NHS_A_E[[#This Row],[T1_Attendances]]+NHS_A_E[[#This Row],[Other_Attendances]]</f>
        <v>1685</v>
      </c>
      <c r="P990">
        <f>MATCH(LEFT(A990,FIND("-",A990)-1),{"April","May","June","July","August","September","October","November","December","January","February","March"},0)</f>
        <v>5</v>
      </c>
      <c r="Q990" s="3">
        <f t="shared" si="30"/>
        <v>0</v>
      </c>
      <c r="R990" t="str">
        <f t="shared" si="31"/>
        <v>August</v>
      </c>
    </row>
    <row r="991" spans="1:18" x14ac:dyDescent="0.35">
      <c r="A991" t="s">
        <v>433</v>
      </c>
      <c r="B991" t="s">
        <v>309</v>
      </c>
      <c r="C991" t="s">
        <v>30</v>
      </c>
      <c r="D991" t="s">
        <v>310</v>
      </c>
      <c r="E991">
        <v>0</v>
      </c>
      <c r="F991">
        <v>1584</v>
      </c>
      <c r="G991">
        <v>0</v>
      </c>
      <c r="H991">
        <v>7</v>
      </c>
      <c r="I991">
        <v>0</v>
      </c>
      <c r="J991">
        <v>0</v>
      </c>
      <c r="K991" s="1">
        <v>45870</v>
      </c>
      <c r="L991" t="s">
        <v>429</v>
      </c>
      <c r="M991" t="s">
        <v>427</v>
      </c>
      <c r="N991" s="2">
        <f>IFERROR(NHS_A_E[[#This Row],[T1_Over4hrs]]/NHS_A_E[[#This Row],[T1_Attendances]], 0)</f>
        <v>0</v>
      </c>
      <c r="O991">
        <f>NHS_A_E[[#This Row],[T1_Attendances]]+NHS_A_E[[#This Row],[Other_Attendances]]</f>
        <v>1584</v>
      </c>
      <c r="P991">
        <f>MATCH(LEFT(A991,FIND("-",A991)-1),{"April","May","June","July","August","September","October","November","December","January","February","March"},0)</f>
        <v>5</v>
      </c>
      <c r="Q991" s="3">
        <f t="shared" si="30"/>
        <v>0</v>
      </c>
      <c r="R991" t="str">
        <f t="shared" si="31"/>
        <v>August</v>
      </c>
    </row>
    <row r="992" spans="1:18" x14ac:dyDescent="0.35">
      <c r="A992" t="s">
        <v>433</v>
      </c>
      <c r="B992" t="s">
        <v>311</v>
      </c>
      <c r="C992" t="s">
        <v>20</v>
      </c>
      <c r="D992" t="s">
        <v>312</v>
      </c>
      <c r="E992">
        <v>0</v>
      </c>
      <c r="F992">
        <v>1148</v>
      </c>
      <c r="G992">
        <v>0</v>
      </c>
      <c r="H992">
        <v>2</v>
      </c>
      <c r="I992">
        <v>0</v>
      </c>
      <c r="J992">
        <v>0</v>
      </c>
      <c r="K992" s="1">
        <v>45870</v>
      </c>
      <c r="L992" t="s">
        <v>429</v>
      </c>
      <c r="M992" t="s">
        <v>427</v>
      </c>
      <c r="N992" s="2">
        <f>IFERROR(NHS_A_E[[#This Row],[T1_Over4hrs]]/NHS_A_E[[#This Row],[T1_Attendances]], 0)</f>
        <v>0</v>
      </c>
      <c r="O992">
        <f>NHS_A_E[[#This Row],[T1_Attendances]]+NHS_A_E[[#This Row],[Other_Attendances]]</f>
        <v>1148</v>
      </c>
      <c r="P992">
        <f>MATCH(LEFT(A992,FIND("-",A992)-1),{"April","May","June","July","August","September","October","November","December","January","February","March"},0)</f>
        <v>5</v>
      </c>
      <c r="Q992" s="3">
        <f t="shared" si="30"/>
        <v>0</v>
      </c>
      <c r="R992" t="str">
        <f t="shared" si="31"/>
        <v>August</v>
      </c>
    </row>
    <row r="993" spans="1:18" x14ac:dyDescent="0.35">
      <c r="A993" t="s">
        <v>433</v>
      </c>
      <c r="B993" t="s">
        <v>113</v>
      </c>
      <c r="C993" t="s">
        <v>40</v>
      </c>
      <c r="D993" t="s">
        <v>114</v>
      </c>
      <c r="E993">
        <v>0</v>
      </c>
      <c r="F993">
        <v>4694</v>
      </c>
      <c r="G993">
        <v>0</v>
      </c>
      <c r="H993">
        <v>231</v>
      </c>
      <c r="I993">
        <v>0</v>
      </c>
      <c r="J993">
        <v>0</v>
      </c>
      <c r="K993" s="1">
        <v>45870</v>
      </c>
      <c r="L993" t="s">
        <v>429</v>
      </c>
      <c r="M993" t="s">
        <v>427</v>
      </c>
      <c r="N993" s="2">
        <f>IFERROR(NHS_A_E[[#This Row],[T1_Over4hrs]]/NHS_A_E[[#This Row],[T1_Attendances]], 0)</f>
        <v>0</v>
      </c>
      <c r="O993">
        <f>NHS_A_E[[#This Row],[T1_Attendances]]+NHS_A_E[[#This Row],[Other_Attendances]]</f>
        <v>4694</v>
      </c>
      <c r="P993">
        <f>MATCH(LEFT(A993,FIND("-",A993)-1),{"April","May","June","July","August","September","October","November","December","January","February","March"},0)</f>
        <v>5</v>
      </c>
      <c r="Q993" s="3">
        <f t="shared" si="30"/>
        <v>0</v>
      </c>
      <c r="R993" t="str">
        <f t="shared" si="31"/>
        <v>August</v>
      </c>
    </row>
    <row r="994" spans="1:18" x14ac:dyDescent="0.35">
      <c r="A994" t="s">
        <v>433</v>
      </c>
      <c r="B994" t="s">
        <v>227</v>
      </c>
      <c r="C994" t="s">
        <v>30</v>
      </c>
      <c r="D994" t="s">
        <v>228</v>
      </c>
      <c r="E994">
        <v>0</v>
      </c>
      <c r="F994">
        <v>1018</v>
      </c>
      <c r="G994">
        <v>0</v>
      </c>
      <c r="H994">
        <v>0</v>
      </c>
      <c r="I994">
        <v>0</v>
      </c>
      <c r="J994">
        <v>0</v>
      </c>
      <c r="K994" s="1">
        <v>45870</v>
      </c>
      <c r="L994" t="s">
        <v>429</v>
      </c>
      <c r="M994" t="s">
        <v>427</v>
      </c>
      <c r="N994" s="2">
        <f>IFERROR(NHS_A_E[[#This Row],[T1_Over4hrs]]/NHS_A_E[[#This Row],[T1_Attendances]], 0)</f>
        <v>0</v>
      </c>
      <c r="O994">
        <f>NHS_A_E[[#This Row],[T1_Attendances]]+NHS_A_E[[#This Row],[Other_Attendances]]</f>
        <v>1018</v>
      </c>
      <c r="P994">
        <f>MATCH(LEFT(A994,FIND("-",A994)-1),{"April","May","June","July","August","September","October","November","December","January","February","March"},0)</f>
        <v>5</v>
      </c>
      <c r="Q994" s="3">
        <f t="shared" si="30"/>
        <v>0</v>
      </c>
      <c r="R994" t="str">
        <f t="shared" si="31"/>
        <v>August</v>
      </c>
    </row>
    <row r="995" spans="1:18" x14ac:dyDescent="0.35">
      <c r="A995" t="s">
        <v>433</v>
      </c>
      <c r="B995" t="s">
        <v>333</v>
      </c>
      <c r="C995" t="s">
        <v>30</v>
      </c>
      <c r="D995" t="s">
        <v>334</v>
      </c>
      <c r="E995">
        <v>23856</v>
      </c>
      <c r="F995">
        <v>10819</v>
      </c>
      <c r="G995">
        <v>10063</v>
      </c>
      <c r="H995">
        <v>284</v>
      </c>
      <c r="I995">
        <v>2881</v>
      </c>
      <c r="J995">
        <v>69</v>
      </c>
      <c r="K995" s="1">
        <v>45870</v>
      </c>
      <c r="L995" t="s">
        <v>429</v>
      </c>
      <c r="M995" t="s">
        <v>427</v>
      </c>
      <c r="N995" s="2">
        <f>IFERROR(NHS_A_E[[#This Row],[T1_Over4hrs]]/NHS_A_E[[#This Row],[T1_Attendances]], 0)</f>
        <v>0.42182260228034874</v>
      </c>
      <c r="O995">
        <f>NHS_A_E[[#This Row],[T1_Attendances]]+NHS_A_E[[#This Row],[Other_Attendances]]</f>
        <v>34675</v>
      </c>
      <c r="P995">
        <f>MATCH(LEFT(A995,FIND("-",A995)-1),{"April","May","June","July","August","September","October","November","December","January","February","March"},0)</f>
        <v>5</v>
      </c>
      <c r="Q995" s="3">
        <f t="shared" si="30"/>
        <v>2.8923541247484908E-3</v>
      </c>
      <c r="R995" t="str">
        <f t="shared" si="31"/>
        <v>August</v>
      </c>
    </row>
    <row r="996" spans="1:18" x14ac:dyDescent="0.35">
      <c r="A996" t="s">
        <v>433</v>
      </c>
      <c r="B996" t="s">
        <v>115</v>
      </c>
      <c r="C996" t="s">
        <v>40</v>
      </c>
      <c r="D996" t="s">
        <v>116</v>
      </c>
      <c r="E996">
        <v>0</v>
      </c>
      <c r="F996">
        <v>3193</v>
      </c>
      <c r="G996">
        <v>0</v>
      </c>
      <c r="H996">
        <v>52</v>
      </c>
      <c r="I996">
        <v>0</v>
      </c>
      <c r="J996">
        <v>0</v>
      </c>
      <c r="K996" s="1">
        <v>45870</v>
      </c>
      <c r="L996" t="s">
        <v>429</v>
      </c>
      <c r="M996" t="s">
        <v>427</v>
      </c>
      <c r="N996" s="2">
        <f>IFERROR(NHS_A_E[[#This Row],[T1_Over4hrs]]/NHS_A_E[[#This Row],[T1_Attendances]], 0)</f>
        <v>0</v>
      </c>
      <c r="O996">
        <f>NHS_A_E[[#This Row],[T1_Attendances]]+NHS_A_E[[#This Row],[Other_Attendances]]</f>
        <v>3193</v>
      </c>
      <c r="P996">
        <f>MATCH(LEFT(A996,FIND("-",A996)-1),{"April","May","June","July","August","September","October","November","December","January","February","March"},0)</f>
        <v>5</v>
      </c>
      <c r="Q996" s="3">
        <f t="shared" si="30"/>
        <v>0</v>
      </c>
      <c r="R996" t="str">
        <f t="shared" si="31"/>
        <v>August</v>
      </c>
    </row>
    <row r="997" spans="1:18" x14ac:dyDescent="0.35">
      <c r="A997" t="s">
        <v>433</v>
      </c>
      <c r="B997" t="s">
        <v>117</v>
      </c>
      <c r="C997" t="s">
        <v>15</v>
      </c>
      <c r="D997" t="s">
        <v>118</v>
      </c>
      <c r="E997">
        <v>6430</v>
      </c>
      <c r="F997">
        <v>1629</v>
      </c>
      <c r="G997">
        <v>2023</v>
      </c>
      <c r="H997">
        <v>0</v>
      </c>
      <c r="I997">
        <v>376</v>
      </c>
      <c r="J997">
        <v>5</v>
      </c>
      <c r="K997" s="1">
        <v>45870</v>
      </c>
      <c r="L997" t="s">
        <v>429</v>
      </c>
      <c r="M997" t="s">
        <v>427</v>
      </c>
      <c r="N997" s="2">
        <f>IFERROR(NHS_A_E[[#This Row],[T1_Over4hrs]]/NHS_A_E[[#This Row],[T1_Attendances]], 0)</f>
        <v>0.31461897356143081</v>
      </c>
      <c r="O997">
        <f>NHS_A_E[[#This Row],[T1_Attendances]]+NHS_A_E[[#This Row],[Other_Attendances]]</f>
        <v>8059</v>
      </c>
      <c r="P997">
        <f>MATCH(LEFT(A997,FIND("-",A997)-1),{"April","May","June","July","August","September","October","November","December","January","February","March"},0)</f>
        <v>5</v>
      </c>
      <c r="Q997" s="3">
        <f t="shared" si="30"/>
        <v>7.776049766718507E-4</v>
      </c>
      <c r="R997" t="str">
        <f t="shared" si="31"/>
        <v>August</v>
      </c>
    </row>
    <row r="998" spans="1:18" x14ac:dyDescent="0.35">
      <c r="A998" t="s">
        <v>433</v>
      </c>
      <c r="B998" t="s">
        <v>341</v>
      </c>
      <c r="C998" t="s">
        <v>40</v>
      </c>
      <c r="D998" t="s">
        <v>342</v>
      </c>
      <c r="E998">
        <v>8935</v>
      </c>
      <c r="F998">
        <v>4373</v>
      </c>
      <c r="G998">
        <v>2943</v>
      </c>
      <c r="H998">
        <v>10</v>
      </c>
      <c r="I998">
        <v>949</v>
      </c>
      <c r="J998">
        <v>117</v>
      </c>
      <c r="K998" s="1">
        <v>45870</v>
      </c>
      <c r="L998" t="s">
        <v>429</v>
      </c>
      <c r="M998" t="s">
        <v>427</v>
      </c>
      <c r="N998" s="2">
        <f>IFERROR(NHS_A_E[[#This Row],[T1_Over4hrs]]/NHS_A_E[[#This Row],[T1_Attendances]], 0)</f>
        <v>0.32937884722999439</v>
      </c>
      <c r="O998">
        <f>NHS_A_E[[#This Row],[T1_Attendances]]+NHS_A_E[[#This Row],[Other_Attendances]]</f>
        <v>13308</v>
      </c>
      <c r="P998">
        <f>MATCH(LEFT(A998,FIND("-",A998)-1),{"April","May","June","July","August","September","October","November","December","January","February","March"},0)</f>
        <v>5</v>
      </c>
      <c r="Q998" s="3">
        <f t="shared" si="30"/>
        <v>1.3094571908226077E-2</v>
      </c>
      <c r="R998" t="str">
        <f t="shared" si="31"/>
        <v>August</v>
      </c>
    </row>
    <row r="999" spans="1:18" x14ac:dyDescent="0.35">
      <c r="A999" t="s">
        <v>433</v>
      </c>
      <c r="B999" t="s">
        <v>293</v>
      </c>
      <c r="C999" t="s">
        <v>20</v>
      </c>
      <c r="D999" t="s">
        <v>294</v>
      </c>
      <c r="E999">
        <v>0</v>
      </c>
      <c r="F999">
        <v>0</v>
      </c>
      <c r="G999">
        <v>0</v>
      </c>
      <c r="H999">
        <v>0</v>
      </c>
      <c r="I999">
        <v>0</v>
      </c>
      <c r="J999">
        <v>0</v>
      </c>
      <c r="K999" s="1">
        <v>45870</v>
      </c>
      <c r="L999" t="s">
        <v>429</v>
      </c>
      <c r="M999" t="s">
        <v>427</v>
      </c>
      <c r="N999" s="2">
        <f>IFERROR(NHS_A_E[[#This Row],[T1_Over4hrs]]/NHS_A_E[[#This Row],[T1_Attendances]], 0)</f>
        <v>0</v>
      </c>
      <c r="O999">
        <f>NHS_A_E[[#This Row],[T1_Attendances]]+NHS_A_E[[#This Row],[Other_Attendances]]</f>
        <v>0</v>
      </c>
      <c r="P999">
        <f>MATCH(LEFT(A999,FIND("-",A999)-1),{"April","May","June","July","August","September","October","November","December","January","February","March"},0)</f>
        <v>5</v>
      </c>
      <c r="Q999" s="3">
        <f t="shared" si="30"/>
        <v>0</v>
      </c>
      <c r="R999" t="str">
        <f t="shared" si="31"/>
        <v>August</v>
      </c>
    </row>
    <row r="1000" spans="1:18" x14ac:dyDescent="0.35">
      <c r="A1000" t="s">
        <v>433</v>
      </c>
      <c r="B1000" t="s">
        <v>29</v>
      </c>
      <c r="C1000" t="s">
        <v>30</v>
      </c>
      <c r="D1000" t="s">
        <v>31</v>
      </c>
      <c r="E1000">
        <v>16163</v>
      </c>
      <c r="F1000">
        <v>7505</v>
      </c>
      <c r="G1000">
        <v>7501</v>
      </c>
      <c r="H1000">
        <v>150</v>
      </c>
      <c r="I1000">
        <v>1433</v>
      </c>
      <c r="J1000">
        <v>477</v>
      </c>
      <c r="K1000" s="1">
        <v>45870</v>
      </c>
      <c r="L1000" t="s">
        <v>429</v>
      </c>
      <c r="M1000" t="s">
        <v>427</v>
      </c>
      <c r="N1000" s="2">
        <f>IFERROR(NHS_A_E[[#This Row],[T1_Over4hrs]]/NHS_A_E[[#This Row],[T1_Attendances]], 0)</f>
        <v>0.46408463775289238</v>
      </c>
      <c r="O1000">
        <f>NHS_A_E[[#This Row],[T1_Attendances]]+NHS_A_E[[#This Row],[Other_Attendances]]</f>
        <v>23668</v>
      </c>
      <c r="P1000">
        <f>MATCH(LEFT(A1000,FIND("-",A1000)-1),{"April","May","June","July","August","September","October","November","December","January","February","March"},0)</f>
        <v>5</v>
      </c>
      <c r="Q1000" s="3">
        <f t="shared" si="30"/>
        <v>2.9511848048010891E-2</v>
      </c>
      <c r="R1000" t="str">
        <f t="shared" si="31"/>
        <v>August</v>
      </c>
    </row>
    <row r="1001" spans="1:18" x14ac:dyDescent="0.35">
      <c r="A1001" t="s">
        <v>433</v>
      </c>
      <c r="B1001" t="s">
        <v>283</v>
      </c>
      <c r="C1001" t="s">
        <v>15</v>
      </c>
      <c r="D1001" t="s">
        <v>284</v>
      </c>
      <c r="E1001">
        <v>0</v>
      </c>
      <c r="F1001">
        <v>3395</v>
      </c>
      <c r="G1001">
        <v>0</v>
      </c>
      <c r="H1001">
        <v>50</v>
      </c>
      <c r="I1001">
        <v>0</v>
      </c>
      <c r="J1001">
        <v>0</v>
      </c>
      <c r="K1001" s="1">
        <v>45870</v>
      </c>
      <c r="L1001" t="s">
        <v>429</v>
      </c>
      <c r="M1001" t="s">
        <v>427</v>
      </c>
      <c r="N1001" s="2">
        <f>IFERROR(NHS_A_E[[#This Row],[T1_Over4hrs]]/NHS_A_E[[#This Row],[T1_Attendances]], 0)</f>
        <v>0</v>
      </c>
      <c r="O1001">
        <f>NHS_A_E[[#This Row],[T1_Attendances]]+NHS_A_E[[#This Row],[Other_Attendances]]</f>
        <v>3395</v>
      </c>
      <c r="P1001">
        <f>MATCH(LEFT(A1001,FIND("-",A1001)-1),{"April","May","June","July","August","September","October","November","December","January","February","March"},0)</f>
        <v>5</v>
      </c>
      <c r="Q1001" s="3">
        <f t="shared" si="30"/>
        <v>0</v>
      </c>
      <c r="R1001" t="str">
        <f t="shared" si="31"/>
        <v>August</v>
      </c>
    </row>
    <row r="1002" spans="1:18" x14ac:dyDescent="0.35">
      <c r="A1002" t="s">
        <v>433</v>
      </c>
      <c r="B1002" t="s">
        <v>71</v>
      </c>
      <c r="C1002" t="s">
        <v>35</v>
      </c>
      <c r="D1002" t="s">
        <v>72</v>
      </c>
      <c r="E1002">
        <v>0</v>
      </c>
      <c r="F1002">
        <v>0</v>
      </c>
      <c r="G1002">
        <v>0</v>
      </c>
      <c r="H1002">
        <v>0</v>
      </c>
      <c r="I1002">
        <v>0</v>
      </c>
      <c r="J1002">
        <v>0</v>
      </c>
      <c r="K1002" s="1">
        <v>45870</v>
      </c>
      <c r="L1002" t="s">
        <v>429</v>
      </c>
      <c r="M1002" t="s">
        <v>427</v>
      </c>
      <c r="N1002" s="2">
        <f>IFERROR(NHS_A_E[[#This Row],[T1_Over4hrs]]/NHS_A_E[[#This Row],[T1_Attendances]], 0)</f>
        <v>0</v>
      </c>
      <c r="O1002">
        <f>NHS_A_E[[#This Row],[T1_Attendances]]+NHS_A_E[[#This Row],[Other_Attendances]]</f>
        <v>0</v>
      </c>
      <c r="P1002">
        <f>MATCH(LEFT(A1002,FIND("-",A1002)-1),{"April","May","June","July","August","September","October","November","December","January","February","March"},0)</f>
        <v>5</v>
      </c>
      <c r="Q1002" s="3">
        <f t="shared" si="30"/>
        <v>0</v>
      </c>
      <c r="R1002" t="str">
        <f t="shared" si="31"/>
        <v>August</v>
      </c>
    </row>
    <row r="1003" spans="1:18" x14ac:dyDescent="0.35">
      <c r="A1003" t="s">
        <v>434</v>
      </c>
      <c r="B1003" t="s">
        <v>39</v>
      </c>
      <c r="C1003" t="s">
        <v>40</v>
      </c>
      <c r="D1003" t="s">
        <v>41</v>
      </c>
      <c r="E1003">
        <v>14776</v>
      </c>
      <c r="F1003">
        <v>8096</v>
      </c>
      <c r="G1003">
        <v>7469</v>
      </c>
      <c r="H1003">
        <v>146</v>
      </c>
      <c r="I1003">
        <v>1062</v>
      </c>
      <c r="J1003">
        <v>1003</v>
      </c>
      <c r="K1003" s="1">
        <v>45901</v>
      </c>
      <c r="L1003" t="s">
        <v>429</v>
      </c>
      <c r="M1003" t="s">
        <v>435</v>
      </c>
      <c r="N1003" s="2">
        <f>IFERROR(NHS_A_E[[#This Row],[T1_Over4hrs]]/NHS_A_E[[#This Row],[T1_Attendances]], 0)</f>
        <v>0.50548186247969684</v>
      </c>
      <c r="O1003">
        <f>NHS_A_E[[#This Row],[T1_Attendances]]+NHS_A_E[[#This Row],[Other_Attendances]]</f>
        <v>22872</v>
      </c>
      <c r="P1003">
        <f>MATCH(LEFT(A1003,FIND("-",A1003)-1),{"April","May","June","July","August","September","October","November","December","January","February","March"},0)</f>
        <v>6</v>
      </c>
      <c r="Q1003" s="3">
        <f t="shared" si="30"/>
        <v>6.7880346507850575E-2</v>
      </c>
      <c r="R1003" t="str">
        <f t="shared" si="31"/>
        <v>September</v>
      </c>
    </row>
    <row r="1004" spans="1:18" x14ac:dyDescent="0.35">
      <c r="A1004" t="s">
        <v>434</v>
      </c>
      <c r="B1004" t="s">
        <v>399</v>
      </c>
      <c r="C1004" t="s">
        <v>40</v>
      </c>
      <c r="D1004" t="s">
        <v>400</v>
      </c>
      <c r="E1004">
        <v>8326</v>
      </c>
      <c r="F1004">
        <v>449</v>
      </c>
      <c r="G1004">
        <v>2163</v>
      </c>
      <c r="H1004">
        <v>0</v>
      </c>
      <c r="I1004">
        <v>432</v>
      </c>
      <c r="J1004">
        <v>57</v>
      </c>
      <c r="K1004" s="1">
        <v>45901</v>
      </c>
      <c r="L1004" t="s">
        <v>429</v>
      </c>
      <c r="M1004" t="s">
        <v>435</v>
      </c>
      <c r="N1004" s="2">
        <f>IFERROR(NHS_A_E[[#This Row],[T1_Over4hrs]]/NHS_A_E[[#This Row],[T1_Attendances]], 0)</f>
        <v>0.25978861398030267</v>
      </c>
      <c r="O1004">
        <f>NHS_A_E[[#This Row],[T1_Attendances]]+NHS_A_E[[#This Row],[Other_Attendances]]</f>
        <v>8775</v>
      </c>
      <c r="P1004">
        <f>MATCH(LEFT(A1004,FIND("-",A1004)-1),{"April","May","June","July","August","September","October","November","December","January","February","March"},0)</f>
        <v>6</v>
      </c>
      <c r="Q1004" s="3">
        <f t="shared" si="30"/>
        <v>6.8460245015613741E-3</v>
      </c>
      <c r="R1004" t="str">
        <f t="shared" si="31"/>
        <v>September</v>
      </c>
    </row>
    <row r="1005" spans="1:18" x14ac:dyDescent="0.35">
      <c r="A1005" t="s">
        <v>434</v>
      </c>
      <c r="B1005" t="s">
        <v>109</v>
      </c>
      <c r="C1005" t="s">
        <v>35</v>
      </c>
      <c r="D1005" t="s">
        <v>110</v>
      </c>
      <c r="E1005">
        <v>10047</v>
      </c>
      <c r="F1005">
        <v>6766</v>
      </c>
      <c r="G1005">
        <v>3541</v>
      </c>
      <c r="H1005">
        <v>153</v>
      </c>
      <c r="I1005">
        <v>137</v>
      </c>
      <c r="J1005">
        <v>67</v>
      </c>
      <c r="K1005" s="1">
        <v>45901</v>
      </c>
      <c r="L1005" t="s">
        <v>429</v>
      </c>
      <c r="M1005" t="s">
        <v>435</v>
      </c>
      <c r="N1005" s="2">
        <f>IFERROR(NHS_A_E[[#This Row],[T1_Over4hrs]]/NHS_A_E[[#This Row],[T1_Attendances]], 0)</f>
        <v>0.35244351547725689</v>
      </c>
      <c r="O1005">
        <f>NHS_A_E[[#This Row],[T1_Attendances]]+NHS_A_E[[#This Row],[Other_Attendances]]</f>
        <v>16813</v>
      </c>
      <c r="P1005">
        <f>MATCH(LEFT(A1005,FIND("-",A1005)-1),{"April","May","June","July","August","September","October","November","December","January","February","March"},0)</f>
        <v>6</v>
      </c>
      <c r="Q1005" s="3">
        <f t="shared" si="30"/>
        <v>6.6686573106399917E-3</v>
      </c>
      <c r="R1005" t="str">
        <f t="shared" si="31"/>
        <v>September</v>
      </c>
    </row>
    <row r="1006" spans="1:18" x14ac:dyDescent="0.35">
      <c r="A1006" t="s">
        <v>434</v>
      </c>
      <c r="B1006" t="s">
        <v>315</v>
      </c>
      <c r="C1006" t="s">
        <v>23</v>
      </c>
      <c r="D1006" t="s">
        <v>316</v>
      </c>
      <c r="E1006">
        <v>7390</v>
      </c>
      <c r="F1006">
        <v>1352</v>
      </c>
      <c r="G1006">
        <v>2629</v>
      </c>
      <c r="H1006">
        <v>0</v>
      </c>
      <c r="I1006">
        <v>493</v>
      </c>
      <c r="J1006">
        <v>381</v>
      </c>
      <c r="K1006" s="1">
        <v>45901</v>
      </c>
      <c r="L1006" t="s">
        <v>429</v>
      </c>
      <c r="M1006" t="s">
        <v>435</v>
      </c>
      <c r="N1006" s="2">
        <f>IFERROR(NHS_A_E[[#This Row],[T1_Over4hrs]]/NHS_A_E[[#This Row],[T1_Attendances]], 0)</f>
        <v>0.35575101488497968</v>
      </c>
      <c r="O1006">
        <f>NHS_A_E[[#This Row],[T1_Attendances]]+NHS_A_E[[#This Row],[Other_Attendances]]</f>
        <v>8742</v>
      </c>
      <c r="P1006">
        <f>MATCH(LEFT(A1006,FIND("-",A1006)-1),{"April","May","June","July","August","September","October","November","December","January","February","March"},0)</f>
        <v>6</v>
      </c>
      <c r="Q1006" s="3">
        <f t="shared" si="30"/>
        <v>5.155615696887686E-2</v>
      </c>
      <c r="R1006" t="str">
        <f t="shared" si="31"/>
        <v>September</v>
      </c>
    </row>
    <row r="1007" spans="1:18" x14ac:dyDescent="0.35">
      <c r="A1007" t="s">
        <v>434</v>
      </c>
      <c r="B1007" t="s">
        <v>22</v>
      </c>
      <c r="C1007" t="s">
        <v>23</v>
      </c>
      <c r="D1007" t="s">
        <v>24</v>
      </c>
      <c r="E1007">
        <v>12269</v>
      </c>
      <c r="F1007">
        <v>13229</v>
      </c>
      <c r="G1007">
        <v>6644</v>
      </c>
      <c r="H1007">
        <v>698</v>
      </c>
      <c r="I1007">
        <v>1073</v>
      </c>
      <c r="J1007">
        <v>597</v>
      </c>
      <c r="K1007" s="1">
        <v>45901</v>
      </c>
      <c r="L1007" t="s">
        <v>429</v>
      </c>
      <c r="M1007" t="s">
        <v>435</v>
      </c>
      <c r="N1007" s="2">
        <f>IFERROR(NHS_A_E[[#This Row],[T1_Over4hrs]]/NHS_A_E[[#This Row],[T1_Attendances]], 0)</f>
        <v>0.54152742684815391</v>
      </c>
      <c r="O1007">
        <f>NHS_A_E[[#This Row],[T1_Attendances]]+NHS_A_E[[#This Row],[Other_Attendances]]</f>
        <v>25498</v>
      </c>
      <c r="P1007">
        <f>MATCH(LEFT(A1007,FIND("-",A1007)-1),{"April","May","June","July","August","September","October","November","December","January","February","March"},0)</f>
        <v>6</v>
      </c>
      <c r="Q1007" s="3">
        <f t="shared" si="30"/>
        <v>4.8659222430515937E-2</v>
      </c>
      <c r="R1007" t="str">
        <f t="shared" si="31"/>
        <v>September</v>
      </c>
    </row>
    <row r="1008" spans="1:18" x14ac:dyDescent="0.35">
      <c r="A1008" t="s">
        <v>434</v>
      </c>
      <c r="B1008" t="s">
        <v>229</v>
      </c>
      <c r="C1008" t="s">
        <v>23</v>
      </c>
      <c r="D1008" t="s">
        <v>230</v>
      </c>
      <c r="E1008">
        <v>6525</v>
      </c>
      <c r="F1008">
        <v>1242</v>
      </c>
      <c r="G1008">
        <v>2857</v>
      </c>
      <c r="H1008">
        <v>0</v>
      </c>
      <c r="I1008">
        <v>620</v>
      </c>
      <c r="J1008">
        <v>153</v>
      </c>
      <c r="K1008" s="1">
        <v>45901</v>
      </c>
      <c r="L1008" t="s">
        <v>429</v>
      </c>
      <c r="M1008" t="s">
        <v>435</v>
      </c>
      <c r="N1008" s="2">
        <f>IFERROR(NHS_A_E[[#This Row],[T1_Over4hrs]]/NHS_A_E[[#This Row],[T1_Attendances]], 0)</f>
        <v>0.43785440613026821</v>
      </c>
      <c r="O1008">
        <f>NHS_A_E[[#This Row],[T1_Attendances]]+NHS_A_E[[#This Row],[Other_Attendances]]</f>
        <v>7767</v>
      </c>
      <c r="P1008">
        <f>MATCH(LEFT(A1008,FIND("-",A1008)-1),{"April","May","June","July","August","September","October","November","December","January","February","March"},0)</f>
        <v>6</v>
      </c>
      <c r="Q1008" s="3">
        <f t="shared" si="30"/>
        <v>2.3448275862068966E-2</v>
      </c>
      <c r="R1008" t="str">
        <f t="shared" si="31"/>
        <v>September</v>
      </c>
    </row>
    <row r="1009" spans="1:18" x14ac:dyDescent="0.35">
      <c r="A1009" t="s">
        <v>434</v>
      </c>
      <c r="B1009" t="s">
        <v>251</v>
      </c>
      <c r="C1009" t="s">
        <v>35</v>
      </c>
      <c r="D1009" t="s">
        <v>252</v>
      </c>
      <c r="E1009">
        <v>7000</v>
      </c>
      <c r="F1009">
        <v>8430</v>
      </c>
      <c r="G1009">
        <v>4257</v>
      </c>
      <c r="H1009">
        <v>342</v>
      </c>
      <c r="I1009">
        <v>316</v>
      </c>
      <c r="J1009">
        <v>320</v>
      </c>
      <c r="K1009" s="1">
        <v>45901</v>
      </c>
      <c r="L1009" t="s">
        <v>429</v>
      </c>
      <c r="M1009" t="s">
        <v>435</v>
      </c>
      <c r="N1009" s="2">
        <f>IFERROR(NHS_A_E[[#This Row],[T1_Over4hrs]]/NHS_A_E[[#This Row],[T1_Attendances]], 0)</f>
        <v>0.6081428571428571</v>
      </c>
      <c r="O1009">
        <f>NHS_A_E[[#This Row],[T1_Attendances]]+NHS_A_E[[#This Row],[Other_Attendances]]</f>
        <v>15430</v>
      </c>
      <c r="P1009">
        <f>MATCH(LEFT(A1009,FIND("-",A1009)-1),{"April","May","June","July","August","September","October","November","December","January","February","March"},0)</f>
        <v>6</v>
      </c>
      <c r="Q1009" s="3">
        <f t="shared" si="30"/>
        <v>4.5714285714285714E-2</v>
      </c>
      <c r="R1009" t="str">
        <f t="shared" si="31"/>
        <v>September</v>
      </c>
    </row>
    <row r="1010" spans="1:18" x14ac:dyDescent="0.35">
      <c r="A1010" t="s">
        <v>434</v>
      </c>
      <c r="B1010" t="s">
        <v>117</v>
      </c>
      <c r="C1010" t="s">
        <v>15</v>
      </c>
      <c r="D1010" t="s">
        <v>436</v>
      </c>
      <c r="E1010">
        <v>6802</v>
      </c>
      <c r="F1010">
        <v>1813</v>
      </c>
      <c r="G1010">
        <v>2360</v>
      </c>
      <c r="H1010">
        <v>0</v>
      </c>
      <c r="I1010">
        <v>422</v>
      </c>
      <c r="J1010">
        <v>7</v>
      </c>
      <c r="K1010" s="1">
        <v>45901</v>
      </c>
      <c r="L1010" t="s">
        <v>429</v>
      </c>
      <c r="M1010" t="s">
        <v>435</v>
      </c>
      <c r="N1010" s="2">
        <f>IFERROR(NHS_A_E[[#This Row],[T1_Over4hrs]]/NHS_A_E[[#This Row],[T1_Attendances]], 0)</f>
        <v>0.34695677741840636</v>
      </c>
      <c r="O1010">
        <f>NHS_A_E[[#This Row],[T1_Attendances]]+NHS_A_E[[#This Row],[Other_Attendances]]</f>
        <v>8615</v>
      </c>
      <c r="P1010">
        <f>MATCH(LEFT(A1010,FIND("-",A1010)-1),{"April","May","June","July","August","September","October","November","December","January","February","March"},0)</f>
        <v>6</v>
      </c>
      <c r="Q1010" s="3">
        <f t="shared" si="30"/>
        <v>1.0291090855630697E-3</v>
      </c>
      <c r="R1010" t="str">
        <f t="shared" si="31"/>
        <v>September</v>
      </c>
    </row>
    <row r="1011" spans="1:18" x14ac:dyDescent="0.35">
      <c r="A1011" t="s">
        <v>434</v>
      </c>
      <c r="B1011" t="s">
        <v>279</v>
      </c>
      <c r="C1011" t="s">
        <v>15</v>
      </c>
      <c r="D1011" t="s">
        <v>280</v>
      </c>
      <c r="E1011">
        <v>0</v>
      </c>
      <c r="F1011">
        <v>2621</v>
      </c>
      <c r="G1011">
        <v>0</v>
      </c>
      <c r="H1011">
        <v>70</v>
      </c>
      <c r="I1011">
        <v>0</v>
      </c>
      <c r="J1011">
        <v>0</v>
      </c>
      <c r="K1011" s="1">
        <v>45901</v>
      </c>
      <c r="L1011" t="s">
        <v>429</v>
      </c>
      <c r="M1011" t="s">
        <v>435</v>
      </c>
      <c r="N1011" s="2">
        <f>IFERROR(NHS_A_E[[#This Row],[T1_Over4hrs]]/NHS_A_E[[#This Row],[T1_Attendances]], 0)</f>
        <v>0</v>
      </c>
      <c r="O1011">
        <f>NHS_A_E[[#This Row],[T1_Attendances]]+NHS_A_E[[#This Row],[Other_Attendances]]</f>
        <v>2621</v>
      </c>
      <c r="P1011">
        <f>MATCH(LEFT(A1011,FIND("-",A1011)-1),{"April","May","June","July","August","September","October","November","December","January","February","March"},0)</f>
        <v>6</v>
      </c>
      <c r="Q1011" s="3">
        <f t="shared" si="30"/>
        <v>0</v>
      </c>
      <c r="R1011" t="str">
        <f t="shared" si="31"/>
        <v>September</v>
      </c>
    </row>
    <row r="1012" spans="1:18" x14ac:dyDescent="0.35">
      <c r="A1012" t="s">
        <v>434</v>
      </c>
      <c r="B1012" t="s">
        <v>277</v>
      </c>
      <c r="C1012" t="s">
        <v>15</v>
      </c>
      <c r="D1012" t="s">
        <v>278</v>
      </c>
      <c r="E1012">
        <v>0</v>
      </c>
      <c r="F1012">
        <v>2374</v>
      </c>
      <c r="G1012">
        <v>0</v>
      </c>
      <c r="H1012">
        <v>34</v>
      </c>
      <c r="I1012">
        <v>0</v>
      </c>
      <c r="J1012">
        <v>0</v>
      </c>
      <c r="K1012" s="1">
        <v>45901</v>
      </c>
      <c r="L1012" t="s">
        <v>429</v>
      </c>
      <c r="M1012" t="s">
        <v>435</v>
      </c>
      <c r="N1012" s="2">
        <f>IFERROR(NHS_A_E[[#This Row],[T1_Over4hrs]]/NHS_A_E[[#This Row],[T1_Attendances]], 0)</f>
        <v>0</v>
      </c>
      <c r="O1012">
        <f>NHS_A_E[[#This Row],[T1_Attendances]]+NHS_A_E[[#This Row],[Other_Attendances]]</f>
        <v>2374</v>
      </c>
      <c r="P1012">
        <f>MATCH(LEFT(A1012,FIND("-",A1012)-1),{"April","May","June","July","August","September","October","November","December","January","February","March"},0)</f>
        <v>6</v>
      </c>
      <c r="Q1012" s="3">
        <f t="shared" si="30"/>
        <v>0</v>
      </c>
      <c r="R1012" t="str">
        <f t="shared" si="31"/>
        <v>September</v>
      </c>
    </row>
    <row r="1013" spans="1:18" x14ac:dyDescent="0.35">
      <c r="A1013" t="s">
        <v>434</v>
      </c>
      <c r="B1013" t="s">
        <v>113</v>
      </c>
      <c r="C1013" t="s">
        <v>40</v>
      </c>
      <c r="D1013" t="s">
        <v>114</v>
      </c>
      <c r="E1013">
        <v>0</v>
      </c>
      <c r="F1013">
        <v>5001</v>
      </c>
      <c r="G1013">
        <v>0</v>
      </c>
      <c r="H1013">
        <v>281</v>
      </c>
      <c r="I1013">
        <v>0</v>
      </c>
      <c r="J1013">
        <v>0</v>
      </c>
      <c r="K1013" s="1">
        <v>45901</v>
      </c>
      <c r="L1013" t="s">
        <v>429</v>
      </c>
      <c r="M1013" t="s">
        <v>435</v>
      </c>
      <c r="N1013" s="2">
        <f>IFERROR(NHS_A_E[[#This Row],[T1_Over4hrs]]/NHS_A_E[[#This Row],[T1_Attendances]], 0)</f>
        <v>0</v>
      </c>
      <c r="O1013">
        <f>NHS_A_E[[#This Row],[T1_Attendances]]+NHS_A_E[[#This Row],[Other_Attendances]]</f>
        <v>5001</v>
      </c>
      <c r="P1013">
        <f>MATCH(LEFT(A1013,FIND("-",A1013)-1),{"April","May","June","July","August","September","October","November","December","January","February","March"},0)</f>
        <v>6</v>
      </c>
      <c r="Q1013" s="3">
        <f t="shared" si="30"/>
        <v>0</v>
      </c>
      <c r="R1013" t="str">
        <f t="shared" si="31"/>
        <v>September</v>
      </c>
    </row>
    <row r="1014" spans="1:18" x14ac:dyDescent="0.35">
      <c r="A1014" t="s">
        <v>434</v>
      </c>
      <c r="B1014" t="s">
        <v>381</v>
      </c>
      <c r="C1014" t="s">
        <v>40</v>
      </c>
      <c r="D1014" t="s">
        <v>382</v>
      </c>
      <c r="E1014">
        <v>0</v>
      </c>
      <c r="F1014">
        <v>304</v>
      </c>
      <c r="G1014">
        <v>0</v>
      </c>
      <c r="H1014">
        <v>0</v>
      </c>
      <c r="I1014">
        <v>0</v>
      </c>
      <c r="J1014">
        <v>0</v>
      </c>
      <c r="K1014" s="1">
        <v>45901</v>
      </c>
      <c r="L1014" t="s">
        <v>429</v>
      </c>
      <c r="M1014" t="s">
        <v>435</v>
      </c>
      <c r="N1014" s="2">
        <f>IFERROR(NHS_A_E[[#This Row],[T1_Over4hrs]]/NHS_A_E[[#This Row],[T1_Attendances]], 0)</f>
        <v>0</v>
      </c>
      <c r="O1014">
        <f>NHS_A_E[[#This Row],[T1_Attendances]]+NHS_A_E[[#This Row],[Other_Attendances]]</f>
        <v>304</v>
      </c>
      <c r="P1014">
        <f>MATCH(LEFT(A1014,FIND("-",A1014)-1),{"April","May","June","July","August","September","October","November","December","January","February","March"},0)</f>
        <v>6</v>
      </c>
      <c r="Q1014" s="3">
        <f t="shared" si="30"/>
        <v>0</v>
      </c>
      <c r="R1014" t="str">
        <f t="shared" si="31"/>
        <v>September</v>
      </c>
    </row>
    <row r="1015" spans="1:18" x14ac:dyDescent="0.35">
      <c r="A1015" t="s">
        <v>434</v>
      </c>
      <c r="B1015" t="s">
        <v>201</v>
      </c>
      <c r="C1015" t="s">
        <v>20</v>
      </c>
      <c r="D1015" t="s">
        <v>202</v>
      </c>
      <c r="E1015">
        <v>0</v>
      </c>
      <c r="F1015">
        <v>1871</v>
      </c>
      <c r="G1015">
        <v>0</v>
      </c>
      <c r="H1015">
        <v>40</v>
      </c>
      <c r="I1015">
        <v>0</v>
      </c>
      <c r="J1015">
        <v>0</v>
      </c>
      <c r="K1015" s="1">
        <v>45901</v>
      </c>
      <c r="L1015" t="s">
        <v>429</v>
      </c>
      <c r="M1015" t="s">
        <v>435</v>
      </c>
      <c r="N1015" s="2">
        <f>IFERROR(NHS_A_E[[#This Row],[T1_Over4hrs]]/NHS_A_E[[#This Row],[T1_Attendances]], 0)</f>
        <v>0</v>
      </c>
      <c r="O1015">
        <f>NHS_A_E[[#This Row],[T1_Attendances]]+NHS_A_E[[#This Row],[Other_Attendances]]</f>
        <v>1871</v>
      </c>
      <c r="P1015">
        <f>MATCH(LEFT(A1015,FIND("-",A1015)-1),{"April","May","June","July","August","September","October","November","December","January","February","March"},0)</f>
        <v>6</v>
      </c>
      <c r="Q1015" s="3">
        <f t="shared" si="30"/>
        <v>0</v>
      </c>
      <c r="R1015" t="str">
        <f t="shared" si="31"/>
        <v>September</v>
      </c>
    </row>
    <row r="1016" spans="1:18" x14ac:dyDescent="0.35">
      <c r="A1016" t="s">
        <v>434</v>
      </c>
      <c r="B1016" t="s">
        <v>301</v>
      </c>
      <c r="C1016" t="s">
        <v>30</v>
      </c>
      <c r="D1016" t="s">
        <v>302</v>
      </c>
      <c r="E1016">
        <v>0</v>
      </c>
      <c r="F1016">
        <v>4025</v>
      </c>
      <c r="G1016">
        <v>0</v>
      </c>
      <c r="H1016">
        <v>218</v>
      </c>
      <c r="I1016">
        <v>0</v>
      </c>
      <c r="J1016">
        <v>0</v>
      </c>
      <c r="K1016" s="1">
        <v>45901</v>
      </c>
      <c r="L1016" t="s">
        <v>429</v>
      </c>
      <c r="M1016" t="s">
        <v>435</v>
      </c>
      <c r="N1016" s="2">
        <f>IFERROR(NHS_A_E[[#This Row],[T1_Over4hrs]]/NHS_A_E[[#This Row],[T1_Attendances]], 0)</f>
        <v>0</v>
      </c>
      <c r="O1016">
        <f>NHS_A_E[[#This Row],[T1_Attendances]]+NHS_A_E[[#This Row],[Other_Attendances]]</f>
        <v>4025</v>
      </c>
      <c r="P1016">
        <f>MATCH(LEFT(A1016,FIND("-",A1016)-1),{"April","May","June","July","August","September","October","November","December","January","February","March"},0)</f>
        <v>6</v>
      </c>
      <c r="Q1016" s="3">
        <f t="shared" si="30"/>
        <v>0</v>
      </c>
      <c r="R1016" t="str">
        <f t="shared" si="31"/>
        <v>September</v>
      </c>
    </row>
    <row r="1017" spans="1:18" x14ac:dyDescent="0.35">
      <c r="A1017" t="s">
        <v>434</v>
      </c>
      <c r="B1017" t="s">
        <v>237</v>
      </c>
      <c r="C1017" t="s">
        <v>30</v>
      </c>
      <c r="D1017" t="s">
        <v>238</v>
      </c>
      <c r="E1017">
        <v>13452</v>
      </c>
      <c r="F1017">
        <v>10742</v>
      </c>
      <c r="G1017">
        <v>4441</v>
      </c>
      <c r="H1017">
        <v>527</v>
      </c>
      <c r="I1017">
        <v>365</v>
      </c>
      <c r="J1017">
        <v>978</v>
      </c>
      <c r="K1017" s="1">
        <v>45901</v>
      </c>
      <c r="L1017" t="s">
        <v>429</v>
      </c>
      <c r="M1017" t="s">
        <v>435</v>
      </c>
      <c r="N1017" s="2">
        <f>IFERROR(NHS_A_E[[#This Row],[T1_Over4hrs]]/NHS_A_E[[#This Row],[T1_Attendances]], 0)</f>
        <v>0.33013678263455248</v>
      </c>
      <c r="O1017">
        <f>NHS_A_E[[#This Row],[T1_Attendances]]+NHS_A_E[[#This Row],[Other_Attendances]]</f>
        <v>24194</v>
      </c>
      <c r="P1017">
        <f>MATCH(LEFT(A1017,FIND("-",A1017)-1),{"April","May","June","July","August","September","October","November","December","January","February","March"},0)</f>
        <v>6</v>
      </c>
      <c r="Q1017" s="3">
        <f t="shared" si="30"/>
        <v>7.2702943800178416E-2</v>
      </c>
      <c r="R1017" t="str">
        <f t="shared" si="31"/>
        <v>September</v>
      </c>
    </row>
    <row r="1018" spans="1:18" x14ac:dyDescent="0.35">
      <c r="A1018" t="s">
        <v>434</v>
      </c>
      <c r="B1018" t="s">
        <v>363</v>
      </c>
      <c r="C1018" t="s">
        <v>40</v>
      </c>
      <c r="D1018" t="s">
        <v>364</v>
      </c>
      <c r="E1018">
        <v>13774</v>
      </c>
      <c r="F1018">
        <v>5944</v>
      </c>
      <c r="G1018">
        <v>7203</v>
      </c>
      <c r="H1018">
        <v>86</v>
      </c>
      <c r="I1018">
        <v>1068</v>
      </c>
      <c r="J1018">
        <v>1160</v>
      </c>
      <c r="K1018" s="1">
        <v>45901</v>
      </c>
      <c r="L1018" t="s">
        <v>429</v>
      </c>
      <c r="M1018" t="s">
        <v>435</v>
      </c>
      <c r="N1018" s="2">
        <f>IFERROR(NHS_A_E[[#This Row],[T1_Over4hrs]]/NHS_A_E[[#This Row],[T1_Attendances]], 0)</f>
        <v>0.52294177435748512</v>
      </c>
      <c r="O1018">
        <f>NHS_A_E[[#This Row],[T1_Attendances]]+NHS_A_E[[#This Row],[Other_Attendances]]</f>
        <v>19718</v>
      </c>
      <c r="P1018">
        <f>MATCH(LEFT(A1018,FIND("-",A1018)-1),{"April","May","June","July","August","September","October","November","December","January","February","March"},0)</f>
        <v>6</v>
      </c>
      <c r="Q1018" s="3">
        <f t="shared" si="30"/>
        <v>8.4216640046464356E-2</v>
      </c>
      <c r="R1018" t="str">
        <f t="shared" si="31"/>
        <v>September</v>
      </c>
    </row>
    <row r="1019" spans="1:18" x14ac:dyDescent="0.35">
      <c r="A1019" t="s">
        <v>434</v>
      </c>
      <c r="B1019" t="s">
        <v>319</v>
      </c>
      <c r="C1019" t="s">
        <v>63</v>
      </c>
      <c r="D1019" t="s">
        <v>320</v>
      </c>
      <c r="E1019">
        <v>0</v>
      </c>
      <c r="F1019">
        <v>1116</v>
      </c>
      <c r="G1019">
        <v>0</v>
      </c>
      <c r="H1019">
        <v>9</v>
      </c>
      <c r="I1019">
        <v>0</v>
      </c>
      <c r="J1019">
        <v>0</v>
      </c>
      <c r="K1019" s="1">
        <v>45901</v>
      </c>
      <c r="L1019" t="s">
        <v>429</v>
      </c>
      <c r="M1019" t="s">
        <v>435</v>
      </c>
      <c r="N1019" s="2">
        <f>IFERROR(NHS_A_E[[#This Row],[T1_Over4hrs]]/NHS_A_E[[#This Row],[T1_Attendances]], 0)</f>
        <v>0</v>
      </c>
      <c r="O1019">
        <f>NHS_A_E[[#This Row],[T1_Attendances]]+NHS_A_E[[#This Row],[Other_Attendances]]</f>
        <v>1116</v>
      </c>
      <c r="P1019">
        <f>MATCH(LEFT(A1019,FIND("-",A1019)-1),{"April","May","June","July","August","September","October","November","December","January","February","March"},0)</f>
        <v>6</v>
      </c>
      <c r="Q1019" s="3">
        <f t="shared" si="30"/>
        <v>0</v>
      </c>
      <c r="R1019" t="str">
        <f t="shared" si="31"/>
        <v>September</v>
      </c>
    </row>
    <row r="1020" spans="1:18" x14ac:dyDescent="0.35">
      <c r="A1020" t="s">
        <v>434</v>
      </c>
      <c r="B1020" t="s">
        <v>275</v>
      </c>
      <c r="C1020" t="s">
        <v>20</v>
      </c>
      <c r="D1020" t="s">
        <v>276</v>
      </c>
      <c r="E1020">
        <v>0</v>
      </c>
      <c r="F1020">
        <v>8097</v>
      </c>
      <c r="G1020">
        <v>0</v>
      </c>
      <c r="H1020">
        <v>141</v>
      </c>
      <c r="I1020">
        <v>0</v>
      </c>
      <c r="J1020">
        <v>0</v>
      </c>
      <c r="K1020" s="1">
        <v>45901</v>
      </c>
      <c r="L1020" t="s">
        <v>429</v>
      </c>
      <c r="M1020" t="s">
        <v>435</v>
      </c>
      <c r="N1020" s="2">
        <f>IFERROR(NHS_A_E[[#This Row],[T1_Over4hrs]]/NHS_A_E[[#This Row],[T1_Attendances]], 0)</f>
        <v>0</v>
      </c>
      <c r="O1020">
        <f>NHS_A_E[[#This Row],[T1_Attendances]]+NHS_A_E[[#This Row],[Other_Attendances]]</f>
        <v>8097</v>
      </c>
      <c r="P1020">
        <f>MATCH(LEFT(A1020,FIND("-",A1020)-1),{"April","May","June","July","August","September","October","November","December","January","February","March"},0)</f>
        <v>6</v>
      </c>
      <c r="Q1020" s="3">
        <f t="shared" si="30"/>
        <v>0</v>
      </c>
      <c r="R1020" t="str">
        <f t="shared" si="31"/>
        <v>September</v>
      </c>
    </row>
    <row r="1021" spans="1:18" x14ac:dyDescent="0.35">
      <c r="A1021" t="s">
        <v>434</v>
      </c>
      <c r="B1021" t="s">
        <v>365</v>
      </c>
      <c r="C1021" t="s">
        <v>35</v>
      </c>
      <c r="D1021" t="s">
        <v>366</v>
      </c>
      <c r="E1021">
        <v>13081</v>
      </c>
      <c r="F1021">
        <v>0</v>
      </c>
      <c r="G1021">
        <v>4117</v>
      </c>
      <c r="H1021">
        <v>0</v>
      </c>
      <c r="I1021">
        <v>444</v>
      </c>
      <c r="J1021">
        <v>194</v>
      </c>
      <c r="K1021" s="1">
        <v>45901</v>
      </c>
      <c r="L1021" t="s">
        <v>429</v>
      </c>
      <c r="M1021" t="s">
        <v>435</v>
      </c>
      <c r="N1021" s="2">
        <f>IFERROR(NHS_A_E[[#This Row],[T1_Over4hrs]]/NHS_A_E[[#This Row],[T1_Attendances]], 0)</f>
        <v>0.31473128965675407</v>
      </c>
      <c r="O1021">
        <f>NHS_A_E[[#This Row],[T1_Attendances]]+NHS_A_E[[#This Row],[Other_Attendances]]</f>
        <v>13081</v>
      </c>
      <c r="P1021">
        <f>MATCH(LEFT(A1021,FIND("-",A1021)-1),{"April","May","June","July","August","September","October","November","December","January","February","March"},0)</f>
        <v>6</v>
      </c>
      <c r="Q1021" s="3">
        <f t="shared" si="30"/>
        <v>1.4830670438039905E-2</v>
      </c>
      <c r="R1021" t="str">
        <f t="shared" si="31"/>
        <v>September</v>
      </c>
    </row>
    <row r="1022" spans="1:18" x14ac:dyDescent="0.35">
      <c r="A1022" t="s">
        <v>434</v>
      </c>
      <c r="B1022" t="s">
        <v>253</v>
      </c>
      <c r="C1022" t="s">
        <v>63</v>
      </c>
      <c r="D1022" t="s">
        <v>254</v>
      </c>
      <c r="E1022">
        <v>5635</v>
      </c>
      <c r="F1022">
        <v>4063</v>
      </c>
      <c r="G1022">
        <v>2161</v>
      </c>
      <c r="H1022">
        <v>24</v>
      </c>
      <c r="I1022">
        <v>643</v>
      </c>
      <c r="J1022">
        <v>2</v>
      </c>
      <c r="K1022" s="1">
        <v>45901</v>
      </c>
      <c r="L1022" t="s">
        <v>429</v>
      </c>
      <c r="M1022" t="s">
        <v>435</v>
      </c>
      <c r="N1022" s="2">
        <f>IFERROR(NHS_A_E[[#This Row],[T1_Over4hrs]]/NHS_A_E[[#This Row],[T1_Attendances]], 0)</f>
        <v>0.38349600709849158</v>
      </c>
      <c r="O1022">
        <f>NHS_A_E[[#This Row],[T1_Attendances]]+NHS_A_E[[#This Row],[Other_Attendances]]</f>
        <v>9698</v>
      </c>
      <c r="P1022">
        <f>MATCH(LEFT(A1022,FIND("-",A1022)-1),{"April","May","June","July","August","September","October","November","December","January","February","March"},0)</f>
        <v>6</v>
      </c>
      <c r="Q1022" s="3">
        <f t="shared" si="30"/>
        <v>3.5492457852706301E-4</v>
      </c>
      <c r="R1022" t="str">
        <f t="shared" si="31"/>
        <v>September</v>
      </c>
    </row>
    <row r="1023" spans="1:18" x14ac:dyDescent="0.35">
      <c r="A1023" t="s">
        <v>434</v>
      </c>
      <c r="B1023" t="s">
        <v>415</v>
      </c>
      <c r="C1023" t="s">
        <v>35</v>
      </c>
      <c r="D1023" t="s">
        <v>416</v>
      </c>
      <c r="E1023">
        <v>15522</v>
      </c>
      <c r="F1023">
        <v>9115</v>
      </c>
      <c r="G1023">
        <v>7143</v>
      </c>
      <c r="H1023">
        <v>703</v>
      </c>
      <c r="I1023">
        <v>1604</v>
      </c>
      <c r="J1023">
        <v>664</v>
      </c>
      <c r="K1023" s="1">
        <v>45901</v>
      </c>
      <c r="L1023" t="s">
        <v>429</v>
      </c>
      <c r="M1023" t="s">
        <v>435</v>
      </c>
      <c r="N1023" s="2">
        <f>IFERROR(NHS_A_E[[#This Row],[T1_Over4hrs]]/NHS_A_E[[#This Row],[T1_Attendances]], 0)</f>
        <v>0.46018554310011595</v>
      </c>
      <c r="O1023">
        <f>NHS_A_E[[#This Row],[T1_Attendances]]+NHS_A_E[[#This Row],[Other_Attendances]]</f>
        <v>24637</v>
      </c>
      <c r="P1023">
        <f>MATCH(LEFT(A1023,FIND("-",A1023)-1),{"April","May","June","July","August","September","October","November","December","January","February","March"},0)</f>
        <v>6</v>
      </c>
      <c r="Q1023" s="3">
        <f t="shared" si="30"/>
        <v>4.2777992526736246E-2</v>
      </c>
      <c r="R1023" t="str">
        <f t="shared" si="31"/>
        <v>September</v>
      </c>
    </row>
    <row r="1024" spans="1:18" x14ac:dyDescent="0.35">
      <c r="A1024" t="s">
        <v>434</v>
      </c>
      <c r="B1024" t="s">
        <v>413</v>
      </c>
      <c r="C1024" t="s">
        <v>20</v>
      </c>
      <c r="D1024" t="s">
        <v>414</v>
      </c>
      <c r="E1024">
        <v>8381</v>
      </c>
      <c r="F1024">
        <v>7353</v>
      </c>
      <c r="G1024">
        <v>4936</v>
      </c>
      <c r="H1024">
        <v>81</v>
      </c>
      <c r="I1024">
        <v>538</v>
      </c>
      <c r="J1024">
        <v>667</v>
      </c>
      <c r="K1024" s="1">
        <v>45901</v>
      </c>
      <c r="L1024" t="s">
        <v>429</v>
      </c>
      <c r="M1024" t="s">
        <v>435</v>
      </c>
      <c r="N1024" s="2">
        <f>IFERROR(NHS_A_E[[#This Row],[T1_Over4hrs]]/NHS_A_E[[#This Row],[T1_Attendances]], 0)</f>
        <v>0.58895119914091398</v>
      </c>
      <c r="O1024">
        <f>NHS_A_E[[#This Row],[T1_Attendances]]+NHS_A_E[[#This Row],[Other_Attendances]]</f>
        <v>15734</v>
      </c>
      <c r="P1024">
        <f>MATCH(LEFT(A1024,FIND("-",A1024)-1),{"April","May","June","July","August","September","October","November","December","January","February","March"},0)</f>
        <v>6</v>
      </c>
      <c r="Q1024" s="3">
        <f t="shared" si="30"/>
        <v>7.9584775086505188E-2</v>
      </c>
      <c r="R1024" t="str">
        <f t="shared" si="31"/>
        <v>September</v>
      </c>
    </row>
    <row r="1025" spans="1:18" x14ac:dyDescent="0.35">
      <c r="A1025" t="s">
        <v>434</v>
      </c>
      <c r="B1025" t="s">
        <v>355</v>
      </c>
      <c r="C1025" t="s">
        <v>30</v>
      </c>
      <c r="D1025" t="s">
        <v>356</v>
      </c>
      <c r="E1025">
        <v>8516</v>
      </c>
      <c r="F1025">
        <v>2379</v>
      </c>
      <c r="G1025">
        <v>3902</v>
      </c>
      <c r="H1025">
        <v>42</v>
      </c>
      <c r="I1025">
        <v>405</v>
      </c>
      <c r="J1025">
        <v>650</v>
      </c>
      <c r="K1025" s="1">
        <v>45901</v>
      </c>
      <c r="L1025" t="s">
        <v>429</v>
      </c>
      <c r="M1025" t="s">
        <v>435</v>
      </c>
      <c r="N1025" s="2">
        <f>IFERROR(NHS_A_E[[#This Row],[T1_Over4hrs]]/NHS_A_E[[#This Row],[T1_Attendances]], 0)</f>
        <v>0.4581963363081259</v>
      </c>
      <c r="O1025">
        <f>NHS_A_E[[#This Row],[T1_Attendances]]+NHS_A_E[[#This Row],[Other_Attendances]]</f>
        <v>10895</v>
      </c>
      <c r="P1025">
        <f>MATCH(LEFT(A1025,FIND("-",A1025)-1),{"April","May","June","July","August","September","October","November","December","January","February","March"},0)</f>
        <v>6</v>
      </c>
      <c r="Q1025" s="3">
        <f t="shared" si="30"/>
        <v>7.6326914044152178E-2</v>
      </c>
      <c r="R1025" t="str">
        <f t="shared" si="31"/>
        <v>September</v>
      </c>
    </row>
    <row r="1026" spans="1:18" x14ac:dyDescent="0.35">
      <c r="A1026" t="s">
        <v>434</v>
      </c>
      <c r="B1026" t="s">
        <v>361</v>
      </c>
      <c r="C1026" t="s">
        <v>40</v>
      </c>
      <c r="D1026" t="s">
        <v>362</v>
      </c>
      <c r="E1026">
        <v>9876</v>
      </c>
      <c r="F1026">
        <v>8117</v>
      </c>
      <c r="G1026">
        <v>3536</v>
      </c>
      <c r="H1026">
        <v>75</v>
      </c>
      <c r="I1026">
        <v>759</v>
      </c>
      <c r="J1026">
        <v>438</v>
      </c>
      <c r="K1026" s="1">
        <v>45901</v>
      </c>
      <c r="L1026" t="s">
        <v>429</v>
      </c>
      <c r="M1026" t="s">
        <v>435</v>
      </c>
      <c r="N1026" s="2">
        <f>IFERROR(NHS_A_E[[#This Row],[T1_Over4hrs]]/NHS_A_E[[#This Row],[T1_Attendances]], 0)</f>
        <v>0.35803969218307008</v>
      </c>
      <c r="O1026">
        <f>NHS_A_E[[#This Row],[T1_Attendances]]+NHS_A_E[[#This Row],[Other_Attendances]]</f>
        <v>17993</v>
      </c>
      <c r="P1026">
        <f>MATCH(LEFT(A1026,FIND("-",A1026)-1),{"April","May","June","July","August","September","October","November","December","January","February","March"},0)</f>
        <v>6</v>
      </c>
      <c r="Q1026" s="3">
        <f t="shared" ref="Q1026:Q1089" si="32">IFERROR(J1026/E1026,0)</f>
        <v>4.4349939246658567E-2</v>
      </c>
      <c r="R1026" t="str">
        <f t="shared" ref="R1026:R1089" si="33">TEXT(A1026, "mmmm")</f>
        <v>September</v>
      </c>
    </row>
    <row r="1027" spans="1:18" x14ac:dyDescent="0.35">
      <c r="A1027" t="s">
        <v>434</v>
      </c>
      <c r="B1027" t="s">
        <v>351</v>
      </c>
      <c r="C1027" t="s">
        <v>63</v>
      </c>
      <c r="D1027" t="s">
        <v>352</v>
      </c>
      <c r="E1027">
        <v>9382</v>
      </c>
      <c r="F1027">
        <v>7076</v>
      </c>
      <c r="G1027">
        <v>4831</v>
      </c>
      <c r="H1027">
        <v>42</v>
      </c>
      <c r="I1027">
        <v>745</v>
      </c>
      <c r="J1027">
        <v>689</v>
      </c>
      <c r="K1027" s="1">
        <v>45901</v>
      </c>
      <c r="L1027" t="s">
        <v>429</v>
      </c>
      <c r="M1027" t="s">
        <v>435</v>
      </c>
      <c r="N1027" s="2">
        <f>IFERROR(NHS_A_E[[#This Row],[T1_Over4hrs]]/NHS_A_E[[#This Row],[T1_Attendances]], 0)</f>
        <v>0.51492219143039863</v>
      </c>
      <c r="O1027">
        <f>NHS_A_E[[#This Row],[T1_Attendances]]+NHS_A_E[[#This Row],[Other_Attendances]]</f>
        <v>16458</v>
      </c>
      <c r="P1027">
        <f>MATCH(LEFT(A1027,FIND("-",A1027)-1),{"April","May","June","July","August","September","October","November","December","January","February","March"},0)</f>
        <v>6</v>
      </c>
      <c r="Q1027" s="3">
        <f t="shared" si="32"/>
        <v>7.3438499253890427E-2</v>
      </c>
      <c r="R1027" t="str">
        <f t="shared" si="33"/>
        <v>September</v>
      </c>
    </row>
    <row r="1028" spans="1:18" x14ac:dyDescent="0.35">
      <c r="A1028" t="s">
        <v>434</v>
      </c>
      <c r="B1028" t="s">
        <v>105</v>
      </c>
      <c r="C1028" t="s">
        <v>15</v>
      </c>
      <c r="D1028" t="s">
        <v>106</v>
      </c>
      <c r="E1028">
        <v>11703</v>
      </c>
      <c r="F1028">
        <v>0</v>
      </c>
      <c r="G1028">
        <v>4114</v>
      </c>
      <c r="H1028">
        <v>0</v>
      </c>
      <c r="I1028">
        <v>442</v>
      </c>
      <c r="J1028">
        <v>13</v>
      </c>
      <c r="K1028" s="1">
        <v>45901</v>
      </c>
      <c r="L1028" t="s">
        <v>429</v>
      </c>
      <c r="M1028" t="s">
        <v>435</v>
      </c>
      <c r="N1028" s="2">
        <f>IFERROR(NHS_A_E[[#This Row],[T1_Over4hrs]]/NHS_A_E[[#This Row],[T1_Attendances]], 0)</f>
        <v>0.35153379475348201</v>
      </c>
      <c r="O1028">
        <f>NHS_A_E[[#This Row],[T1_Attendances]]+NHS_A_E[[#This Row],[Other_Attendances]]</f>
        <v>11703</v>
      </c>
      <c r="P1028">
        <f>MATCH(LEFT(A1028,FIND("-",A1028)-1),{"April","May","June","July","August","September","October","November","December","January","February","March"},0)</f>
        <v>6</v>
      </c>
      <c r="Q1028" s="3">
        <f t="shared" si="32"/>
        <v>1.1108262838588395E-3</v>
      </c>
      <c r="R1028" t="str">
        <f t="shared" si="33"/>
        <v>September</v>
      </c>
    </row>
    <row r="1029" spans="1:18" x14ac:dyDescent="0.35">
      <c r="A1029" t="s">
        <v>434</v>
      </c>
      <c r="B1029" t="s">
        <v>349</v>
      </c>
      <c r="C1029" t="s">
        <v>20</v>
      </c>
      <c r="D1029" t="s">
        <v>350</v>
      </c>
      <c r="E1029">
        <v>13032</v>
      </c>
      <c r="F1029">
        <v>4214</v>
      </c>
      <c r="G1029">
        <v>5967</v>
      </c>
      <c r="H1029">
        <v>36</v>
      </c>
      <c r="I1029">
        <v>974</v>
      </c>
      <c r="J1029">
        <v>180</v>
      </c>
      <c r="K1029" s="1">
        <v>45901</v>
      </c>
      <c r="L1029" t="s">
        <v>429</v>
      </c>
      <c r="M1029" t="s">
        <v>435</v>
      </c>
      <c r="N1029" s="2">
        <f>IFERROR(NHS_A_E[[#This Row],[T1_Over4hrs]]/NHS_A_E[[#This Row],[T1_Attendances]], 0)</f>
        <v>0.45787292817679559</v>
      </c>
      <c r="O1029">
        <f>NHS_A_E[[#This Row],[T1_Attendances]]+NHS_A_E[[#This Row],[Other_Attendances]]</f>
        <v>17246</v>
      </c>
      <c r="P1029">
        <f>MATCH(LEFT(A1029,FIND("-",A1029)-1),{"April","May","June","July","August","September","October","November","December","January","February","March"},0)</f>
        <v>6</v>
      </c>
      <c r="Q1029" s="3">
        <f t="shared" si="32"/>
        <v>1.3812154696132596E-2</v>
      </c>
      <c r="R1029" t="str">
        <f t="shared" si="33"/>
        <v>September</v>
      </c>
    </row>
    <row r="1030" spans="1:18" x14ac:dyDescent="0.35">
      <c r="A1030" t="s">
        <v>434</v>
      </c>
      <c r="B1030" t="s">
        <v>32</v>
      </c>
      <c r="C1030" t="s">
        <v>30</v>
      </c>
      <c r="D1030" t="s">
        <v>33</v>
      </c>
      <c r="E1030">
        <v>0</v>
      </c>
      <c r="F1030">
        <v>0</v>
      </c>
      <c r="G1030">
        <v>0</v>
      </c>
      <c r="H1030">
        <v>0</v>
      </c>
      <c r="I1030">
        <v>0</v>
      </c>
      <c r="J1030">
        <v>0</v>
      </c>
      <c r="K1030" s="1">
        <v>45901</v>
      </c>
      <c r="L1030" t="s">
        <v>429</v>
      </c>
      <c r="M1030" t="s">
        <v>435</v>
      </c>
      <c r="N1030" s="2">
        <f>IFERROR(NHS_A_E[[#This Row],[T1_Over4hrs]]/NHS_A_E[[#This Row],[T1_Attendances]], 0)</f>
        <v>0</v>
      </c>
      <c r="O1030">
        <f>NHS_A_E[[#This Row],[T1_Attendances]]+NHS_A_E[[#This Row],[Other_Attendances]]</f>
        <v>0</v>
      </c>
      <c r="P1030">
        <f>MATCH(LEFT(A1030,FIND("-",A1030)-1),{"April","May","June","July","August","September","October","November","December","January","February","March"},0)</f>
        <v>6</v>
      </c>
      <c r="Q1030" s="3">
        <f t="shared" si="32"/>
        <v>0</v>
      </c>
      <c r="R1030" t="str">
        <f t="shared" si="33"/>
        <v>September</v>
      </c>
    </row>
    <row r="1031" spans="1:18" x14ac:dyDescent="0.35">
      <c r="A1031" t="s">
        <v>434</v>
      </c>
      <c r="B1031" t="s">
        <v>99</v>
      </c>
      <c r="C1031" t="s">
        <v>30</v>
      </c>
      <c r="D1031" t="s">
        <v>100</v>
      </c>
      <c r="E1031">
        <v>0</v>
      </c>
      <c r="F1031">
        <v>0</v>
      </c>
      <c r="G1031">
        <v>0</v>
      </c>
      <c r="H1031">
        <v>0</v>
      </c>
      <c r="I1031">
        <v>0</v>
      </c>
      <c r="J1031">
        <v>0</v>
      </c>
      <c r="K1031" s="1">
        <v>45901</v>
      </c>
      <c r="L1031" t="s">
        <v>429</v>
      </c>
      <c r="M1031" t="s">
        <v>435</v>
      </c>
      <c r="N1031" s="2">
        <f>IFERROR(NHS_A_E[[#This Row],[T1_Over4hrs]]/NHS_A_E[[#This Row],[T1_Attendances]], 0)</f>
        <v>0</v>
      </c>
      <c r="O1031">
        <f>NHS_A_E[[#This Row],[T1_Attendances]]+NHS_A_E[[#This Row],[Other_Attendances]]</f>
        <v>0</v>
      </c>
      <c r="P1031">
        <f>MATCH(LEFT(A1031,FIND("-",A1031)-1),{"April","May","June","July","August","September","October","November","December","January","February","March"},0)</f>
        <v>6</v>
      </c>
      <c r="Q1031" s="3">
        <f t="shared" si="32"/>
        <v>0</v>
      </c>
      <c r="R1031" t="str">
        <f t="shared" si="33"/>
        <v>September</v>
      </c>
    </row>
    <row r="1032" spans="1:18" x14ac:dyDescent="0.35">
      <c r="A1032" t="s">
        <v>434</v>
      </c>
      <c r="B1032" t="s">
        <v>97</v>
      </c>
      <c r="C1032" t="s">
        <v>15</v>
      </c>
      <c r="D1032" t="s">
        <v>98</v>
      </c>
      <c r="E1032">
        <v>22763</v>
      </c>
      <c r="F1032">
        <v>12113</v>
      </c>
      <c r="G1032">
        <v>9408</v>
      </c>
      <c r="H1032">
        <v>246</v>
      </c>
      <c r="I1032">
        <v>1435</v>
      </c>
      <c r="J1032">
        <v>325</v>
      </c>
      <c r="K1032" s="1">
        <v>45901</v>
      </c>
      <c r="L1032" t="s">
        <v>429</v>
      </c>
      <c r="M1032" t="s">
        <v>435</v>
      </c>
      <c r="N1032" s="2">
        <f>IFERROR(NHS_A_E[[#This Row],[T1_Over4hrs]]/NHS_A_E[[#This Row],[T1_Attendances]], 0)</f>
        <v>0.41330228880200326</v>
      </c>
      <c r="O1032">
        <f>NHS_A_E[[#This Row],[T1_Attendances]]+NHS_A_E[[#This Row],[Other_Attendances]]</f>
        <v>34876</v>
      </c>
      <c r="P1032">
        <f>MATCH(LEFT(A1032,FIND("-",A1032)-1),{"April","May","June","July","August","September","October","November","December","January","February","March"},0)</f>
        <v>6</v>
      </c>
      <c r="Q1032" s="3">
        <f t="shared" si="32"/>
        <v>1.4277555682467162E-2</v>
      </c>
      <c r="R1032" t="str">
        <f t="shared" si="33"/>
        <v>September</v>
      </c>
    </row>
    <row r="1033" spans="1:18" x14ac:dyDescent="0.35">
      <c r="A1033" t="s">
        <v>434</v>
      </c>
      <c r="B1033" t="s">
        <v>345</v>
      </c>
      <c r="C1033" t="s">
        <v>23</v>
      </c>
      <c r="D1033" t="s">
        <v>346</v>
      </c>
      <c r="E1033">
        <v>16618</v>
      </c>
      <c r="F1033">
        <v>8009</v>
      </c>
      <c r="G1033">
        <v>6124</v>
      </c>
      <c r="H1033">
        <v>0</v>
      </c>
      <c r="I1033">
        <v>80</v>
      </c>
      <c r="J1033">
        <v>2</v>
      </c>
      <c r="K1033" s="1">
        <v>45901</v>
      </c>
      <c r="L1033" t="s">
        <v>429</v>
      </c>
      <c r="M1033" t="s">
        <v>435</v>
      </c>
      <c r="N1033" s="2">
        <f>IFERROR(NHS_A_E[[#This Row],[T1_Over4hrs]]/NHS_A_E[[#This Row],[T1_Attendances]], 0)</f>
        <v>0.36851606691539296</v>
      </c>
      <c r="O1033">
        <f>NHS_A_E[[#This Row],[T1_Attendances]]+NHS_A_E[[#This Row],[Other_Attendances]]</f>
        <v>24627</v>
      </c>
      <c r="P1033">
        <f>MATCH(LEFT(A1033,FIND("-",A1033)-1),{"April","May","June","July","August","September","October","November","December","January","February","March"},0)</f>
        <v>6</v>
      </c>
      <c r="Q1033" s="3">
        <f t="shared" si="32"/>
        <v>1.2035142616440005E-4</v>
      </c>
      <c r="R1033" t="str">
        <f t="shared" si="33"/>
        <v>September</v>
      </c>
    </row>
    <row r="1034" spans="1:18" x14ac:dyDescent="0.35">
      <c r="A1034" t="s">
        <v>434</v>
      </c>
      <c r="B1034" t="s">
        <v>91</v>
      </c>
      <c r="C1034" t="s">
        <v>30</v>
      </c>
      <c r="D1034" t="s">
        <v>92</v>
      </c>
      <c r="E1034">
        <v>17140</v>
      </c>
      <c r="F1034">
        <v>6989</v>
      </c>
      <c r="G1034">
        <v>6435</v>
      </c>
      <c r="H1034">
        <v>84</v>
      </c>
      <c r="I1034">
        <v>564</v>
      </c>
      <c r="J1034">
        <v>367</v>
      </c>
      <c r="K1034" s="1">
        <v>45901</v>
      </c>
      <c r="L1034" t="s">
        <v>429</v>
      </c>
      <c r="M1034" t="s">
        <v>435</v>
      </c>
      <c r="N1034" s="2">
        <f>IFERROR(NHS_A_E[[#This Row],[T1_Over4hrs]]/NHS_A_E[[#This Row],[T1_Attendances]], 0)</f>
        <v>0.37543757292882146</v>
      </c>
      <c r="O1034">
        <f>NHS_A_E[[#This Row],[T1_Attendances]]+NHS_A_E[[#This Row],[Other_Attendances]]</f>
        <v>24129</v>
      </c>
      <c r="P1034">
        <f>MATCH(LEFT(A1034,FIND("-",A1034)-1),{"April","May","June","July","August","September","October","November","December","January","February","March"},0)</f>
        <v>6</v>
      </c>
      <c r="Q1034" s="3">
        <f t="shared" si="32"/>
        <v>2.1411901983663943E-2</v>
      </c>
      <c r="R1034" t="str">
        <f t="shared" si="33"/>
        <v>September</v>
      </c>
    </row>
    <row r="1035" spans="1:18" x14ac:dyDescent="0.35">
      <c r="A1035" t="s">
        <v>434</v>
      </c>
      <c r="B1035" t="s">
        <v>389</v>
      </c>
      <c r="C1035" t="s">
        <v>20</v>
      </c>
      <c r="D1035" t="s">
        <v>390</v>
      </c>
      <c r="E1035">
        <v>4529</v>
      </c>
      <c r="F1035">
        <v>0</v>
      </c>
      <c r="G1035">
        <v>1710</v>
      </c>
      <c r="H1035">
        <v>0</v>
      </c>
      <c r="I1035">
        <v>209</v>
      </c>
      <c r="J1035">
        <v>74</v>
      </c>
      <c r="K1035" s="1">
        <v>45901</v>
      </c>
      <c r="L1035" t="s">
        <v>429</v>
      </c>
      <c r="M1035" t="s">
        <v>435</v>
      </c>
      <c r="N1035" s="2">
        <f>IFERROR(NHS_A_E[[#This Row],[T1_Over4hrs]]/NHS_A_E[[#This Row],[T1_Attendances]], 0)</f>
        <v>0.37756679178626629</v>
      </c>
      <c r="O1035">
        <f>NHS_A_E[[#This Row],[T1_Attendances]]+NHS_A_E[[#This Row],[Other_Attendances]]</f>
        <v>4529</v>
      </c>
      <c r="P1035">
        <f>MATCH(LEFT(A1035,FIND("-",A1035)-1),{"April","May","June","July","August","September","October","November","December","January","February","March"},0)</f>
        <v>6</v>
      </c>
      <c r="Q1035" s="3">
        <f t="shared" si="32"/>
        <v>1.6339147714727314E-2</v>
      </c>
      <c r="R1035" t="str">
        <f t="shared" si="33"/>
        <v>September</v>
      </c>
    </row>
    <row r="1036" spans="1:18" x14ac:dyDescent="0.35">
      <c r="A1036" t="s">
        <v>434</v>
      </c>
      <c r="B1036" t="s">
        <v>395</v>
      </c>
      <c r="C1036" t="s">
        <v>23</v>
      </c>
      <c r="D1036" t="s">
        <v>396</v>
      </c>
      <c r="E1036">
        <v>7969</v>
      </c>
      <c r="F1036">
        <v>648</v>
      </c>
      <c r="G1036">
        <v>2637</v>
      </c>
      <c r="H1036">
        <v>0</v>
      </c>
      <c r="I1036">
        <v>534</v>
      </c>
      <c r="J1036">
        <v>373</v>
      </c>
      <c r="K1036" s="1">
        <v>45901</v>
      </c>
      <c r="L1036" t="s">
        <v>429</v>
      </c>
      <c r="M1036" t="s">
        <v>435</v>
      </c>
      <c r="N1036" s="2">
        <f>IFERROR(NHS_A_E[[#This Row],[T1_Over4hrs]]/NHS_A_E[[#This Row],[T1_Attendances]], 0)</f>
        <v>0.33090726565441086</v>
      </c>
      <c r="O1036">
        <f>NHS_A_E[[#This Row],[T1_Attendances]]+NHS_A_E[[#This Row],[Other_Attendances]]</f>
        <v>8617</v>
      </c>
      <c r="P1036">
        <f>MATCH(LEFT(A1036,FIND("-",A1036)-1),{"April","May","June","July","August","September","October","November","December","January","February","March"},0)</f>
        <v>6</v>
      </c>
      <c r="Q1036" s="3">
        <f t="shared" si="32"/>
        <v>4.6806374701970133E-2</v>
      </c>
      <c r="R1036" t="str">
        <f t="shared" si="33"/>
        <v>September</v>
      </c>
    </row>
    <row r="1037" spans="1:18" x14ac:dyDescent="0.35">
      <c r="A1037" t="s">
        <v>434</v>
      </c>
      <c r="B1037" t="s">
        <v>85</v>
      </c>
      <c r="C1037" t="s">
        <v>63</v>
      </c>
      <c r="D1037" t="s">
        <v>86</v>
      </c>
      <c r="E1037">
        <v>9085</v>
      </c>
      <c r="F1037">
        <v>3316</v>
      </c>
      <c r="G1037">
        <v>2193</v>
      </c>
      <c r="H1037">
        <v>0</v>
      </c>
      <c r="I1037">
        <v>670</v>
      </c>
      <c r="J1037">
        <v>76</v>
      </c>
      <c r="K1037" s="1">
        <v>45901</v>
      </c>
      <c r="L1037" t="s">
        <v>429</v>
      </c>
      <c r="M1037" t="s">
        <v>435</v>
      </c>
      <c r="N1037" s="2">
        <f>IFERROR(NHS_A_E[[#This Row],[T1_Over4hrs]]/NHS_A_E[[#This Row],[T1_Attendances]], 0)</f>
        <v>0.24138690148596587</v>
      </c>
      <c r="O1037">
        <f>NHS_A_E[[#This Row],[T1_Attendances]]+NHS_A_E[[#This Row],[Other_Attendances]]</f>
        <v>12401</v>
      </c>
      <c r="P1037">
        <f>MATCH(LEFT(A1037,FIND("-",A1037)-1),{"April","May","June","July","August","September","October","November","December","January","February","March"},0)</f>
        <v>6</v>
      </c>
      <c r="Q1037" s="3">
        <f t="shared" si="32"/>
        <v>8.3654375343973578E-3</v>
      </c>
      <c r="R1037" t="str">
        <f t="shared" si="33"/>
        <v>September</v>
      </c>
    </row>
    <row r="1038" spans="1:18" x14ac:dyDescent="0.35">
      <c r="A1038" t="s">
        <v>434</v>
      </c>
      <c r="B1038" t="s">
        <v>245</v>
      </c>
      <c r="C1038" t="s">
        <v>15</v>
      </c>
      <c r="D1038" t="s">
        <v>246</v>
      </c>
      <c r="E1038">
        <v>0</v>
      </c>
      <c r="F1038">
        <v>856</v>
      </c>
      <c r="G1038">
        <v>0</v>
      </c>
      <c r="H1038">
        <v>0</v>
      </c>
      <c r="I1038">
        <v>0</v>
      </c>
      <c r="J1038">
        <v>0</v>
      </c>
      <c r="K1038" s="1">
        <v>45901</v>
      </c>
      <c r="L1038" t="s">
        <v>429</v>
      </c>
      <c r="M1038" t="s">
        <v>435</v>
      </c>
      <c r="N1038" s="2">
        <f>IFERROR(NHS_A_E[[#This Row],[T1_Over4hrs]]/NHS_A_E[[#This Row],[T1_Attendances]], 0)</f>
        <v>0</v>
      </c>
      <c r="O1038">
        <f>NHS_A_E[[#This Row],[T1_Attendances]]+NHS_A_E[[#This Row],[Other_Attendances]]</f>
        <v>856</v>
      </c>
      <c r="P1038">
        <f>MATCH(LEFT(A1038,FIND("-",A1038)-1),{"April","May","June","July","August","September","October","November","December","January","February","March"},0)</f>
        <v>6</v>
      </c>
      <c r="Q1038" s="3">
        <f t="shared" si="32"/>
        <v>0</v>
      </c>
      <c r="R1038" t="str">
        <f t="shared" si="33"/>
        <v>September</v>
      </c>
    </row>
    <row r="1039" spans="1:18" x14ac:dyDescent="0.35">
      <c r="A1039" t="s">
        <v>434</v>
      </c>
      <c r="B1039" t="s">
        <v>125</v>
      </c>
      <c r="C1039" t="s">
        <v>35</v>
      </c>
      <c r="D1039" t="s">
        <v>126</v>
      </c>
      <c r="E1039">
        <v>0</v>
      </c>
      <c r="F1039">
        <v>11653</v>
      </c>
      <c r="G1039">
        <v>0</v>
      </c>
      <c r="H1039">
        <v>170</v>
      </c>
      <c r="I1039">
        <v>0</v>
      </c>
      <c r="J1039">
        <v>0</v>
      </c>
      <c r="K1039" s="1">
        <v>45901</v>
      </c>
      <c r="L1039" t="s">
        <v>429</v>
      </c>
      <c r="M1039" t="s">
        <v>435</v>
      </c>
      <c r="N1039" s="2">
        <f>IFERROR(NHS_A_E[[#This Row],[T1_Over4hrs]]/NHS_A_E[[#This Row],[T1_Attendances]], 0)</f>
        <v>0</v>
      </c>
      <c r="O1039">
        <f>NHS_A_E[[#This Row],[T1_Attendances]]+NHS_A_E[[#This Row],[Other_Attendances]]</f>
        <v>11653</v>
      </c>
      <c r="P1039">
        <f>MATCH(LEFT(A1039,FIND("-",A1039)-1),{"April","May","June","July","August","September","October","November","December","January","February","March"},0)</f>
        <v>6</v>
      </c>
      <c r="Q1039" s="3">
        <f t="shared" si="32"/>
        <v>0</v>
      </c>
      <c r="R1039" t="str">
        <f t="shared" si="33"/>
        <v>September</v>
      </c>
    </row>
    <row r="1040" spans="1:18" x14ac:dyDescent="0.35">
      <c r="A1040" t="s">
        <v>434</v>
      </c>
      <c r="B1040" t="s">
        <v>367</v>
      </c>
      <c r="C1040" t="s">
        <v>23</v>
      </c>
      <c r="D1040" t="s">
        <v>368</v>
      </c>
      <c r="E1040">
        <v>0</v>
      </c>
      <c r="F1040">
        <v>1169</v>
      </c>
      <c r="G1040">
        <v>0</v>
      </c>
      <c r="H1040">
        <v>67</v>
      </c>
      <c r="I1040">
        <v>0</v>
      </c>
      <c r="J1040">
        <v>0</v>
      </c>
      <c r="K1040" s="1">
        <v>45901</v>
      </c>
      <c r="L1040" t="s">
        <v>429</v>
      </c>
      <c r="M1040" t="s">
        <v>435</v>
      </c>
      <c r="N1040" s="2">
        <f>IFERROR(NHS_A_E[[#This Row],[T1_Over4hrs]]/NHS_A_E[[#This Row],[T1_Attendances]], 0)</f>
        <v>0</v>
      </c>
      <c r="O1040">
        <f>NHS_A_E[[#This Row],[T1_Attendances]]+NHS_A_E[[#This Row],[Other_Attendances]]</f>
        <v>1169</v>
      </c>
      <c r="P1040">
        <f>MATCH(LEFT(A1040,FIND("-",A1040)-1),{"April","May","June","July","August","September","October","November","December","January","February","March"},0)</f>
        <v>6</v>
      </c>
      <c r="Q1040" s="3">
        <f t="shared" si="32"/>
        <v>0</v>
      </c>
      <c r="R1040" t="str">
        <f t="shared" si="33"/>
        <v>September</v>
      </c>
    </row>
    <row r="1041" spans="1:18" x14ac:dyDescent="0.35">
      <c r="A1041" t="s">
        <v>434</v>
      </c>
      <c r="B1041" t="s">
        <v>195</v>
      </c>
      <c r="C1041" t="s">
        <v>30</v>
      </c>
      <c r="D1041" t="s">
        <v>196</v>
      </c>
      <c r="E1041">
        <v>8782</v>
      </c>
      <c r="F1041">
        <v>9722</v>
      </c>
      <c r="G1041">
        <v>4275</v>
      </c>
      <c r="H1041">
        <v>74</v>
      </c>
      <c r="I1041">
        <v>729</v>
      </c>
      <c r="J1041">
        <v>415</v>
      </c>
      <c r="K1041" s="1">
        <v>45901</v>
      </c>
      <c r="L1041" t="s">
        <v>429</v>
      </c>
      <c r="M1041" t="s">
        <v>435</v>
      </c>
      <c r="N1041" s="2">
        <f>IFERROR(NHS_A_E[[#This Row],[T1_Over4hrs]]/NHS_A_E[[#This Row],[T1_Attendances]], 0)</f>
        <v>0.48679116374402187</v>
      </c>
      <c r="O1041">
        <f>NHS_A_E[[#This Row],[T1_Attendances]]+NHS_A_E[[#This Row],[Other_Attendances]]</f>
        <v>18504</v>
      </c>
      <c r="P1041">
        <f>MATCH(LEFT(A1041,FIND("-",A1041)-1),{"April","May","June","July","August","September","October","November","December","January","February","March"},0)</f>
        <v>6</v>
      </c>
      <c r="Q1041" s="3">
        <f t="shared" si="32"/>
        <v>4.7255750398542476E-2</v>
      </c>
      <c r="R1041" t="str">
        <f t="shared" si="33"/>
        <v>September</v>
      </c>
    </row>
    <row r="1042" spans="1:18" x14ac:dyDescent="0.35">
      <c r="A1042" t="s">
        <v>434</v>
      </c>
      <c r="B1042" t="s">
        <v>191</v>
      </c>
      <c r="C1042" t="s">
        <v>15</v>
      </c>
      <c r="D1042" t="s">
        <v>192</v>
      </c>
      <c r="E1042">
        <v>8997</v>
      </c>
      <c r="F1042">
        <v>2484</v>
      </c>
      <c r="G1042">
        <v>3277</v>
      </c>
      <c r="H1042">
        <v>31</v>
      </c>
      <c r="I1042">
        <v>185</v>
      </c>
      <c r="J1042">
        <v>19</v>
      </c>
      <c r="K1042" s="1">
        <v>45901</v>
      </c>
      <c r="L1042" t="s">
        <v>429</v>
      </c>
      <c r="M1042" t="s">
        <v>435</v>
      </c>
      <c r="N1042" s="2">
        <f>IFERROR(NHS_A_E[[#This Row],[T1_Over4hrs]]/NHS_A_E[[#This Row],[T1_Attendances]], 0)</f>
        <v>0.3642325219517617</v>
      </c>
      <c r="O1042">
        <f>NHS_A_E[[#This Row],[T1_Attendances]]+NHS_A_E[[#This Row],[Other_Attendances]]</f>
        <v>11481</v>
      </c>
      <c r="P1042">
        <f>MATCH(LEFT(A1042,FIND("-",A1042)-1),{"April","May","June","July","August","September","October","November","December","January","February","March"},0)</f>
        <v>6</v>
      </c>
      <c r="Q1042" s="3">
        <f t="shared" si="32"/>
        <v>2.1118150494609314E-3</v>
      </c>
      <c r="R1042" t="str">
        <f t="shared" si="33"/>
        <v>September</v>
      </c>
    </row>
    <row r="1043" spans="1:18" x14ac:dyDescent="0.35">
      <c r="A1043" t="s">
        <v>434</v>
      </c>
      <c r="B1043" t="s">
        <v>175</v>
      </c>
      <c r="C1043" t="s">
        <v>63</v>
      </c>
      <c r="D1043" t="s">
        <v>176</v>
      </c>
      <c r="E1043">
        <v>4801</v>
      </c>
      <c r="F1043">
        <v>11009</v>
      </c>
      <c r="G1043">
        <v>2574</v>
      </c>
      <c r="H1043">
        <v>53</v>
      </c>
      <c r="I1043">
        <v>221</v>
      </c>
      <c r="J1043">
        <v>26</v>
      </c>
      <c r="K1043" s="1">
        <v>45901</v>
      </c>
      <c r="L1043" t="s">
        <v>429</v>
      </c>
      <c r="M1043" t="s">
        <v>435</v>
      </c>
      <c r="N1043" s="2">
        <f>IFERROR(NHS_A_E[[#This Row],[T1_Over4hrs]]/NHS_A_E[[#This Row],[T1_Attendances]], 0)</f>
        <v>0.53613830451989164</v>
      </c>
      <c r="O1043">
        <f>NHS_A_E[[#This Row],[T1_Attendances]]+NHS_A_E[[#This Row],[Other_Attendances]]</f>
        <v>15810</v>
      </c>
      <c r="P1043">
        <f>MATCH(LEFT(A1043,FIND("-",A1043)-1),{"April","May","June","July","August","September","October","November","December","January","February","March"},0)</f>
        <v>6</v>
      </c>
      <c r="Q1043" s="3">
        <f t="shared" si="32"/>
        <v>5.4155384294938555E-3</v>
      </c>
      <c r="R1043" t="str">
        <f t="shared" si="33"/>
        <v>September</v>
      </c>
    </row>
    <row r="1044" spans="1:18" x14ac:dyDescent="0.35">
      <c r="A1044" t="s">
        <v>434</v>
      </c>
      <c r="B1044" t="s">
        <v>219</v>
      </c>
      <c r="C1044" t="s">
        <v>30</v>
      </c>
      <c r="D1044" t="s">
        <v>220</v>
      </c>
      <c r="E1044">
        <v>9043</v>
      </c>
      <c r="F1044">
        <v>2724</v>
      </c>
      <c r="G1044">
        <v>3480</v>
      </c>
      <c r="H1044">
        <v>62</v>
      </c>
      <c r="I1044">
        <v>631</v>
      </c>
      <c r="J1044">
        <v>591</v>
      </c>
      <c r="K1044" s="1">
        <v>45901</v>
      </c>
      <c r="L1044" t="s">
        <v>429</v>
      </c>
      <c r="M1044" t="s">
        <v>435</v>
      </c>
      <c r="N1044" s="2">
        <f>IFERROR(NHS_A_E[[#This Row],[T1_Over4hrs]]/NHS_A_E[[#This Row],[T1_Attendances]], 0)</f>
        <v>0.3848280437907774</v>
      </c>
      <c r="O1044">
        <f>NHS_A_E[[#This Row],[T1_Attendances]]+NHS_A_E[[#This Row],[Other_Attendances]]</f>
        <v>11767</v>
      </c>
      <c r="P1044">
        <f>MATCH(LEFT(A1044,FIND("-",A1044)-1),{"April","May","June","July","August","September","October","November","December","January","February","March"},0)</f>
        <v>6</v>
      </c>
      <c r="Q1044" s="3">
        <f t="shared" si="32"/>
        <v>6.5354417781709612E-2</v>
      </c>
      <c r="R1044" t="str">
        <f t="shared" si="33"/>
        <v>September</v>
      </c>
    </row>
    <row r="1045" spans="1:18" x14ac:dyDescent="0.35">
      <c r="A1045" t="s">
        <v>434</v>
      </c>
      <c r="B1045" t="s">
        <v>317</v>
      </c>
      <c r="C1045" t="s">
        <v>63</v>
      </c>
      <c r="D1045" t="s">
        <v>318</v>
      </c>
      <c r="E1045">
        <v>7342</v>
      </c>
      <c r="F1045">
        <v>9220</v>
      </c>
      <c r="G1045">
        <v>3918</v>
      </c>
      <c r="H1045">
        <v>331</v>
      </c>
      <c r="I1045">
        <v>348</v>
      </c>
      <c r="J1045">
        <v>28</v>
      </c>
      <c r="K1045" s="1">
        <v>45901</v>
      </c>
      <c r="L1045" t="s">
        <v>429</v>
      </c>
      <c r="M1045" t="s">
        <v>435</v>
      </c>
      <c r="N1045" s="2">
        <f>IFERROR(NHS_A_E[[#This Row],[T1_Over4hrs]]/NHS_A_E[[#This Row],[T1_Attendances]], 0)</f>
        <v>0.53364205938436393</v>
      </c>
      <c r="O1045">
        <f>NHS_A_E[[#This Row],[T1_Attendances]]+NHS_A_E[[#This Row],[Other_Attendances]]</f>
        <v>16562</v>
      </c>
      <c r="P1045">
        <f>MATCH(LEFT(A1045,FIND("-",A1045)-1),{"April","May","June","July","August","September","October","November","December","January","February","March"},0)</f>
        <v>6</v>
      </c>
      <c r="Q1045" s="3">
        <f t="shared" si="32"/>
        <v>3.8136747480250611E-3</v>
      </c>
      <c r="R1045" t="str">
        <f t="shared" si="33"/>
        <v>September</v>
      </c>
    </row>
    <row r="1046" spans="1:18" x14ac:dyDescent="0.35">
      <c r="A1046" t="s">
        <v>434</v>
      </c>
      <c r="B1046" t="s">
        <v>405</v>
      </c>
      <c r="C1046" t="s">
        <v>15</v>
      </c>
      <c r="D1046" t="s">
        <v>406</v>
      </c>
      <c r="E1046">
        <v>9817</v>
      </c>
      <c r="F1046">
        <v>5974</v>
      </c>
      <c r="G1046">
        <v>3316</v>
      </c>
      <c r="H1046">
        <v>794</v>
      </c>
      <c r="I1046">
        <v>369</v>
      </c>
      <c r="J1046">
        <v>630</v>
      </c>
      <c r="K1046" s="1">
        <v>45901</v>
      </c>
      <c r="L1046" t="s">
        <v>429</v>
      </c>
      <c r="M1046" t="s">
        <v>435</v>
      </c>
      <c r="N1046" s="2">
        <f>IFERROR(NHS_A_E[[#This Row],[T1_Over4hrs]]/NHS_A_E[[#This Row],[T1_Attendances]], 0)</f>
        <v>0.33778139961291637</v>
      </c>
      <c r="O1046">
        <f>NHS_A_E[[#This Row],[T1_Attendances]]+NHS_A_E[[#This Row],[Other_Attendances]]</f>
        <v>15791</v>
      </c>
      <c r="P1046">
        <f>MATCH(LEFT(A1046,FIND("-",A1046)-1),{"April","May","June","July","August","September","October","November","December","January","February","March"},0)</f>
        <v>6</v>
      </c>
      <c r="Q1046" s="3">
        <f t="shared" si="32"/>
        <v>6.4174391361923197E-2</v>
      </c>
      <c r="R1046" t="str">
        <f t="shared" si="33"/>
        <v>September</v>
      </c>
    </row>
    <row r="1047" spans="1:18" x14ac:dyDescent="0.35">
      <c r="A1047" t="s">
        <v>434</v>
      </c>
      <c r="B1047" t="s">
        <v>73</v>
      </c>
      <c r="C1047" t="s">
        <v>15</v>
      </c>
      <c r="D1047" t="s">
        <v>74</v>
      </c>
      <c r="E1047">
        <v>4275</v>
      </c>
      <c r="F1047">
        <v>1669</v>
      </c>
      <c r="G1047">
        <v>1297</v>
      </c>
      <c r="H1047">
        <v>55</v>
      </c>
      <c r="I1047">
        <v>163</v>
      </c>
      <c r="J1047">
        <v>86</v>
      </c>
      <c r="K1047" s="1">
        <v>45901</v>
      </c>
      <c r="L1047" t="s">
        <v>429</v>
      </c>
      <c r="M1047" t="s">
        <v>435</v>
      </c>
      <c r="N1047" s="2">
        <f>IFERROR(NHS_A_E[[#This Row],[T1_Over4hrs]]/NHS_A_E[[#This Row],[T1_Attendances]], 0)</f>
        <v>0.3033918128654971</v>
      </c>
      <c r="O1047">
        <f>NHS_A_E[[#This Row],[T1_Attendances]]+NHS_A_E[[#This Row],[Other_Attendances]]</f>
        <v>5944</v>
      </c>
      <c r="P1047">
        <f>MATCH(LEFT(A1047,FIND("-",A1047)-1),{"April","May","June","July","August","September","October","November","December","January","February","March"},0)</f>
        <v>6</v>
      </c>
      <c r="Q1047" s="3">
        <f t="shared" si="32"/>
        <v>2.0116959064327485E-2</v>
      </c>
      <c r="R1047" t="str">
        <f t="shared" si="33"/>
        <v>September</v>
      </c>
    </row>
    <row r="1048" spans="1:18" x14ac:dyDescent="0.35">
      <c r="A1048" t="s">
        <v>434</v>
      </c>
      <c r="B1048" t="s">
        <v>101</v>
      </c>
      <c r="C1048" t="s">
        <v>63</v>
      </c>
      <c r="D1048" t="s">
        <v>102</v>
      </c>
      <c r="E1048">
        <v>8932</v>
      </c>
      <c r="F1048">
        <v>0</v>
      </c>
      <c r="G1048">
        <v>2550</v>
      </c>
      <c r="H1048">
        <v>0</v>
      </c>
      <c r="I1048">
        <v>401</v>
      </c>
      <c r="J1048">
        <v>1</v>
      </c>
      <c r="K1048" s="1">
        <v>45901</v>
      </c>
      <c r="L1048" t="s">
        <v>429</v>
      </c>
      <c r="M1048" t="s">
        <v>435</v>
      </c>
      <c r="N1048" s="2">
        <f>IFERROR(NHS_A_E[[#This Row],[T1_Over4hrs]]/NHS_A_E[[#This Row],[T1_Attendances]], 0)</f>
        <v>0.28549037169726826</v>
      </c>
      <c r="O1048">
        <f>NHS_A_E[[#This Row],[T1_Attendances]]+NHS_A_E[[#This Row],[Other_Attendances]]</f>
        <v>8932</v>
      </c>
      <c r="P1048">
        <f>MATCH(LEFT(A1048,FIND("-",A1048)-1),{"April","May","June","July","August","September","October","November","December","January","February","March"},0)</f>
        <v>6</v>
      </c>
      <c r="Q1048" s="3">
        <f t="shared" si="32"/>
        <v>1.1195700850873264E-4</v>
      </c>
      <c r="R1048" t="str">
        <f t="shared" si="33"/>
        <v>September</v>
      </c>
    </row>
    <row r="1049" spans="1:18" x14ac:dyDescent="0.35">
      <c r="A1049" t="s">
        <v>434</v>
      </c>
      <c r="B1049" t="s">
        <v>391</v>
      </c>
      <c r="C1049" t="s">
        <v>63</v>
      </c>
      <c r="D1049" t="s">
        <v>392</v>
      </c>
      <c r="E1049">
        <v>4136</v>
      </c>
      <c r="F1049">
        <v>321</v>
      </c>
      <c r="G1049">
        <v>262</v>
      </c>
      <c r="H1049">
        <v>0</v>
      </c>
      <c r="I1049">
        <v>14</v>
      </c>
      <c r="J1049">
        <v>0</v>
      </c>
      <c r="K1049" s="1">
        <v>45901</v>
      </c>
      <c r="L1049" t="s">
        <v>429</v>
      </c>
      <c r="M1049" t="s">
        <v>435</v>
      </c>
      <c r="N1049" s="2">
        <f>IFERROR(NHS_A_E[[#This Row],[T1_Over4hrs]]/NHS_A_E[[#This Row],[T1_Attendances]], 0)</f>
        <v>6.3346228239845259E-2</v>
      </c>
      <c r="O1049">
        <f>NHS_A_E[[#This Row],[T1_Attendances]]+NHS_A_E[[#This Row],[Other_Attendances]]</f>
        <v>4457</v>
      </c>
      <c r="P1049">
        <f>MATCH(LEFT(A1049,FIND("-",A1049)-1),{"April","May","June","July","August","September","October","November","December","January","February","March"},0)</f>
        <v>6</v>
      </c>
      <c r="Q1049" s="3">
        <f t="shared" si="32"/>
        <v>0</v>
      </c>
      <c r="R1049" t="str">
        <f t="shared" si="33"/>
        <v>September</v>
      </c>
    </row>
    <row r="1050" spans="1:18" x14ac:dyDescent="0.35">
      <c r="A1050" t="s">
        <v>434</v>
      </c>
      <c r="B1050" t="s">
        <v>291</v>
      </c>
      <c r="C1050" t="s">
        <v>63</v>
      </c>
      <c r="D1050" t="s">
        <v>292</v>
      </c>
      <c r="E1050">
        <v>5219</v>
      </c>
      <c r="F1050">
        <v>1039</v>
      </c>
      <c r="G1050">
        <v>1416</v>
      </c>
      <c r="H1050">
        <v>0</v>
      </c>
      <c r="I1050">
        <v>58</v>
      </c>
      <c r="J1050">
        <v>0</v>
      </c>
      <c r="K1050" s="1">
        <v>45901</v>
      </c>
      <c r="L1050" t="s">
        <v>429</v>
      </c>
      <c r="M1050" t="s">
        <v>435</v>
      </c>
      <c r="N1050" s="2">
        <f>IFERROR(NHS_A_E[[#This Row],[T1_Over4hrs]]/NHS_A_E[[#This Row],[T1_Attendances]], 0)</f>
        <v>0.27131634412722744</v>
      </c>
      <c r="O1050">
        <f>NHS_A_E[[#This Row],[T1_Attendances]]+NHS_A_E[[#This Row],[Other_Attendances]]</f>
        <v>6258</v>
      </c>
      <c r="P1050">
        <f>MATCH(LEFT(A1050,FIND("-",A1050)-1),{"April","May","June","July","August","September","October","November","December","January","February","March"},0)</f>
        <v>6</v>
      </c>
      <c r="Q1050" s="3">
        <f t="shared" si="32"/>
        <v>0</v>
      </c>
      <c r="R1050" t="str">
        <f t="shared" si="33"/>
        <v>September</v>
      </c>
    </row>
    <row r="1051" spans="1:18" x14ac:dyDescent="0.35">
      <c r="A1051" t="s">
        <v>434</v>
      </c>
      <c r="B1051" t="s">
        <v>243</v>
      </c>
      <c r="C1051" t="s">
        <v>23</v>
      </c>
      <c r="D1051" t="s">
        <v>244</v>
      </c>
      <c r="E1051">
        <v>0</v>
      </c>
      <c r="F1051">
        <v>2249</v>
      </c>
      <c r="G1051">
        <v>0</v>
      </c>
      <c r="H1051">
        <v>207</v>
      </c>
      <c r="I1051">
        <v>0</v>
      </c>
      <c r="J1051">
        <v>0</v>
      </c>
      <c r="K1051" s="1">
        <v>45901</v>
      </c>
      <c r="L1051" t="s">
        <v>429</v>
      </c>
      <c r="M1051" t="s">
        <v>435</v>
      </c>
      <c r="N1051" s="2">
        <f>IFERROR(NHS_A_E[[#This Row],[T1_Over4hrs]]/NHS_A_E[[#This Row],[T1_Attendances]], 0)</f>
        <v>0</v>
      </c>
      <c r="O1051">
        <f>NHS_A_E[[#This Row],[T1_Attendances]]+NHS_A_E[[#This Row],[Other_Attendances]]</f>
        <v>2249</v>
      </c>
      <c r="P1051">
        <f>MATCH(LEFT(A1051,FIND("-",A1051)-1),{"April","May","June","July","August","September","October","November","December","January","February","March"},0)</f>
        <v>6</v>
      </c>
      <c r="Q1051" s="3">
        <f t="shared" si="32"/>
        <v>0</v>
      </c>
      <c r="R1051" t="str">
        <f t="shared" si="33"/>
        <v>September</v>
      </c>
    </row>
    <row r="1052" spans="1:18" x14ac:dyDescent="0.35">
      <c r="A1052" t="s">
        <v>434</v>
      </c>
      <c r="B1052" t="s">
        <v>241</v>
      </c>
      <c r="C1052" t="s">
        <v>40</v>
      </c>
      <c r="D1052" t="s">
        <v>242</v>
      </c>
      <c r="E1052">
        <v>0</v>
      </c>
      <c r="F1052">
        <v>0</v>
      </c>
      <c r="G1052">
        <v>0</v>
      </c>
      <c r="H1052">
        <v>0</v>
      </c>
      <c r="I1052">
        <v>0</v>
      </c>
      <c r="J1052">
        <v>0</v>
      </c>
      <c r="K1052" s="1">
        <v>45901</v>
      </c>
      <c r="L1052" t="s">
        <v>429</v>
      </c>
      <c r="M1052" t="s">
        <v>435</v>
      </c>
      <c r="N1052" s="2">
        <f>IFERROR(NHS_A_E[[#This Row],[T1_Over4hrs]]/NHS_A_E[[#This Row],[T1_Attendances]], 0)</f>
        <v>0</v>
      </c>
      <c r="O1052">
        <f>NHS_A_E[[#This Row],[T1_Attendances]]+NHS_A_E[[#This Row],[Other_Attendances]]</f>
        <v>0</v>
      </c>
      <c r="P1052">
        <f>MATCH(LEFT(A1052,FIND("-",A1052)-1),{"April","May","June","July","August","September","October","November","December","January","February","March"},0)</f>
        <v>6</v>
      </c>
      <c r="Q1052" s="3">
        <f t="shared" si="32"/>
        <v>0</v>
      </c>
      <c r="R1052" t="str">
        <f t="shared" si="33"/>
        <v>September</v>
      </c>
    </row>
    <row r="1053" spans="1:18" x14ac:dyDescent="0.35">
      <c r="A1053" t="s">
        <v>434</v>
      </c>
      <c r="B1053" t="s">
        <v>327</v>
      </c>
      <c r="C1053" t="s">
        <v>40</v>
      </c>
      <c r="D1053" t="s">
        <v>328</v>
      </c>
      <c r="E1053">
        <v>0</v>
      </c>
      <c r="F1053">
        <v>7613</v>
      </c>
      <c r="G1053">
        <v>0</v>
      </c>
      <c r="H1053">
        <v>213</v>
      </c>
      <c r="I1053">
        <v>0</v>
      </c>
      <c r="J1053">
        <v>0</v>
      </c>
      <c r="K1053" s="1">
        <v>45901</v>
      </c>
      <c r="L1053" t="s">
        <v>429</v>
      </c>
      <c r="M1053" t="s">
        <v>435</v>
      </c>
      <c r="N1053" s="2">
        <f>IFERROR(NHS_A_E[[#This Row],[T1_Over4hrs]]/NHS_A_E[[#This Row],[T1_Attendances]], 0)</f>
        <v>0</v>
      </c>
      <c r="O1053">
        <f>NHS_A_E[[#This Row],[T1_Attendances]]+NHS_A_E[[#This Row],[Other_Attendances]]</f>
        <v>7613</v>
      </c>
      <c r="P1053">
        <f>MATCH(LEFT(A1053,FIND("-",A1053)-1),{"April","May","June","July","August","September","October","November","December","January","February","March"},0)</f>
        <v>6</v>
      </c>
      <c r="Q1053" s="3">
        <f t="shared" si="32"/>
        <v>0</v>
      </c>
      <c r="R1053" t="str">
        <f t="shared" si="33"/>
        <v>September</v>
      </c>
    </row>
    <row r="1054" spans="1:18" x14ac:dyDescent="0.35">
      <c r="A1054" t="s">
        <v>434</v>
      </c>
      <c r="B1054" t="s">
        <v>299</v>
      </c>
      <c r="C1054" t="s">
        <v>63</v>
      </c>
      <c r="D1054" t="s">
        <v>300</v>
      </c>
      <c r="E1054">
        <v>16024</v>
      </c>
      <c r="F1054">
        <v>0</v>
      </c>
      <c r="G1054">
        <v>2314</v>
      </c>
      <c r="H1054">
        <v>0</v>
      </c>
      <c r="I1054">
        <v>874</v>
      </c>
      <c r="J1054">
        <v>9</v>
      </c>
      <c r="K1054" s="1">
        <v>45901</v>
      </c>
      <c r="L1054" t="s">
        <v>429</v>
      </c>
      <c r="M1054" t="s">
        <v>435</v>
      </c>
      <c r="N1054" s="2">
        <f>IFERROR(NHS_A_E[[#This Row],[T1_Over4hrs]]/NHS_A_E[[#This Row],[T1_Attendances]], 0)</f>
        <v>0.14440838741887169</v>
      </c>
      <c r="O1054">
        <f>NHS_A_E[[#This Row],[T1_Attendances]]+NHS_A_E[[#This Row],[Other_Attendances]]</f>
        <v>16024</v>
      </c>
      <c r="P1054">
        <f>MATCH(LEFT(A1054,FIND("-",A1054)-1),{"April","May","June","July","August","September","October","November","December","January","February","March"},0)</f>
        <v>6</v>
      </c>
      <c r="Q1054" s="3">
        <f t="shared" si="32"/>
        <v>5.6165751372940593E-4</v>
      </c>
      <c r="R1054" t="str">
        <f t="shared" si="33"/>
        <v>September</v>
      </c>
    </row>
    <row r="1055" spans="1:18" x14ac:dyDescent="0.35">
      <c r="A1055" t="s">
        <v>434</v>
      </c>
      <c r="B1055" t="s">
        <v>54</v>
      </c>
      <c r="C1055" t="s">
        <v>15</v>
      </c>
      <c r="D1055" t="s">
        <v>55</v>
      </c>
      <c r="E1055">
        <v>0</v>
      </c>
      <c r="F1055">
        <v>4426</v>
      </c>
      <c r="G1055">
        <v>0</v>
      </c>
      <c r="H1055">
        <v>245</v>
      </c>
      <c r="I1055">
        <v>0</v>
      </c>
      <c r="J1055">
        <v>0</v>
      </c>
      <c r="K1055" s="1">
        <v>45901</v>
      </c>
      <c r="L1055" t="s">
        <v>429</v>
      </c>
      <c r="M1055" t="s">
        <v>435</v>
      </c>
      <c r="N1055" s="2">
        <f>IFERROR(NHS_A_E[[#This Row],[T1_Over4hrs]]/NHS_A_E[[#This Row],[T1_Attendances]], 0)</f>
        <v>0</v>
      </c>
      <c r="O1055">
        <f>NHS_A_E[[#This Row],[T1_Attendances]]+NHS_A_E[[#This Row],[Other_Attendances]]</f>
        <v>4426</v>
      </c>
      <c r="P1055">
        <f>MATCH(LEFT(A1055,FIND("-",A1055)-1),{"April","May","June","July","August","September","October","November","December","January","February","March"},0)</f>
        <v>6</v>
      </c>
      <c r="Q1055" s="3">
        <f t="shared" si="32"/>
        <v>0</v>
      </c>
      <c r="R1055" t="str">
        <f t="shared" si="33"/>
        <v>September</v>
      </c>
    </row>
    <row r="1056" spans="1:18" x14ac:dyDescent="0.35">
      <c r="A1056" t="s">
        <v>434</v>
      </c>
      <c r="B1056" t="s">
        <v>353</v>
      </c>
      <c r="C1056" t="s">
        <v>40</v>
      </c>
      <c r="D1056" t="s">
        <v>354</v>
      </c>
      <c r="E1056">
        <v>10776</v>
      </c>
      <c r="F1056">
        <v>5627</v>
      </c>
      <c r="G1056">
        <v>3134</v>
      </c>
      <c r="H1056">
        <v>107</v>
      </c>
      <c r="I1056">
        <v>556</v>
      </c>
      <c r="J1056">
        <v>486</v>
      </c>
      <c r="K1056" s="1">
        <v>45901</v>
      </c>
      <c r="L1056" t="s">
        <v>429</v>
      </c>
      <c r="M1056" t="s">
        <v>435</v>
      </c>
      <c r="N1056" s="2">
        <f>IFERROR(NHS_A_E[[#This Row],[T1_Over4hrs]]/NHS_A_E[[#This Row],[T1_Attendances]], 0)</f>
        <v>0.29083147735708981</v>
      </c>
      <c r="O1056">
        <f>NHS_A_E[[#This Row],[T1_Attendances]]+NHS_A_E[[#This Row],[Other_Attendances]]</f>
        <v>16403</v>
      </c>
      <c r="P1056">
        <f>MATCH(LEFT(A1056,FIND("-",A1056)-1),{"April","May","June","July","August","September","October","November","December","January","February","March"},0)</f>
        <v>6</v>
      </c>
      <c r="Q1056" s="3">
        <f t="shared" si="32"/>
        <v>4.5100222717149217E-2</v>
      </c>
      <c r="R1056" t="str">
        <f t="shared" si="33"/>
        <v>September</v>
      </c>
    </row>
    <row r="1057" spans="1:18" x14ac:dyDescent="0.35">
      <c r="A1057" t="s">
        <v>434</v>
      </c>
      <c r="B1057" t="s">
        <v>46</v>
      </c>
      <c r="C1057" t="s">
        <v>40</v>
      </c>
      <c r="D1057" t="s">
        <v>47</v>
      </c>
      <c r="E1057">
        <v>0</v>
      </c>
      <c r="F1057">
        <v>0</v>
      </c>
      <c r="G1057">
        <v>0</v>
      </c>
      <c r="H1057">
        <v>0</v>
      </c>
      <c r="I1057">
        <v>0</v>
      </c>
      <c r="J1057">
        <v>0</v>
      </c>
      <c r="K1057" s="1">
        <v>45901</v>
      </c>
      <c r="L1057" t="s">
        <v>429</v>
      </c>
      <c r="M1057" t="s">
        <v>435</v>
      </c>
      <c r="N1057" s="2">
        <f>IFERROR(NHS_A_E[[#This Row],[T1_Over4hrs]]/NHS_A_E[[#This Row],[T1_Attendances]], 0)</f>
        <v>0</v>
      </c>
      <c r="O1057">
        <f>NHS_A_E[[#This Row],[T1_Attendances]]+NHS_A_E[[#This Row],[Other_Attendances]]</f>
        <v>0</v>
      </c>
      <c r="P1057">
        <f>MATCH(LEFT(A1057,FIND("-",A1057)-1),{"April","May","June","July","August","September","October","November","December","January","February","March"},0)</f>
        <v>6</v>
      </c>
      <c r="Q1057" s="3">
        <f t="shared" si="32"/>
        <v>0</v>
      </c>
      <c r="R1057" t="str">
        <f t="shared" si="33"/>
        <v>September</v>
      </c>
    </row>
    <row r="1058" spans="1:18" x14ac:dyDescent="0.35">
      <c r="A1058" t="s">
        <v>434</v>
      </c>
      <c r="B1058" t="s">
        <v>231</v>
      </c>
      <c r="C1058" t="s">
        <v>63</v>
      </c>
      <c r="D1058" t="s">
        <v>232</v>
      </c>
      <c r="E1058">
        <v>9034</v>
      </c>
      <c r="F1058">
        <v>0</v>
      </c>
      <c r="G1058">
        <v>2326</v>
      </c>
      <c r="H1058">
        <v>0</v>
      </c>
      <c r="I1058">
        <v>199</v>
      </c>
      <c r="J1058">
        <v>1</v>
      </c>
      <c r="K1058" s="1">
        <v>45901</v>
      </c>
      <c r="L1058" t="s">
        <v>429</v>
      </c>
      <c r="M1058" t="s">
        <v>435</v>
      </c>
      <c r="N1058" s="2">
        <f>IFERROR(NHS_A_E[[#This Row],[T1_Over4hrs]]/NHS_A_E[[#This Row],[T1_Attendances]], 0)</f>
        <v>0.2574717733008634</v>
      </c>
      <c r="O1058">
        <f>NHS_A_E[[#This Row],[T1_Attendances]]+NHS_A_E[[#This Row],[Other_Attendances]]</f>
        <v>9034</v>
      </c>
      <c r="P1058">
        <f>MATCH(LEFT(A1058,FIND("-",A1058)-1),{"April","May","June","July","August","September","October","November","December","January","February","March"},0)</f>
        <v>6</v>
      </c>
      <c r="Q1058" s="3">
        <f t="shared" si="32"/>
        <v>1.1069293779056896E-4</v>
      </c>
      <c r="R1058" t="str">
        <f t="shared" si="33"/>
        <v>September</v>
      </c>
    </row>
    <row r="1059" spans="1:18" x14ac:dyDescent="0.35">
      <c r="A1059" t="s">
        <v>434</v>
      </c>
      <c r="B1059" t="s">
        <v>14</v>
      </c>
      <c r="C1059" t="s">
        <v>15</v>
      </c>
      <c r="D1059" t="s">
        <v>16</v>
      </c>
      <c r="E1059">
        <v>0</v>
      </c>
      <c r="F1059">
        <v>2403</v>
      </c>
      <c r="G1059">
        <v>0</v>
      </c>
      <c r="H1059">
        <v>14</v>
      </c>
      <c r="I1059">
        <v>0</v>
      </c>
      <c r="J1059">
        <v>0</v>
      </c>
      <c r="K1059" s="1">
        <v>45901</v>
      </c>
      <c r="L1059" t="s">
        <v>429</v>
      </c>
      <c r="M1059" t="s">
        <v>435</v>
      </c>
      <c r="N1059" s="2">
        <f>IFERROR(NHS_A_E[[#This Row],[T1_Over4hrs]]/NHS_A_E[[#This Row],[T1_Attendances]], 0)</f>
        <v>0</v>
      </c>
      <c r="O1059">
        <f>NHS_A_E[[#This Row],[T1_Attendances]]+NHS_A_E[[#This Row],[Other_Attendances]]</f>
        <v>2403</v>
      </c>
      <c r="P1059">
        <f>MATCH(LEFT(A1059,FIND("-",A1059)-1),{"April","May","June","July","August","September","October","November","December","January","February","March"},0)</f>
        <v>6</v>
      </c>
      <c r="Q1059" s="3">
        <f t="shared" si="32"/>
        <v>0</v>
      </c>
      <c r="R1059" t="str">
        <f t="shared" si="33"/>
        <v>September</v>
      </c>
    </row>
    <row r="1060" spans="1:18" x14ac:dyDescent="0.35">
      <c r="A1060" t="s">
        <v>434</v>
      </c>
      <c r="B1060" t="s">
        <v>383</v>
      </c>
      <c r="C1060" t="s">
        <v>20</v>
      </c>
      <c r="D1060" t="s">
        <v>384</v>
      </c>
      <c r="E1060">
        <v>0</v>
      </c>
      <c r="F1060">
        <v>93</v>
      </c>
      <c r="G1060">
        <v>0</v>
      </c>
      <c r="H1060">
        <v>0</v>
      </c>
      <c r="I1060">
        <v>0</v>
      </c>
      <c r="J1060">
        <v>0</v>
      </c>
      <c r="K1060" s="1">
        <v>45901</v>
      </c>
      <c r="L1060" t="s">
        <v>429</v>
      </c>
      <c r="M1060" t="s">
        <v>435</v>
      </c>
      <c r="N1060" s="2">
        <f>IFERROR(NHS_A_E[[#This Row],[T1_Over4hrs]]/NHS_A_E[[#This Row],[T1_Attendances]], 0)</f>
        <v>0</v>
      </c>
      <c r="O1060">
        <f>NHS_A_E[[#This Row],[T1_Attendances]]+NHS_A_E[[#This Row],[Other_Attendances]]</f>
        <v>93</v>
      </c>
      <c r="P1060">
        <f>MATCH(LEFT(A1060,FIND("-",A1060)-1),{"April","May","June","July","August","September","October","November","December","January","February","March"},0)</f>
        <v>6</v>
      </c>
      <c r="Q1060" s="3">
        <f t="shared" si="32"/>
        <v>0</v>
      </c>
      <c r="R1060" t="str">
        <f t="shared" si="33"/>
        <v>September</v>
      </c>
    </row>
    <row r="1061" spans="1:18" x14ac:dyDescent="0.35">
      <c r="A1061" t="s">
        <v>434</v>
      </c>
      <c r="B1061" t="s">
        <v>431</v>
      </c>
      <c r="C1061" t="s">
        <v>15</v>
      </c>
      <c r="D1061" t="s">
        <v>432</v>
      </c>
      <c r="E1061">
        <v>0</v>
      </c>
      <c r="F1061">
        <v>2454</v>
      </c>
      <c r="G1061">
        <v>0</v>
      </c>
      <c r="H1061">
        <v>0</v>
      </c>
      <c r="I1061">
        <v>0</v>
      </c>
      <c r="J1061">
        <v>0</v>
      </c>
      <c r="K1061" s="1">
        <v>45901</v>
      </c>
      <c r="L1061" t="s">
        <v>429</v>
      </c>
      <c r="M1061" t="s">
        <v>435</v>
      </c>
      <c r="N1061" s="2">
        <f>IFERROR(NHS_A_E[[#This Row],[T1_Over4hrs]]/NHS_A_E[[#This Row],[T1_Attendances]], 0)</f>
        <v>0</v>
      </c>
      <c r="O1061">
        <f>NHS_A_E[[#This Row],[T1_Attendances]]+NHS_A_E[[#This Row],[Other_Attendances]]</f>
        <v>2454</v>
      </c>
      <c r="P1061">
        <f>MATCH(LEFT(A1061,FIND("-",A1061)-1),{"April","May","June","July","August","September","October","November","December","January","February","March"},0)</f>
        <v>6</v>
      </c>
      <c r="Q1061" s="3">
        <f t="shared" si="32"/>
        <v>0</v>
      </c>
      <c r="R1061" t="str">
        <f t="shared" si="33"/>
        <v>September</v>
      </c>
    </row>
    <row r="1062" spans="1:18" x14ac:dyDescent="0.35">
      <c r="A1062" t="s">
        <v>434</v>
      </c>
      <c r="B1062" t="s">
        <v>127</v>
      </c>
      <c r="C1062" t="s">
        <v>15</v>
      </c>
      <c r="D1062" t="s">
        <v>128</v>
      </c>
      <c r="E1062">
        <v>0</v>
      </c>
      <c r="F1062">
        <v>1825</v>
      </c>
      <c r="G1062">
        <v>0</v>
      </c>
      <c r="H1062">
        <v>0</v>
      </c>
      <c r="I1062">
        <v>0</v>
      </c>
      <c r="J1062">
        <v>0</v>
      </c>
      <c r="K1062" s="1">
        <v>45901</v>
      </c>
      <c r="L1062" t="s">
        <v>429</v>
      </c>
      <c r="M1062" t="s">
        <v>435</v>
      </c>
      <c r="N1062" s="2">
        <f>IFERROR(NHS_A_E[[#This Row],[T1_Over4hrs]]/NHS_A_E[[#This Row],[T1_Attendances]], 0)</f>
        <v>0</v>
      </c>
      <c r="O1062">
        <f>NHS_A_E[[#This Row],[T1_Attendances]]+NHS_A_E[[#This Row],[Other_Attendances]]</f>
        <v>1825</v>
      </c>
      <c r="P1062">
        <f>MATCH(LEFT(A1062,FIND("-",A1062)-1),{"April","May","June","July","August","September","October","November","December","January","February","March"},0)</f>
        <v>6</v>
      </c>
      <c r="Q1062" s="3">
        <f t="shared" si="32"/>
        <v>0</v>
      </c>
      <c r="R1062" t="str">
        <f t="shared" si="33"/>
        <v>September</v>
      </c>
    </row>
    <row r="1063" spans="1:18" x14ac:dyDescent="0.35">
      <c r="A1063" t="s">
        <v>434</v>
      </c>
      <c r="B1063" t="s">
        <v>161</v>
      </c>
      <c r="C1063" t="s">
        <v>30</v>
      </c>
      <c r="D1063" t="s">
        <v>162</v>
      </c>
      <c r="E1063">
        <v>6842</v>
      </c>
      <c r="F1063">
        <v>2996</v>
      </c>
      <c r="G1063">
        <v>3886</v>
      </c>
      <c r="H1063">
        <v>9</v>
      </c>
      <c r="I1063">
        <v>455</v>
      </c>
      <c r="J1063">
        <v>497</v>
      </c>
      <c r="K1063" s="1">
        <v>45901</v>
      </c>
      <c r="L1063" t="s">
        <v>429</v>
      </c>
      <c r="M1063" t="s">
        <v>435</v>
      </c>
      <c r="N1063" s="2">
        <f>IFERROR(NHS_A_E[[#This Row],[T1_Over4hrs]]/NHS_A_E[[#This Row],[T1_Attendances]], 0)</f>
        <v>0.56796258403975441</v>
      </c>
      <c r="O1063">
        <f>NHS_A_E[[#This Row],[T1_Attendances]]+NHS_A_E[[#This Row],[Other_Attendances]]</f>
        <v>9838</v>
      </c>
      <c r="P1063">
        <f>MATCH(LEFT(A1063,FIND("-",A1063)-1),{"April","May","June","July","August","September","October","November","December","January","February","March"},0)</f>
        <v>6</v>
      </c>
      <c r="Q1063" s="3">
        <f t="shared" si="32"/>
        <v>7.2639579070447241E-2</v>
      </c>
      <c r="R1063" t="str">
        <f t="shared" si="33"/>
        <v>September</v>
      </c>
    </row>
    <row r="1064" spans="1:18" x14ac:dyDescent="0.35">
      <c r="A1064" t="s">
        <v>434</v>
      </c>
      <c r="B1064" t="s">
        <v>249</v>
      </c>
      <c r="C1064" t="s">
        <v>20</v>
      </c>
      <c r="D1064" t="s">
        <v>250</v>
      </c>
      <c r="E1064">
        <v>6648</v>
      </c>
      <c r="F1064">
        <v>3322</v>
      </c>
      <c r="G1064">
        <v>3160</v>
      </c>
      <c r="H1064">
        <v>3</v>
      </c>
      <c r="I1064">
        <v>255</v>
      </c>
      <c r="J1064">
        <v>78</v>
      </c>
      <c r="K1064" s="1">
        <v>45901</v>
      </c>
      <c r="L1064" t="s">
        <v>429</v>
      </c>
      <c r="M1064" t="s">
        <v>435</v>
      </c>
      <c r="N1064" s="2">
        <f>IFERROR(NHS_A_E[[#This Row],[T1_Over4hrs]]/NHS_A_E[[#This Row],[T1_Attendances]], 0)</f>
        <v>0.47533092659446452</v>
      </c>
      <c r="O1064">
        <f>NHS_A_E[[#This Row],[T1_Attendances]]+NHS_A_E[[#This Row],[Other_Attendances]]</f>
        <v>9970</v>
      </c>
      <c r="P1064">
        <f>MATCH(LEFT(A1064,FIND("-",A1064)-1),{"April","May","June","July","August","September","October","November","December","January","February","March"},0)</f>
        <v>6</v>
      </c>
      <c r="Q1064" s="3">
        <f t="shared" si="32"/>
        <v>1.1732851985559567E-2</v>
      </c>
      <c r="R1064" t="str">
        <f t="shared" si="33"/>
        <v>September</v>
      </c>
    </row>
    <row r="1065" spans="1:18" x14ac:dyDescent="0.35">
      <c r="A1065" t="s">
        <v>434</v>
      </c>
      <c r="B1065" t="s">
        <v>239</v>
      </c>
      <c r="C1065" t="s">
        <v>35</v>
      </c>
      <c r="D1065" t="s">
        <v>240</v>
      </c>
      <c r="E1065">
        <v>0</v>
      </c>
      <c r="F1065">
        <v>1044</v>
      </c>
      <c r="G1065">
        <v>0</v>
      </c>
      <c r="H1065">
        <v>0</v>
      </c>
      <c r="I1065">
        <v>0</v>
      </c>
      <c r="J1065">
        <v>0</v>
      </c>
      <c r="K1065" s="1">
        <v>45901</v>
      </c>
      <c r="L1065" t="s">
        <v>429</v>
      </c>
      <c r="M1065" t="s">
        <v>435</v>
      </c>
      <c r="N1065" s="2">
        <f>IFERROR(NHS_A_E[[#This Row],[T1_Over4hrs]]/NHS_A_E[[#This Row],[T1_Attendances]], 0)</f>
        <v>0</v>
      </c>
      <c r="O1065">
        <f>NHS_A_E[[#This Row],[T1_Attendances]]+NHS_A_E[[#This Row],[Other_Attendances]]</f>
        <v>1044</v>
      </c>
      <c r="P1065">
        <f>MATCH(LEFT(A1065,FIND("-",A1065)-1),{"April","May","June","July","August","September","October","November","December","January","February","March"},0)</f>
        <v>6</v>
      </c>
      <c r="Q1065" s="3">
        <f t="shared" si="32"/>
        <v>0</v>
      </c>
      <c r="R1065" t="str">
        <f t="shared" si="33"/>
        <v>September</v>
      </c>
    </row>
    <row r="1066" spans="1:18" x14ac:dyDescent="0.35">
      <c r="A1066" t="s">
        <v>434</v>
      </c>
      <c r="B1066" t="s">
        <v>305</v>
      </c>
      <c r="C1066" t="s">
        <v>30</v>
      </c>
      <c r="D1066" t="s">
        <v>306</v>
      </c>
      <c r="E1066">
        <v>0</v>
      </c>
      <c r="F1066">
        <v>1605</v>
      </c>
      <c r="G1066">
        <v>0</v>
      </c>
      <c r="H1066">
        <v>0</v>
      </c>
      <c r="I1066">
        <v>0</v>
      </c>
      <c r="J1066">
        <v>0</v>
      </c>
      <c r="K1066" s="1">
        <v>45901</v>
      </c>
      <c r="L1066" t="s">
        <v>429</v>
      </c>
      <c r="M1066" t="s">
        <v>435</v>
      </c>
      <c r="N1066" s="2">
        <f>IFERROR(NHS_A_E[[#This Row],[T1_Over4hrs]]/NHS_A_E[[#This Row],[T1_Attendances]], 0)</f>
        <v>0</v>
      </c>
      <c r="O1066">
        <f>NHS_A_E[[#This Row],[T1_Attendances]]+NHS_A_E[[#This Row],[Other_Attendances]]</f>
        <v>1605</v>
      </c>
      <c r="P1066">
        <f>MATCH(LEFT(A1066,FIND("-",A1066)-1),{"April","May","June","July","August","September","October","November","December","January","February","March"},0)</f>
        <v>6</v>
      </c>
      <c r="Q1066" s="3">
        <f t="shared" si="32"/>
        <v>0</v>
      </c>
      <c r="R1066" t="str">
        <f t="shared" si="33"/>
        <v>September</v>
      </c>
    </row>
    <row r="1067" spans="1:18" x14ac:dyDescent="0.35">
      <c r="A1067" t="s">
        <v>434</v>
      </c>
      <c r="B1067" t="s">
        <v>255</v>
      </c>
      <c r="C1067" t="s">
        <v>15</v>
      </c>
      <c r="D1067" t="s">
        <v>256</v>
      </c>
      <c r="E1067">
        <v>0</v>
      </c>
      <c r="F1067">
        <v>0</v>
      </c>
      <c r="G1067">
        <v>0</v>
      </c>
      <c r="H1067">
        <v>0</v>
      </c>
      <c r="I1067">
        <v>0</v>
      </c>
      <c r="J1067">
        <v>0</v>
      </c>
      <c r="K1067" s="1">
        <v>45901</v>
      </c>
      <c r="L1067" t="s">
        <v>429</v>
      </c>
      <c r="M1067" t="s">
        <v>435</v>
      </c>
      <c r="N1067" s="2">
        <f>IFERROR(NHS_A_E[[#This Row],[T1_Over4hrs]]/NHS_A_E[[#This Row],[T1_Attendances]], 0)</f>
        <v>0</v>
      </c>
      <c r="O1067">
        <f>NHS_A_E[[#This Row],[T1_Attendances]]+NHS_A_E[[#This Row],[Other_Attendances]]</f>
        <v>0</v>
      </c>
      <c r="P1067">
        <f>MATCH(LEFT(A1067,FIND("-",A1067)-1),{"April","May","June","July","August","September","October","November","December","January","February","March"},0)</f>
        <v>6</v>
      </c>
      <c r="Q1067" s="3">
        <f t="shared" si="32"/>
        <v>0</v>
      </c>
      <c r="R1067" t="str">
        <f t="shared" si="33"/>
        <v>September</v>
      </c>
    </row>
    <row r="1068" spans="1:18" x14ac:dyDescent="0.35">
      <c r="A1068" t="s">
        <v>434</v>
      </c>
      <c r="B1068" t="s">
        <v>267</v>
      </c>
      <c r="C1068" t="s">
        <v>15</v>
      </c>
      <c r="D1068" t="s">
        <v>268</v>
      </c>
      <c r="E1068">
        <v>0</v>
      </c>
      <c r="F1068">
        <v>6480</v>
      </c>
      <c r="G1068">
        <v>0</v>
      </c>
      <c r="H1068">
        <v>22</v>
      </c>
      <c r="I1068">
        <v>0</v>
      </c>
      <c r="J1068">
        <v>0</v>
      </c>
      <c r="K1068" s="1">
        <v>45901</v>
      </c>
      <c r="L1068" t="s">
        <v>429</v>
      </c>
      <c r="M1068" t="s">
        <v>435</v>
      </c>
      <c r="N1068" s="2">
        <f>IFERROR(NHS_A_E[[#This Row],[T1_Over4hrs]]/NHS_A_E[[#This Row],[T1_Attendances]], 0)</f>
        <v>0</v>
      </c>
      <c r="O1068">
        <f>NHS_A_E[[#This Row],[T1_Attendances]]+NHS_A_E[[#This Row],[Other_Attendances]]</f>
        <v>6480</v>
      </c>
      <c r="P1068">
        <f>MATCH(LEFT(A1068,FIND("-",A1068)-1),{"April","May","June","July","August","September","October","November","December","January","February","March"},0)</f>
        <v>6</v>
      </c>
      <c r="Q1068" s="3">
        <f t="shared" si="32"/>
        <v>0</v>
      </c>
      <c r="R1068" t="str">
        <f t="shared" si="33"/>
        <v>September</v>
      </c>
    </row>
    <row r="1069" spans="1:18" x14ac:dyDescent="0.35">
      <c r="A1069" t="s">
        <v>434</v>
      </c>
      <c r="B1069" t="s">
        <v>409</v>
      </c>
      <c r="C1069" t="s">
        <v>15</v>
      </c>
      <c r="D1069" t="s">
        <v>410</v>
      </c>
      <c r="E1069">
        <v>19916</v>
      </c>
      <c r="F1069">
        <v>2105</v>
      </c>
      <c r="G1069">
        <v>4113</v>
      </c>
      <c r="H1069">
        <v>69</v>
      </c>
      <c r="I1069">
        <v>839</v>
      </c>
      <c r="J1069">
        <v>96</v>
      </c>
      <c r="K1069" s="1">
        <v>45901</v>
      </c>
      <c r="L1069" t="s">
        <v>429</v>
      </c>
      <c r="M1069" t="s">
        <v>435</v>
      </c>
      <c r="N1069" s="2">
        <f>IFERROR(NHS_A_E[[#This Row],[T1_Over4hrs]]/NHS_A_E[[#This Row],[T1_Attendances]], 0)</f>
        <v>0.20651737296645914</v>
      </c>
      <c r="O1069">
        <f>NHS_A_E[[#This Row],[T1_Attendances]]+NHS_A_E[[#This Row],[Other_Attendances]]</f>
        <v>22021</v>
      </c>
      <c r="P1069">
        <f>MATCH(LEFT(A1069,FIND("-",A1069)-1),{"April","May","June","July","August","September","October","November","December","January","February","March"},0)</f>
        <v>6</v>
      </c>
      <c r="Q1069" s="3">
        <f t="shared" si="32"/>
        <v>4.8202450291223138E-3</v>
      </c>
      <c r="R1069" t="str">
        <f t="shared" si="33"/>
        <v>September</v>
      </c>
    </row>
    <row r="1070" spans="1:18" x14ac:dyDescent="0.35">
      <c r="A1070" t="s">
        <v>434</v>
      </c>
      <c r="B1070" t="s">
        <v>297</v>
      </c>
      <c r="C1070" t="s">
        <v>15</v>
      </c>
      <c r="D1070" t="s">
        <v>298</v>
      </c>
      <c r="E1070">
        <v>0</v>
      </c>
      <c r="F1070">
        <v>2793</v>
      </c>
      <c r="G1070">
        <v>0</v>
      </c>
      <c r="H1070">
        <v>64</v>
      </c>
      <c r="I1070">
        <v>0</v>
      </c>
      <c r="J1070">
        <v>0</v>
      </c>
      <c r="K1070" s="1">
        <v>45901</v>
      </c>
      <c r="L1070" t="s">
        <v>429</v>
      </c>
      <c r="M1070" t="s">
        <v>435</v>
      </c>
      <c r="N1070" s="2">
        <f>IFERROR(NHS_A_E[[#This Row],[T1_Over4hrs]]/NHS_A_E[[#This Row],[T1_Attendances]], 0)</f>
        <v>0</v>
      </c>
      <c r="O1070">
        <f>NHS_A_E[[#This Row],[T1_Attendances]]+NHS_A_E[[#This Row],[Other_Attendances]]</f>
        <v>2793</v>
      </c>
      <c r="P1070">
        <f>MATCH(LEFT(A1070,FIND("-",A1070)-1),{"April","May","June","July","August","September","October","November","December","January","February","March"},0)</f>
        <v>6</v>
      </c>
      <c r="Q1070" s="3">
        <f t="shared" si="32"/>
        <v>0</v>
      </c>
      <c r="R1070" t="str">
        <f t="shared" si="33"/>
        <v>September</v>
      </c>
    </row>
    <row r="1071" spans="1:18" x14ac:dyDescent="0.35">
      <c r="A1071" t="s">
        <v>434</v>
      </c>
      <c r="B1071" t="s">
        <v>293</v>
      </c>
      <c r="C1071" t="s">
        <v>20</v>
      </c>
      <c r="D1071" t="s">
        <v>294</v>
      </c>
      <c r="E1071">
        <v>0</v>
      </c>
      <c r="F1071">
        <v>0</v>
      </c>
      <c r="G1071">
        <v>0</v>
      </c>
      <c r="H1071">
        <v>0</v>
      </c>
      <c r="I1071">
        <v>0</v>
      </c>
      <c r="J1071">
        <v>0</v>
      </c>
      <c r="K1071" s="1">
        <v>45901</v>
      </c>
      <c r="L1071" t="s">
        <v>429</v>
      </c>
      <c r="M1071" t="s">
        <v>435</v>
      </c>
      <c r="N1071" s="2">
        <f>IFERROR(NHS_A_E[[#This Row],[T1_Over4hrs]]/NHS_A_E[[#This Row],[T1_Attendances]], 0)</f>
        <v>0</v>
      </c>
      <c r="O1071">
        <f>NHS_A_E[[#This Row],[T1_Attendances]]+NHS_A_E[[#This Row],[Other_Attendances]]</f>
        <v>0</v>
      </c>
      <c r="P1071">
        <f>MATCH(LEFT(A1071,FIND("-",A1071)-1),{"April","May","June","July","August","September","October","November","December","January","February","March"},0)</f>
        <v>6</v>
      </c>
      <c r="Q1071" s="3">
        <f t="shared" si="32"/>
        <v>0</v>
      </c>
      <c r="R1071" t="str">
        <f t="shared" si="33"/>
        <v>September</v>
      </c>
    </row>
    <row r="1072" spans="1:18" x14ac:dyDescent="0.35">
      <c r="A1072" t="s">
        <v>434</v>
      </c>
      <c r="B1072" t="s">
        <v>75</v>
      </c>
      <c r="C1072" t="s">
        <v>63</v>
      </c>
      <c r="D1072" t="s">
        <v>76</v>
      </c>
      <c r="E1072">
        <v>0</v>
      </c>
      <c r="F1072">
        <v>3484</v>
      </c>
      <c r="G1072">
        <v>0</v>
      </c>
      <c r="H1072">
        <v>315</v>
      </c>
      <c r="I1072">
        <v>0</v>
      </c>
      <c r="J1072">
        <v>0</v>
      </c>
      <c r="K1072" s="1">
        <v>45901</v>
      </c>
      <c r="L1072" t="s">
        <v>429</v>
      </c>
      <c r="M1072" t="s">
        <v>435</v>
      </c>
      <c r="N1072" s="2">
        <f>IFERROR(NHS_A_E[[#This Row],[T1_Over4hrs]]/NHS_A_E[[#This Row],[T1_Attendances]], 0)</f>
        <v>0</v>
      </c>
      <c r="O1072">
        <f>NHS_A_E[[#This Row],[T1_Attendances]]+NHS_A_E[[#This Row],[Other_Attendances]]</f>
        <v>3484</v>
      </c>
      <c r="P1072">
        <f>MATCH(LEFT(A1072,FIND("-",A1072)-1),{"April","May","June","July","August","September","October","November","December","January","February","March"},0)</f>
        <v>6</v>
      </c>
      <c r="Q1072" s="3">
        <f t="shared" si="32"/>
        <v>0</v>
      </c>
      <c r="R1072" t="str">
        <f t="shared" si="33"/>
        <v>September</v>
      </c>
    </row>
    <row r="1073" spans="1:18" x14ac:dyDescent="0.35">
      <c r="A1073" t="s">
        <v>434</v>
      </c>
      <c r="B1073" t="s">
        <v>411</v>
      </c>
      <c r="C1073" t="s">
        <v>35</v>
      </c>
      <c r="D1073" t="s">
        <v>412</v>
      </c>
      <c r="E1073">
        <v>8812</v>
      </c>
      <c r="F1073">
        <v>0</v>
      </c>
      <c r="G1073">
        <v>2582</v>
      </c>
      <c r="H1073">
        <v>0</v>
      </c>
      <c r="I1073">
        <v>261</v>
      </c>
      <c r="J1073">
        <v>261</v>
      </c>
      <c r="K1073" s="1">
        <v>45901</v>
      </c>
      <c r="L1073" t="s">
        <v>429</v>
      </c>
      <c r="M1073" t="s">
        <v>435</v>
      </c>
      <c r="N1073" s="2">
        <f>IFERROR(NHS_A_E[[#This Row],[T1_Over4hrs]]/NHS_A_E[[#This Row],[T1_Attendances]], 0)</f>
        <v>0.29300953245574218</v>
      </c>
      <c r="O1073">
        <f>NHS_A_E[[#This Row],[T1_Attendances]]+NHS_A_E[[#This Row],[Other_Attendances]]</f>
        <v>8812</v>
      </c>
      <c r="P1073">
        <f>MATCH(LEFT(A1073,FIND("-",A1073)-1),{"April","May","June","July","August","September","October","November","December","January","February","March"},0)</f>
        <v>6</v>
      </c>
      <c r="Q1073" s="3">
        <f t="shared" si="32"/>
        <v>2.961870177031321E-2</v>
      </c>
      <c r="R1073" t="str">
        <f t="shared" si="33"/>
        <v>September</v>
      </c>
    </row>
    <row r="1074" spans="1:18" x14ac:dyDescent="0.35">
      <c r="A1074" t="s">
        <v>434</v>
      </c>
      <c r="B1074" t="s">
        <v>77</v>
      </c>
      <c r="C1074" t="s">
        <v>63</v>
      </c>
      <c r="D1074" t="s">
        <v>78</v>
      </c>
      <c r="E1074">
        <v>0</v>
      </c>
      <c r="F1074">
        <v>1462</v>
      </c>
      <c r="G1074">
        <v>0</v>
      </c>
      <c r="H1074">
        <v>26</v>
      </c>
      <c r="I1074">
        <v>0</v>
      </c>
      <c r="J1074">
        <v>0</v>
      </c>
      <c r="K1074" s="1">
        <v>45901</v>
      </c>
      <c r="L1074" t="s">
        <v>429</v>
      </c>
      <c r="M1074" t="s">
        <v>435</v>
      </c>
      <c r="N1074" s="2">
        <f>IFERROR(NHS_A_E[[#This Row],[T1_Over4hrs]]/NHS_A_E[[#This Row],[T1_Attendances]], 0)</f>
        <v>0</v>
      </c>
      <c r="O1074">
        <f>NHS_A_E[[#This Row],[T1_Attendances]]+NHS_A_E[[#This Row],[Other_Attendances]]</f>
        <v>1462</v>
      </c>
      <c r="P1074">
        <f>MATCH(LEFT(A1074,FIND("-",A1074)-1),{"April","May","June","July","August","September","October","November","December","January","February","March"},0)</f>
        <v>6</v>
      </c>
      <c r="Q1074" s="3">
        <f t="shared" si="32"/>
        <v>0</v>
      </c>
      <c r="R1074" t="str">
        <f t="shared" si="33"/>
        <v>September</v>
      </c>
    </row>
    <row r="1075" spans="1:18" x14ac:dyDescent="0.35">
      <c r="A1075" t="s">
        <v>434</v>
      </c>
      <c r="B1075" t="s">
        <v>81</v>
      </c>
      <c r="C1075" t="s">
        <v>63</v>
      </c>
      <c r="D1075" t="s">
        <v>82</v>
      </c>
      <c r="E1075">
        <v>0</v>
      </c>
      <c r="F1075">
        <v>1644</v>
      </c>
      <c r="G1075">
        <v>0</v>
      </c>
      <c r="H1075">
        <v>37</v>
      </c>
      <c r="I1075">
        <v>0</v>
      </c>
      <c r="J1075">
        <v>0</v>
      </c>
      <c r="K1075" s="1">
        <v>45901</v>
      </c>
      <c r="L1075" t="s">
        <v>429</v>
      </c>
      <c r="M1075" t="s">
        <v>435</v>
      </c>
      <c r="N1075" s="2">
        <f>IFERROR(NHS_A_E[[#This Row],[T1_Over4hrs]]/NHS_A_E[[#This Row],[T1_Attendances]], 0)</f>
        <v>0</v>
      </c>
      <c r="O1075">
        <f>NHS_A_E[[#This Row],[T1_Attendances]]+NHS_A_E[[#This Row],[Other_Attendances]]</f>
        <v>1644</v>
      </c>
      <c r="P1075">
        <f>MATCH(LEFT(A1075,FIND("-",A1075)-1),{"April","May","June","July","August","September","October","November","December","January","February","March"},0)</f>
        <v>6</v>
      </c>
      <c r="Q1075" s="3">
        <f t="shared" si="32"/>
        <v>0</v>
      </c>
      <c r="R1075" t="str">
        <f t="shared" si="33"/>
        <v>September</v>
      </c>
    </row>
    <row r="1076" spans="1:18" x14ac:dyDescent="0.35">
      <c r="A1076" t="s">
        <v>434</v>
      </c>
      <c r="B1076" t="s">
        <v>343</v>
      </c>
      <c r="C1076" t="s">
        <v>30</v>
      </c>
      <c r="D1076" t="s">
        <v>344</v>
      </c>
      <c r="E1076">
        <v>5271</v>
      </c>
      <c r="F1076">
        <v>0</v>
      </c>
      <c r="G1076">
        <v>669</v>
      </c>
      <c r="H1076">
        <v>0</v>
      </c>
      <c r="I1076">
        <v>0</v>
      </c>
      <c r="J1076">
        <v>0</v>
      </c>
      <c r="K1076" s="1">
        <v>45901</v>
      </c>
      <c r="L1076" t="s">
        <v>429</v>
      </c>
      <c r="M1076" t="s">
        <v>435</v>
      </c>
      <c r="N1076" s="2">
        <f>IFERROR(NHS_A_E[[#This Row],[T1_Over4hrs]]/NHS_A_E[[#This Row],[T1_Attendances]], 0)</f>
        <v>0.12692088787706318</v>
      </c>
      <c r="O1076">
        <f>NHS_A_E[[#This Row],[T1_Attendances]]+NHS_A_E[[#This Row],[Other_Attendances]]</f>
        <v>5271</v>
      </c>
      <c r="P1076">
        <f>MATCH(LEFT(A1076,FIND("-",A1076)-1),{"April","May","June","July","August","September","October","November","December","January","February","March"},0)</f>
        <v>6</v>
      </c>
      <c r="Q1076" s="3">
        <f t="shared" si="32"/>
        <v>0</v>
      </c>
      <c r="R1076" t="str">
        <f t="shared" si="33"/>
        <v>September</v>
      </c>
    </row>
    <row r="1077" spans="1:18" x14ac:dyDescent="0.35">
      <c r="A1077" t="s">
        <v>434</v>
      </c>
      <c r="B1077" t="s">
        <v>71</v>
      </c>
      <c r="C1077" t="s">
        <v>35</v>
      </c>
      <c r="D1077" t="s">
        <v>72</v>
      </c>
      <c r="E1077">
        <v>0</v>
      </c>
      <c r="F1077">
        <v>0</v>
      </c>
      <c r="G1077">
        <v>0</v>
      </c>
      <c r="H1077">
        <v>0</v>
      </c>
      <c r="I1077">
        <v>0</v>
      </c>
      <c r="J1077">
        <v>0</v>
      </c>
      <c r="K1077" s="1">
        <v>45901</v>
      </c>
      <c r="L1077" t="s">
        <v>429</v>
      </c>
      <c r="M1077" t="s">
        <v>435</v>
      </c>
      <c r="N1077" s="2">
        <f>IFERROR(NHS_A_E[[#This Row],[T1_Over4hrs]]/NHS_A_E[[#This Row],[T1_Attendances]], 0)</f>
        <v>0</v>
      </c>
      <c r="O1077">
        <f>NHS_A_E[[#This Row],[T1_Attendances]]+NHS_A_E[[#This Row],[Other_Attendances]]</f>
        <v>0</v>
      </c>
      <c r="P1077">
        <f>MATCH(LEFT(A1077,FIND("-",A1077)-1),{"April","May","June","July","August","September","October","November","December","January","February","March"},0)</f>
        <v>6</v>
      </c>
      <c r="Q1077" s="3">
        <f t="shared" si="32"/>
        <v>0</v>
      </c>
      <c r="R1077" t="str">
        <f t="shared" si="33"/>
        <v>September</v>
      </c>
    </row>
    <row r="1078" spans="1:18" x14ac:dyDescent="0.35">
      <c r="A1078" t="s">
        <v>434</v>
      </c>
      <c r="B1078" t="s">
        <v>87</v>
      </c>
      <c r="C1078" t="s">
        <v>23</v>
      </c>
      <c r="D1078" t="s">
        <v>88</v>
      </c>
      <c r="E1078">
        <v>30199</v>
      </c>
      <c r="F1078">
        <v>4085</v>
      </c>
      <c r="G1078">
        <v>8720</v>
      </c>
      <c r="H1078">
        <v>122</v>
      </c>
      <c r="I1078">
        <v>2024</v>
      </c>
      <c r="J1078">
        <v>483</v>
      </c>
      <c r="K1078" s="1">
        <v>45901</v>
      </c>
      <c r="L1078" t="s">
        <v>429</v>
      </c>
      <c r="M1078" t="s">
        <v>435</v>
      </c>
      <c r="N1078" s="2">
        <f>IFERROR(NHS_A_E[[#This Row],[T1_Over4hrs]]/NHS_A_E[[#This Row],[T1_Attendances]], 0)</f>
        <v>0.28875128315507137</v>
      </c>
      <c r="O1078">
        <f>NHS_A_E[[#This Row],[T1_Attendances]]+NHS_A_E[[#This Row],[Other_Attendances]]</f>
        <v>34284</v>
      </c>
      <c r="P1078">
        <f>MATCH(LEFT(A1078,FIND("-",A1078)-1),{"April","May","June","July","August","September","October","November","December","January","February","March"},0)</f>
        <v>6</v>
      </c>
      <c r="Q1078" s="3">
        <f t="shared" si="32"/>
        <v>1.5993907083015995E-2</v>
      </c>
      <c r="R1078" t="str">
        <f t="shared" si="33"/>
        <v>September</v>
      </c>
    </row>
    <row r="1079" spans="1:18" x14ac:dyDescent="0.35">
      <c r="A1079" t="s">
        <v>434</v>
      </c>
      <c r="B1079" t="s">
        <v>115</v>
      </c>
      <c r="C1079" t="s">
        <v>40</v>
      </c>
      <c r="D1079" t="s">
        <v>116</v>
      </c>
      <c r="E1079">
        <v>0</v>
      </c>
      <c r="F1079">
        <v>3451</v>
      </c>
      <c r="G1079">
        <v>0</v>
      </c>
      <c r="H1079">
        <v>12</v>
      </c>
      <c r="I1079">
        <v>0</v>
      </c>
      <c r="J1079">
        <v>0</v>
      </c>
      <c r="K1079" s="1">
        <v>45901</v>
      </c>
      <c r="L1079" t="s">
        <v>429</v>
      </c>
      <c r="M1079" t="s">
        <v>435</v>
      </c>
      <c r="N1079" s="2">
        <f>IFERROR(NHS_A_E[[#This Row],[T1_Over4hrs]]/NHS_A_E[[#This Row],[T1_Attendances]], 0)</f>
        <v>0</v>
      </c>
      <c r="O1079">
        <f>NHS_A_E[[#This Row],[T1_Attendances]]+NHS_A_E[[#This Row],[Other_Attendances]]</f>
        <v>3451</v>
      </c>
      <c r="P1079">
        <f>MATCH(LEFT(A1079,FIND("-",A1079)-1),{"April","May","June","July","August","September","October","November","December","January","February","March"},0)</f>
        <v>6</v>
      </c>
      <c r="Q1079" s="3">
        <f t="shared" si="32"/>
        <v>0</v>
      </c>
      <c r="R1079" t="str">
        <f t="shared" si="33"/>
        <v>September</v>
      </c>
    </row>
    <row r="1080" spans="1:18" x14ac:dyDescent="0.35">
      <c r="A1080" t="s">
        <v>434</v>
      </c>
      <c r="B1080" t="s">
        <v>227</v>
      </c>
      <c r="C1080" t="s">
        <v>30</v>
      </c>
      <c r="D1080" t="s">
        <v>228</v>
      </c>
      <c r="E1080">
        <v>0</v>
      </c>
      <c r="F1080">
        <v>1041</v>
      </c>
      <c r="G1080">
        <v>0</v>
      </c>
      <c r="H1080">
        <v>2</v>
      </c>
      <c r="I1080">
        <v>0</v>
      </c>
      <c r="J1080">
        <v>0</v>
      </c>
      <c r="K1080" s="1">
        <v>45901</v>
      </c>
      <c r="L1080" t="s">
        <v>429</v>
      </c>
      <c r="M1080" t="s">
        <v>435</v>
      </c>
      <c r="N1080" s="2">
        <f>IFERROR(NHS_A_E[[#This Row],[T1_Over4hrs]]/NHS_A_E[[#This Row],[T1_Attendances]], 0)</f>
        <v>0</v>
      </c>
      <c r="O1080">
        <f>NHS_A_E[[#This Row],[T1_Attendances]]+NHS_A_E[[#This Row],[Other_Attendances]]</f>
        <v>1041</v>
      </c>
      <c r="P1080">
        <f>MATCH(LEFT(A1080,FIND("-",A1080)-1),{"April","May","June","July","August","September","October","November","December","January","February","March"},0)</f>
        <v>6</v>
      </c>
      <c r="Q1080" s="3">
        <f t="shared" si="32"/>
        <v>0</v>
      </c>
      <c r="R1080" t="str">
        <f t="shared" si="33"/>
        <v>September</v>
      </c>
    </row>
    <row r="1081" spans="1:18" x14ac:dyDescent="0.35">
      <c r="A1081" t="s">
        <v>434</v>
      </c>
      <c r="B1081" t="s">
        <v>331</v>
      </c>
      <c r="C1081" t="s">
        <v>15</v>
      </c>
      <c r="D1081" t="s">
        <v>332</v>
      </c>
      <c r="E1081">
        <v>0</v>
      </c>
      <c r="F1081">
        <v>4769</v>
      </c>
      <c r="G1081">
        <v>0</v>
      </c>
      <c r="H1081">
        <v>107</v>
      </c>
      <c r="I1081">
        <v>0</v>
      </c>
      <c r="J1081">
        <v>0</v>
      </c>
      <c r="K1081" s="1">
        <v>45901</v>
      </c>
      <c r="L1081" t="s">
        <v>429</v>
      </c>
      <c r="M1081" t="s">
        <v>435</v>
      </c>
      <c r="N1081" s="2">
        <f>IFERROR(NHS_A_E[[#This Row],[T1_Over4hrs]]/NHS_A_E[[#This Row],[T1_Attendances]], 0)</f>
        <v>0</v>
      </c>
      <c r="O1081">
        <f>NHS_A_E[[#This Row],[T1_Attendances]]+NHS_A_E[[#This Row],[Other_Attendances]]</f>
        <v>4769</v>
      </c>
      <c r="P1081">
        <f>MATCH(LEFT(A1081,FIND("-",A1081)-1),{"April","May","June","July","August","September","October","November","December","January","February","March"},0)</f>
        <v>6</v>
      </c>
      <c r="Q1081" s="3">
        <f t="shared" si="32"/>
        <v>0</v>
      </c>
      <c r="R1081" t="str">
        <f t="shared" si="33"/>
        <v>September</v>
      </c>
    </row>
    <row r="1082" spans="1:18" x14ac:dyDescent="0.35">
      <c r="A1082" t="s">
        <v>434</v>
      </c>
      <c r="B1082" t="s">
        <v>311</v>
      </c>
      <c r="C1082" t="s">
        <v>20</v>
      </c>
      <c r="D1082" t="s">
        <v>312</v>
      </c>
      <c r="E1082">
        <v>0</v>
      </c>
      <c r="F1082">
        <v>1175</v>
      </c>
      <c r="G1082">
        <v>0</v>
      </c>
      <c r="H1082">
        <v>9</v>
      </c>
      <c r="I1082">
        <v>0</v>
      </c>
      <c r="J1082">
        <v>0</v>
      </c>
      <c r="K1082" s="1">
        <v>45901</v>
      </c>
      <c r="L1082" t="s">
        <v>429</v>
      </c>
      <c r="M1082" t="s">
        <v>435</v>
      </c>
      <c r="N1082" s="2">
        <f>IFERROR(NHS_A_E[[#This Row],[T1_Over4hrs]]/NHS_A_E[[#This Row],[T1_Attendances]], 0)</f>
        <v>0</v>
      </c>
      <c r="O1082">
        <f>NHS_A_E[[#This Row],[T1_Attendances]]+NHS_A_E[[#This Row],[Other_Attendances]]</f>
        <v>1175</v>
      </c>
      <c r="P1082">
        <f>MATCH(LEFT(A1082,FIND("-",A1082)-1),{"April","May","June","July","August","September","October","November","December","January","February","March"},0)</f>
        <v>6</v>
      </c>
      <c r="Q1082" s="3">
        <f t="shared" si="32"/>
        <v>0</v>
      </c>
      <c r="R1082" t="str">
        <f t="shared" si="33"/>
        <v>September</v>
      </c>
    </row>
    <row r="1083" spans="1:18" x14ac:dyDescent="0.35">
      <c r="A1083" t="s">
        <v>434</v>
      </c>
      <c r="B1083" t="s">
        <v>309</v>
      </c>
      <c r="C1083" t="s">
        <v>30</v>
      </c>
      <c r="D1083" t="s">
        <v>310</v>
      </c>
      <c r="E1083">
        <v>0</v>
      </c>
      <c r="F1083">
        <v>1565</v>
      </c>
      <c r="G1083">
        <v>0</v>
      </c>
      <c r="H1083">
        <v>7</v>
      </c>
      <c r="I1083">
        <v>0</v>
      </c>
      <c r="J1083">
        <v>0</v>
      </c>
      <c r="K1083" s="1">
        <v>45901</v>
      </c>
      <c r="L1083" t="s">
        <v>429</v>
      </c>
      <c r="M1083" t="s">
        <v>435</v>
      </c>
      <c r="N1083" s="2">
        <f>IFERROR(NHS_A_E[[#This Row],[T1_Over4hrs]]/NHS_A_E[[#This Row],[T1_Attendances]], 0)</f>
        <v>0</v>
      </c>
      <c r="O1083">
        <f>NHS_A_E[[#This Row],[T1_Attendances]]+NHS_A_E[[#This Row],[Other_Attendances]]</f>
        <v>1565</v>
      </c>
      <c r="P1083">
        <f>MATCH(LEFT(A1083,FIND("-",A1083)-1),{"April","May","June","July","August","September","October","November","December","January","February","March"},0)</f>
        <v>6</v>
      </c>
      <c r="Q1083" s="3">
        <f t="shared" si="32"/>
        <v>0</v>
      </c>
      <c r="R1083" t="str">
        <f t="shared" si="33"/>
        <v>September</v>
      </c>
    </row>
    <row r="1084" spans="1:18" x14ac:dyDescent="0.35">
      <c r="A1084" t="s">
        <v>434</v>
      </c>
      <c r="B1084" t="s">
        <v>424</v>
      </c>
      <c r="C1084" t="s">
        <v>20</v>
      </c>
      <c r="D1084" t="s">
        <v>425</v>
      </c>
      <c r="E1084">
        <v>0</v>
      </c>
      <c r="F1084">
        <v>1799</v>
      </c>
      <c r="G1084">
        <v>0</v>
      </c>
      <c r="H1084">
        <v>21</v>
      </c>
      <c r="I1084">
        <v>0</v>
      </c>
      <c r="J1084">
        <v>0</v>
      </c>
      <c r="K1084" s="1">
        <v>45901</v>
      </c>
      <c r="L1084" t="s">
        <v>429</v>
      </c>
      <c r="M1084" t="s">
        <v>435</v>
      </c>
      <c r="N1084" s="2">
        <f>IFERROR(NHS_A_E[[#This Row],[T1_Over4hrs]]/NHS_A_E[[#This Row],[T1_Attendances]], 0)</f>
        <v>0</v>
      </c>
      <c r="O1084">
        <f>NHS_A_E[[#This Row],[T1_Attendances]]+NHS_A_E[[#This Row],[Other_Attendances]]</f>
        <v>1799</v>
      </c>
      <c r="P1084">
        <f>MATCH(LEFT(A1084,FIND("-",A1084)-1),{"April","May","June","July","August","September","October","November","December","January","February","March"},0)</f>
        <v>6</v>
      </c>
      <c r="Q1084" s="3">
        <f t="shared" si="32"/>
        <v>0</v>
      </c>
      <c r="R1084" t="str">
        <f t="shared" si="33"/>
        <v>September</v>
      </c>
    </row>
    <row r="1085" spans="1:18" x14ac:dyDescent="0.35">
      <c r="A1085" t="s">
        <v>434</v>
      </c>
      <c r="B1085" t="s">
        <v>385</v>
      </c>
      <c r="C1085" t="s">
        <v>20</v>
      </c>
      <c r="D1085" t="s">
        <v>386</v>
      </c>
      <c r="E1085">
        <v>0</v>
      </c>
      <c r="F1085">
        <v>8757</v>
      </c>
      <c r="G1085">
        <v>0</v>
      </c>
      <c r="H1085">
        <v>285</v>
      </c>
      <c r="I1085">
        <v>0</v>
      </c>
      <c r="J1085">
        <v>0</v>
      </c>
      <c r="K1085" s="1">
        <v>45901</v>
      </c>
      <c r="L1085" t="s">
        <v>429</v>
      </c>
      <c r="M1085" t="s">
        <v>435</v>
      </c>
      <c r="N1085" s="2">
        <f>IFERROR(NHS_A_E[[#This Row],[T1_Over4hrs]]/NHS_A_E[[#This Row],[T1_Attendances]], 0)</f>
        <v>0</v>
      </c>
      <c r="O1085">
        <f>NHS_A_E[[#This Row],[T1_Attendances]]+NHS_A_E[[#This Row],[Other_Attendances]]</f>
        <v>8757</v>
      </c>
      <c r="P1085">
        <f>MATCH(LEFT(A1085,FIND("-",A1085)-1),{"April","May","June","July","August","September","October","November","December","January","February","March"},0)</f>
        <v>6</v>
      </c>
      <c r="Q1085" s="3">
        <f t="shared" si="32"/>
        <v>0</v>
      </c>
      <c r="R1085" t="str">
        <f t="shared" si="33"/>
        <v>September</v>
      </c>
    </row>
    <row r="1086" spans="1:18" x14ac:dyDescent="0.35">
      <c r="A1086" t="s">
        <v>434</v>
      </c>
      <c r="B1086" t="s">
        <v>422</v>
      </c>
      <c r="C1086" t="s">
        <v>20</v>
      </c>
      <c r="D1086" t="s">
        <v>423</v>
      </c>
      <c r="E1086">
        <v>0</v>
      </c>
      <c r="F1086">
        <v>936</v>
      </c>
      <c r="G1086">
        <v>0</v>
      </c>
      <c r="H1086">
        <v>7</v>
      </c>
      <c r="I1086">
        <v>0</v>
      </c>
      <c r="J1086">
        <v>0</v>
      </c>
      <c r="K1086" s="1">
        <v>45901</v>
      </c>
      <c r="L1086" t="s">
        <v>429</v>
      </c>
      <c r="M1086" t="s">
        <v>435</v>
      </c>
      <c r="N1086" s="2">
        <f>IFERROR(NHS_A_E[[#This Row],[T1_Over4hrs]]/NHS_A_E[[#This Row],[T1_Attendances]], 0)</f>
        <v>0</v>
      </c>
      <c r="O1086">
        <f>NHS_A_E[[#This Row],[T1_Attendances]]+NHS_A_E[[#This Row],[Other_Attendances]]</f>
        <v>936</v>
      </c>
      <c r="P1086">
        <f>MATCH(LEFT(A1086,FIND("-",A1086)-1),{"April","May","June","July","August","September","October","November","December","January","February","March"},0)</f>
        <v>6</v>
      </c>
      <c r="Q1086" s="3">
        <f t="shared" si="32"/>
        <v>0</v>
      </c>
      <c r="R1086" t="str">
        <f t="shared" si="33"/>
        <v>September</v>
      </c>
    </row>
    <row r="1087" spans="1:18" x14ac:dyDescent="0.35">
      <c r="A1087" t="s">
        <v>434</v>
      </c>
      <c r="B1087" t="s">
        <v>303</v>
      </c>
      <c r="C1087" t="s">
        <v>23</v>
      </c>
      <c r="D1087" t="s">
        <v>304</v>
      </c>
      <c r="E1087">
        <v>0</v>
      </c>
      <c r="F1087">
        <v>2266</v>
      </c>
      <c r="G1087">
        <v>0</v>
      </c>
      <c r="H1087">
        <v>0</v>
      </c>
      <c r="I1087">
        <v>0</v>
      </c>
      <c r="J1087">
        <v>0</v>
      </c>
      <c r="K1087" s="1">
        <v>45901</v>
      </c>
      <c r="L1087" t="s">
        <v>429</v>
      </c>
      <c r="M1087" t="s">
        <v>435</v>
      </c>
      <c r="N1087" s="2">
        <f>IFERROR(NHS_A_E[[#This Row],[T1_Over4hrs]]/NHS_A_E[[#This Row],[T1_Attendances]], 0)</f>
        <v>0</v>
      </c>
      <c r="O1087">
        <f>NHS_A_E[[#This Row],[T1_Attendances]]+NHS_A_E[[#This Row],[Other_Attendances]]</f>
        <v>2266</v>
      </c>
      <c r="P1087">
        <f>MATCH(LEFT(A1087,FIND("-",A1087)-1),{"April","May","June","July","August","September","October","November","December","January","February","March"},0)</f>
        <v>6</v>
      </c>
      <c r="Q1087" s="3">
        <f t="shared" si="32"/>
        <v>0</v>
      </c>
      <c r="R1087" t="str">
        <f t="shared" si="33"/>
        <v>September</v>
      </c>
    </row>
    <row r="1088" spans="1:18" x14ac:dyDescent="0.35">
      <c r="A1088" t="s">
        <v>434</v>
      </c>
      <c r="B1088" t="s">
        <v>207</v>
      </c>
      <c r="C1088" t="s">
        <v>15</v>
      </c>
      <c r="D1088" t="s">
        <v>208</v>
      </c>
      <c r="E1088">
        <v>26515</v>
      </c>
      <c r="F1088">
        <v>1755</v>
      </c>
      <c r="G1088">
        <v>10655</v>
      </c>
      <c r="H1088">
        <v>188</v>
      </c>
      <c r="I1088">
        <v>754</v>
      </c>
      <c r="J1088">
        <v>589</v>
      </c>
      <c r="K1088" s="1">
        <v>45901</v>
      </c>
      <c r="L1088" t="s">
        <v>429</v>
      </c>
      <c r="M1088" t="s">
        <v>435</v>
      </c>
      <c r="N1088" s="2">
        <f>IFERROR(NHS_A_E[[#This Row],[T1_Over4hrs]]/NHS_A_E[[#This Row],[T1_Attendances]], 0)</f>
        <v>0.40184801056006036</v>
      </c>
      <c r="O1088">
        <f>NHS_A_E[[#This Row],[T1_Attendances]]+NHS_A_E[[#This Row],[Other_Attendances]]</f>
        <v>28270</v>
      </c>
      <c r="P1088">
        <f>MATCH(LEFT(A1088,FIND("-",A1088)-1),{"April","May","June","July","August","September","October","November","December","January","February","March"},0)</f>
        <v>6</v>
      </c>
      <c r="Q1088" s="3">
        <f t="shared" si="32"/>
        <v>2.2213841221949839E-2</v>
      </c>
      <c r="R1088" t="str">
        <f t="shared" si="33"/>
        <v>September</v>
      </c>
    </row>
    <row r="1089" spans="1:18" x14ac:dyDescent="0.35">
      <c r="A1089" t="s">
        <v>434</v>
      </c>
      <c r="B1089" t="s">
        <v>295</v>
      </c>
      <c r="C1089" t="s">
        <v>15</v>
      </c>
      <c r="D1089" t="s">
        <v>296</v>
      </c>
      <c r="E1089">
        <v>10355</v>
      </c>
      <c r="F1089">
        <v>0</v>
      </c>
      <c r="G1089">
        <v>3916</v>
      </c>
      <c r="H1089">
        <v>0</v>
      </c>
      <c r="I1089">
        <v>569</v>
      </c>
      <c r="J1089">
        <v>441</v>
      </c>
      <c r="K1089" s="1">
        <v>45901</v>
      </c>
      <c r="L1089" t="s">
        <v>429</v>
      </c>
      <c r="M1089" t="s">
        <v>435</v>
      </c>
      <c r="N1089" s="2">
        <f>IFERROR(NHS_A_E[[#This Row],[T1_Over4hrs]]/NHS_A_E[[#This Row],[T1_Attendances]], 0)</f>
        <v>0.37817479478512794</v>
      </c>
      <c r="O1089">
        <f>NHS_A_E[[#This Row],[T1_Attendances]]+NHS_A_E[[#This Row],[Other_Attendances]]</f>
        <v>10355</v>
      </c>
      <c r="P1089">
        <f>MATCH(LEFT(A1089,FIND("-",A1089)-1),{"April","May","June","July","August","September","October","November","December","January","February","March"},0)</f>
        <v>6</v>
      </c>
      <c r="Q1089" s="3">
        <f t="shared" si="32"/>
        <v>4.258812168034766E-2</v>
      </c>
      <c r="R1089" t="str">
        <f t="shared" si="33"/>
        <v>September</v>
      </c>
    </row>
    <row r="1090" spans="1:18" x14ac:dyDescent="0.35">
      <c r="A1090" t="s">
        <v>434</v>
      </c>
      <c r="B1090" t="s">
        <v>235</v>
      </c>
      <c r="C1090" t="s">
        <v>35</v>
      </c>
      <c r="D1090" t="s">
        <v>236</v>
      </c>
      <c r="E1090">
        <v>10890</v>
      </c>
      <c r="F1090">
        <v>0</v>
      </c>
      <c r="G1090">
        <v>1947</v>
      </c>
      <c r="H1090">
        <v>0</v>
      </c>
      <c r="I1090">
        <v>168</v>
      </c>
      <c r="J1090">
        <v>28</v>
      </c>
      <c r="K1090" s="1">
        <v>45901</v>
      </c>
      <c r="L1090" t="s">
        <v>429</v>
      </c>
      <c r="M1090" t="s">
        <v>435</v>
      </c>
      <c r="N1090" s="2">
        <f>IFERROR(NHS_A_E[[#This Row],[T1_Over4hrs]]/NHS_A_E[[#This Row],[T1_Attendances]], 0)</f>
        <v>0.1787878787878788</v>
      </c>
      <c r="O1090">
        <f>NHS_A_E[[#This Row],[T1_Attendances]]+NHS_A_E[[#This Row],[Other_Attendances]]</f>
        <v>10890</v>
      </c>
      <c r="P1090">
        <f>MATCH(LEFT(A1090,FIND("-",A1090)-1),{"April","May","June","July","August","September","October","November","December","January","February","March"},0)</f>
        <v>6</v>
      </c>
      <c r="Q1090" s="3">
        <f t="shared" ref="Q1090:Q1153" si="34">IFERROR(J1090/E1090,0)</f>
        <v>2.5711662075298437E-3</v>
      </c>
      <c r="R1090" t="str">
        <f t="shared" ref="R1090:R1153" si="35">TEXT(A1090, "mmmm")</f>
        <v>September</v>
      </c>
    </row>
    <row r="1091" spans="1:18" x14ac:dyDescent="0.35">
      <c r="A1091" t="s">
        <v>434</v>
      </c>
      <c r="B1091" t="s">
        <v>155</v>
      </c>
      <c r="C1091" t="s">
        <v>15</v>
      </c>
      <c r="D1091" t="s">
        <v>156</v>
      </c>
      <c r="E1091">
        <v>10741</v>
      </c>
      <c r="F1091">
        <v>2797</v>
      </c>
      <c r="G1091">
        <v>3913</v>
      </c>
      <c r="H1091">
        <v>0</v>
      </c>
      <c r="I1091">
        <v>625</v>
      </c>
      <c r="J1091">
        <v>12</v>
      </c>
      <c r="K1091" s="1">
        <v>45901</v>
      </c>
      <c r="L1091" t="s">
        <v>429</v>
      </c>
      <c r="M1091" t="s">
        <v>435</v>
      </c>
      <c r="N1091" s="2">
        <f>IFERROR(NHS_A_E[[#This Row],[T1_Over4hrs]]/NHS_A_E[[#This Row],[T1_Attendances]], 0)</f>
        <v>0.36430499953449397</v>
      </c>
      <c r="O1091">
        <f>NHS_A_E[[#This Row],[T1_Attendances]]+NHS_A_E[[#This Row],[Other_Attendances]]</f>
        <v>13538</v>
      </c>
      <c r="P1091">
        <f>MATCH(LEFT(A1091,FIND("-",A1091)-1),{"April","May","June","July","August","September","October","November","December","January","February","March"},0)</f>
        <v>6</v>
      </c>
      <c r="Q1091" s="3">
        <f t="shared" si="34"/>
        <v>1.1172144120659157E-3</v>
      </c>
      <c r="R1091" t="str">
        <f t="shared" si="35"/>
        <v>September</v>
      </c>
    </row>
    <row r="1092" spans="1:18" x14ac:dyDescent="0.35">
      <c r="A1092" t="s">
        <v>434</v>
      </c>
      <c r="B1092" t="s">
        <v>27</v>
      </c>
      <c r="C1092" t="s">
        <v>20</v>
      </c>
      <c r="D1092" t="s">
        <v>28</v>
      </c>
      <c r="E1092">
        <v>6655</v>
      </c>
      <c r="F1092">
        <v>11805</v>
      </c>
      <c r="G1092">
        <v>2843</v>
      </c>
      <c r="H1092">
        <v>485</v>
      </c>
      <c r="I1092">
        <v>474</v>
      </c>
      <c r="J1092">
        <v>545</v>
      </c>
      <c r="K1092" s="1">
        <v>45901</v>
      </c>
      <c r="L1092" t="s">
        <v>429</v>
      </c>
      <c r="M1092" t="s">
        <v>435</v>
      </c>
      <c r="N1092" s="2">
        <f>IFERROR(NHS_A_E[[#This Row],[T1_Over4hrs]]/NHS_A_E[[#This Row],[T1_Attendances]], 0)</f>
        <v>0.42719759579263711</v>
      </c>
      <c r="O1092">
        <f>NHS_A_E[[#This Row],[T1_Attendances]]+NHS_A_E[[#This Row],[Other_Attendances]]</f>
        <v>18460</v>
      </c>
      <c r="P1092">
        <f>MATCH(LEFT(A1092,FIND("-",A1092)-1),{"April","May","June","July","August","September","October","November","December","January","February","March"},0)</f>
        <v>6</v>
      </c>
      <c r="Q1092" s="3">
        <f t="shared" si="34"/>
        <v>8.1893313298271972E-2</v>
      </c>
      <c r="R1092" t="str">
        <f t="shared" si="35"/>
        <v>September</v>
      </c>
    </row>
    <row r="1093" spans="1:18" x14ac:dyDescent="0.35">
      <c r="A1093" t="s">
        <v>434</v>
      </c>
      <c r="B1093" t="s">
        <v>307</v>
      </c>
      <c r="C1093" t="s">
        <v>40</v>
      </c>
      <c r="D1093" t="s">
        <v>308</v>
      </c>
      <c r="E1093">
        <v>0</v>
      </c>
      <c r="F1093">
        <v>3412</v>
      </c>
      <c r="G1093">
        <v>0</v>
      </c>
      <c r="H1093">
        <v>0</v>
      </c>
      <c r="I1093">
        <v>0</v>
      </c>
      <c r="J1093">
        <v>0</v>
      </c>
      <c r="K1093" s="1">
        <v>45901</v>
      </c>
      <c r="L1093" t="s">
        <v>429</v>
      </c>
      <c r="M1093" t="s">
        <v>435</v>
      </c>
      <c r="N1093" s="2">
        <f>IFERROR(NHS_A_E[[#This Row],[T1_Over4hrs]]/NHS_A_E[[#This Row],[T1_Attendances]], 0)</f>
        <v>0</v>
      </c>
      <c r="O1093">
        <f>NHS_A_E[[#This Row],[T1_Attendances]]+NHS_A_E[[#This Row],[Other_Attendances]]</f>
        <v>3412</v>
      </c>
      <c r="P1093">
        <f>MATCH(LEFT(A1093,FIND("-",A1093)-1),{"April","May","June","July","August","September","October","November","December","January","February","March"},0)</f>
        <v>6</v>
      </c>
      <c r="Q1093" s="3">
        <f t="shared" si="34"/>
        <v>0</v>
      </c>
      <c r="R1093" t="str">
        <f t="shared" si="35"/>
        <v>September</v>
      </c>
    </row>
    <row r="1094" spans="1:18" x14ac:dyDescent="0.35">
      <c r="A1094" t="s">
        <v>434</v>
      </c>
      <c r="B1094" t="s">
        <v>259</v>
      </c>
      <c r="C1094" t="s">
        <v>40</v>
      </c>
      <c r="D1094" t="s">
        <v>260</v>
      </c>
      <c r="E1094">
        <v>0</v>
      </c>
      <c r="F1094">
        <v>0</v>
      </c>
      <c r="G1094">
        <v>0</v>
      </c>
      <c r="H1094">
        <v>0</v>
      </c>
      <c r="I1094">
        <v>0</v>
      </c>
      <c r="J1094">
        <v>0</v>
      </c>
      <c r="K1094" s="1">
        <v>45901</v>
      </c>
      <c r="L1094" t="s">
        <v>429</v>
      </c>
      <c r="M1094" t="s">
        <v>435</v>
      </c>
      <c r="N1094" s="2">
        <f>IFERROR(NHS_A_E[[#This Row],[T1_Over4hrs]]/NHS_A_E[[#This Row],[T1_Attendances]], 0)</f>
        <v>0</v>
      </c>
      <c r="O1094">
        <f>NHS_A_E[[#This Row],[T1_Attendances]]+NHS_A_E[[#This Row],[Other_Attendances]]</f>
        <v>0</v>
      </c>
      <c r="P1094">
        <f>MATCH(LEFT(A1094,FIND("-",A1094)-1),{"April","May","June","July","August","September","October","November","December","January","February","March"},0)</f>
        <v>6</v>
      </c>
      <c r="Q1094" s="3">
        <f t="shared" si="34"/>
        <v>0</v>
      </c>
      <c r="R1094" t="str">
        <f t="shared" si="35"/>
        <v>September</v>
      </c>
    </row>
    <row r="1095" spans="1:18" x14ac:dyDescent="0.35">
      <c r="A1095" t="s">
        <v>434</v>
      </c>
      <c r="B1095" t="s">
        <v>273</v>
      </c>
      <c r="C1095" t="s">
        <v>30</v>
      </c>
      <c r="D1095" t="s">
        <v>274</v>
      </c>
      <c r="E1095">
        <v>4449</v>
      </c>
      <c r="F1095">
        <v>0</v>
      </c>
      <c r="G1095">
        <v>2500</v>
      </c>
      <c r="H1095">
        <v>0</v>
      </c>
      <c r="I1095">
        <v>245</v>
      </c>
      <c r="J1095">
        <v>385</v>
      </c>
      <c r="K1095" s="1">
        <v>45901</v>
      </c>
      <c r="L1095" t="s">
        <v>429</v>
      </c>
      <c r="M1095" t="s">
        <v>435</v>
      </c>
      <c r="N1095" s="2">
        <f>IFERROR(NHS_A_E[[#This Row],[T1_Over4hrs]]/NHS_A_E[[#This Row],[T1_Attendances]], 0)</f>
        <v>0.56192402787143181</v>
      </c>
      <c r="O1095">
        <f>NHS_A_E[[#This Row],[T1_Attendances]]+NHS_A_E[[#This Row],[Other_Attendances]]</f>
        <v>4449</v>
      </c>
      <c r="P1095">
        <f>MATCH(LEFT(A1095,FIND("-",A1095)-1),{"April","May","June","July","August","September","October","November","December","January","February","March"},0)</f>
        <v>6</v>
      </c>
      <c r="Q1095" s="3">
        <f t="shared" si="34"/>
        <v>8.6536300292200496E-2</v>
      </c>
      <c r="R1095" t="str">
        <f t="shared" si="35"/>
        <v>September</v>
      </c>
    </row>
    <row r="1096" spans="1:18" x14ac:dyDescent="0.35">
      <c r="A1096" t="s">
        <v>434</v>
      </c>
      <c r="B1096" t="s">
        <v>335</v>
      </c>
      <c r="C1096" t="s">
        <v>63</v>
      </c>
      <c r="D1096" t="s">
        <v>336</v>
      </c>
      <c r="E1096">
        <v>10956</v>
      </c>
      <c r="F1096">
        <v>5666</v>
      </c>
      <c r="G1096">
        <v>4858</v>
      </c>
      <c r="H1096">
        <v>169</v>
      </c>
      <c r="I1096">
        <v>650</v>
      </c>
      <c r="J1096">
        <v>3</v>
      </c>
      <c r="K1096" s="1">
        <v>45901</v>
      </c>
      <c r="L1096" t="s">
        <v>429</v>
      </c>
      <c r="M1096" t="s">
        <v>435</v>
      </c>
      <c r="N1096" s="2">
        <f>IFERROR(NHS_A_E[[#This Row],[T1_Over4hrs]]/NHS_A_E[[#This Row],[T1_Attendances]], 0)</f>
        <v>0.4434100036509675</v>
      </c>
      <c r="O1096">
        <f>NHS_A_E[[#This Row],[T1_Attendances]]+NHS_A_E[[#This Row],[Other_Attendances]]</f>
        <v>16622</v>
      </c>
      <c r="P1096">
        <f>MATCH(LEFT(A1096,FIND("-",A1096)-1),{"April","May","June","July","August","September","October","November","December","January","February","March"},0)</f>
        <v>6</v>
      </c>
      <c r="Q1096" s="3">
        <f t="shared" si="34"/>
        <v>2.7382256297918948E-4</v>
      </c>
      <c r="R1096" t="str">
        <f t="shared" si="35"/>
        <v>September</v>
      </c>
    </row>
    <row r="1097" spans="1:18" x14ac:dyDescent="0.35">
      <c r="A1097" t="s">
        <v>434</v>
      </c>
      <c r="B1097" t="s">
        <v>79</v>
      </c>
      <c r="C1097" t="s">
        <v>63</v>
      </c>
      <c r="D1097" t="s">
        <v>80</v>
      </c>
      <c r="E1097">
        <v>0</v>
      </c>
      <c r="F1097">
        <v>2668</v>
      </c>
      <c r="G1097">
        <v>0</v>
      </c>
      <c r="H1097">
        <v>194</v>
      </c>
      <c r="I1097">
        <v>0</v>
      </c>
      <c r="J1097">
        <v>0</v>
      </c>
      <c r="K1097" s="1">
        <v>45901</v>
      </c>
      <c r="L1097" t="s">
        <v>429</v>
      </c>
      <c r="M1097" t="s">
        <v>435</v>
      </c>
      <c r="N1097" s="2">
        <f>IFERROR(NHS_A_E[[#This Row],[T1_Over4hrs]]/NHS_A_E[[#This Row],[T1_Attendances]], 0)</f>
        <v>0</v>
      </c>
      <c r="O1097">
        <f>NHS_A_E[[#This Row],[T1_Attendances]]+NHS_A_E[[#This Row],[Other_Attendances]]</f>
        <v>2668</v>
      </c>
      <c r="P1097">
        <f>MATCH(LEFT(A1097,FIND("-",A1097)-1),{"April","May","June","July","August","September","October","November","December","January","February","March"},0)</f>
        <v>6</v>
      </c>
      <c r="Q1097" s="3">
        <f t="shared" si="34"/>
        <v>0</v>
      </c>
      <c r="R1097" t="str">
        <f t="shared" si="35"/>
        <v>September</v>
      </c>
    </row>
    <row r="1098" spans="1:18" x14ac:dyDescent="0.35">
      <c r="A1098" t="s">
        <v>434</v>
      </c>
      <c r="B1098" t="s">
        <v>357</v>
      </c>
      <c r="C1098" t="s">
        <v>20</v>
      </c>
      <c r="D1098" t="s">
        <v>358</v>
      </c>
      <c r="E1098">
        <v>5928</v>
      </c>
      <c r="F1098">
        <v>5521</v>
      </c>
      <c r="G1098">
        <v>3032</v>
      </c>
      <c r="H1098">
        <v>598</v>
      </c>
      <c r="I1098">
        <v>692</v>
      </c>
      <c r="J1098">
        <v>266</v>
      </c>
      <c r="K1098" s="1">
        <v>45901</v>
      </c>
      <c r="L1098" t="s">
        <v>429</v>
      </c>
      <c r="M1098" t="s">
        <v>435</v>
      </c>
      <c r="N1098" s="2">
        <f>IFERROR(NHS_A_E[[#This Row],[T1_Over4hrs]]/NHS_A_E[[#This Row],[T1_Attendances]], 0)</f>
        <v>0.51147098515519573</v>
      </c>
      <c r="O1098">
        <f>NHS_A_E[[#This Row],[T1_Attendances]]+NHS_A_E[[#This Row],[Other_Attendances]]</f>
        <v>11449</v>
      </c>
      <c r="P1098">
        <f>MATCH(LEFT(A1098,FIND("-",A1098)-1),{"April","May","June","July","August","September","October","November","December","January","February","March"},0)</f>
        <v>6</v>
      </c>
      <c r="Q1098" s="3">
        <f t="shared" si="34"/>
        <v>4.4871794871794872E-2</v>
      </c>
      <c r="R1098" t="str">
        <f t="shared" si="35"/>
        <v>September</v>
      </c>
    </row>
    <row r="1099" spans="1:18" x14ac:dyDescent="0.35">
      <c r="A1099" t="s">
        <v>434</v>
      </c>
      <c r="B1099" t="s">
        <v>217</v>
      </c>
      <c r="C1099" t="s">
        <v>15</v>
      </c>
      <c r="D1099" t="s">
        <v>218</v>
      </c>
      <c r="E1099">
        <v>10808</v>
      </c>
      <c r="F1099">
        <v>3417</v>
      </c>
      <c r="G1099">
        <v>4547</v>
      </c>
      <c r="H1099">
        <v>154</v>
      </c>
      <c r="I1099">
        <v>186</v>
      </c>
      <c r="J1099">
        <v>17</v>
      </c>
      <c r="K1099" s="1">
        <v>45901</v>
      </c>
      <c r="L1099" t="s">
        <v>429</v>
      </c>
      <c r="M1099" t="s">
        <v>435</v>
      </c>
      <c r="N1099" s="2">
        <f>IFERROR(NHS_A_E[[#This Row],[T1_Over4hrs]]/NHS_A_E[[#This Row],[T1_Attendances]], 0)</f>
        <v>0.42070688378978532</v>
      </c>
      <c r="O1099">
        <f>NHS_A_E[[#This Row],[T1_Attendances]]+NHS_A_E[[#This Row],[Other_Attendances]]</f>
        <v>14225</v>
      </c>
      <c r="P1099">
        <f>MATCH(LEFT(A1099,FIND("-",A1099)-1),{"April","May","June","July","August","September","October","November","December","January","February","March"},0)</f>
        <v>6</v>
      </c>
      <c r="Q1099" s="3">
        <f t="shared" si="34"/>
        <v>1.5729089563286454E-3</v>
      </c>
      <c r="R1099" t="str">
        <f t="shared" si="35"/>
        <v>September</v>
      </c>
    </row>
    <row r="1100" spans="1:18" x14ac:dyDescent="0.35">
      <c r="A1100" t="s">
        <v>434</v>
      </c>
      <c r="B1100" t="s">
        <v>359</v>
      </c>
      <c r="C1100" t="s">
        <v>40</v>
      </c>
      <c r="D1100" t="s">
        <v>360</v>
      </c>
      <c r="E1100">
        <v>9774</v>
      </c>
      <c r="F1100">
        <v>3850</v>
      </c>
      <c r="G1100">
        <v>3028</v>
      </c>
      <c r="H1100">
        <v>46</v>
      </c>
      <c r="I1100">
        <v>2415</v>
      </c>
      <c r="J1100">
        <v>135</v>
      </c>
      <c r="K1100" s="1">
        <v>45901</v>
      </c>
      <c r="L1100" t="s">
        <v>429</v>
      </c>
      <c r="M1100" t="s">
        <v>435</v>
      </c>
      <c r="N1100" s="2">
        <f>IFERROR(NHS_A_E[[#This Row],[T1_Over4hrs]]/NHS_A_E[[#This Row],[T1_Attendances]], 0)</f>
        <v>0.30980151422140373</v>
      </c>
      <c r="O1100">
        <f>NHS_A_E[[#This Row],[T1_Attendances]]+NHS_A_E[[#This Row],[Other_Attendances]]</f>
        <v>13624</v>
      </c>
      <c r="P1100">
        <f>MATCH(LEFT(A1100,FIND("-",A1100)-1),{"April","May","June","July","August","September","October","November","December","January","February","March"},0)</f>
        <v>6</v>
      </c>
      <c r="Q1100" s="3">
        <f t="shared" si="34"/>
        <v>1.3812154696132596E-2</v>
      </c>
      <c r="R1100" t="str">
        <f t="shared" si="35"/>
        <v>September</v>
      </c>
    </row>
    <row r="1101" spans="1:18" x14ac:dyDescent="0.35">
      <c r="A1101" t="s">
        <v>434</v>
      </c>
      <c r="B1101" t="s">
        <v>173</v>
      </c>
      <c r="C1101" t="s">
        <v>23</v>
      </c>
      <c r="D1101" t="s">
        <v>174</v>
      </c>
      <c r="E1101">
        <v>12782</v>
      </c>
      <c r="F1101">
        <v>7275</v>
      </c>
      <c r="G1101">
        <v>3924</v>
      </c>
      <c r="H1101">
        <v>5</v>
      </c>
      <c r="I1101">
        <v>616</v>
      </c>
      <c r="J1101">
        <v>145</v>
      </c>
      <c r="K1101" s="1">
        <v>45901</v>
      </c>
      <c r="L1101" t="s">
        <v>429</v>
      </c>
      <c r="M1101" t="s">
        <v>435</v>
      </c>
      <c r="N1101" s="2">
        <f>IFERROR(NHS_A_E[[#This Row],[T1_Over4hrs]]/NHS_A_E[[#This Row],[T1_Attendances]], 0)</f>
        <v>0.30699421060866844</v>
      </c>
      <c r="O1101">
        <f>NHS_A_E[[#This Row],[T1_Attendances]]+NHS_A_E[[#This Row],[Other_Attendances]]</f>
        <v>20057</v>
      </c>
      <c r="P1101">
        <f>MATCH(LEFT(A1101,FIND("-",A1101)-1),{"April","May","June","July","August","September","October","November","December","January","February","March"},0)</f>
        <v>6</v>
      </c>
      <c r="Q1101" s="3">
        <f t="shared" si="34"/>
        <v>1.1344077609137851E-2</v>
      </c>
      <c r="R1101" t="str">
        <f t="shared" si="35"/>
        <v>September</v>
      </c>
    </row>
    <row r="1102" spans="1:18" x14ac:dyDescent="0.35">
      <c r="A1102" t="s">
        <v>434</v>
      </c>
      <c r="B1102" t="s">
        <v>107</v>
      </c>
      <c r="C1102" t="s">
        <v>63</v>
      </c>
      <c r="D1102" t="s">
        <v>108</v>
      </c>
      <c r="E1102">
        <v>8761</v>
      </c>
      <c r="F1102">
        <v>7121</v>
      </c>
      <c r="G1102">
        <v>4508</v>
      </c>
      <c r="H1102">
        <v>396</v>
      </c>
      <c r="I1102">
        <v>1146</v>
      </c>
      <c r="J1102">
        <v>7</v>
      </c>
      <c r="K1102" s="1">
        <v>45901</v>
      </c>
      <c r="L1102" t="s">
        <v>429</v>
      </c>
      <c r="M1102" t="s">
        <v>435</v>
      </c>
      <c r="N1102" s="2">
        <f>IFERROR(NHS_A_E[[#This Row],[T1_Over4hrs]]/NHS_A_E[[#This Row],[T1_Attendances]], 0)</f>
        <v>0.51455313320397211</v>
      </c>
      <c r="O1102">
        <f>NHS_A_E[[#This Row],[T1_Attendances]]+NHS_A_E[[#This Row],[Other_Attendances]]</f>
        <v>15882</v>
      </c>
      <c r="P1102">
        <f>MATCH(LEFT(A1102,FIND("-",A1102)-1),{"April","May","June","July","August","September","October","November","December","January","February","March"},0)</f>
        <v>6</v>
      </c>
      <c r="Q1102" s="3">
        <f t="shared" si="34"/>
        <v>7.9899554845337293E-4</v>
      </c>
      <c r="R1102" t="str">
        <f t="shared" si="35"/>
        <v>September</v>
      </c>
    </row>
    <row r="1103" spans="1:18" x14ac:dyDescent="0.35">
      <c r="A1103" t="s">
        <v>434</v>
      </c>
      <c r="B1103" t="s">
        <v>213</v>
      </c>
      <c r="C1103" t="s">
        <v>23</v>
      </c>
      <c r="D1103" t="s">
        <v>214</v>
      </c>
      <c r="E1103">
        <v>10918</v>
      </c>
      <c r="F1103">
        <v>5495</v>
      </c>
      <c r="G1103">
        <v>4607</v>
      </c>
      <c r="H1103">
        <v>61</v>
      </c>
      <c r="I1103">
        <v>648</v>
      </c>
      <c r="J1103">
        <v>428</v>
      </c>
      <c r="K1103" s="1">
        <v>45901</v>
      </c>
      <c r="L1103" t="s">
        <v>429</v>
      </c>
      <c r="M1103" t="s">
        <v>435</v>
      </c>
      <c r="N1103" s="2">
        <f>IFERROR(NHS_A_E[[#This Row],[T1_Over4hrs]]/NHS_A_E[[#This Row],[T1_Attendances]], 0)</f>
        <v>0.42196372962080969</v>
      </c>
      <c r="O1103">
        <f>NHS_A_E[[#This Row],[T1_Attendances]]+NHS_A_E[[#This Row],[Other_Attendances]]</f>
        <v>16413</v>
      </c>
      <c r="P1103">
        <f>MATCH(LEFT(A1103,FIND("-",A1103)-1),{"April","May","June","July","August","September","October","November","December","January","February","March"},0)</f>
        <v>6</v>
      </c>
      <c r="Q1103" s="3">
        <f t="shared" si="34"/>
        <v>3.9201318922879647E-2</v>
      </c>
      <c r="R1103" t="str">
        <f t="shared" si="35"/>
        <v>September</v>
      </c>
    </row>
    <row r="1104" spans="1:18" x14ac:dyDescent="0.35">
      <c r="A1104" t="s">
        <v>434</v>
      </c>
      <c r="B1104" t="s">
        <v>393</v>
      </c>
      <c r="C1104" t="s">
        <v>23</v>
      </c>
      <c r="D1104" t="s">
        <v>394</v>
      </c>
      <c r="E1104">
        <v>14958</v>
      </c>
      <c r="F1104">
        <v>4919</v>
      </c>
      <c r="G1104">
        <v>5793</v>
      </c>
      <c r="H1104">
        <v>188</v>
      </c>
      <c r="I1104">
        <v>651</v>
      </c>
      <c r="J1104">
        <v>689</v>
      </c>
      <c r="K1104" s="1">
        <v>45901</v>
      </c>
      <c r="L1104" t="s">
        <v>429</v>
      </c>
      <c r="M1104" t="s">
        <v>435</v>
      </c>
      <c r="N1104" s="2">
        <f>IFERROR(NHS_A_E[[#This Row],[T1_Over4hrs]]/NHS_A_E[[#This Row],[T1_Attendances]], 0)</f>
        <v>0.38728439630966704</v>
      </c>
      <c r="O1104">
        <f>NHS_A_E[[#This Row],[T1_Attendances]]+NHS_A_E[[#This Row],[Other_Attendances]]</f>
        <v>19877</v>
      </c>
      <c r="P1104">
        <f>MATCH(LEFT(A1104,FIND("-",A1104)-1),{"April","May","June","July","August","September","October","November","December","January","February","March"},0)</f>
        <v>6</v>
      </c>
      <c r="Q1104" s="3">
        <f t="shared" si="34"/>
        <v>4.6062307795159782E-2</v>
      </c>
      <c r="R1104" t="str">
        <f t="shared" si="35"/>
        <v>September</v>
      </c>
    </row>
    <row r="1105" spans="1:18" x14ac:dyDescent="0.35">
      <c r="A1105" t="s">
        <v>434</v>
      </c>
      <c r="B1105" t="s">
        <v>347</v>
      </c>
      <c r="C1105" t="s">
        <v>63</v>
      </c>
      <c r="D1105" t="s">
        <v>348</v>
      </c>
      <c r="E1105">
        <v>5960</v>
      </c>
      <c r="F1105">
        <v>0</v>
      </c>
      <c r="G1105">
        <v>2336</v>
      </c>
      <c r="H1105">
        <v>0</v>
      </c>
      <c r="I1105">
        <v>456</v>
      </c>
      <c r="J1105">
        <v>154</v>
      </c>
      <c r="K1105" s="1">
        <v>45901</v>
      </c>
      <c r="L1105" t="s">
        <v>429</v>
      </c>
      <c r="M1105" t="s">
        <v>435</v>
      </c>
      <c r="N1105" s="2">
        <f>IFERROR(NHS_A_E[[#This Row],[T1_Over4hrs]]/NHS_A_E[[#This Row],[T1_Attendances]], 0)</f>
        <v>0.39194630872483222</v>
      </c>
      <c r="O1105">
        <f>NHS_A_E[[#This Row],[T1_Attendances]]+NHS_A_E[[#This Row],[Other_Attendances]]</f>
        <v>5960</v>
      </c>
      <c r="P1105">
        <f>MATCH(LEFT(A1105,FIND("-",A1105)-1),{"April","May","June","July","August","September","October","November","December","January","February","March"},0)</f>
        <v>6</v>
      </c>
      <c r="Q1105" s="3">
        <f t="shared" si="34"/>
        <v>2.5838926174496644E-2</v>
      </c>
      <c r="R1105" t="str">
        <f t="shared" si="35"/>
        <v>September</v>
      </c>
    </row>
    <row r="1106" spans="1:18" x14ac:dyDescent="0.35">
      <c r="A1106" t="s">
        <v>434</v>
      </c>
      <c r="B1106" t="s">
        <v>67</v>
      </c>
      <c r="C1106" t="s">
        <v>30</v>
      </c>
      <c r="D1106" t="s">
        <v>68</v>
      </c>
      <c r="E1106">
        <v>0</v>
      </c>
      <c r="F1106">
        <v>0</v>
      </c>
      <c r="G1106">
        <v>0</v>
      </c>
      <c r="H1106">
        <v>0</v>
      </c>
      <c r="I1106">
        <v>0</v>
      </c>
      <c r="J1106">
        <v>0</v>
      </c>
      <c r="K1106" s="1">
        <v>45901</v>
      </c>
      <c r="L1106" t="s">
        <v>429</v>
      </c>
      <c r="M1106" t="s">
        <v>435</v>
      </c>
      <c r="N1106" s="2">
        <f>IFERROR(NHS_A_E[[#This Row],[T1_Over4hrs]]/NHS_A_E[[#This Row],[T1_Attendances]], 0)</f>
        <v>0</v>
      </c>
      <c r="O1106">
        <f>NHS_A_E[[#This Row],[T1_Attendances]]+NHS_A_E[[#This Row],[Other_Attendances]]</f>
        <v>0</v>
      </c>
      <c r="P1106">
        <f>MATCH(LEFT(A1106,FIND("-",A1106)-1),{"April","May","June","July","August","September","October","November","December","January","February","March"},0)</f>
        <v>6</v>
      </c>
      <c r="Q1106" s="3">
        <f t="shared" si="34"/>
        <v>0</v>
      </c>
      <c r="R1106" t="str">
        <f t="shared" si="35"/>
        <v>September</v>
      </c>
    </row>
    <row r="1107" spans="1:18" x14ac:dyDescent="0.35">
      <c r="A1107" t="s">
        <v>434</v>
      </c>
      <c r="B1107" t="s">
        <v>145</v>
      </c>
      <c r="C1107" t="s">
        <v>40</v>
      </c>
      <c r="D1107" t="s">
        <v>146</v>
      </c>
      <c r="E1107">
        <v>0</v>
      </c>
      <c r="F1107">
        <v>48</v>
      </c>
      <c r="G1107">
        <v>0</v>
      </c>
      <c r="H1107">
        <v>0</v>
      </c>
      <c r="I1107">
        <v>0</v>
      </c>
      <c r="J1107">
        <v>0</v>
      </c>
      <c r="K1107" s="1">
        <v>45901</v>
      </c>
      <c r="L1107" t="s">
        <v>429</v>
      </c>
      <c r="M1107" t="s">
        <v>435</v>
      </c>
      <c r="N1107" s="2">
        <f>IFERROR(NHS_A_E[[#This Row],[T1_Over4hrs]]/NHS_A_E[[#This Row],[T1_Attendances]], 0)</f>
        <v>0</v>
      </c>
      <c r="O1107">
        <f>NHS_A_E[[#This Row],[T1_Attendances]]+NHS_A_E[[#This Row],[Other_Attendances]]</f>
        <v>48</v>
      </c>
      <c r="P1107">
        <f>MATCH(LEFT(A1107,FIND("-",A1107)-1),{"April","May","June","July","August","September","October","November","December","January","February","March"},0)</f>
        <v>6</v>
      </c>
      <c r="Q1107" s="3">
        <f t="shared" si="34"/>
        <v>0</v>
      </c>
      <c r="R1107" t="str">
        <f t="shared" si="35"/>
        <v>September</v>
      </c>
    </row>
    <row r="1108" spans="1:18" x14ac:dyDescent="0.35">
      <c r="A1108" t="s">
        <v>434</v>
      </c>
      <c r="B1108" t="s">
        <v>143</v>
      </c>
      <c r="C1108" t="s">
        <v>40</v>
      </c>
      <c r="D1108" t="s">
        <v>144</v>
      </c>
      <c r="E1108">
        <v>0</v>
      </c>
      <c r="F1108">
        <v>512</v>
      </c>
      <c r="G1108">
        <v>0</v>
      </c>
      <c r="H1108">
        <v>1</v>
      </c>
      <c r="I1108">
        <v>0</v>
      </c>
      <c r="J1108">
        <v>0</v>
      </c>
      <c r="K1108" s="1">
        <v>45901</v>
      </c>
      <c r="L1108" t="s">
        <v>429</v>
      </c>
      <c r="M1108" t="s">
        <v>435</v>
      </c>
      <c r="N1108" s="2">
        <f>IFERROR(NHS_A_E[[#This Row],[T1_Over4hrs]]/NHS_A_E[[#This Row],[T1_Attendances]], 0)</f>
        <v>0</v>
      </c>
      <c r="O1108">
        <f>NHS_A_E[[#This Row],[T1_Attendances]]+NHS_A_E[[#This Row],[Other_Attendances]]</f>
        <v>512</v>
      </c>
      <c r="P1108">
        <f>MATCH(LEFT(A1108,FIND("-",A1108)-1),{"April","May","June","July","August","September","October","November","December","January","February","March"},0)</f>
        <v>6</v>
      </c>
      <c r="Q1108" s="3">
        <f t="shared" si="34"/>
        <v>0</v>
      </c>
      <c r="R1108" t="str">
        <f t="shared" si="35"/>
        <v>September</v>
      </c>
    </row>
    <row r="1109" spans="1:18" x14ac:dyDescent="0.35">
      <c r="A1109" t="s">
        <v>434</v>
      </c>
      <c r="B1109" t="s">
        <v>141</v>
      </c>
      <c r="C1109" t="s">
        <v>40</v>
      </c>
      <c r="D1109" t="s">
        <v>142</v>
      </c>
      <c r="E1109">
        <v>0</v>
      </c>
      <c r="F1109">
        <v>46</v>
      </c>
      <c r="G1109">
        <v>0</v>
      </c>
      <c r="H1109">
        <v>0</v>
      </c>
      <c r="I1109">
        <v>0</v>
      </c>
      <c r="J1109">
        <v>0</v>
      </c>
      <c r="K1109" s="1">
        <v>45901</v>
      </c>
      <c r="L1109" t="s">
        <v>429</v>
      </c>
      <c r="M1109" t="s">
        <v>435</v>
      </c>
      <c r="N1109" s="2">
        <f>IFERROR(NHS_A_E[[#This Row],[T1_Over4hrs]]/NHS_A_E[[#This Row],[T1_Attendances]], 0)</f>
        <v>0</v>
      </c>
      <c r="O1109">
        <f>NHS_A_E[[#This Row],[T1_Attendances]]+NHS_A_E[[#This Row],[Other_Attendances]]</f>
        <v>46</v>
      </c>
      <c r="P1109">
        <f>MATCH(LEFT(A1109,FIND("-",A1109)-1),{"April","May","June","July","August","September","October","November","December","January","February","March"},0)</f>
        <v>6</v>
      </c>
      <c r="Q1109" s="3">
        <f t="shared" si="34"/>
        <v>0</v>
      </c>
      <c r="R1109" t="str">
        <f t="shared" si="35"/>
        <v>September</v>
      </c>
    </row>
    <row r="1110" spans="1:18" x14ac:dyDescent="0.35">
      <c r="A1110" t="s">
        <v>434</v>
      </c>
      <c r="B1110" t="s">
        <v>139</v>
      </c>
      <c r="C1110" t="s">
        <v>40</v>
      </c>
      <c r="D1110" t="s">
        <v>140</v>
      </c>
      <c r="E1110">
        <v>0</v>
      </c>
      <c r="F1110">
        <v>75</v>
      </c>
      <c r="G1110">
        <v>0</v>
      </c>
      <c r="H1110">
        <v>0</v>
      </c>
      <c r="I1110">
        <v>0</v>
      </c>
      <c r="J1110">
        <v>0</v>
      </c>
      <c r="K1110" s="1">
        <v>45901</v>
      </c>
      <c r="L1110" t="s">
        <v>429</v>
      </c>
      <c r="M1110" t="s">
        <v>435</v>
      </c>
      <c r="N1110" s="2">
        <f>IFERROR(NHS_A_E[[#This Row],[T1_Over4hrs]]/NHS_A_E[[#This Row],[T1_Attendances]], 0)</f>
        <v>0</v>
      </c>
      <c r="O1110">
        <f>NHS_A_E[[#This Row],[T1_Attendances]]+NHS_A_E[[#This Row],[Other_Attendances]]</f>
        <v>75</v>
      </c>
      <c r="P1110">
        <f>MATCH(LEFT(A1110,FIND("-",A1110)-1),{"April","May","June","July","August","September","October","November","December","January","February","March"},0)</f>
        <v>6</v>
      </c>
      <c r="Q1110" s="3">
        <f t="shared" si="34"/>
        <v>0</v>
      </c>
      <c r="R1110" t="str">
        <f t="shared" si="35"/>
        <v>September</v>
      </c>
    </row>
    <row r="1111" spans="1:18" x14ac:dyDescent="0.35">
      <c r="A1111" t="s">
        <v>434</v>
      </c>
      <c r="B1111" t="s">
        <v>137</v>
      </c>
      <c r="C1111" t="s">
        <v>40</v>
      </c>
      <c r="D1111" t="s">
        <v>138</v>
      </c>
      <c r="E1111">
        <v>0</v>
      </c>
      <c r="F1111">
        <v>345</v>
      </c>
      <c r="G1111">
        <v>0</v>
      </c>
      <c r="H1111">
        <v>1</v>
      </c>
      <c r="I1111">
        <v>0</v>
      </c>
      <c r="J1111">
        <v>0</v>
      </c>
      <c r="K1111" s="1">
        <v>45901</v>
      </c>
      <c r="L1111" t="s">
        <v>429</v>
      </c>
      <c r="M1111" t="s">
        <v>435</v>
      </c>
      <c r="N1111" s="2">
        <f>IFERROR(NHS_A_E[[#This Row],[T1_Over4hrs]]/NHS_A_E[[#This Row],[T1_Attendances]], 0)</f>
        <v>0</v>
      </c>
      <c r="O1111">
        <f>NHS_A_E[[#This Row],[T1_Attendances]]+NHS_A_E[[#This Row],[Other_Attendances]]</f>
        <v>345</v>
      </c>
      <c r="P1111">
        <f>MATCH(LEFT(A1111,FIND("-",A1111)-1),{"April","May","June","July","August","September","October","November","December","January","February","March"},0)</f>
        <v>6</v>
      </c>
      <c r="Q1111" s="3">
        <f t="shared" si="34"/>
        <v>0</v>
      </c>
      <c r="R1111" t="str">
        <f t="shared" si="35"/>
        <v>September</v>
      </c>
    </row>
    <row r="1112" spans="1:18" x14ac:dyDescent="0.35">
      <c r="A1112" t="s">
        <v>434</v>
      </c>
      <c r="B1112" t="s">
        <v>135</v>
      </c>
      <c r="C1112" t="s">
        <v>40</v>
      </c>
      <c r="D1112" t="s">
        <v>136</v>
      </c>
      <c r="E1112">
        <v>0</v>
      </c>
      <c r="F1112">
        <v>6494</v>
      </c>
      <c r="G1112">
        <v>0</v>
      </c>
      <c r="H1112">
        <v>471</v>
      </c>
      <c r="I1112">
        <v>0</v>
      </c>
      <c r="J1112">
        <v>0</v>
      </c>
      <c r="K1112" s="1">
        <v>45901</v>
      </c>
      <c r="L1112" t="s">
        <v>429</v>
      </c>
      <c r="M1112" t="s">
        <v>435</v>
      </c>
      <c r="N1112" s="2">
        <f>IFERROR(NHS_A_E[[#This Row],[T1_Over4hrs]]/NHS_A_E[[#This Row],[T1_Attendances]], 0)</f>
        <v>0</v>
      </c>
      <c r="O1112">
        <f>NHS_A_E[[#This Row],[T1_Attendances]]+NHS_A_E[[#This Row],[Other_Attendances]]</f>
        <v>6494</v>
      </c>
      <c r="P1112">
        <f>MATCH(LEFT(A1112,FIND("-",A1112)-1),{"April","May","June","July","August","September","October","November","December","January","February","March"},0)</f>
        <v>6</v>
      </c>
      <c r="Q1112" s="3">
        <f t="shared" si="34"/>
        <v>0</v>
      </c>
      <c r="R1112" t="str">
        <f t="shared" si="35"/>
        <v>September</v>
      </c>
    </row>
    <row r="1113" spans="1:18" x14ac:dyDescent="0.35">
      <c r="A1113" t="s">
        <v>434</v>
      </c>
      <c r="B1113" t="s">
        <v>265</v>
      </c>
      <c r="C1113" t="s">
        <v>35</v>
      </c>
      <c r="D1113" t="s">
        <v>266</v>
      </c>
      <c r="E1113">
        <v>0</v>
      </c>
      <c r="F1113">
        <v>2669</v>
      </c>
      <c r="G1113">
        <v>0</v>
      </c>
      <c r="H1113">
        <v>2</v>
      </c>
      <c r="I1113">
        <v>0</v>
      </c>
      <c r="J1113">
        <v>0</v>
      </c>
      <c r="K1113" s="1">
        <v>45901</v>
      </c>
      <c r="L1113" t="s">
        <v>429</v>
      </c>
      <c r="M1113" t="s">
        <v>435</v>
      </c>
      <c r="N1113" s="2">
        <f>IFERROR(NHS_A_E[[#This Row],[T1_Over4hrs]]/NHS_A_E[[#This Row],[T1_Attendances]], 0)</f>
        <v>0</v>
      </c>
      <c r="O1113">
        <f>NHS_A_E[[#This Row],[T1_Attendances]]+NHS_A_E[[#This Row],[Other_Attendances]]</f>
        <v>2669</v>
      </c>
      <c r="P1113">
        <f>MATCH(LEFT(A1113,FIND("-",A1113)-1),{"April","May","June","July","August","September","October","November","December","January","February","March"},0)</f>
        <v>6</v>
      </c>
      <c r="Q1113" s="3">
        <f t="shared" si="34"/>
        <v>0</v>
      </c>
      <c r="R1113" t="str">
        <f t="shared" si="35"/>
        <v>September</v>
      </c>
    </row>
    <row r="1114" spans="1:18" x14ac:dyDescent="0.35">
      <c r="A1114" t="s">
        <v>434</v>
      </c>
      <c r="B1114" t="s">
        <v>263</v>
      </c>
      <c r="C1114" t="s">
        <v>35</v>
      </c>
      <c r="D1114" t="s">
        <v>264</v>
      </c>
      <c r="E1114">
        <v>0</v>
      </c>
      <c r="F1114">
        <v>2853</v>
      </c>
      <c r="G1114">
        <v>0</v>
      </c>
      <c r="H1114">
        <v>24</v>
      </c>
      <c r="I1114">
        <v>0</v>
      </c>
      <c r="J1114">
        <v>0</v>
      </c>
      <c r="K1114" s="1">
        <v>45901</v>
      </c>
      <c r="L1114" t="s">
        <v>429</v>
      </c>
      <c r="M1114" t="s">
        <v>435</v>
      </c>
      <c r="N1114" s="2">
        <f>IFERROR(NHS_A_E[[#This Row],[T1_Over4hrs]]/NHS_A_E[[#This Row],[T1_Attendances]], 0)</f>
        <v>0</v>
      </c>
      <c r="O1114">
        <f>NHS_A_E[[#This Row],[T1_Attendances]]+NHS_A_E[[#This Row],[Other_Attendances]]</f>
        <v>2853</v>
      </c>
      <c r="P1114">
        <f>MATCH(LEFT(A1114,FIND("-",A1114)-1),{"April","May","June","July","August","September","October","November","December","January","February","March"},0)</f>
        <v>6</v>
      </c>
      <c r="Q1114" s="3">
        <f t="shared" si="34"/>
        <v>0</v>
      </c>
      <c r="R1114" t="str">
        <f t="shared" si="35"/>
        <v>September</v>
      </c>
    </row>
    <row r="1115" spans="1:18" x14ac:dyDescent="0.35">
      <c r="A1115" t="s">
        <v>434</v>
      </c>
      <c r="B1115" t="s">
        <v>111</v>
      </c>
      <c r="C1115" t="s">
        <v>40</v>
      </c>
      <c r="D1115" t="s">
        <v>112</v>
      </c>
      <c r="E1115">
        <v>0</v>
      </c>
      <c r="F1115">
        <v>488</v>
      </c>
      <c r="G1115">
        <v>0</v>
      </c>
      <c r="H1115">
        <v>0</v>
      </c>
      <c r="I1115">
        <v>0</v>
      </c>
      <c r="J1115">
        <v>0</v>
      </c>
      <c r="K1115" s="1">
        <v>45901</v>
      </c>
      <c r="L1115" t="s">
        <v>429</v>
      </c>
      <c r="M1115" t="s">
        <v>435</v>
      </c>
      <c r="N1115" s="2">
        <f>IFERROR(NHS_A_E[[#This Row],[T1_Over4hrs]]/NHS_A_E[[#This Row],[T1_Attendances]], 0)</f>
        <v>0</v>
      </c>
      <c r="O1115">
        <f>NHS_A_E[[#This Row],[T1_Attendances]]+NHS_A_E[[#This Row],[Other_Attendances]]</f>
        <v>488</v>
      </c>
      <c r="P1115">
        <f>MATCH(LEFT(A1115,FIND("-",A1115)-1),{"April","May","June","July","August","September","October","November","December","January","February","March"},0)</f>
        <v>6</v>
      </c>
      <c r="Q1115" s="3">
        <f t="shared" si="34"/>
        <v>0</v>
      </c>
      <c r="R1115" t="str">
        <f t="shared" si="35"/>
        <v>September</v>
      </c>
    </row>
    <row r="1116" spans="1:18" x14ac:dyDescent="0.35">
      <c r="A1116" t="s">
        <v>434</v>
      </c>
      <c r="B1116" t="s">
        <v>379</v>
      </c>
      <c r="C1116" t="s">
        <v>63</v>
      </c>
      <c r="D1116" t="s">
        <v>380</v>
      </c>
      <c r="E1116">
        <v>0</v>
      </c>
      <c r="F1116">
        <v>2151</v>
      </c>
      <c r="G1116">
        <v>0</v>
      </c>
      <c r="H1116">
        <v>9</v>
      </c>
      <c r="I1116">
        <v>0</v>
      </c>
      <c r="J1116">
        <v>0</v>
      </c>
      <c r="K1116" s="1">
        <v>45901</v>
      </c>
      <c r="L1116" t="s">
        <v>429</v>
      </c>
      <c r="M1116" t="s">
        <v>435</v>
      </c>
      <c r="N1116" s="2">
        <f>IFERROR(NHS_A_E[[#This Row],[T1_Over4hrs]]/NHS_A_E[[#This Row],[T1_Attendances]], 0)</f>
        <v>0</v>
      </c>
      <c r="O1116">
        <f>NHS_A_E[[#This Row],[T1_Attendances]]+NHS_A_E[[#This Row],[Other_Attendances]]</f>
        <v>2151</v>
      </c>
      <c r="P1116">
        <f>MATCH(LEFT(A1116,FIND("-",A1116)-1),{"April","May","June","July","August","September","October","November","December","January","February","March"},0)</f>
        <v>6</v>
      </c>
      <c r="Q1116" s="3">
        <f t="shared" si="34"/>
        <v>0</v>
      </c>
      <c r="R1116" t="str">
        <f t="shared" si="35"/>
        <v>September</v>
      </c>
    </row>
    <row r="1117" spans="1:18" x14ac:dyDescent="0.35">
      <c r="A1117" t="s">
        <v>434</v>
      </c>
      <c r="B1117" t="s">
        <v>197</v>
      </c>
      <c r="C1117" t="s">
        <v>63</v>
      </c>
      <c r="D1117" t="s">
        <v>198</v>
      </c>
      <c r="E1117">
        <v>12654</v>
      </c>
      <c r="F1117">
        <v>4047</v>
      </c>
      <c r="G1117">
        <v>4903</v>
      </c>
      <c r="H1117">
        <v>0</v>
      </c>
      <c r="I1117">
        <v>1789</v>
      </c>
      <c r="J1117">
        <v>42</v>
      </c>
      <c r="K1117" s="1">
        <v>45901</v>
      </c>
      <c r="L1117" t="s">
        <v>429</v>
      </c>
      <c r="M1117" t="s">
        <v>435</v>
      </c>
      <c r="N1117" s="2">
        <f>IFERROR(NHS_A_E[[#This Row],[T1_Over4hrs]]/NHS_A_E[[#This Row],[T1_Attendances]], 0)</f>
        <v>0.38746641378220326</v>
      </c>
      <c r="O1117">
        <f>NHS_A_E[[#This Row],[T1_Attendances]]+NHS_A_E[[#This Row],[Other_Attendances]]</f>
        <v>16701</v>
      </c>
      <c r="P1117">
        <f>MATCH(LEFT(A1117,FIND("-",A1117)-1),{"April","May","June","July","August","September","October","November","December","January","February","March"},0)</f>
        <v>6</v>
      </c>
      <c r="Q1117" s="3">
        <f t="shared" si="34"/>
        <v>3.3191085822664771E-3</v>
      </c>
      <c r="R1117" t="str">
        <f t="shared" si="35"/>
        <v>September</v>
      </c>
    </row>
    <row r="1118" spans="1:18" x14ac:dyDescent="0.35">
      <c r="A1118" t="s">
        <v>434</v>
      </c>
      <c r="B1118" t="s">
        <v>377</v>
      </c>
      <c r="C1118" t="s">
        <v>63</v>
      </c>
      <c r="D1118" t="s">
        <v>378</v>
      </c>
      <c r="E1118">
        <v>16641</v>
      </c>
      <c r="F1118">
        <v>6350</v>
      </c>
      <c r="G1118">
        <v>6123</v>
      </c>
      <c r="H1118">
        <v>150</v>
      </c>
      <c r="I1118">
        <v>1711</v>
      </c>
      <c r="J1118">
        <v>76</v>
      </c>
      <c r="K1118" s="1">
        <v>45901</v>
      </c>
      <c r="L1118" t="s">
        <v>429</v>
      </c>
      <c r="M1118" t="s">
        <v>435</v>
      </c>
      <c r="N1118" s="2">
        <f>IFERROR(NHS_A_E[[#This Row],[T1_Over4hrs]]/NHS_A_E[[#This Row],[T1_Attendances]], 0)</f>
        <v>0.36794663782224624</v>
      </c>
      <c r="O1118">
        <f>NHS_A_E[[#This Row],[T1_Attendances]]+NHS_A_E[[#This Row],[Other_Attendances]]</f>
        <v>22991</v>
      </c>
      <c r="P1118">
        <f>MATCH(LEFT(A1118,FIND("-",A1118)-1),{"April","May","June","July","August","September","October","November","December","January","February","March"},0)</f>
        <v>6</v>
      </c>
      <c r="Q1118" s="3">
        <f t="shared" si="34"/>
        <v>4.5670332311760114E-3</v>
      </c>
      <c r="R1118" t="str">
        <f t="shared" si="35"/>
        <v>September</v>
      </c>
    </row>
    <row r="1119" spans="1:18" x14ac:dyDescent="0.35">
      <c r="A1119" t="s">
        <v>434</v>
      </c>
      <c r="B1119" t="s">
        <v>189</v>
      </c>
      <c r="C1119" t="s">
        <v>30</v>
      </c>
      <c r="D1119" t="s">
        <v>190</v>
      </c>
      <c r="E1119">
        <v>6814</v>
      </c>
      <c r="F1119">
        <v>2955</v>
      </c>
      <c r="G1119">
        <v>3428</v>
      </c>
      <c r="H1119">
        <v>46</v>
      </c>
      <c r="I1119">
        <v>534</v>
      </c>
      <c r="J1119">
        <v>891</v>
      </c>
      <c r="K1119" s="1">
        <v>45901</v>
      </c>
      <c r="L1119" t="s">
        <v>429</v>
      </c>
      <c r="M1119" t="s">
        <v>435</v>
      </c>
      <c r="N1119" s="2">
        <f>IFERROR(NHS_A_E[[#This Row],[T1_Over4hrs]]/NHS_A_E[[#This Row],[T1_Attendances]], 0)</f>
        <v>0.50308189022600525</v>
      </c>
      <c r="O1119">
        <f>NHS_A_E[[#This Row],[T1_Attendances]]+NHS_A_E[[#This Row],[Other_Attendances]]</f>
        <v>9769</v>
      </c>
      <c r="P1119">
        <f>MATCH(LEFT(A1119,FIND("-",A1119)-1),{"April","May","June","July","August","September","October","November","December","January","February","March"},0)</f>
        <v>6</v>
      </c>
      <c r="Q1119" s="3">
        <f t="shared" si="34"/>
        <v>0.13076019958908131</v>
      </c>
      <c r="R1119" t="str">
        <f t="shared" si="35"/>
        <v>September</v>
      </c>
    </row>
    <row r="1120" spans="1:18" x14ac:dyDescent="0.35">
      <c r="A1120" t="s">
        <v>434</v>
      </c>
      <c r="B1120" t="s">
        <v>185</v>
      </c>
      <c r="C1120" t="s">
        <v>23</v>
      </c>
      <c r="D1120" t="s">
        <v>437</v>
      </c>
      <c r="E1120">
        <v>8701</v>
      </c>
      <c r="F1120">
        <v>8295</v>
      </c>
      <c r="G1120">
        <v>4036</v>
      </c>
      <c r="H1120">
        <v>101</v>
      </c>
      <c r="I1120">
        <v>351</v>
      </c>
      <c r="J1120">
        <v>96</v>
      </c>
      <c r="K1120" s="1">
        <v>45901</v>
      </c>
      <c r="L1120" t="s">
        <v>429</v>
      </c>
      <c r="M1120" t="s">
        <v>435</v>
      </c>
      <c r="N1120" s="2">
        <f>IFERROR(NHS_A_E[[#This Row],[T1_Over4hrs]]/NHS_A_E[[#This Row],[T1_Attendances]], 0)</f>
        <v>0.463854729341455</v>
      </c>
      <c r="O1120">
        <f>NHS_A_E[[#This Row],[T1_Attendances]]+NHS_A_E[[#This Row],[Other_Attendances]]</f>
        <v>16996</v>
      </c>
      <c r="P1120">
        <f>MATCH(LEFT(A1120,FIND("-",A1120)-1),{"April","May","June","July","August","September","October","November","December","January","February","March"},0)</f>
        <v>6</v>
      </c>
      <c r="Q1120" s="3">
        <f t="shared" si="34"/>
        <v>1.1033214573037582E-2</v>
      </c>
      <c r="R1120" t="str">
        <f t="shared" si="35"/>
        <v>September</v>
      </c>
    </row>
    <row r="1121" spans="1:18" x14ac:dyDescent="0.35">
      <c r="A1121" t="s">
        <v>434</v>
      </c>
      <c r="B1121" t="s">
        <v>183</v>
      </c>
      <c r="C1121" t="s">
        <v>23</v>
      </c>
      <c r="D1121" t="s">
        <v>184</v>
      </c>
      <c r="E1121">
        <v>7950</v>
      </c>
      <c r="F1121">
        <v>7699</v>
      </c>
      <c r="G1121">
        <v>2427</v>
      </c>
      <c r="H1121">
        <v>104</v>
      </c>
      <c r="I1121">
        <v>627</v>
      </c>
      <c r="J1121">
        <v>26</v>
      </c>
      <c r="K1121" s="1">
        <v>45901</v>
      </c>
      <c r="L1121" t="s">
        <v>429</v>
      </c>
      <c r="M1121" t="s">
        <v>435</v>
      </c>
      <c r="N1121" s="2">
        <f>IFERROR(NHS_A_E[[#This Row],[T1_Over4hrs]]/NHS_A_E[[#This Row],[T1_Attendances]], 0)</f>
        <v>0.30528301886792453</v>
      </c>
      <c r="O1121">
        <f>NHS_A_E[[#This Row],[T1_Attendances]]+NHS_A_E[[#This Row],[Other_Attendances]]</f>
        <v>15649</v>
      </c>
      <c r="P1121">
        <f>MATCH(LEFT(A1121,FIND("-",A1121)-1),{"April","May","June","July","August","September","October","November","December","January","February","March"},0)</f>
        <v>6</v>
      </c>
      <c r="Q1121" s="3">
        <f t="shared" si="34"/>
        <v>3.2704402515723271E-3</v>
      </c>
      <c r="R1121" t="str">
        <f t="shared" si="35"/>
        <v>September</v>
      </c>
    </row>
    <row r="1122" spans="1:18" x14ac:dyDescent="0.35">
      <c r="A1122" t="s">
        <v>434</v>
      </c>
      <c r="B1122" t="s">
        <v>403</v>
      </c>
      <c r="C1122" t="s">
        <v>15</v>
      </c>
      <c r="D1122" t="s">
        <v>404</v>
      </c>
      <c r="E1122">
        <v>0</v>
      </c>
      <c r="F1122">
        <v>1342</v>
      </c>
      <c r="G1122">
        <v>0</v>
      </c>
      <c r="H1122">
        <v>25</v>
      </c>
      <c r="I1122">
        <v>0</v>
      </c>
      <c r="J1122">
        <v>0</v>
      </c>
      <c r="K1122" s="1">
        <v>45901</v>
      </c>
      <c r="L1122" t="s">
        <v>429</v>
      </c>
      <c r="M1122" t="s">
        <v>435</v>
      </c>
      <c r="N1122" s="2">
        <f>IFERROR(NHS_A_E[[#This Row],[T1_Over4hrs]]/NHS_A_E[[#This Row],[T1_Attendances]], 0)</f>
        <v>0</v>
      </c>
      <c r="O1122">
        <f>NHS_A_E[[#This Row],[T1_Attendances]]+NHS_A_E[[#This Row],[Other_Attendances]]</f>
        <v>1342</v>
      </c>
      <c r="P1122">
        <f>MATCH(LEFT(A1122,FIND("-",A1122)-1),{"April","May","June","July","August","September","October","November","December","January","February","March"},0)</f>
        <v>6</v>
      </c>
      <c r="Q1122" s="3">
        <f t="shared" si="34"/>
        <v>0</v>
      </c>
      <c r="R1122" t="str">
        <f t="shared" si="35"/>
        <v>September</v>
      </c>
    </row>
    <row r="1123" spans="1:18" x14ac:dyDescent="0.35">
      <c r="A1123" t="s">
        <v>434</v>
      </c>
      <c r="B1123" t="s">
        <v>181</v>
      </c>
      <c r="C1123" t="s">
        <v>40</v>
      </c>
      <c r="D1123" t="s">
        <v>182</v>
      </c>
      <c r="E1123">
        <v>21979</v>
      </c>
      <c r="F1123">
        <v>0</v>
      </c>
      <c r="G1123">
        <v>8933</v>
      </c>
      <c r="H1123">
        <v>0</v>
      </c>
      <c r="I1123">
        <v>1336</v>
      </c>
      <c r="J1123">
        <v>619</v>
      </c>
      <c r="K1123" s="1">
        <v>45901</v>
      </c>
      <c r="L1123" t="s">
        <v>429</v>
      </c>
      <c r="M1123" t="s">
        <v>435</v>
      </c>
      <c r="N1123" s="2">
        <f>IFERROR(NHS_A_E[[#This Row],[T1_Over4hrs]]/NHS_A_E[[#This Row],[T1_Attendances]], 0)</f>
        <v>0.40643341371308978</v>
      </c>
      <c r="O1123">
        <f>NHS_A_E[[#This Row],[T1_Attendances]]+NHS_A_E[[#This Row],[Other_Attendances]]</f>
        <v>21979</v>
      </c>
      <c r="P1123">
        <f>MATCH(LEFT(A1123,FIND("-",A1123)-1),{"April","May","June","July","August","September","October","November","December","January","February","March"},0)</f>
        <v>6</v>
      </c>
      <c r="Q1123" s="3">
        <f t="shared" si="34"/>
        <v>2.8163246735520269E-2</v>
      </c>
      <c r="R1123" t="str">
        <f t="shared" si="35"/>
        <v>September</v>
      </c>
    </row>
    <row r="1124" spans="1:18" x14ac:dyDescent="0.35">
      <c r="A1124" t="s">
        <v>434</v>
      </c>
      <c r="B1124" t="s">
        <v>157</v>
      </c>
      <c r="C1124" t="s">
        <v>40</v>
      </c>
      <c r="D1124" t="s">
        <v>158</v>
      </c>
      <c r="E1124">
        <v>34990</v>
      </c>
      <c r="F1124">
        <v>3254</v>
      </c>
      <c r="G1124">
        <v>13697</v>
      </c>
      <c r="H1124">
        <v>57</v>
      </c>
      <c r="I1124">
        <v>2739</v>
      </c>
      <c r="J1124">
        <v>1692</v>
      </c>
      <c r="K1124" s="1">
        <v>45901</v>
      </c>
      <c r="L1124" t="s">
        <v>429</v>
      </c>
      <c r="M1124" t="s">
        <v>435</v>
      </c>
      <c r="N1124" s="2">
        <f>IFERROR(NHS_A_E[[#This Row],[T1_Over4hrs]]/NHS_A_E[[#This Row],[T1_Attendances]], 0)</f>
        <v>0.39145470134324095</v>
      </c>
      <c r="O1124">
        <f>NHS_A_E[[#This Row],[T1_Attendances]]+NHS_A_E[[#This Row],[Other_Attendances]]</f>
        <v>38244</v>
      </c>
      <c r="P1124">
        <f>MATCH(LEFT(A1124,FIND("-",A1124)-1),{"April","May","June","July","August","September","October","November","December","January","February","March"},0)</f>
        <v>6</v>
      </c>
      <c r="Q1124" s="3">
        <f t="shared" si="34"/>
        <v>4.8356673335238638E-2</v>
      </c>
      <c r="R1124" t="str">
        <f t="shared" si="35"/>
        <v>September</v>
      </c>
    </row>
    <row r="1125" spans="1:18" x14ac:dyDescent="0.35">
      <c r="A1125" t="s">
        <v>434</v>
      </c>
      <c r="B1125" t="s">
        <v>133</v>
      </c>
      <c r="C1125" t="s">
        <v>15</v>
      </c>
      <c r="D1125" t="s">
        <v>134</v>
      </c>
      <c r="E1125">
        <v>0</v>
      </c>
      <c r="F1125">
        <v>1480</v>
      </c>
      <c r="G1125">
        <v>0</v>
      </c>
      <c r="H1125">
        <v>10</v>
      </c>
      <c r="I1125">
        <v>0</v>
      </c>
      <c r="J1125">
        <v>0</v>
      </c>
      <c r="K1125" s="1">
        <v>45901</v>
      </c>
      <c r="L1125" t="s">
        <v>429</v>
      </c>
      <c r="M1125" t="s">
        <v>435</v>
      </c>
      <c r="N1125" s="2">
        <f>IFERROR(NHS_A_E[[#This Row],[T1_Over4hrs]]/NHS_A_E[[#This Row],[T1_Attendances]], 0)</f>
        <v>0</v>
      </c>
      <c r="O1125">
        <f>NHS_A_E[[#This Row],[T1_Attendances]]+NHS_A_E[[#This Row],[Other_Attendances]]</f>
        <v>1480</v>
      </c>
      <c r="P1125">
        <f>MATCH(LEFT(A1125,FIND("-",A1125)-1),{"April","May","June","July","August","September","October","November","December","January","February","March"},0)</f>
        <v>6</v>
      </c>
      <c r="Q1125" s="3">
        <f t="shared" si="34"/>
        <v>0</v>
      </c>
      <c r="R1125" t="str">
        <f t="shared" si="35"/>
        <v>September</v>
      </c>
    </row>
    <row r="1126" spans="1:18" x14ac:dyDescent="0.35">
      <c r="A1126" t="s">
        <v>434</v>
      </c>
      <c r="B1126" t="s">
        <v>283</v>
      </c>
      <c r="C1126" t="s">
        <v>15</v>
      </c>
      <c r="D1126" t="s">
        <v>284</v>
      </c>
      <c r="E1126">
        <v>0</v>
      </c>
      <c r="F1126">
        <v>2988</v>
      </c>
      <c r="G1126">
        <v>0</v>
      </c>
      <c r="H1126">
        <v>15</v>
      </c>
      <c r="I1126">
        <v>0</v>
      </c>
      <c r="J1126">
        <v>0</v>
      </c>
      <c r="K1126" s="1">
        <v>45901</v>
      </c>
      <c r="L1126" t="s">
        <v>429</v>
      </c>
      <c r="M1126" t="s">
        <v>435</v>
      </c>
      <c r="N1126" s="2">
        <f>IFERROR(NHS_A_E[[#This Row],[T1_Over4hrs]]/NHS_A_E[[#This Row],[T1_Attendances]], 0)</f>
        <v>0</v>
      </c>
      <c r="O1126">
        <f>NHS_A_E[[#This Row],[T1_Attendances]]+NHS_A_E[[#This Row],[Other_Attendances]]</f>
        <v>2988</v>
      </c>
      <c r="P1126">
        <f>MATCH(LEFT(A1126,FIND("-",A1126)-1),{"April","May","June","July","August","September","October","November","December","January","February","March"},0)</f>
        <v>6</v>
      </c>
      <c r="Q1126" s="3">
        <f t="shared" si="34"/>
        <v>0</v>
      </c>
      <c r="R1126" t="str">
        <f t="shared" si="35"/>
        <v>September</v>
      </c>
    </row>
    <row r="1127" spans="1:18" x14ac:dyDescent="0.35">
      <c r="A1127" t="s">
        <v>434</v>
      </c>
      <c r="B1127" t="s">
        <v>289</v>
      </c>
      <c r="C1127" t="s">
        <v>30</v>
      </c>
      <c r="D1127" t="s">
        <v>290</v>
      </c>
      <c r="E1127">
        <v>0</v>
      </c>
      <c r="F1127">
        <v>0</v>
      </c>
      <c r="G1127">
        <v>0</v>
      </c>
      <c r="H1127">
        <v>0</v>
      </c>
      <c r="I1127">
        <v>0</v>
      </c>
      <c r="J1127">
        <v>0</v>
      </c>
      <c r="K1127" s="1">
        <v>45901</v>
      </c>
      <c r="L1127" t="s">
        <v>429</v>
      </c>
      <c r="M1127" t="s">
        <v>435</v>
      </c>
      <c r="N1127" s="2">
        <f>IFERROR(NHS_A_E[[#This Row],[T1_Over4hrs]]/NHS_A_E[[#This Row],[T1_Attendances]], 0)</f>
        <v>0</v>
      </c>
      <c r="O1127">
        <f>NHS_A_E[[#This Row],[T1_Attendances]]+NHS_A_E[[#This Row],[Other_Attendances]]</f>
        <v>0</v>
      </c>
      <c r="P1127">
        <f>MATCH(LEFT(A1127,FIND("-",A1127)-1),{"April","May","June","July","August","September","October","November","December","January","February","March"},0)</f>
        <v>6</v>
      </c>
      <c r="Q1127" s="3">
        <f t="shared" si="34"/>
        <v>0</v>
      </c>
      <c r="R1127" t="str">
        <f t="shared" si="35"/>
        <v>September</v>
      </c>
    </row>
    <row r="1128" spans="1:18" x14ac:dyDescent="0.35">
      <c r="A1128" t="s">
        <v>434</v>
      </c>
      <c r="B1128" t="s">
        <v>269</v>
      </c>
      <c r="C1128" t="s">
        <v>40</v>
      </c>
      <c r="D1128" t="s">
        <v>270</v>
      </c>
      <c r="E1128">
        <v>5972</v>
      </c>
      <c r="F1128">
        <v>155</v>
      </c>
      <c r="G1128">
        <v>2510</v>
      </c>
      <c r="H1128">
        <v>0</v>
      </c>
      <c r="I1128">
        <v>443</v>
      </c>
      <c r="J1128">
        <v>274</v>
      </c>
      <c r="K1128" s="1">
        <v>45901</v>
      </c>
      <c r="L1128" t="s">
        <v>429</v>
      </c>
      <c r="M1128" t="s">
        <v>435</v>
      </c>
      <c r="N1128" s="2">
        <f>IFERROR(NHS_A_E[[#This Row],[T1_Over4hrs]]/NHS_A_E[[#This Row],[T1_Attendances]], 0)</f>
        <v>0.42029470864032148</v>
      </c>
      <c r="O1128">
        <f>NHS_A_E[[#This Row],[T1_Attendances]]+NHS_A_E[[#This Row],[Other_Attendances]]</f>
        <v>6127</v>
      </c>
      <c r="P1128">
        <f>MATCH(LEFT(A1128,FIND("-",A1128)-1),{"April","May","June","July","August","September","October","November","December","January","February","March"},0)</f>
        <v>6</v>
      </c>
      <c r="Q1128" s="3">
        <f t="shared" si="34"/>
        <v>4.5880776959142666E-2</v>
      </c>
      <c r="R1128" t="str">
        <f t="shared" si="35"/>
        <v>September</v>
      </c>
    </row>
    <row r="1129" spans="1:18" x14ac:dyDescent="0.35">
      <c r="A1129" t="s">
        <v>434</v>
      </c>
      <c r="B1129" t="s">
        <v>373</v>
      </c>
      <c r="C1129" t="s">
        <v>40</v>
      </c>
      <c r="D1129" t="s">
        <v>374</v>
      </c>
      <c r="E1129">
        <v>12732</v>
      </c>
      <c r="F1129">
        <v>0</v>
      </c>
      <c r="G1129">
        <v>6930</v>
      </c>
      <c r="H1129">
        <v>0</v>
      </c>
      <c r="I1129">
        <v>255</v>
      </c>
      <c r="J1129">
        <v>634</v>
      </c>
      <c r="K1129" s="1">
        <v>45901</v>
      </c>
      <c r="L1129" t="s">
        <v>429</v>
      </c>
      <c r="M1129" t="s">
        <v>435</v>
      </c>
      <c r="N1129" s="2">
        <f>IFERROR(NHS_A_E[[#This Row],[T1_Over4hrs]]/NHS_A_E[[#This Row],[T1_Attendances]], 0)</f>
        <v>0.54429783223374173</v>
      </c>
      <c r="O1129">
        <f>NHS_A_E[[#This Row],[T1_Attendances]]+NHS_A_E[[#This Row],[Other_Attendances]]</f>
        <v>12732</v>
      </c>
      <c r="P1129">
        <f>MATCH(LEFT(A1129,FIND("-",A1129)-1),{"April","May","June","July","August","September","October","November","December","January","February","March"},0)</f>
        <v>6</v>
      </c>
      <c r="Q1129" s="3">
        <f t="shared" si="34"/>
        <v>4.979579013509268E-2</v>
      </c>
      <c r="R1129" t="str">
        <f t="shared" si="35"/>
        <v>September</v>
      </c>
    </row>
    <row r="1130" spans="1:18" x14ac:dyDescent="0.35">
      <c r="A1130" t="s">
        <v>434</v>
      </c>
      <c r="B1130" t="s">
        <v>103</v>
      </c>
      <c r="C1130" t="s">
        <v>20</v>
      </c>
      <c r="D1130" t="s">
        <v>104</v>
      </c>
      <c r="E1130">
        <v>12710</v>
      </c>
      <c r="F1130">
        <v>8427</v>
      </c>
      <c r="G1130">
        <v>6042</v>
      </c>
      <c r="H1130">
        <v>127</v>
      </c>
      <c r="I1130">
        <v>205</v>
      </c>
      <c r="J1130">
        <v>100</v>
      </c>
      <c r="K1130" s="1">
        <v>45901</v>
      </c>
      <c r="L1130" t="s">
        <v>429</v>
      </c>
      <c r="M1130" t="s">
        <v>435</v>
      </c>
      <c r="N1130" s="2">
        <f>IFERROR(NHS_A_E[[#This Row],[T1_Over4hrs]]/NHS_A_E[[#This Row],[T1_Attendances]], 0)</f>
        <v>0.4753737214791503</v>
      </c>
      <c r="O1130">
        <f>NHS_A_E[[#This Row],[T1_Attendances]]+NHS_A_E[[#This Row],[Other_Attendances]]</f>
        <v>21137</v>
      </c>
      <c r="P1130">
        <f>MATCH(LEFT(A1130,FIND("-",A1130)-1),{"April","May","June","July","August","September","October","November","December","January","February","March"},0)</f>
        <v>6</v>
      </c>
      <c r="Q1130" s="3">
        <f t="shared" si="34"/>
        <v>7.8678206136900079E-3</v>
      </c>
      <c r="R1130" t="str">
        <f t="shared" si="35"/>
        <v>September</v>
      </c>
    </row>
    <row r="1131" spans="1:18" x14ac:dyDescent="0.35">
      <c r="A1131" t="s">
        <v>434</v>
      </c>
      <c r="B1131" t="s">
        <v>257</v>
      </c>
      <c r="C1131" t="s">
        <v>35</v>
      </c>
      <c r="D1131" t="s">
        <v>258</v>
      </c>
      <c r="E1131">
        <v>0</v>
      </c>
      <c r="F1131">
        <v>7801</v>
      </c>
      <c r="G1131">
        <v>0</v>
      </c>
      <c r="H1131">
        <v>123</v>
      </c>
      <c r="I1131">
        <v>0</v>
      </c>
      <c r="J1131">
        <v>0</v>
      </c>
      <c r="K1131" s="1">
        <v>45901</v>
      </c>
      <c r="L1131" t="s">
        <v>429</v>
      </c>
      <c r="M1131" t="s">
        <v>435</v>
      </c>
      <c r="N1131" s="2">
        <f>IFERROR(NHS_A_E[[#This Row],[T1_Over4hrs]]/NHS_A_E[[#This Row],[T1_Attendances]], 0)</f>
        <v>0</v>
      </c>
      <c r="O1131">
        <f>NHS_A_E[[#This Row],[T1_Attendances]]+NHS_A_E[[#This Row],[Other_Attendances]]</f>
        <v>7801</v>
      </c>
      <c r="P1131">
        <f>MATCH(LEFT(A1131,FIND("-",A1131)-1),{"April","May","June","July","August","September","October","November","December","January","February","March"},0)</f>
        <v>6</v>
      </c>
      <c r="Q1131" s="3">
        <f t="shared" si="34"/>
        <v>0</v>
      </c>
      <c r="R1131" t="str">
        <f t="shared" si="35"/>
        <v>September</v>
      </c>
    </row>
    <row r="1132" spans="1:18" x14ac:dyDescent="0.35">
      <c r="A1132" t="s">
        <v>434</v>
      </c>
      <c r="B1132" t="s">
        <v>205</v>
      </c>
      <c r="C1132" t="s">
        <v>35</v>
      </c>
      <c r="D1132" t="s">
        <v>206</v>
      </c>
      <c r="E1132">
        <v>11866</v>
      </c>
      <c r="F1132">
        <v>7038</v>
      </c>
      <c r="G1132">
        <v>5300</v>
      </c>
      <c r="H1132">
        <v>333</v>
      </c>
      <c r="I1132">
        <v>588</v>
      </c>
      <c r="J1132">
        <v>0</v>
      </c>
      <c r="K1132" s="1">
        <v>45901</v>
      </c>
      <c r="L1132" t="s">
        <v>429</v>
      </c>
      <c r="M1132" t="s">
        <v>435</v>
      </c>
      <c r="N1132" s="2">
        <f>IFERROR(NHS_A_E[[#This Row],[T1_Over4hrs]]/NHS_A_E[[#This Row],[T1_Attendances]], 0)</f>
        <v>0.44665430642170906</v>
      </c>
      <c r="O1132">
        <f>NHS_A_E[[#This Row],[T1_Attendances]]+NHS_A_E[[#This Row],[Other_Attendances]]</f>
        <v>18904</v>
      </c>
      <c r="P1132">
        <f>MATCH(LEFT(A1132,FIND("-",A1132)-1),{"April","May","June","July","August","September","October","November","December","January","February","March"},0)</f>
        <v>6</v>
      </c>
      <c r="Q1132" s="3">
        <f t="shared" si="34"/>
        <v>0</v>
      </c>
      <c r="R1132" t="str">
        <f t="shared" si="35"/>
        <v>September</v>
      </c>
    </row>
    <row r="1133" spans="1:18" x14ac:dyDescent="0.35">
      <c r="A1133" t="s">
        <v>434</v>
      </c>
      <c r="B1133" t="s">
        <v>215</v>
      </c>
      <c r="C1133" t="s">
        <v>35</v>
      </c>
      <c r="D1133" t="s">
        <v>216</v>
      </c>
      <c r="E1133">
        <v>8302</v>
      </c>
      <c r="F1133">
        <v>4055</v>
      </c>
      <c r="G1133">
        <v>2580</v>
      </c>
      <c r="H1133">
        <v>172</v>
      </c>
      <c r="I1133">
        <v>376</v>
      </c>
      <c r="J1133">
        <v>500</v>
      </c>
      <c r="K1133" s="1">
        <v>45901</v>
      </c>
      <c r="L1133" t="s">
        <v>429</v>
      </c>
      <c r="M1133" t="s">
        <v>435</v>
      </c>
      <c r="N1133" s="2">
        <f>IFERROR(NHS_A_E[[#This Row],[T1_Over4hrs]]/NHS_A_E[[#This Row],[T1_Attendances]], 0)</f>
        <v>0.31076848952059744</v>
      </c>
      <c r="O1133">
        <f>NHS_A_E[[#This Row],[T1_Attendances]]+NHS_A_E[[#This Row],[Other_Attendances]]</f>
        <v>12357</v>
      </c>
      <c r="P1133">
        <f>MATCH(LEFT(A1133,FIND("-",A1133)-1),{"April","May","June","July","August","September","October","November","December","January","February","March"},0)</f>
        <v>6</v>
      </c>
      <c r="Q1133" s="3">
        <f t="shared" si="34"/>
        <v>6.0226451457480124E-2</v>
      </c>
      <c r="R1133" t="str">
        <f t="shared" si="35"/>
        <v>September</v>
      </c>
    </row>
    <row r="1134" spans="1:18" x14ac:dyDescent="0.35">
      <c r="A1134" t="s">
        <v>434</v>
      </c>
      <c r="B1134" t="s">
        <v>211</v>
      </c>
      <c r="C1134" t="s">
        <v>30</v>
      </c>
      <c r="D1134" t="s">
        <v>212</v>
      </c>
      <c r="E1134">
        <v>8030</v>
      </c>
      <c r="F1134">
        <v>2802</v>
      </c>
      <c r="G1134">
        <v>4600</v>
      </c>
      <c r="H1134">
        <v>95</v>
      </c>
      <c r="I1134">
        <v>563</v>
      </c>
      <c r="J1134">
        <v>696</v>
      </c>
      <c r="K1134" s="1">
        <v>45901</v>
      </c>
      <c r="L1134" t="s">
        <v>429</v>
      </c>
      <c r="M1134" t="s">
        <v>435</v>
      </c>
      <c r="N1134" s="2">
        <f>IFERROR(NHS_A_E[[#This Row],[T1_Over4hrs]]/NHS_A_E[[#This Row],[T1_Attendances]], 0)</f>
        <v>0.57285180572851802</v>
      </c>
      <c r="O1134">
        <f>NHS_A_E[[#This Row],[T1_Attendances]]+NHS_A_E[[#This Row],[Other_Attendances]]</f>
        <v>10832</v>
      </c>
      <c r="P1134">
        <f>MATCH(LEFT(A1134,FIND("-",A1134)-1),{"April","May","June","July","August","September","October","November","December","January","February","March"},0)</f>
        <v>6</v>
      </c>
      <c r="Q1134" s="3">
        <f t="shared" si="34"/>
        <v>8.6674968866749691E-2</v>
      </c>
      <c r="R1134" t="str">
        <f t="shared" si="35"/>
        <v>September</v>
      </c>
    </row>
    <row r="1135" spans="1:18" x14ac:dyDescent="0.35">
      <c r="A1135" t="s">
        <v>434</v>
      </c>
      <c r="B1135" t="s">
        <v>187</v>
      </c>
      <c r="C1135" t="s">
        <v>30</v>
      </c>
      <c r="D1135" t="s">
        <v>188</v>
      </c>
      <c r="E1135">
        <v>7974</v>
      </c>
      <c r="F1135">
        <v>1010</v>
      </c>
      <c r="G1135">
        <v>3249</v>
      </c>
      <c r="H1135">
        <v>42</v>
      </c>
      <c r="I1135">
        <v>687</v>
      </c>
      <c r="J1135">
        <v>324</v>
      </c>
      <c r="K1135" s="1">
        <v>45901</v>
      </c>
      <c r="L1135" t="s">
        <v>429</v>
      </c>
      <c r="M1135" t="s">
        <v>435</v>
      </c>
      <c r="N1135" s="2">
        <f>IFERROR(NHS_A_E[[#This Row],[T1_Over4hrs]]/NHS_A_E[[#This Row],[T1_Attendances]], 0)</f>
        <v>0.4074492099322799</v>
      </c>
      <c r="O1135">
        <f>NHS_A_E[[#This Row],[T1_Attendances]]+NHS_A_E[[#This Row],[Other_Attendances]]</f>
        <v>8984</v>
      </c>
      <c r="P1135">
        <f>MATCH(LEFT(A1135,FIND("-",A1135)-1),{"April","May","June","July","August","September","October","November","December","January","February","March"},0)</f>
        <v>6</v>
      </c>
      <c r="Q1135" s="3">
        <f t="shared" si="34"/>
        <v>4.0632054176072234E-2</v>
      </c>
      <c r="R1135" t="str">
        <f t="shared" si="35"/>
        <v>September</v>
      </c>
    </row>
    <row r="1136" spans="1:18" x14ac:dyDescent="0.35">
      <c r="A1136" t="s">
        <v>434</v>
      </c>
      <c r="B1136" t="s">
        <v>167</v>
      </c>
      <c r="C1136" t="s">
        <v>30</v>
      </c>
      <c r="D1136" t="s">
        <v>168</v>
      </c>
      <c r="E1136">
        <v>8141</v>
      </c>
      <c r="F1136">
        <v>3746</v>
      </c>
      <c r="G1136">
        <v>3816</v>
      </c>
      <c r="H1136">
        <v>269</v>
      </c>
      <c r="I1136">
        <v>536</v>
      </c>
      <c r="J1136">
        <v>213</v>
      </c>
      <c r="K1136" s="1">
        <v>45901</v>
      </c>
      <c r="L1136" t="s">
        <v>429</v>
      </c>
      <c r="M1136" t="s">
        <v>435</v>
      </c>
      <c r="N1136" s="2">
        <f>IFERROR(NHS_A_E[[#This Row],[T1_Over4hrs]]/NHS_A_E[[#This Row],[T1_Attendances]], 0)</f>
        <v>0.4687384842156983</v>
      </c>
      <c r="O1136">
        <f>NHS_A_E[[#This Row],[T1_Attendances]]+NHS_A_E[[#This Row],[Other_Attendances]]</f>
        <v>11887</v>
      </c>
      <c r="P1136">
        <f>MATCH(LEFT(A1136,FIND("-",A1136)-1),{"April","May","June","July","August","September","October","November","December","January","February","March"},0)</f>
        <v>6</v>
      </c>
      <c r="Q1136" s="3">
        <f t="shared" si="34"/>
        <v>2.6163861933423412E-2</v>
      </c>
      <c r="R1136" t="str">
        <f t="shared" si="35"/>
        <v>September</v>
      </c>
    </row>
    <row r="1137" spans="1:18" x14ac:dyDescent="0.35">
      <c r="A1137" t="s">
        <v>434</v>
      </c>
      <c r="B1137" t="s">
        <v>151</v>
      </c>
      <c r="C1137" t="s">
        <v>30</v>
      </c>
      <c r="D1137" t="s">
        <v>152</v>
      </c>
      <c r="E1137">
        <v>26117</v>
      </c>
      <c r="F1137">
        <v>9791</v>
      </c>
      <c r="G1137">
        <v>9870</v>
      </c>
      <c r="H1137">
        <v>401</v>
      </c>
      <c r="I1137">
        <v>1017</v>
      </c>
      <c r="J1137">
        <v>1095</v>
      </c>
      <c r="K1137" s="1">
        <v>45901</v>
      </c>
      <c r="L1137" t="s">
        <v>429</v>
      </c>
      <c r="M1137" t="s">
        <v>435</v>
      </c>
      <c r="N1137" s="2">
        <f>IFERROR(NHS_A_E[[#This Row],[T1_Over4hrs]]/NHS_A_E[[#This Row],[T1_Attendances]], 0)</f>
        <v>0.37791476815867059</v>
      </c>
      <c r="O1137">
        <f>NHS_A_E[[#This Row],[T1_Attendances]]+NHS_A_E[[#This Row],[Other_Attendances]]</f>
        <v>35908</v>
      </c>
      <c r="P1137">
        <f>MATCH(LEFT(A1137,FIND("-",A1137)-1),{"April","May","June","July","August","September","October","November","December","January","February","March"},0)</f>
        <v>6</v>
      </c>
      <c r="Q1137" s="3">
        <f t="shared" si="34"/>
        <v>4.1926714400581995E-2</v>
      </c>
      <c r="R1137" t="str">
        <f t="shared" si="35"/>
        <v>September</v>
      </c>
    </row>
    <row r="1138" spans="1:18" x14ac:dyDescent="0.35">
      <c r="A1138" t="s">
        <v>434</v>
      </c>
      <c r="B1138" t="s">
        <v>149</v>
      </c>
      <c r="C1138" t="s">
        <v>15</v>
      </c>
      <c r="D1138" t="s">
        <v>150</v>
      </c>
      <c r="E1138">
        <v>10993</v>
      </c>
      <c r="F1138">
        <v>2982</v>
      </c>
      <c r="G1138">
        <v>4170</v>
      </c>
      <c r="H1138">
        <v>9</v>
      </c>
      <c r="I1138">
        <v>801</v>
      </c>
      <c r="J1138">
        <v>1170</v>
      </c>
      <c r="K1138" s="1">
        <v>45901</v>
      </c>
      <c r="L1138" t="s">
        <v>429</v>
      </c>
      <c r="M1138" t="s">
        <v>435</v>
      </c>
      <c r="N1138" s="2">
        <f>IFERROR(NHS_A_E[[#This Row],[T1_Over4hrs]]/NHS_A_E[[#This Row],[T1_Attendances]], 0)</f>
        <v>0.37933230237423815</v>
      </c>
      <c r="O1138">
        <f>NHS_A_E[[#This Row],[T1_Attendances]]+NHS_A_E[[#This Row],[Other_Attendances]]</f>
        <v>13975</v>
      </c>
      <c r="P1138">
        <f>MATCH(LEFT(A1138,FIND("-",A1138)-1),{"April","May","June","July","August","September","October","November","December","January","February","March"},0)</f>
        <v>6</v>
      </c>
      <c r="Q1138" s="3">
        <f t="shared" si="34"/>
        <v>0.10643136541435459</v>
      </c>
      <c r="R1138" t="str">
        <f t="shared" si="35"/>
        <v>September</v>
      </c>
    </row>
    <row r="1139" spans="1:18" x14ac:dyDescent="0.35">
      <c r="A1139" t="s">
        <v>434</v>
      </c>
      <c r="B1139" t="s">
        <v>83</v>
      </c>
      <c r="C1139" t="s">
        <v>35</v>
      </c>
      <c r="D1139" t="s">
        <v>84</v>
      </c>
      <c r="E1139">
        <v>13596</v>
      </c>
      <c r="F1139">
        <v>15146</v>
      </c>
      <c r="G1139">
        <v>6518</v>
      </c>
      <c r="H1139">
        <v>526</v>
      </c>
      <c r="I1139">
        <v>633</v>
      </c>
      <c r="J1139">
        <v>419</v>
      </c>
      <c r="K1139" s="1">
        <v>45901</v>
      </c>
      <c r="L1139" t="s">
        <v>429</v>
      </c>
      <c r="M1139" t="s">
        <v>435</v>
      </c>
      <c r="N1139" s="2">
        <f>IFERROR(NHS_A_E[[#This Row],[T1_Over4hrs]]/NHS_A_E[[#This Row],[T1_Attendances]], 0)</f>
        <v>0.47940570756104739</v>
      </c>
      <c r="O1139">
        <f>NHS_A_E[[#This Row],[T1_Attendances]]+NHS_A_E[[#This Row],[Other_Attendances]]</f>
        <v>28742</v>
      </c>
      <c r="P1139">
        <f>MATCH(LEFT(A1139,FIND("-",A1139)-1),{"April","May","June","July","August","September","October","November","December","January","February","March"},0)</f>
        <v>6</v>
      </c>
      <c r="Q1139" s="3">
        <f t="shared" si="34"/>
        <v>3.0817887614004121E-2</v>
      </c>
      <c r="R1139" t="str">
        <f t="shared" si="35"/>
        <v>September</v>
      </c>
    </row>
    <row r="1140" spans="1:18" x14ac:dyDescent="0.35">
      <c r="A1140" t="s">
        <v>434</v>
      </c>
      <c r="B1140" t="s">
        <v>147</v>
      </c>
      <c r="C1140" t="s">
        <v>40</v>
      </c>
      <c r="D1140" t="s">
        <v>148</v>
      </c>
      <c r="E1140">
        <v>0</v>
      </c>
      <c r="F1140">
        <v>1727</v>
      </c>
      <c r="G1140">
        <v>0</v>
      </c>
      <c r="H1140">
        <v>0</v>
      </c>
      <c r="I1140">
        <v>0</v>
      </c>
      <c r="J1140">
        <v>0</v>
      </c>
      <c r="K1140" s="1">
        <v>45901</v>
      </c>
      <c r="L1140" t="s">
        <v>429</v>
      </c>
      <c r="M1140" t="s">
        <v>435</v>
      </c>
      <c r="N1140" s="2">
        <f>IFERROR(NHS_A_E[[#This Row],[T1_Over4hrs]]/NHS_A_E[[#This Row],[T1_Attendances]], 0)</f>
        <v>0</v>
      </c>
      <c r="O1140">
        <f>NHS_A_E[[#This Row],[T1_Attendances]]+NHS_A_E[[#This Row],[Other_Attendances]]</f>
        <v>1727</v>
      </c>
      <c r="P1140">
        <f>MATCH(LEFT(A1140,FIND("-",A1140)-1),{"April","May","June","July","August","September","October","November","December","January","February","March"},0)</f>
        <v>6</v>
      </c>
      <c r="Q1140" s="3">
        <f t="shared" si="34"/>
        <v>0</v>
      </c>
      <c r="R1140" t="str">
        <f t="shared" si="35"/>
        <v>September</v>
      </c>
    </row>
    <row r="1141" spans="1:18" x14ac:dyDescent="0.35">
      <c r="A1141" t="s">
        <v>434</v>
      </c>
      <c r="B1141" t="s">
        <v>223</v>
      </c>
      <c r="C1141" t="s">
        <v>15</v>
      </c>
      <c r="D1141" t="s">
        <v>224</v>
      </c>
      <c r="E1141">
        <v>12153</v>
      </c>
      <c r="F1141">
        <v>3273</v>
      </c>
      <c r="G1141">
        <v>3679</v>
      </c>
      <c r="H1141">
        <v>73</v>
      </c>
      <c r="I1141">
        <v>397</v>
      </c>
      <c r="J1141">
        <v>3</v>
      </c>
      <c r="K1141" s="1">
        <v>45901</v>
      </c>
      <c r="L1141" t="s">
        <v>429</v>
      </c>
      <c r="M1141" t="s">
        <v>435</v>
      </c>
      <c r="N1141" s="2">
        <f>IFERROR(NHS_A_E[[#This Row],[T1_Over4hrs]]/NHS_A_E[[#This Row],[T1_Attendances]], 0)</f>
        <v>0.30272360733975151</v>
      </c>
      <c r="O1141">
        <f>NHS_A_E[[#This Row],[T1_Attendances]]+NHS_A_E[[#This Row],[Other_Attendances]]</f>
        <v>15426</v>
      </c>
      <c r="P1141">
        <f>MATCH(LEFT(A1141,FIND("-",A1141)-1),{"April","May","June","July","August","September","October","November","December","January","February","March"},0)</f>
        <v>6</v>
      </c>
      <c r="Q1141" s="3">
        <f t="shared" si="34"/>
        <v>2.4685262898049864E-4</v>
      </c>
      <c r="R1141" t="str">
        <f t="shared" si="35"/>
        <v>September</v>
      </c>
    </row>
    <row r="1142" spans="1:18" x14ac:dyDescent="0.35">
      <c r="A1142" t="s">
        <v>434</v>
      </c>
      <c r="B1142" t="s">
        <v>25</v>
      </c>
      <c r="C1142" t="s">
        <v>15</v>
      </c>
      <c r="D1142" t="s">
        <v>26</v>
      </c>
      <c r="E1142">
        <v>0</v>
      </c>
      <c r="F1142">
        <v>11738</v>
      </c>
      <c r="G1142">
        <v>0</v>
      </c>
      <c r="H1142">
        <v>131</v>
      </c>
      <c r="I1142">
        <v>0</v>
      </c>
      <c r="J1142">
        <v>0</v>
      </c>
      <c r="K1142" s="1">
        <v>45901</v>
      </c>
      <c r="L1142" t="s">
        <v>429</v>
      </c>
      <c r="M1142" t="s">
        <v>435</v>
      </c>
      <c r="N1142" s="2">
        <f>IFERROR(NHS_A_E[[#This Row],[T1_Over4hrs]]/NHS_A_E[[#This Row],[T1_Attendances]], 0)</f>
        <v>0</v>
      </c>
      <c r="O1142">
        <f>NHS_A_E[[#This Row],[T1_Attendances]]+NHS_A_E[[#This Row],[Other_Attendances]]</f>
        <v>11738</v>
      </c>
      <c r="P1142">
        <f>MATCH(LEFT(A1142,FIND("-",A1142)-1),{"April","May","June","July","August","September","October","November","December","January","February","March"},0)</f>
        <v>6</v>
      </c>
      <c r="Q1142" s="3">
        <f t="shared" si="34"/>
        <v>0</v>
      </c>
      <c r="R1142" t="str">
        <f t="shared" si="35"/>
        <v>September</v>
      </c>
    </row>
    <row r="1143" spans="1:18" x14ac:dyDescent="0.35">
      <c r="A1143" t="s">
        <v>434</v>
      </c>
      <c r="B1143" t="s">
        <v>371</v>
      </c>
      <c r="C1143" t="s">
        <v>35</v>
      </c>
      <c r="D1143" t="s">
        <v>372</v>
      </c>
      <c r="E1143">
        <v>5135</v>
      </c>
      <c r="F1143">
        <v>7323</v>
      </c>
      <c r="G1143">
        <v>2453</v>
      </c>
      <c r="H1143">
        <v>99</v>
      </c>
      <c r="I1143">
        <v>460</v>
      </c>
      <c r="J1143">
        <v>37</v>
      </c>
      <c r="K1143" s="1">
        <v>45901</v>
      </c>
      <c r="L1143" t="s">
        <v>429</v>
      </c>
      <c r="M1143" t="s">
        <v>435</v>
      </c>
      <c r="N1143" s="2">
        <f>IFERROR(NHS_A_E[[#This Row],[T1_Over4hrs]]/NHS_A_E[[#This Row],[T1_Attendances]], 0)</f>
        <v>0.47770204479065237</v>
      </c>
      <c r="O1143">
        <f>NHS_A_E[[#This Row],[T1_Attendances]]+NHS_A_E[[#This Row],[Other_Attendances]]</f>
        <v>12458</v>
      </c>
      <c r="P1143">
        <f>MATCH(LEFT(A1143,FIND("-",A1143)-1),{"April","May","June","July","August","September","October","November","December","January","February","March"},0)</f>
        <v>6</v>
      </c>
      <c r="Q1143" s="3">
        <f t="shared" si="34"/>
        <v>7.2054527750730285E-3</v>
      </c>
      <c r="R1143" t="str">
        <f t="shared" si="35"/>
        <v>September</v>
      </c>
    </row>
    <row r="1144" spans="1:18" x14ac:dyDescent="0.35">
      <c r="A1144" t="s">
        <v>434</v>
      </c>
      <c r="B1144" t="s">
        <v>119</v>
      </c>
      <c r="C1144" t="s">
        <v>15</v>
      </c>
      <c r="D1144" t="s">
        <v>120</v>
      </c>
      <c r="E1144">
        <v>10740</v>
      </c>
      <c r="F1144">
        <v>3058</v>
      </c>
      <c r="G1144">
        <v>4079</v>
      </c>
      <c r="H1144">
        <v>98</v>
      </c>
      <c r="I1144">
        <v>195</v>
      </c>
      <c r="J1144">
        <v>337</v>
      </c>
      <c r="K1144" s="1">
        <v>45901</v>
      </c>
      <c r="L1144" t="s">
        <v>429</v>
      </c>
      <c r="M1144" t="s">
        <v>435</v>
      </c>
      <c r="N1144" s="2">
        <f>IFERROR(NHS_A_E[[#This Row],[T1_Over4hrs]]/NHS_A_E[[#This Row],[T1_Attendances]], 0)</f>
        <v>0.3797951582867784</v>
      </c>
      <c r="O1144">
        <f>NHS_A_E[[#This Row],[T1_Attendances]]+NHS_A_E[[#This Row],[Other_Attendances]]</f>
        <v>13798</v>
      </c>
      <c r="P1144">
        <f>MATCH(LEFT(A1144,FIND("-",A1144)-1),{"April","May","June","July","August","September","October","November","December","January","February","March"},0)</f>
        <v>6</v>
      </c>
      <c r="Q1144" s="3">
        <f t="shared" si="34"/>
        <v>3.1378026070763503E-2</v>
      </c>
      <c r="R1144" t="str">
        <f t="shared" si="35"/>
        <v>September</v>
      </c>
    </row>
    <row r="1145" spans="1:18" x14ac:dyDescent="0.35">
      <c r="A1145" t="s">
        <v>434</v>
      </c>
      <c r="B1145" t="s">
        <v>153</v>
      </c>
      <c r="C1145" t="s">
        <v>30</v>
      </c>
      <c r="D1145" t="s">
        <v>154</v>
      </c>
      <c r="E1145">
        <v>12119</v>
      </c>
      <c r="F1145">
        <v>3016</v>
      </c>
      <c r="G1145">
        <v>4631</v>
      </c>
      <c r="H1145">
        <v>101</v>
      </c>
      <c r="I1145">
        <v>1109</v>
      </c>
      <c r="J1145">
        <v>465</v>
      </c>
      <c r="K1145" s="1">
        <v>45901</v>
      </c>
      <c r="L1145" t="s">
        <v>429</v>
      </c>
      <c r="M1145" t="s">
        <v>435</v>
      </c>
      <c r="N1145" s="2">
        <f>IFERROR(NHS_A_E[[#This Row],[T1_Over4hrs]]/NHS_A_E[[#This Row],[T1_Attendances]], 0)</f>
        <v>0.38212723822097533</v>
      </c>
      <c r="O1145">
        <f>NHS_A_E[[#This Row],[T1_Attendances]]+NHS_A_E[[#This Row],[Other_Attendances]]</f>
        <v>15135</v>
      </c>
      <c r="P1145">
        <f>MATCH(LEFT(A1145,FIND("-",A1145)-1),{"April","May","June","July","August","September","October","November","December","January","February","March"},0)</f>
        <v>6</v>
      </c>
      <c r="Q1145" s="3">
        <f t="shared" si="34"/>
        <v>3.8369502434194243E-2</v>
      </c>
      <c r="R1145" t="str">
        <f t="shared" si="35"/>
        <v>September</v>
      </c>
    </row>
    <row r="1146" spans="1:18" x14ac:dyDescent="0.35">
      <c r="A1146" t="s">
        <v>434</v>
      </c>
      <c r="B1146" t="s">
        <v>375</v>
      </c>
      <c r="C1146" t="s">
        <v>40</v>
      </c>
      <c r="D1146" t="s">
        <v>376</v>
      </c>
      <c r="E1146">
        <v>11092</v>
      </c>
      <c r="F1146">
        <v>8078</v>
      </c>
      <c r="G1146">
        <v>4432</v>
      </c>
      <c r="H1146">
        <v>161</v>
      </c>
      <c r="I1146">
        <v>894</v>
      </c>
      <c r="J1146">
        <v>299</v>
      </c>
      <c r="K1146" s="1">
        <v>45901</v>
      </c>
      <c r="L1146" t="s">
        <v>429</v>
      </c>
      <c r="M1146" t="s">
        <v>435</v>
      </c>
      <c r="N1146" s="2">
        <f>IFERROR(NHS_A_E[[#This Row],[T1_Over4hrs]]/NHS_A_E[[#This Row],[T1_Attendances]], 0)</f>
        <v>0.3995672556797692</v>
      </c>
      <c r="O1146">
        <f>NHS_A_E[[#This Row],[T1_Attendances]]+NHS_A_E[[#This Row],[Other_Attendances]]</f>
        <v>19170</v>
      </c>
      <c r="P1146">
        <f>MATCH(LEFT(A1146,FIND("-",A1146)-1),{"April","May","June","July","August","September","October","November","December","January","February","March"},0)</f>
        <v>6</v>
      </c>
      <c r="Q1146" s="3">
        <f t="shared" si="34"/>
        <v>2.695636494771006E-2</v>
      </c>
      <c r="R1146" t="str">
        <f t="shared" si="35"/>
        <v>September</v>
      </c>
    </row>
    <row r="1147" spans="1:18" x14ac:dyDescent="0.35">
      <c r="A1147" t="s">
        <v>434</v>
      </c>
      <c r="B1147" t="s">
        <v>171</v>
      </c>
      <c r="C1147" t="s">
        <v>35</v>
      </c>
      <c r="D1147" t="s">
        <v>172</v>
      </c>
      <c r="E1147">
        <v>10989</v>
      </c>
      <c r="F1147">
        <v>2368</v>
      </c>
      <c r="G1147">
        <v>3292</v>
      </c>
      <c r="H1147">
        <v>195</v>
      </c>
      <c r="I1147">
        <v>871</v>
      </c>
      <c r="J1147">
        <v>778</v>
      </c>
      <c r="K1147" s="1">
        <v>45901</v>
      </c>
      <c r="L1147" t="s">
        <v>429</v>
      </c>
      <c r="M1147" t="s">
        <v>435</v>
      </c>
      <c r="N1147" s="2">
        <f>IFERROR(NHS_A_E[[#This Row],[T1_Over4hrs]]/NHS_A_E[[#This Row],[T1_Attendances]], 0)</f>
        <v>0.29957229957229958</v>
      </c>
      <c r="O1147">
        <f>NHS_A_E[[#This Row],[T1_Attendances]]+NHS_A_E[[#This Row],[Other_Attendances]]</f>
        <v>13357</v>
      </c>
      <c r="P1147">
        <f>MATCH(LEFT(A1147,FIND("-",A1147)-1),{"April","May","June","July","August","September","October","November","December","January","February","March"},0)</f>
        <v>6</v>
      </c>
      <c r="Q1147" s="3">
        <f t="shared" si="34"/>
        <v>7.0798070798070795E-2</v>
      </c>
      <c r="R1147" t="str">
        <f t="shared" si="35"/>
        <v>September</v>
      </c>
    </row>
    <row r="1148" spans="1:18" x14ac:dyDescent="0.35">
      <c r="A1148" t="s">
        <v>434</v>
      </c>
      <c r="B1148" t="s">
        <v>287</v>
      </c>
      <c r="C1148" t="s">
        <v>40</v>
      </c>
      <c r="D1148" t="s">
        <v>288</v>
      </c>
      <c r="E1148">
        <v>0</v>
      </c>
      <c r="F1148">
        <v>3150</v>
      </c>
      <c r="G1148">
        <v>0</v>
      </c>
      <c r="H1148">
        <v>0</v>
      </c>
      <c r="I1148">
        <v>0</v>
      </c>
      <c r="J1148">
        <v>0</v>
      </c>
      <c r="K1148" s="1">
        <v>45901</v>
      </c>
      <c r="L1148" t="s">
        <v>429</v>
      </c>
      <c r="M1148" t="s">
        <v>435</v>
      </c>
      <c r="N1148" s="2">
        <f>IFERROR(NHS_A_E[[#This Row],[T1_Over4hrs]]/NHS_A_E[[#This Row],[T1_Attendances]], 0)</f>
        <v>0</v>
      </c>
      <c r="O1148">
        <f>NHS_A_E[[#This Row],[T1_Attendances]]+NHS_A_E[[#This Row],[Other_Attendances]]</f>
        <v>3150</v>
      </c>
      <c r="P1148">
        <f>MATCH(LEFT(A1148,FIND("-",A1148)-1),{"April","May","June","July","August","September","October","November","December","January","February","March"},0)</f>
        <v>6</v>
      </c>
      <c r="Q1148" s="3">
        <f t="shared" si="34"/>
        <v>0</v>
      </c>
      <c r="R1148" t="str">
        <f t="shared" si="35"/>
        <v>September</v>
      </c>
    </row>
    <row r="1149" spans="1:18" x14ac:dyDescent="0.35">
      <c r="A1149" t="s">
        <v>434</v>
      </c>
      <c r="B1149" t="s">
        <v>179</v>
      </c>
      <c r="C1149" t="s">
        <v>40</v>
      </c>
      <c r="D1149" t="s">
        <v>180</v>
      </c>
      <c r="E1149">
        <v>16570</v>
      </c>
      <c r="F1149">
        <v>3896</v>
      </c>
      <c r="G1149">
        <v>6887</v>
      </c>
      <c r="H1149">
        <v>267</v>
      </c>
      <c r="I1149">
        <v>985</v>
      </c>
      <c r="J1149">
        <v>946</v>
      </c>
      <c r="K1149" s="1">
        <v>45901</v>
      </c>
      <c r="L1149" t="s">
        <v>429</v>
      </c>
      <c r="M1149" t="s">
        <v>435</v>
      </c>
      <c r="N1149" s="2">
        <f>IFERROR(NHS_A_E[[#This Row],[T1_Over4hrs]]/NHS_A_E[[#This Row],[T1_Attendances]], 0)</f>
        <v>0.41563065781532893</v>
      </c>
      <c r="O1149">
        <f>NHS_A_E[[#This Row],[T1_Attendances]]+NHS_A_E[[#This Row],[Other_Attendances]]</f>
        <v>20466</v>
      </c>
      <c r="P1149">
        <f>MATCH(LEFT(A1149,FIND("-",A1149)-1),{"April","May","June","July","August","September","October","November","December","January","February","March"},0)</f>
        <v>6</v>
      </c>
      <c r="Q1149" s="3">
        <f t="shared" si="34"/>
        <v>5.7091128545564272E-2</v>
      </c>
      <c r="R1149" t="str">
        <f t="shared" si="35"/>
        <v>September</v>
      </c>
    </row>
    <row r="1150" spans="1:18" x14ac:dyDescent="0.35">
      <c r="A1150" t="s">
        <v>434</v>
      </c>
      <c r="B1150" t="s">
        <v>271</v>
      </c>
      <c r="C1150" t="s">
        <v>30</v>
      </c>
      <c r="D1150" t="s">
        <v>272</v>
      </c>
      <c r="E1150">
        <v>0</v>
      </c>
      <c r="F1150">
        <v>13214</v>
      </c>
      <c r="G1150">
        <v>0</v>
      </c>
      <c r="H1150">
        <v>235</v>
      </c>
      <c r="I1150">
        <v>0</v>
      </c>
      <c r="J1150">
        <v>0</v>
      </c>
      <c r="K1150" s="1">
        <v>45901</v>
      </c>
      <c r="L1150" t="s">
        <v>429</v>
      </c>
      <c r="M1150" t="s">
        <v>435</v>
      </c>
      <c r="N1150" s="2">
        <f>IFERROR(NHS_A_E[[#This Row],[T1_Over4hrs]]/NHS_A_E[[#This Row],[T1_Attendances]], 0)</f>
        <v>0</v>
      </c>
      <c r="O1150">
        <f>NHS_A_E[[#This Row],[T1_Attendances]]+NHS_A_E[[#This Row],[Other_Attendances]]</f>
        <v>13214</v>
      </c>
      <c r="P1150">
        <f>MATCH(LEFT(A1150,FIND("-",A1150)-1),{"April","May","June","July","August","September","October","November","December","January","February","March"},0)</f>
        <v>6</v>
      </c>
      <c r="Q1150" s="3">
        <f t="shared" si="34"/>
        <v>0</v>
      </c>
      <c r="R1150" t="str">
        <f t="shared" si="35"/>
        <v>September</v>
      </c>
    </row>
    <row r="1151" spans="1:18" x14ac:dyDescent="0.35">
      <c r="A1151" t="s">
        <v>434</v>
      </c>
      <c r="B1151" t="s">
        <v>337</v>
      </c>
      <c r="C1151" t="s">
        <v>20</v>
      </c>
      <c r="D1151" t="s">
        <v>338</v>
      </c>
      <c r="E1151">
        <v>13867</v>
      </c>
      <c r="F1151">
        <v>4973</v>
      </c>
      <c r="G1151">
        <v>5538</v>
      </c>
      <c r="H1151">
        <v>0</v>
      </c>
      <c r="I1151">
        <v>936</v>
      </c>
      <c r="J1151">
        <v>169</v>
      </c>
      <c r="K1151" s="1">
        <v>45901</v>
      </c>
      <c r="L1151" t="s">
        <v>429</v>
      </c>
      <c r="M1151" t="s">
        <v>435</v>
      </c>
      <c r="N1151" s="2">
        <f>IFERROR(NHS_A_E[[#This Row],[T1_Over4hrs]]/NHS_A_E[[#This Row],[T1_Attendances]], 0)</f>
        <v>0.39936539987019543</v>
      </c>
      <c r="O1151">
        <f>NHS_A_E[[#This Row],[T1_Attendances]]+NHS_A_E[[#This Row],[Other_Attendances]]</f>
        <v>18840</v>
      </c>
      <c r="P1151">
        <f>MATCH(LEFT(A1151,FIND("-",A1151)-1),{"April","May","June","July","August","September","October","November","December","January","February","March"},0)</f>
        <v>6</v>
      </c>
      <c r="Q1151" s="3">
        <f t="shared" si="34"/>
        <v>1.2187207038292349E-2</v>
      </c>
      <c r="R1151" t="str">
        <f t="shared" si="35"/>
        <v>September</v>
      </c>
    </row>
    <row r="1152" spans="1:18" x14ac:dyDescent="0.35">
      <c r="A1152" t="s">
        <v>434</v>
      </c>
      <c r="B1152" t="s">
        <v>333</v>
      </c>
      <c r="C1152" t="s">
        <v>30</v>
      </c>
      <c r="D1152" t="s">
        <v>334</v>
      </c>
      <c r="E1152">
        <v>25360</v>
      </c>
      <c r="F1152">
        <v>10810</v>
      </c>
      <c r="G1152">
        <v>11008</v>
      </c>
      <c r="H1152">
        <v>296</v>
      </c>
      <c r="I1152">
        <v>3225</v>
      </c>
      <c r="J1152">
        <v>105</v>
      </c>
      <c r="K1152" s="1">
        <v>45901</v>
      </c>
      <c r="L1152" t="s">
        <v>429</v>
      </c>
      <c r="M1152" t="s">
        <v>435</v>
      </c>
      <c r="N1152" s="2">
        <f>IFERROR(NHS_A_E[[#This Row],[T1_Over4hrs]]/NHS_A_E[[#This Row],[T1_Attendances]], 0)</f>
        <v>0.43406940063091481</v>
      </c>
      <c r="O1152">
        <f>NHS_A_E[[#This Row],[T1_Attendances]]+NHS_A_E[[#This Row],[Other_Attendances]]</f>
        <v>36170</v>
      </c>
      <c r="P1152">
        <f>MATCH(LEFT(A1152,FIND("-",A1152)-1),{"April","May","June","July","August","September","October","November","December","January","February","March"},0)</f>
        <v>6</v>
      </c>
      <c r="Q1152" s="3">
        <f t="shared" si="34"/>
        <v>4.1403785488958993E-3</v>
      </c>
      <c r="R1152" t="str">
        <f t="shared" si="35"/>
        <v>September</v>
      </c>
    </row>
    <row r="1153" spans="1:18" x14ac:dyDescent="0.35">
      <c r="A1153" t="s">
        <v>434</v>
      </c>
      <c r="B1153" t="s">
        <v>247</v>
      </c>
      <c r="C1153" t="s">
        <v>15</v>
      </c>
      <c r="D1153" t="s">
        <v>248</v>
      </c>
      <c r="E1153">
        <v>0</v>
      </c>
      <c r="F1153">
        <v>5205</v>
      </c>
      <c r="G1153">
        <v>0</v>
      </c>
      <c r="H1153">
        <v>390</v>
      </c>
      <c r="I1153">
        <v>0</v>
      </c>
      <c r="J1153">
        <v>0</v>
      </c>
      <c r="K1153" s="1">
        <v>45901</v>
      </c>
      <c r="L1153" t="s">
        <v>429</v>
      </c>
      <c r="M1153" t="s">
        <v>435</v>
      </c>
      <c r="N1153" s="2">
        <f>IFERROR(NHS_A_E[[#This Row],[T1_Over4hrs]]/NHS_A_E[[#This Row],[T1_Attendances]], 0)</f>
        <v>0</v>
      </c>
      <c r="O1153">
        <f>NHS_A_E[[#This Row],[T1_Attendances]]+NHS_A_E[[#This Row],[Other_Attendances]]</f>
        <v>5205</v>
      </c>
      <c r="P1153">
        <f>MATCH(LEFT(A1153,FIND("-",A1153)-1),{"April","May","June","July","August","September","October","November","December","January","February","March"},0)</f>
        <v>6</v>
      </c>
      <c r="Q1153" s="3">
        <f t="shared" si="34"/>
        <v>0</v>
      </c>
      <c r="R1153" t="str">
        <f t="shared" si="35"/>
        <v>September</v>
      </c>
    </row>
    <row r="1154" spans="1:18" x14ac:dyDescent="0.35">
      <c r="A1154" t="s">
        <v>434</v>
      </c>
      <c r="B1154" t="s">
        <v>420</v>
      </c>
      <c r="C1154" t="s">
        <v>15</v>
      </c>
      <c r="D1154" t="s">
        <v>421</v>
      </c>
      <c r="E1154">
        <v>0</v>
      </c>
      <c r="F1154">
        <v>2934</v>
      </c>
      <c r="G1154">
        <v>0</v>
      </c>
      <c r="H1154">
        <v>0</v>
      </c>
      <c r="I1154">
        <v>0</v>
      </c>
      <c r="J1154">
        <v>0</v>
      </c>
      <c r="K1154" s="1">
        <v>45901</v>
      </c>
      <c r="L1154" t="s">
        <v>429</v>
      </c>
      <c r="M1154" t="s">
        <v>435</v>
      </c>
      <c r="N1154" s="2">
        <f>IFERROR(NHS_A_E[[#This Row],[T1_Over4hrs]]/NHS_A_E[[#This Row],[T1_Attendances]], 0)</f>
        <v>0</v>
      </c>
      <c r="O1154">
        <f>NHS_A_E[[#This Row],[T1_Attendances]]+NHS_A_E[[#This Row],[Other_Attendances]]</f>
        <v>2934</v>
      </c>
      <c r="P1154">
        <f>MATCH(LEFT(A1154,FIND("-",A1154)-1),{"April","May","June","July","August","September","October","November","December","January","February","March"},0)</f>
        <v>6</v>
      </c>
      <c r="Q1154" s="3">
        <f t="shared" ref="Q1154:Q1217" si="36">IFERROR(J1154/E1154,0)</f>
        <v>0</v>
      </c>
      <c r="R1154" t="str">
        <f t="shared" ref="R1154:R1217" si="37">TEXT(A1154, "mmmm")</f>
        <v>September</v>
      </c>
    </row>
    <row r="1155" spans="1:18" x14ac:dyDescent="0.35">
      <c r="A1155" t="s">
        <v>434</v>
      </c>
      <c r="B1155" t="s">
        <v>397</v>
      </c>
      <c r="C1155" t="s">
        <v>63</v>
      </c>
      <c r="D1155" t="s">
        <v>398</v>
      </c>
      <c r="E1155">
        <v>0</v>
      </c>
      <c r="F1155">
        <v>392</v>
      </c>
      <c r="G1155">
        <v>0</v>
      </c>
      <c r="H1155">
        <v>0</v>
      </c>
      <c r="I1155">
        <v>0</v>
      </c>
      <c r="J1155">
        <v>0</v>
      </c>
      <c r="K1155" s="1">
        <v>45901</v>
      </c>
      <c r="L1155" t="s">
        <v>429</v>
      </c>
      <c r="M1155" t="s">
        <v>435</v>
      </c>
      <c r="N1155" s="2">
        <f>IFERROR(NHS_A_E[[#This Row],[T1_Over4hrs]]/NHS_A_E[[#This Row],[T1_Attendances]], 0)</f>
        <v>0</v>
      </c>
      <c r="O1155">
        <f>NHS_A_E[[#This Row],[T1_Attendances]]+NHS_A_E[[#This Row],[Other_Attendances]]</f>
        <v>392</v>
      </c>
      <c r="P1155">
        <f>MATCH(LEFT(A1155,FIND("-",A1155)-1),{"April","May","June","July","August","September","October","November","December","January","February","March"},0)</f>
        <v>6</v>
      </c>
      <c r="Q1155" s="3">
        <f t="shared" si="36"/>
        <v>0</v>
      </c>
      <c r="R1155" t="str">
        <f t="shared" si="37"/>
        <v>September</v>
      </c>
    </row>
    <row r="1156" spans="1:18" x14ac:dyDescent="0.35">
      <c r="A1156" t="s">
        <v>434</v>
      </c>
      <c r="B1156" t="s">
        <v>163</v>
      </c>
      <c r="C1156" t="s">
        <v>35</v>
      </c>
      <c r="D1156" t="s">
        <v>164</v>
      </c>
      <c r="E1156">
        <v>0</v>
      </c>
      <c r="F1156">
        <v>3395</v>
      </c>
      <c r="G1156">
        <v>0</v>
      </c>
      <c r="H1156">
        <v>30</v>
      </c>
      <c r="I1156">
        <v>0</v>
      </c>
      <c r="J1156">
        <v>0</v>
      </c>
      <c r="K1156" s="1">
        <v>45901</v>
      </c>
      <c r="L1156" t="s">
        <v>429</v>
      </c>
      <c r="M1156" t="s">
        <v>435</v>
      </c>
      <c r="N1156" s="2">
        <f>IFERROR(NHS_A_E[[#This Row],[T1_Over4hrs]]/NHS_A_E[[#This Row],[T1_Attendances]], 0)</f>
        <v>0</v>
      </c>
      <c r="O1156">
        <f>NHS_A_E[[#This Row],[T1_Attendances]]+NHS_A_E[[#This Row],[Other_Attendances]]</f>
        <v>3395</v>
      </c>
      <c r="P1156">
        <f>MATCH(LEFT(A1156,FIND("-",A1156)-1),{"April","May","June","July","August","September","October","November","December","January","February","March"},0)</f>
        <v>6</v>
      </c>
      <c r="Q1156" s="3">
        <f t="shared" si="36"/>
        <v>0</v>
      </c>
      <c r="R1156" t="str">
        <f t="shared" si="37"/>
        <v>September</v>
      </c>
    </row>
    <row r="1157" spans="1:18" x14ac:dyDescent="0.35">
      <c r="A1157" t="s">
        <v>434</v>
      </c>
      <c r="B1157" t="s">
        <v>261</v>
      </c>
      <c r="C1157" t="s">
        <v>15</v>
      </c>
      <c r="D1157" t="s">
        <v>262</v>
      </c>
      <c r="E1157">
        <v>0</v>
      </c>
      <c r="F1157">
        <v>4919</v>
      </c>
      <c r="G1157">
        <v>0</v>
      </c>
      <c r="H1157">
        <v>0</v>
      </c>
      <c r="I1157">
        <v>0</v>
      </c>
      <c r="J1157">
        <v>0</v>
      </c>
      <c r="K1157" s="1">
        <v>45901</v>
      </c>
      <c r="L1157" t="s">
        <v>429</v>
      </c>
      <c r="M1157" t="s">
        <v>435</v>
      </c>
      <c r="N1157" s="2">
        <f>IFERROR(NHS_A_E[[#This Row],[T1_Over4hrs]]/NHS_A_E[[#This Row],[T1_Attendances]], 0)</f>
        <v>0</v>
      </c>
      <c r="O1157">
        <f>NHS_A_E[[#This Row],[T1_Attendances]]+NHS_A_E[[#This Row],[Other_Attendances]]</f>
        <v>4919</v>
      </c>
      <c r="P1157">
        <f>MATCH(LEFT(A1157,FIND("-",A1157)-1),{"April","May","June","July","August","September","October","November","December","January","February","March"},0)</f>
        <v>6</v>
      </c>
      <c r="Q1157" s="3">
        <f t="shared" si="36"/>
        <v>0</v>
      </c>
      <c r="R1157" t="str">
        <f t="shared" si="37"/>
        <v>September</v>
      </c>
    </row>
    <row r="1158" spans="1:18" x14ac:dyDescent="0.35">
      <c r="A1158" t="s">
        <v>434</v>
      </c>
      <c r="B1158" t="s">
        <v>329</v>
      </c>
      <c r="C1158" t="s">
        <v>40</v>
      </c>
      <c r="D1158" t="s">
        <v>430</v>
      </c>
      <c r="E1158">
        <v>0</v>
      </c>
      <c r="F1158">
        <v>4240</v>
      </c>
      <c r="G1158">
        <v>0</v>
      </c>
      <c r="H1158">
        <v>991</v>
      </c>
      <c r="I1158">
        <v>0</v>
      </c>
      <c r="J1158">
        <v>0</v>
      </c>
      <c r="K1158" s="1">
        <v>45901</v>
      </c>
      <c r="L1158" t="s">
        <v>429</v>
      </c>
      <c r="M1158" t="s">
        <v>435</v>
      </c>
      <c r="N1158" s="2">
        <f>IFERROR(NHS_A_E[[#This Row],[T1_Over4hrs]]/NHS_A_E[[#This Row],[T1_Attendances]], 0)</f>
        <v>0</v>
      </c>
      <c r="O1158">
        <f>NHS_A_E[[#This Row],[T1_Attendances]]+NHS_A_E[[#This Row],[Other_Attendances]]</f>
        <v>4240</v>
      </c>
      <c r="P1158">
        <f>MATCH(LEFT(A1158,FIND("-",A1158)-1),{"April","May","June","July","August","September","October","November","December","January","February","March"},0)</f>
        <v>6</v>
      </c>
      <c r="Q1158" s="3">
        <f t="shared" si="36"/>
        <v>0</v>
      </c>
      <c r="R1158" t="str">
        <f t="shared" si="37"/>
        <v>September</v>
      </c>
    </row>
    <row r="1159" spans="1:18" x14ac:dyDescent="0.35">
      <c r="A1159" t="s">
        <v>434</v>
      </c>
      <c r="B1159" t="s">
        <v>203</v>
      </c>
      <c r="C1159" t="s">
        <v>40</v>
      </c>
      <c r="D1159" t="s">
        <v>204</v>
      </c>
      <c r="E1159">
        <v>0</v>
      </c>
      <c r="F1159">
        <v>0</v>
      </c>
      <c r="G1159">
        <v>0</v>
      </c>
      <c r="H1159">
        <v>0</v>
      </c>
      <c r="I1159">
        <v>0</v>
      </c>
      <c r="J1159">
        <v>0</v>
      </c>
      <c r="K1159" s="1">
        <v>45901</v>
      </c>
      <c r="L1159" t="s">
        <v>429</v>
      </c>
      <c r="M1159" t="s">
        <v>435</v>
      </c>
      <c r="N1159" s="2">
        <f>IFERROR(NHS_A_E[[#This Row],[T1_Over4hrs]]/NHS_A_E[[#This Row],[T1_Attendances]], 0)</f>
        <v>0</v>
      </c>
      <c r="O1159">
        <f>NHS_A_E[[#This Row],[T1_Attendances]]+NHS_A_E[[#This Row],[Other_Attendances]]</f>
        <v>0</v>
      </c>
      <c r="P1159">
        <f>MATCH(LEFT(A1159,FIND("-",A1159)-1),{"April","May","June","July","August","September","October","November","December","January","February","March"},0)</f>
        <v>6</v>
      </c>
      <c r="Q1159" s="3">
        <f t="shared" si="36"/>
        <v>0</v>
      </c>
      <c r="R1159" t="str">
        <f t="shared" si="37"/>
        <v>September</v>
      </c>
    </row>
    <row r="1160" spans="1:18" x14ac:dyDescent="0.35">
      <c r="A1160" t="s">
        <v>434</v>
      </c>
      <c r="B1160" t="s">
        <v>325</v>
      </c>
      <c r="C1160" t="s">
        <v>40</v>
      </c>
      <c r="D1160" t="s">
        <v>326</v>
      </c>
      <c r="E1160">
        <v>0</v>
      </c>
      <c r="F1160">
        <v>8314</v>
      </c>
      <c r="G1160">
        <v>0</v>
      </c>
      <c r="H1160">
        <v>187</v>
      </c>
      <c r="I1160">
        <v>0</v>
      </c>
      <c r="J1160">
        <v>0</v>
      </c>
      <c r="K1160" s="1">
        <v>45901</v>
      </c>
      <c r="L1160" t="s">
        <v>429</v>
      </c>
      <c r="M1160" t="s">
        <v>435</v>
      </c>
      <c r="N1160" s="2">
        <f>IFERROR(NHS_A_E[[#This Row],[T1_Over4hrs]]/NHS_A_E[[#This Row],[T1_Attendances]], 0)</f>
        <v>0</v>
      </c>
      <c r="O1160">
        <f>NHS_A_E[[#This Row],[T1_Attendances]]+NHS_A_E[[#This Row],[Other_Attendances]]</f>
        <v>8314</v>
      </c>
      <c r="P1160">
        <f>MATCH(LEFT(A1160,FIND("-",A1160)-1),{"April","May","June","July","August","September","October","November","December","January","February","March"},0)</f>
        <v>6</v>
      </c>
      <c r="Q1160" s="3">
        <f t="shared" si="36"/>
        <v>0</v>
      </c>
      <c r="R1160" t="str">
        <f t="shared" si="37"/>
        <v>September</v>
      </c>
    </row>
    <row r="1161" spans="1:18" x14ac:dyDescent="0.35">
      <c r="A1161" t="s">
        <v>434</v>
      </c>
      <c r="B1161" t="s">
        <v>369</v>
      </c>
      <c r="C1161" t="s">
        <v>30</v>
      </c>
      <c r="D1161" t="s">
        <v>370</v>
      </c>
      <c r="E1161">
        <v>0</v>
      </c>
      <c r="F1161">
        <v>2781</v>
      </c>
      <c r="G1161">
        <v>0</v>
      </c>
      <c r="H1161">
        <v>52</v>
      </c>
      <c r="I1161">
        <v>0</v>
      </c>
      <c r="J1161">
        <v>0</v>
      </c>
      <c r="K1161" s="1">
        <v>45901</v>
      </c>
      <c r="L1161" t="s">
        <v>429</v>
      </c>
      <c r="M1161" t="s">
        <v>435</v>
      </c>
      <c r="N1161" s="2">
        <f>IFERROR(NHS_A_E[[#This Row],[T1_Over4hrs]]/NHS_A_E[[#This Row],[T1_Attendances]], 0)</f>
        <v>0</v>
      </c>
      <c r="O1161">
        <f>NHS_A_E[[#This Row],[T1_Attendances]]+NHS_A_E[[#This Row],[Other_Attendances]]</f>
        <v>2781</v>
      </c>
      <c r="P1161">
        <f>MATCH(LEFT(A1161,FIND("-",A1161)-1),{"April","May","June","July","August","September","October","November","December","January","February","March"},0)</f>
        <v>6</v>
      </c>
      <c r="Q1161" s="3">
        <f t="shared" si="36"/>
        <v>0</v>
      </c>
      <c r="R1161" t="str">
        <f t="shared" si="37"/>
        <v>September</v>
      </c>
    </row>
    <row r="1162" spans="1:18" x14ac:dyDescent="0.35">
      <c r="A1162" t="s">
        <v>434</v>
      </c>
      <c r="B1162" t="s">
        <v>199</v>
      </c>
      <c r="C1162" t="s">
        <v>40</v>
      </c>
      <c r="D1162" t="s">
        <v>200</v>
      </c>
      <c r="E1162">
        <v>10459</v>
      </c>
      <c r="F1162">
        <v>2507</v>
      </c>
      <c r="G1162">
        <v>5685</v>
      </c>
      <c r="H1162">
        <v>312</v>
      </c>
      <c r="I1162">
        <v>392</v>
      </c>
      <c r="J1162">
        <v>1492</v>
      </c>
      <c r="K1162" s="1">
        <v>45901</v>
      </c>
      <c r="L1162" t="s">
        <v>429</v>
      </c>
      <c r="M1162" t="s">
        <v>435</v>
      </c>
      <c r="N1162" s="2">
        <f>IFERROR(NHS_A_E[[#This Row],[T1_Over4hrs]]/NHS_A_E[[#This Row],[T1_Attendances]], 0)</f>
        <v>0.54355100870064055</v>
      </c>
      <c r="O1162">
        <f>NHS_A_E[[#This Row],[T1_Attendances]]+NHS_A_E[[#This Row],[Other_Attendances]]</f>
        <v>12966</v>
      </c>
      <c r="P1162">
        <f>MATCH(LEFT(A1162,FIND("-",A1162)-1),{"April","May","June","July","August","September","October","November","December","January","February","March"},0)</f>
        <v>6</v>
      </c>
      <c r="Q1162" s="3">
        <f t="shared" si="36"/>
        <v>0.14265226121044078</v>
      </c>
      <c r="R1162" t="str">
        <f t="shared" si="37"/>
        <v>September</v>
      </c>
    </row>
    <row r="1163" spans="1:18" x14ac:dyDescent="0.35">
      <c r="A1163" t="s">
        <v>434</v>
      </c>
      <c r="B1163" t="s">
        <v>193</v>
      </c>
      <c r="C1163" t="s">
        <v>63</v>
      </c>
      <c r="D1163" t="s">
        <v>194</v>
      </c>
      <c r="E1163">
        <v>0</v>
      </c>
      <c r="F1163">
        <v>0</v>
      </c>
      <c r="G1163">
        <v>0</v>
      </c>
      <c r="H1163">
        <v>0</v>
      </c>
      <c r="I1163">
        <v>0</v>
      </c>
      <c r="J1163">
        <v>0</v>
      </c>
      <c r="K1163" s="1">
        <v>45901</v>
      </c>
      <c r="L1163" t="s">
        <v>429</v>
      </c>
      <c r="M1163" t="s">
        <v>435</v>
      </c>
      <c r="N1163" s="2">
        <f>IFERROR(NHS_A_E[[#This Row],[T1_Over4hrs]]/NHS_A_E[[#This Row],[T1_Attendances]], 0)</f>
        <v>0</v>
      </c>
      <c r="O1163">
        <f>NHS_A_E[[#This Row],[T1_Attendances]]+NHS_A_E[[#This Row],[Other_Attendances]]</f>
        <v>0</v>
      </c>
      <c r="P1163">
        <f>MATCH(LEFT(A1163,FIND("-",A1163)-1),{"April","May","June","July","August","September","October","November","December","January","February","March"},0)</f>
        <v>6</v>
      </c>
      <c r="Q1163" s="3">
        <f t="shared" si="36"/>
        <v>0</v>
      </c>
      <c r="R1163" t="str">
        <f t="shared" si="37"/>
        <v>September</v>
      </c>
    </row>
    <row r="1164" spans="1:18" x14ac:dyDescent="0.35">
      <c r="A1164" t="s">
        <v>434</v>
      </c>
      <c r="B1164" t="s">
        <v>121</v>
      </c>
      <c r="C1164" t="s">
        <v>15</v>
      </c>
      <c r="D1164" t="s">
        <v>122</v>
      </c>
      <c r="E1164">
        <v>7056</v>
      </c>
      <c r="F1164">
        <v>2773</v>
      </c>
      <c r="G1164">
        <v>3397</v>
      </c>
      <c r="H1164">
        <v>23</v>
      </c>
      <c r="I1164">
        <v>518</v>
      </c>
      <c r="J1164">
        <v>299</v>
      </c>
      <c r="K1164" s="1">
        <v>45901</v>
      </c>
      <c r="L1164" t="s">
        <v>429</v>
      </c>
      <c r="M1164" t="s">
        <v>435</v>
      </c>
      <c r="N1164" s="2">
        <f>IFERROR(NHS_A_E[[#This Row],[T1_Over4hrs]]/NHS_A_E[[#This Row],[T1_Attendances]], 0)</f>
        <v>0.48143424036281179</v>
      </c>
      <c r="O1164">
        <f>NHS_A_E[[#This Row],[T1_Attendances]]+NHS_A_E[[#This Row],[Other_Attendances]]</f>
        <v>9829</v>
      </c>
      <c r="P1164">
        <f>MATCH(LEFT(A1164,FIND("-",A1164)-1),{"April","May","June","July","August","September","October","November","December","January","February","March"},0)</f>
        <v>6</v>
      </c>
      <c r="Q1164" s="3">
        <f t="shared" si="36"/>
        <v>4.2375283446712021E-2</v>
      </c>
      <c r="R1164" t="str">
        <f t="shared" si="37"/>
        <v>September</v>
      </c>
    </row>
    <row r="1165" spans="1:18" x14ac:dyDescent="0.35">
      <c r="A1165" t="s">
        <v>434</v>
      </c>
      <c r="B1165" t="s">
        <v>65</v>
      </c>
      <c r="C1165" t="s">
        <v>30</v>
      </c>
      <c r="D1165" t="s">
        <v>66</v>
      </c>
      <c r="E1165">
        <v>7389</v>
      </c>
      <c r="F1165">
        <v>4941</v>
      </c>
      <c r="G1165">
        <v>3087</v>
      </c>
      <c r="H1165">
        <v>41</v>
      </c>
      <c r="I1165">
        <v>640</v>
      </c>
      <c r="J1165">
        <v>439</v>
      </c>
      <c r="K1165" s="1">
        <v>45901</v>
      </c>
      <c r="L1165" t="s">
        <v>429</v>
      </c>
      <c r="M1165" t="s">
        <v>435</v>
      </c>
      <c r="N1165" s="2">
        <f>IFERROR(NHS_A_E[[#This Row],[T1_Over4hrs]]/NHS_A_E[[#This Row],[T1_Attendances]], 0)</f>
        <v>0.41778319123020707</v>
      </c>
      <c r="O1165">
        <f>NHS_A_E[[#This Row],[T1_Attendances]]+NHS_A_E[[#This Row],[Other_Attendances]]</f>
        <v>12330</v>
      </c>
      <c r="P1165">
        <f>MATCH(LEFT(A1165,FIND("-",A1165)-1),{"April","May","June","July","August","September","October","November","December","January","February","March"},0)</f>
        <v>6</v>
      </c>
      <c r="Q1165" s="3">
        <f t="shared" si="36"/>
        <v>5.9412640411422385E-2</v>
      </c>
      <c r="R1165" t="str">
        <f t="shared" si="37"/>
        <v>September</v>
      </c>
    </row>
    <row r="1166" spans="1:18" x14ac:dyDescent="0.35">
      <c r="A1166" t="s">
        <v>434</v>
      </c>
      <c r="B1166" t="s">
        <v>62</v>
      </c>
      <c r="C1166" t="s">
        <v>63</v>
      </c>
      <c r="D1166" t="s">
        <v>64</v>
      </c>
      <c r="E1166">
        <v>17702</v>
      </c>
      <c r="F1166">
        <v>11080</v>
      </c>
      <c r="G1166">
        <v>6911</v>
      </c>
      <c r="H1166">
        <v>153</v>
      </c>
      <c r="I1166">
        <v>1435</v>
      </c>
      <c r="J1166">
        <v>552</v>
      </c>
      <c r="K1166" s="1">
        <v>45901</v>
      </c>
      <c r="L1166" t="s">
        <v>429</v>
      </c>
      <c r="M1166" t="s">
        <v>435</v>
      </c>
      <c r="N1166" s="2">
        <f>IFERROR(NHS_A_E[[#This Row],[T1_Over4hrs]]/NHS_A_E[[#This Row],[T1_Attendances]], 0)</f>
        <v>0.39040786351824652</v>
      </c>
      <c r="O1166">
        <f>NHS_A_E[[#This Row],[T1_Attendances]]+NHS_A_E[[#This Row],[Other_Attendances]]</f>
        <v>28782</v>
      </c>
      <c r="P1166">
        <f>MATCH(LEFT(A1166,FIND("-",A1166)-1),{"April","May","June","July","August","September","October","November","December","January","February","March"},0)</f>
        <v>6</v>
      </c>
      <c r="Q1166" s="3">
        <f t="shared" si="36"/>
        <v>3.1182917184498928E-2</v>
      </c>
      <c r="R1166" t="str">
        <f t="shared" si="37"/>
        <v>September</v>
      </c>
    </row>
    <row r="1167" spans="1:18" x14ac:dyDescent="0.35">
      <c r="A1167" t="s">
        <v>434</v>
      </c>
      <c r="B1167" t="s">
        <v>323</v>
      </c>
      <c r="C1167" t="s">
        <v>23</v>
      </c>
      <c r="D1167" t="s">
        <v>324</v>
      </c>
      <c r="E1167">
        <v>8343</v>
      </c>
      <c r="F1167">
        <v>1926</v>
      </c>
      <c r="G1167">
        <v>2187</v>
      </c>
      <c r="H1167">
        <v>0</v>
      </c>
      <c r="I1167">
        <v>547</v>
      </c>
      <c r="J1167">
        <v>279</v>
      </c>
      <c r="K1167" s="1">
        <v>45901</v>
      </c>
      <c r="L1167" t="s">
        <v>429</v>
      </c>
      <c r="M1167" t="s">
        <v>435</v>
      </c>
      <c r="N1167" s="2">
        <f>IFERROR(NHS_A_E[[#This Row],[T1_Over4hrs]]/NHS_A_E[[#This Row],[T1_Attendances]], 0)</f>
        <v>0.26213592233009708</v>
      </c>
      <c r="O1167">
        <f>NHS_A_E[[#This Row],[T1_Attendances]]+NHS_A_E[[#This Row],[Other_Attendances]]</f>
        <v>10269</v>
      </c>
      <c r="P1167">
        <f>MATCH(LEFT(A1167,FIND("-",A1167)-1),{"April","May","June","July","August","September","October","November","December","January","February","March"},0)</f>
        <v>6</v>
      </c>
      <c r="Q1167" s="3">
        <f t="shared" si="36"/>
        <v>3.3441208198489752E-2</v>
      </c>
      <c r="R1167" t="str">
        <f t="shared" si="37"/>
        <v>September</v>
      </c>
    </row>
    <row r="1168" spans="1:18" x14ac:dyDescent="0.35">
      <c r="A1168" t="s">
        <v>434</v>
      </c>
      <c r="B1168" t="s">
        <v>60</v>
      </c>
      <c r="C1168" t="s">
        <v>35</v>
      </c>
      <c r="D1168" t="s">
        <v>61</v>
      </c>
      <c r="E1168">
        <v>19591</v>
      </c>
      <c r="F1168">
        <v>6102</v>
      </c>
      <c r="G1168">
        <v>5703</v>
      </c>
      <c r="H1168">
        <v>135</v>
      </c>
      <c r="I1168">
        <v>937</v>
      </c>
      <c r="J1168">
        <v>46</v>
      </c>
      <c r="K1168" s="1">
        <v>45901</v>
      </c>
      <c r="L1168" t="s">
        <v>429</v>
      </c>
      <c r="M1168" t="s">
        <v>435</v>
      </c>
      <c r="N1168" s="2">
        <f>IFERROR(NHS_A_E[[#This Row],[T1_Over4hrs]]/NHS_A_E[[#This Row],[T1_Attendances]], 0)</f>
        <v>0.29110305752641519</v>
      </c>
      <c r="O1168">
        <f>NHS_A_E[[#This Row],[T1_Attendances]]+NHS_A_E[[#This Row],[Other_Attendances]]</f>
        <v>25693</v>
      </c>
      <c r="P1168">
        <f>MATCH(LEFT(A1168,FIND("-",A1168)-1),{"April","May","June","July","August","September","October","November","December","January","February","March"},0)</f>
        <v>6</v>
      </c>
      <c r="Q1168" s="3">
        <f t="shared" si="36"/>
        <v>2.3480169465570923E-3</v>
      </c>
      <c r="R1168" t="str">
        <f t="shared" si="37"/>
        <v>September</v>
      </c>
    </row>
    <row r="1169" spans="1:18" x14ac:dyDescent="0.35">
      <c r="A1169" t="s">
        <v>434</v>
      </c>
      <c r="B1169" t="s">
        <v>407</v>
      </c>
      <c r="C1169" t="s">
        <v>35</v>
      </c>
      <c r="D1169" t="s">
        <v>408</v>
      </c>
      <c r="E1169">
        <v>0</v>
      </c>
      <c r="F1169">
        <v>0</v>
      </c>
      <c r="G1169">
        <v>0</v>
      </c>
      <c r="H1169">
        <v>0</v>
      </c>
      <c r="I1169">
        <v>0</v>
      </c>
      <c r="J1169">
        <v>0</v>
      </c>
      <c r="K1169" s="1">
        <v>45901</v>
      </c>
      <c r="L1169" t="s">
        <v>429</v>
      </c>
      <c r="M1169" t="s">
        <v>435</v>
      </c>
      <c r="N1169" s="2">
        <f>IFERROR(NHS_A_E[[#This Row],[T1_Over4hrs]]/NHS_A_E[[#This Row],[T1_Attendances]], 0)</f>
        <v>0</v>
      </c>
      <c r="O1169">
        <f>NHS_A_E[[#This Row],[T1_Attendances]]+NHS_A_E[[#This Row],[Other_Attendances]]</f>
        <v>0</v>
      </c>
      <c r="P1169">
        <f>MATCH(LEFT(A1169,FIND("-",A1169)-1),{"April","May","June","July","August","September","October","November","December","January","February","March"},0)</f>
        <v>6</v>
      </c>
      <c r="Q1169" s="3">
        <f t="shared" si="36"/>
        <v>0</v>
      </c>
      <c r="R1169" t="str">
        <f t="shared" si="37"/>
        <v>September</v>
      </c>
    </row>
    <row r="1170" spans="1:18" x14ac:dyDescent="0.35">
      <c r="A1170" t="s">
        <v>434</v>
      </c>
      <c r="B1170" t="s">
        <v>52</v>
      </c>
      <c r="C1170" t="s">
        <v>40</v>
      </c>
      <c r="D1170" t="s">
        <v>53</v>
      </c>
      <c r="E1170">
        <v>10254</v>
      </c>
      <c r="F1170">
        <v>1764</v>
      </c>
      <c r="G1170">
        <v>4221</v>
      </c>
      <c r="H1170">
        <v>81</v>
      </c>
      <c r="I1170">
        <v>603</v>
      </c>
      <c r="J1170">
        <v>628</v>
      </c>
      <c r="K1170" s="1">
        <v>45901</v>
      </c>
      <c r="L1170" t="s">
        <v>429</v>
      </c>
      <c r="M1170" t="s">
        <v>435</v>
      </c>
      <c r="N1170" s="2">
        <f>IFERROR(NHS_A_E[[#This Row],[T1_Over4hrs]]/NHS_A_E[[#This Row],[T1_Attendances]], 0)</f>
        <v>0.41164423639555298</v>
      </c>
      <c r="O1170">
        <f>NHS_A_E[[#This Row],[T1_Attendances]]+NHS_A_E[[#This Row],[Other_Attendances]]</f>
        <v>12018</v>
      </c>
      <c r="P1170">
        <f>MATCH(LEFT(A1170,FIND("-",A1170)-1),{"April","May","June","July","August","September","October","November","December","January","February","March"},0)</f>
        <v>6</v>
      </c>
      <c r="Q1170" s="3">
        <f t="shared" si="36"/>
        <v>6.1244392432221573E-2</v>
      </c>
      <c r="R1170" t="str">
        <f t="shared" si="37"/>
        <v>September</v>
      </c>
    </row>
    <row r="1171" spans="1:18" x14ac:dyDescent="0.35">
      <c r="A1171" t="s">
        <v>434</v>
      </c>
      <c r="B1171" t="s">
        <v>417</v>
      </c>
      <c r="C1171" t="s">
        <v>63</v>
      </c>
      <c r="D1171" t="s">
        <v>418</v>
      </c>
      <c r="E1171">
        <v>8864</v>
      </c>
      <c r="F1171">
        <v>1987</v>
      </c>
      <c r="G1171">
        <v>4042</v>
      </c>
      <c r="H1171">
        <v>9</v>
      </c>
      <c r="I1171">
        <v>647</v>
      </c>
      <c r="J1171">
        <v>277</v>
      </c>
      <c r="K1171" s="1">
        <v>45901</v>
      </c>
      <c r="L1171" t="s">
        <v>429</v>
      </c>
      <c r="M1171" t="s">
        <v>435</v>
      </c>
      <c r="N1171" s="2">
        <f>IFERROR(NHS_A_E[[#This Row],[T1_Over4hrs]]/NHS_A_E[[#This Row],[T1_Attendances]], 0)</f>
        <v>0.45600180505415161</v>
      </c>
      <c r="O1171">
        <f>NHS_A_E[[#This Row],[T1_Attendances]]+NHS_A_E[[#This Row],[Other_Attendances]]</f>
        <v>10851</v>
      </c>
      <c r="P1171">
        <f>MATCH(LEFT(A1171,FIND("-",A1171)-1),{"April","May","June","July","August","September","October","November","December","January","February","March"},0)</f>
        <v>6</v>
      </c>
      <c r="Q1171" s="3">
        <f t="shared" si="36"/>
        <v>3.125E-2</v>
      </c>
      <c r="R1171" t="str">
        <f t="shared" si="37"/>
        <v>September</v>
      </c>
    </row>
    <row r="1172" spans="1:18" x14ac:dyDescent="0.35">
      <c r="A1172" t="s">
        <v>434</v>
      </c>
      <c r="B1172" t="s">
        <v>209</v>
      </c>
      <c r="C1172" t="s">
        <v>35</v>
      </c>
      <c r="D1172" t="s">
        <v>210</v>
      </c>
      <c r="E1172">
        <v>24887</v>
      </c>
      <c r="F1172">
        <v>17931</v>
      </c>
      <c r="G1172">
        <v>10741</v>
      </c>
      <c r="H1172">
        <v>1565</v>
      </c>
      <c r="I1172">
        <v>1162</v>
      </c>
      <c r="J1172">
        <v>951</v>
      </c>
      <c r="K1172" s="1">
        <v>45901</v>
      </c>
      <c r="L1172" t="s">
        <v>429</v>
      </c>
      <c r="M1172" t="s">
        <v>435</v>
      </c>
      <c r="N1172" s="2">
        <f>IFERROR(NHS_A_E[[#This Row],[T1_Over4hrs]]/NHS_A_E[[#This Row],[T1_Attendances]], 0)</f>
        <v>0.4315907903724836</v>
      </c>
      <c r="O1172">
        <f>NHS_A_E[[#This Row],[T1_Attendances]]+NHS_A_E[[#This Row],[Other_Attendances]]</f>
        <v>42818</v>
      </c>
      <c r="P1172">
        <f>MATCH(LEFT(A1172,FIND("-",A1172)-1),{"April","May","June","July","August","September","October","November","December","January","February","March"},0)</f>
        <v>6</v>
      </c>
      <c r="Q1172" s="3">
        <f t="shared" si="36"/>
        <v>3.8212721501185355E-2</v>
      </c>
      <c r="R1172" t="str">
        <f t="shared" si="37"/>
        <v>September</v>
      </c>
    </row>
    <row r="1173" spans="1:18" x14ac:dyDescent="0.35">
      <c r="A1173" t="s">
        <v>434</v>
      </c>
      <c r="B1173" t="s">
        <v>177</v>
      </c>
      <c r="C1173" t="s">
        <v>63</v>
      </c>
      <c r="D1173" t="s">
        <v>178</v>
      </c>
      <c r="E1173">
        <v>9658</v>
      </c>
      <c r="F1173">
        <v>4482</v>
      </c>
      <c r="G1173">
        <v>5594</v>
      </c>
      <c r="H1173">
        <v>280</v>
      </c>
      <c r="I1173">
        <v>972</v>
      </c>
      <c r="J1173">
        <v>600</v>
      </c>
      <c r="K1173" s="1">
        <v>45901</v>
      </c>
      <c r="L1173" t="s">
        <v>429</v>
      </c>
      <c r="M1173" t="s">
        <v>435</v>
      </c>
      <c r="N1173" s="2">
        <f>IFERROR(NHS_A_E[[#This Row],[T1_Over4hrs]]/NHS_A_E[[#This Row],[T1_Attendances]], 0)</f>
        <v>0.57920894595154271</v>
      </c>
      <c r="O1173">
        <f>NHS_A_E[[#This Row],[T1_Attendances]]+NHS_A_E[[#This Row],[Other_Attendances]]</f>
        <v>14140</v>
      </c>
      <c r="P1173">
        <f>MATCH(LEFT(A1173,FIND("-",A1173)-1),{"April","May","June","July","August","September","October","November","December","January","February","March"},0)</f>
        <v>6</v>
      </c>
      <c r="Q1173" s="3">
        <f t="shared" si="36"/>
        <v>6.2124663491406086E-2</v>
      </c>
      <c r="R1173" t="str">
        <f t="shared" si="37"/>
        <v>September</v>
      </c>
    </row>
    <row r="1174" spans="1:18" x14ac:dyDescent="0.35">
      <c r="A1174" t="s">
        <v>434</v>
      </c>
      <c r="B1174" t="s">
        <v>339</v>
      </c>
      <c r="C1174" t="s">
        <v>20</v>
      </c>
      <c r="D1174" t="s">
        <v>340</v>
      </c>
      <c r="E1174">
        <v>15522</v>
      </c>
      <c r="F1174">
        <v>0</v>
      </c>
      <c r="G1174">
        <v>5293</v>
      </c>
      <c r="H1174">
        <v>0</v>
      </c>
      <c r="I1174">
        <v>1027</v>
      </c>
      <c r="J1174">
        <v>213</v>
      </c>
      <c r="K1174" s="1">
        <v>45901</v>
      </c>
      <c r="L1174" t="s">
        <v>429</v>
      </c>
      <c r="M1174" t="s">
        <v>435</v>
      </c>
      <c r="N1174" s="2">
        <f>IFERROR(NHS_A_E[[#This Row],[T1_Over4hrs]]/NHS_A_E[[#This Row],[T1_Attendances]], 0)</f>
        <v>0.34099987115062491</v>
      </c>
      <c r="O1174">
        <f>NHS_A_E[[#This Row],[T1_Attendances]]+NHS_A_E[[#This Row],[Other_Attendances]]</f>
        <v>15522</v>
      </c>
      <c r="P1174">
        <f>MATCH(LEFT(A1174,FIND("-",A1174)-1),{"April","May","June","July","August","September","October","November","December","January","February","March"},0)</f>
        <v>6</v>
      </c>
      <c r="Q1174" s="3">
        <f t="shared" si="36"/>
        <v>1.3722458446076537E-2</v>
      </c>
      <c r="R1174" t="str">
        <f t="shared" si="37"/>
        <v>September</v>
      </c>
    </row>
    <row r="1175" spans="1:18" x14ac:dyDescent="0.35">
      <c r="A1175" t="s">
        <v>434</v>
      </c>
      <c r="B1175" t="s">
        <v>341</v>
      </c>
      <c r="C1175" t="s">
        <v>40</v>
      </c>
      <c r="D1175" t="s">
        <v>342</v>
      </c>
      <c r="E1175">
        <v>9406</v>
      </c>
      <c r="F1175">
        <v>4107</v>
      </c>
      <c r="G1175">
        <v>3357</v>
      </c>
      <c r="H1175">
        <v>47</v>
      </c>
      <c r="I1175">
        <v>1030</v>
      </c>
      <c r="J1175">
        <v>198</v>
      </c>
      <c r="K1175" s="1">
        <v>45901</v>
      </c>
      <c r="L1175" t="s">
        <v>429</v>
      </c>
      <c r="M1175" t="s">
        <v>435</v>
      </c>
      <c r="N1175" s="2">
        <f>IFERROR(NHS_A_E[[#This Row],[T1_Over4hrs]]/NHS_A_E[[#This Row],[T1_Attendances]], 0)</f>
        <v>0.35689985115883477</v>
      </c>
      <c r="O1175">
        <f>NHS_A_E[[#This Row],[T1_Attendances]]+NHS_A_E[[#This Row],[Other_Attendances]]</f>
        <v>13513</v>
      </c>
      <c r="P1175">
        <f>MATCH(LEFT(A1175,FIND("-",A1175)-1),{"April","May","June","July","August","September","October","November","December","January","February","March"},0)</f>
        <v>6</v>
      </c>
      <c r="Q1175" s="3">
        <f t="shared" si="36"/>
        <v>2.1050393365936636E-2</v>
      </c>
      <c r="R1175" t="str">
        <f t="shared" si="37"/>
        <v>September</v>
      </c>
    </row>
    <row r="1176" spans="1:18" x14ac:dyDescent="0.35">
      <c r="A1176" t="s">
        <v>434</v>
      </c>
      <c r="B1176" t="s">
        <v>123</v>
      </c>
      <c r="C1176" t="s">
        <v>15</v>
      </c>
      <c r="D1176" t="s">
        <v>124</v>
      </c>
      <c r="E1176">
        <v>12369</v>
      </c>
      <c r="F1176">
        <v>12759</v>
      </c>
      <c r="G1176">
        <v>5916</v>
      </c>
      <c r="H1176">
        <v>311</v>
      </c>
      <c r="I1176">
        <v>519</v>
      </c>
      <c r="J1176">
        <v>1172</v>
      </c>
      <c r="K1176" s="1">
        <v>45901</v>
      </c>
      <c r="L1176" t="s">
        <v>429</v>
      </c>
      <c r="M1176" t="s">
        <v>435</v>
      </c>
      <c r="N1176" s="2">
        <f>IFERROR(NHS_A_E[[#This Row],[T1_Over4hrs]]/NHS_A_E[[#This Row],[T1_Attendances]], 0)</f>
        <v>0.47829250545719137</v>
      </c>
      <c r="O1176">
        <f>NHS_A_E[[#This Row],[T1_Attendances]]+NHS_A_E[[#This Row],[Other_Attendances]]</f>
        <v>25128</v>
      </c>
      <c r="P1176">
        <f>MATCH(LEFT(A1176,FIND("-",A1176)-1),{"April","May","June","July","August","September","October","November","December","January","February","March"},0)</f>
        <v>6</v>
      </c>
      <c r="Q1176" s="3">
        <f t="shared" si="36"/>
        <v>9.4753011561160963E-2</v>
      </c>
      <c r="R1176" t="str">
        <f t="shared" si="37"/>
        <v>September</v>
      </c>
    </row>
    <row r="1177" spans="1:18" x14ac:dyDescent="0.35">
      <c r="A1177" t="s">
        <v>434</v>
      </c>
      <c r="B1177" t="s">
        <v>169</v>
      </c>
      <c r="C1177" t="s">
        <v>20</v>
      </c>
      <c r="D1177" t="s">
        <v>170</v>
      </c>
      <c r="E1177">
        <v>9147</v>
      </c>
      <c r="F1177">
        <v>0</v>
      </c>
      <c r="G1177">
        <v>3238</v>
      </c>
      <c r="H1177">
        <v>0</v>
      </c>
      <c r="I1177">
        <v>570</v>
      </c>
      <c r="J1177">
        <v>197</v>
      </c>
      <c r="K1177" s="1">
        <v>45901</v>
      </c>
      <c r="L1177" t="s">
        <v>429</v>
      </c>
      <c r="M1177" t="s">
        <v>435</v>
      </c>
      <c r="N1177" s="2">
        <f>IFERROR(NHS_A_E[[#This Row],[T1_Over4hrs]]/NHS_A_E[[#This Row],[T1_Attendances]], 0)</f>
        <v>0.35399584563244779</v>
      </c>
      <c r="O1177">
        <f>NHS_A_E[[#This Row],[T1_Attendances]]+NHS_A_E[[#This Row],[Other_Attendances]]</f>
        <v>9147</v>
      </c>
      <c r="P1177">
        <f>MATCH(LEFT(A1177,FIND("-",A1177)-1),{"April","May","June","July","August","September","October","November","December","January","February","March"},0)</f>
        <v>6</v>
      </c>
      <c r="Q1177" s="3">
        <f t="shared" si="36"/>
        <v>2.1537115994315077E-2</v>
      </c>
      <c r="R1177" t="str">
        <f t="shared" si="37"/>
        <v>September</v>
      </c>
    </row>
    <row r="1178" spans="1:18" x14ac:dyDescent="0.35">
      <c r="A1178" t="s">
        <v>434</v>
      </c>
      <c r="B1178" t="s">
        <v>131</v>
      </c>
      <c r="C1178" t="s">
        <v>40</v>
      </c>
      <c r="D1178" t="s">
        <v>132</v>
      </c>
      <c r="E1178">
        <v>18343</v>
      </c>
      <c r="F1178">
        <v>9024</v>
      </c>
      <c r="G1178">
        <v>8755</v>
      </c>
      <c r="H1178">
        <v>0</v>
      </c>
      <c r="I1178">
        <v>918</v>
      </c>
      <c r="J1178">
        <v>557</v>
      </c>
      <c r="K1178" s="1">
        <v>45901</v>
      </c>
      <c r="L1178" t="s">
        <v>429</v>
      </c>
      <c r="M1178" t="s">
        <v>435</v>
      </c>
      <c r="N1178" s="2">
        <f>IFERROR(NHS_A_E[[#This Row],[T1_Over4hrs]]/NHS_A_E[[#This Row],[T1_Attendances]], 0)</f>
        <v>0.4772937905468026</v>
      </c>
      <c r="O1178">
        <f>NHS_A_E[[#This Row],[T1_Attendances]]+NHS_A_E[[#This Row],[Other_Attendances]]</f>
        <v>27367</v>
      </c>
      <c r="P1178">
        <f>MATCH(LEFT(A1178,FIND("-",A1178)-1),{"April","May","June","July","August","September","October","November","December","January","February","March"},0)</f>
        <v>6</v>
      </c>
      <c r="Q1178" s="3">
        <f t="shared" si="36"/>
        <v>3.0365807119882245E-2</v>
      </c>
      <c r="R1178" t="str">
        <f t="shared" si="37"/>
        <v>September</v>
      </c>
    </row>
    <row r="1179" spans="1:18" x14ac:dyDescent="0.35">
      <c r="A1179" t="s">
        <v>434</v>
      </c>
      <c r="B1179" t="s">
        <v>221</v>
      </c>
      <c r="C1179" t="s">
        <v>63</v>
      </c>
      <c r="D1179" t="s">
        <v>222</v>
      </c>
      <c r="E1179">
        <v>10222</v>
      </c>
      <c r="F1179">
        <v>13360</v>
      </c>
      <c r="G1179">
        <v>2584</v>
      </c>
      <c r="H1179">
        <v>4</v>
      </c>
      <c r="I1179">
        <v>18</v>
      </c>
      <c r="J1179">
        <v>0</v>
      </c>
      <c r="K1179" s="1">
        <v>45901</v>
      </c>
      <c r="L1179" t="s">
        <v>429</v>
      </c>
      <c r="M1179" t="s">
        <v>435</v>
      </c>
      <c r="N1179" s="2">
        <f>IFERROR(NHS_A_E[[#This Row],[T1_Over4hrs]]/NHS_A_E[[#This Row],[T1_Attendances]], 0)</f>
        <v>0.25278810408921931</v>
      </c>
      <c r="O1179">
        <f>NHS_A_E[[#This Row],[T1_Attendances]]+NHS_A_E[[#This Row],[Other_Attendances]]</f>
        <v>23582</v>
      </c>
      <c r="P1179">
        <f>MATCH(LEFT(A1179,FIND("-",A1179)-1),{"April","May","June","July","August","September","October","November","December","January","February","March"},0)</f>
        <v>6</v>
      </c>
      <c r="Q1179" s="3">
        <f t="shared" si="36"/>
        <v>0</v>
      </c>
      <c r="R1179" t="str">
        <f t="shared" si="37"/>
        <v>September</v>
      </c>
    </row>
    <row r="1180" spans="1:18" x14ac:dyDescent="0.35">
      <c r="A1180" t="s">
        <v>434</v>
      </c>
      <c r="B1180" t="s">
        <v>69</v>
      </c>
      <c r="C1180" t="s">
        <v>20</v>
      </c>
      <c r="D1180" t="s">
        <v>70</v>
      </c>
      <c r="E1180">
        <v>13772</v>
      </c>
      <c r="F1180">
        <v>0</v>
      </c>
      <c r="G1180">
        <v>5165</v>
      </c>
      <c r="H1180">
        <v>0</v>
      </c>
      <c r="I1180">
        <v>502</v>
      </c>
      <c r="J1180">
        <v>281</v>
      </c>
      <c r="K1180" s="1">
        <v>45901</v>
      </c>
      <c r="L1180" t="s">
        <v>429</v>
      </c>
      <c r="M1180" t="s">
        <v>435</v>
      </c>
      <c r="N1180" s="2">
        <f>IFERROR(NHS_A_E[[#This Row],[T1_Over4hrs]]/NHS_A_E[[#This Row],[T1_Attendances]], 0)</f>
        <v>0.37503630554748768</v>
      </c>
      <c r="O1180">
        <f>NHS_A_E[[#This Row],[T1_Attendances]]+NHS_A_E[[#This Row],[Other_Attendances]]</f>
        <v>13772</v>
      </c>
      <c r="P1180">
        <f>MATCH(LEFT(A1180,FIND("-",A1180)-1),{"April","May","June","July","August","September","October","November","December","January","February","March"},0)</f>
        <v>6</v>
      </c>
      <c r="Q1180" s="3">
        <f t="shared" si="36"/>
        <v>2.0403717688062737E-2</v>
      </c>
      <c r="R1180" t="str">
        <f t="shared" si="37"/>
        <v>September</v>
      </c>
    </row>
    <row r="1181" spans="1:18" x14ac:dyDescent="0.35">
      <c r="A1181" t="s">
        <v>434</v>
      </c>
      <c r="B1181" t="s">
        <v>58</v>
      </c>
      <c r="C1181" t="s">
        <v>40</v>
      </c>
      <c r="D1181" t="s">
        <v>59</v>
      </c>
      <c r="E1181">
        <v>4565</v>
      </c>
      <c r="F1181">
        <v>0</v>
      </c>
      <c r="G1181">
        <v>611</v>
      </c>
      <c r="H1181">
        <v>0</v>
      </c>
      <c r="I1181">
        <v>20</v>
      </c>
      <c r="J1181">
        <v>2</v>
      </c>
      <c r="K1181" s="1">
        <v>45901</v>
      </c>
      <c r="L1181" t="s">
        <v>429</v>
      </c>
      <c r="M1181" t="s">
        <v>435</v>
      </c>
      <c r="N1181" s="2">
        <f>IFERROR(NHS_A_E[[#This Row],[T1_Over4hrs]]/NHS_A_E[[#This Row],[T1_Attendances]], 0)</f>
        <v>0.13384446878422782</v>
      </c>
      <c r="O1181">
        <f>NHS_A_E[[#This Row],[T1_Attendances]]+NHS_A_E[[#This Row],[Other_Attendances]]</f>
        <v>4565</v>
      </c>
      <c r="P1181">
        <f>MATCH(LEFT(A1181,FIND("-",A1181)-1),{"April","May","June","July","August","September","October","November","December","January","February","March"},0)</f>
        <v>6</v>
      </c>
      <c r="Q1181" s="3">
        <f t="shared" si="36"/>
        <v>4.381161007667032E-4</v>
      </c>
      <c r="R1181" t="str">
        <f t="shared" si="37"/>
        <v>September</v>
      </c>
    </row>
    <row r="1182" spans="1:18" x14ac:dyDescent="0.35">
      <c r="A1182" t="s">
        <v>434</v>
      </c>
      <c r="B1182" t="s">
        <v>129</v>
      </c>
      <c r="C1182" t="s">
        <v>63</v>
      </c>
      <c r="D1182" t="s">
        <v>130</v>
      </c>
      <c r="E1182">
        <v>13811</v>
      </c>
      <c r="F1182">
        <v>4142</v>
      </c>
      <c r="G1182">
        <v>5411</v>
      </c>
      <c r="H1182">
        <v>6</v>
      </c>
      <c r="I1182">
        <v>1194</v>
      </c>
      <c r="J1182">
        <v>162</v>
      </c>
      <c r="K1182" s="1">
        <v>45901</v>
      </c>
      <c r="L1182" t="s">
        <v>429</v>
      </c>
      <c r="M1182" t="s">
        <v>435</v>
      </c>
      <c r="N1182" s="2">
        <f>IFERROR(NHS_A_E[[#This Row],[T1_Over4hrs]]/NHS_A_E[[#This Row],[T1_Attendances]], 0)</f>
        <v>0.39178915357323874</v>
      </c>
      <c r="O1182">
        <f>NHS_A_E[[#This Row],[T1_Attendances]]+NHS_A_E[[#This Row],[Other_Attendances]]</f>
        <v>17953</v>
      </c>
      <c r="P1182">
        <f>MATCH(LEFT(A1182,FIND("-",A1182)-1),{"April","May","June","July","August","September","October","November","December","January","February","March"},0)</f>
        <v>6</v>
      </c>
      <c r="Q1182" s="3">
        <f t="shared" si="36"/>
        <v>1.1729780609658968E-2</v>
      </c>
      <c r="R1182" t="str">
        <f t="shared" si="37"/>
        <v>September</v>
      </c>
    </row>
    <row r="1183" spans="1:18" x14ac:dyDescent="0.35">
      <c r="A1183" t="s">
        <v>434</v>
      </c>
      <c r="B1183" t="s">
        <v>56</v>
      </c>
      <c r="C1183" t="s">
        <v>20</v>
      </c>
      <c r="D1183" t="s">
        <v>57</v>
      </c>
      <c r="E1183">
        <v>4822</v>
      </c>
      <c r="F1183">
        <v>1678</v>
      </c>
      <c r="G1183">
        <v>2233</v>
      </c>
      <c r="H1183">
        <v>0</v>
      </c>
      <c r="I1183">
        <v>418</v>
      </c>
      <c r="J1183">
        <v>78</v>
      </c>
      <c r="K1183" s="1">
        <v>45901</v>
      </c>
      <c r="L1183" t="s">
        <v>429</v>
      </c>
      <c r="M1183" t="s">
        <v>435</v>
      </c>
      <c r="N1183" s="2">
        <f>IFERROR(NHS_A_E[[#This Row],[T1_Over4hrs]]/NHS_A_E[[#This Row],[T1_Attendances]], 0)</f>
        <v>0.46308585649108253</v>
      </c>
      <c r="O1183">
        <f>NHS_A_E[[#This Row],[T1_Attendances]]+NHS_A_E[[#This Row],[Other_Attendances]]</f>
        <v>6500</v>
      </c>
      <c r="P1183">
        <f>MATCH(LEFT(A1183,FIND("-",A1183)-1),{"April","May","June","July","August","September","October","November","December","January","February","March"},0)</f>
        <v>6</v>
      </c>
      <c r="Q1183" s="3">
        <f t="shared" si="36"/>
        <v>1.6175860638739114E-2</v>
      </c>
      <c r="R1183" t="str">
        <f t="shared" si="37"/>
        <v>September</v>
      </c>
    </row>
    <row r="1184" spans="1:18" x14ac:dyDescent="0.35">
      <c r="A1184" t="s">
        <v>434</v>
      </c>
      <c r="B1184" t="s">
        <v>50</v>
      </c>
      <c r="C1184" t="s">
        <v>15</v>
      </c>
      <c r="D1184" t="s">
        <v>51</v>
      </c>
      <c r="E1184">
        <v>11172</v>
      </c>
      <c r="F1184">
        <v>3811</v>
      </c>
      <c r="G1184">
        <v>2488</v>
      </c>
      <c r="H1184">
        <v>19</v>
      </c>
      <c r="I1184">
        <v>620</v>
      </c>
      <c r="J1184">
        <v>129</v>
      </c>
      <c r="K1184" s="1">
        <v>45901</v>
      </c>
      <c r="L1184" t="s">
        <v>429</v>
      </c>
      <c r="M1184" t="s">
        <v>435</v>
      </c>
      <c r="N1184" s="2">
        <f>IFERROR(NHS_A_E[[#This Row],[T1_Over4hrs]]/NHS_A_E[[#This Row],[T1_Attendances]], 0)</f>
        <v>0.22269960615825277</v>
      </c>
      <c r="O1184">
        <f>NHS_A_E[[#This Row],[T1_Attendances]]+NHS_A_E[[#This Row],[Other_Attendances]]</f>
        <v>14983</v>
      </c>
      <c r="P1184">
        <f>MATCH(LEFT(A1184,FIND("-",A1184)-1),{"April","May","June","July","August","September","October","November","December","January","February","March"},0)</f>
        <v>6</v>
      </c>
      <c r="Q1184" s="3">
        <f t="shared" si="36"/>
        <v>1.154672395273899E-2</v>
      </c>
      <c r="R1184" t="str">
        <f t="shared" si="37"/>
        <v>September</v>
      </c>
    </row>
    <row r="1185" spans="1:18" x14ac:dyDescent="0.35">
      <c r="A1185" t="s">
        <v>434</v>
      </c>
      <c r="B1185" t="s">
        <v>48</v>
      </c>
      <c r="C1185" t="s">
        <v>40</v>
      </c>
      <c r="D1185" t="s">
        <v>49</v>
      </c>
      <c r="E1185">
        <v>6824</v>
      </c>
      <c r="F1185">
        <v>1627</v>
      </c>
      <c r="G1185">
        <v>1973</v>
      </c>
      <c r="H1185">
        <v>17</v>
      </c>
      <c r="I1185">
        <v>256</v>
      </c>
      <c r="J1185">
        <v>499</v>
      </c>
      <c r="K1185" s="1">
        <v>45901</v>
      </c>
      <c r="L1185" t="s">
        <v>429</v>
      </c>
      <c r="M1185" t="s">
        <v>435</v>
      </c>
      <c r="N1185" s="2">
        <f>IFERROR(NHS_A_E[[#This Row],[T1_Over4hrs]]/NHS_A_E[[#This Row],[T1_Attendances]], 0)</f>
        <v>0.28912661195779599</v>
      </c>
      <c r="O1185">
        <f>NHS_A_E[[#This Row],[T1_Attendances]]+NHS_A_E[[#This Row],[Other_Attendances]]</f>
        <v>8451</v>
      </c>
      <c r="P1185">
        <f>MATCH(LEFT(A1185,FIND("-",A1185)-1),{"April","May","June","July","August","September","October","November","December","January","February","March"},0)</f>
        <v>6</v>
      </c>
      <c r="Q1185" s="3">
        <f t="shared" si="36"/>
        <v>7.3124267291910905E-2</v>
      </c>
      <c r="R1185" t="str">
        <f t="shared" si="37"/>
        <v>September</v>
      </c>
    </row>
    <row r="1186" spans="1:18" x14ac:dyDescent="0.35">
      <c r="A1186" t="s">
        <v>434</v>
      </c>
      <c r="B1186" t="s">
        <v>42</v>
      </c>
      <c r="C1186" t="s">
        <v>40</v>
      </c>
      <c r="D1186" t="s">
        <v>43</v>
      </c>
      <c r="E1186">
        <v>10728</v>
      </c>
      <c r="F1186">
        <v>5227</v>
      </c>
      <c r="G1186">
        <v>4743</v>
      </c>
      <c r="H1186">
        <v>355</v>
      </c>
      <c r="I1186">
        <v>832</v>
      </c>
      <c r="J1186">
        <v>204</v>
      </c>
      <c r="K1186" s="1">
        <v>45901</v>
      </c>
      <c r="L1186" t="s">
        <v>429</v>
      </c>
      <c r="M1186" t="s">
        <v>435</v>
      </c>
      <c r="N1186" s="2">
        <f>IFERROR(NHS_A_E[[#This Row],[T1_Over4hrs]]/NHS_A_E[[#This Row],[T1_Attendances]], 0)</f>
        <v>0.44211409395973156</v>
      </c>
      <c r="O1186">
        <f>NHS_A_E[[#This Row],[T1_Attendances]]+NHS_A_E[[#This Row],[Other_Attendances]]</f>
        <v>15955</v>
      </c>
      <c r="P1186">
        <f>MATCH(LEFT(A1186,FIND("-",A1186)-1),{"April","May","June","July","August","September","October","November","December","January","February","March"},0)</f>
        <v>6</v>
      </c>
      <c r="Q1186" s="3">
        <f t="shared" si="36"/>
        <v>1.901565995525727E-2</v>
      </c>
      <c r="R1186" t="str">
        <f t="shared" si="37"/>
        <v>September</v>
      </c>
    </row>
    <row r="1187" spans="1:18" x14ac:dyDescent="0.35">
      <c r="A1187" t="s">
        <v>434</v>
      </c>
      <c r="B1187" t="s">
        <v>233</v>
      </c>
      <c r="C1187" t="s">
        <v>30</v>
      </c>
      <c r="D1187" t="s">
        <v>234</v>
      </c>
      <c r="E1187">
        <v>5335</v>
      </c>
      <c r="F1187">
        <v>2421</v>
      </c>
      <c r="G1187">
        <v>2746</v>
      </c>
      <c r="H1187">
        <v>187</v>
      </c>
      <c r="I1187">
        <v>368</v>
      </c>
      <c r="J1187">
        <v>747</v>
      </c>
      <c r="K1187" s="1">
        <v>45901</v>
      </c>
      <c r="L1187" t="s">
        <v>429</v>
      </c>
      <c r="M1187" t="s">
        <v>435</v>
      </c>
      <c r="N1187" s="2">
        <f>IFERROR(NHS_A_E[[#This Row],[T1_Over4hrs]]/NHS_A_E[[#This Row],[T1_Attendances]], 0)</f>
        <v>0.51471415182755387</v>
      </c>
      <c r="O1187">
        <f>NHS_A_E[[#This Row],[T1_Attendances]]+NHS_A_E[[#This Row],[Other_Attendances]]</f>
        <v>7756</v>
      </c>
      <c r="P1187">
        <f>MATCH(LEFT(A1187,FIND("-",A1187)-1),{"April","May","June","July","August","September","October","November","December","January","February","March"},0)</f>
        <v>6</v>
      </c>
      <c r="Q1187" s="3">
        <f t="shared" si="36"/>
        <v>0.14001874414245549</v>
      </c>
      <c r="R1187" t="str">
        <f t="shared" si="37"/>
        <v>September</v>
      </c>
    </row>
    <row r="1188" spans="1:18" x14ac:dyDescent="0.35">
      <c r="A1188" t="s">
        <v>434</v>
      </c>
      <c r="B1188" t="s">
        <v>401</v>
      </c>
      <c r="C1188" t="s">
        <v>35</v>
      </c>
      <c r="D1188" t="s">
        <v>402</v>
      </c>
      <c r="E1188">
        <v>12725</v>
      </c>
      <c r="F1188">
        <v>4746</v>
      </c>
      <c r="G1188">
        <v>4327</v>
      </c>
      <c r="H1188">
        <v>0</v>
      </c>
      <c r="I1188">
        <v>275</v>
      </c>
      <c r="J1188">
        <v>609</v>
      </c>
      <c r="K1188" s="1">
        <v>45901</v>
      </c>
      <c r="L1188" t="s">
        <v>429</v>
      </c>
      <c r="M1188" t="s">
        <v>435</v>
      </c>
      <c r="N1188" s="2">
        <f>IFERROR(NHS_A_E[[#This Row],[T1_Over4hrs]]/NHS_A_E[[#This Row],[T1_Attendances]], 0)</f>
        <v>0.34003929273084477</v>
      </c>
      <c r="O1188">
        <f>NHS_A_E[[#This Row],[T1_Attendances]]+NHS_A_E[[#This Row],[Other_Attendances]]</f>
        <v>17471</v>
      </c>
      <c r="P1188">
        <f>MATCH(LEFT(A1188,FIND("-",A1188)-1),{"April","May","June","July","August","September","October","November","December","January","February","March"},0)</f>
        <v>6</v>
      </c>
      <c r="Q1188" s="3">
        <f t="shared" si="36"/>
        <v>4.7858546168958745E-2</v>
      </c>
      <c r="R1188" t="str">
        <f t="shared" si="37"/>
        <v>September</v>
      </c>
    </row>
    <row r="1189" spans="1:18" x14ac:dyDescent="0.35">
      <c r="A1189" t="s">
        <v>434</v>
      </c>
      <c r="B1189" t="s">
        <v>37</v>
      </c>
      <c r="C1189" t="s">
        <v>35</v>
      </c>
      <c r="D1189" t="s">
        <v>38</v>
      </c>
      <c r="E1189">
        <v>15359</v>
      </c>
      <c r="F1189">
        <v>9033</v>
      </c>
      <c r="G1189">
        <v>7333</v>
      </c>
      <c r="H1189">
        <v>290</v>
      </c>
      <c r="I1189">
        <v>1189</v>
      </c>
      <c r="J1189">
        <v>598</v>
      </c>
      <c r="K1189" s="1">
        <v>45901</v>
      </c>
      <c r="L1189" t="s">
        <v>429</v>
      </c>
      <c r="M1189" t="s">
        <v>435</v>
      </c>
      <c r="N1189" s="2">
        <f>IFERROR(NHS_A_E[[#This Row],[T1_Over4hrs]]/NHS_A_E[[#This Row],[T1_Attendances]], 0)</f>
        <v>0.47743993749593072</v>
      </c>
      <c r="O1189">
        <f>NHS_A_E[[#This Row],[T1_Attendances]]+NHS_A_E[[#This Row],[Other_Attendances]]</f>
        <v>24392</v>
      </c>
      <c r="P1189">
        <f>MATCH(LEFT(A1189,FIND("-",A1189)-1),{"April","May","June","July","August","September","October","November","December","January","February","March"},0)</f>
        <v>6</v>
      </c>
      <c r="Q1189" s="3">
        <f t="shared" si="36"/>
        <v>3.8934826486099354E-2</v>
      </c>
      <c r="R1189" t="str">
        <f t="shared" si="37"/>
        <v>September</v>
      </c>
    </row>
    <row r="1190" spans="1:18" x14ac:dyDescent="0.35">
      <c r="A1190" t="s">
        <v>434</v>
      </c>
      <c r="B1190" t="s">
        <v>159</v>
      </c>
      <c r="C1190" t="s">
        <v>40</v>
      </c>
      <c r="D1190" t="s">
        <v>160</v>
      </c>
      <c r="E1190">
        <v>5270</v>
      </c>
      <c r="F1190">
        <v>4692</v>
      </c>
      <c r="G1190">
        <v>2840</v>
      </c>
      <c r="H1190">
        <v>230</v>
      </c>
      <c r="I1190">
        <v>867</v>
      </c>
      <c r="J1190">
        <v>254</v>
      </c>
      <c r="K1190" s="1">
        <v>45901</v>
      </c>
      <c r="L1190" t="s">
        <v>429</v>
      </c>
      <c r="M1190" t="s">
        <v>435</v>
      </c>
      <c r="N1190" s="2">
        <f>IFERROR(NHS_A_E[[#This Row],[T1_Over4hrs]]/NHS_A_E[[#This Row],[T1_Attendances]], 0)</f>
        <v>0.53889943074003799</v>
      </c>
      <c r="O1190">
        <f>NHS_A_E[[#This Row],[T1_Attendances]]+NHS_A_E[[#This Row],[Other_Attendances]]</f>
        <v>9962</v>
      </c>
      <c r="P1190">
        <f>MATCH(LEFT(A1190,FIND("-",A1190)-1),{"April","May","June","July","August","September","October","November","December","January","February","March"},0)</f>
        <v>6</v>
      </c>
      <c r="Q1190" s="3">
        <f t="shared" si="36"/>
        <v>4.8197343453510434E-2</v>
      </c>
      <c r="R1190" t="str">
        <f t="shared" si="37"/>
        <v>September</v>
      </c>
    </row>
    <row r="1191" spans="1:18" x14ac:dyDescent="0.35">
      <c r="A1191" t="s">
        <v>434</v>
      </c>
      <c r="B1191" t="s">
        <v>34</v>
      </c>
      <c r="C1191" t="s">
        <v>35</v>
      </c>
      <c r="D1191" t="s">
        <v>36</v>
      </c>
      <c r="E1191">
        <v>13173</v>
      </c>
      <c r="F1191">
        <v>13732</v>
      </c>
      <c r="G1191">
        <v>5665</v>
      </c>
      <c r="H1191">
        <v>116</v>
      </c>
      <c r="I1191">
        <v>646</v>
      </c>
      <c r="J1191">
        <v>772</v>
      </c>
      <c r="K1191" s="1">
        <v>45901</v>
      </c>
      <c r="L1191" t="s">
        <v>429</v>
      </c>
      <c r="M1191" t="s">
        <v>435</v>
      </c>
      <c r="N1191" s="2">
        <f>IFERROR(NHS_A_E[[#This Row],[T1_Over4hrs]]/NHS_A_E[[#This Row],[T1_Attendances]], 0)</f>
        <v>0.43004630683974798</v>
      </c>
      <c r="O1191">
        <f>NHS_A_E[[#This Row],[T1_Attendances]]+NHS_A_E[[#This Row],[Other_Attendances]]</f>
        <v>26905</v>
      </c>
      <c r="P1191">
        <f>MATCH(LEFT(A1191,FIND("-",A1191)-1),{"April","May","June","July","August","September","October","November","December","January","February","March"},0)</f>
        <v>6</v>
      </c>
      <c r="Q1191" s="3">
        <f t="shared" si="36"/>
        <v>5.8604721779397254E-2</v>
      </c>
      <c r="R1191" t="str">
        <f t="shared" si="37"/>
        <v>September</v>
      </c>
    </row>
    <row r="1192" spans="1:18" x14ac:dyDescent="0.35">
      <c r="A1192" t="s">
        <v>434</v>
      </c>
      <c r="B1192" t="s">
        <v>29</v>
      </c>
      <c r="C1192" t="s">
        <v>30</v>
      </c>
      <c r="D1192" t="s">
        <v>31</v>
      </c>
      <c r="E1192">
        <v>16233</v>
      </c>
      <c r="F1192">
        <v>8245</v>
      </c>
      <c r="G1192">
        <v>8032</v>
      </c>
      <c r="H1192">
        <v>232</v>
      </c>
      <c r="I1192">
        <v>1994</v>
      </c>
      <c r="J1192">
        <v>887</v>
      </c>
      <c r="K1192" s="1">
        <v>45901</v>
      </c>
      <c r="L1192" t="s">
        <v>429</v>
      </c>
      <c r="M1192" t="s">
        <v>435</v>
      </c>
      <c r="N1192" s="2">
        <f>IFERROR(NHS_A_E[[#This Row],[T1_Over4hrs]]/NHS_A_E[[#This Row],[T1_Attendances]], 0)</f>
        <v>0.4947945543029631</v>
      </c>
      <c r="O1192">
        <f>NHS_A_E[[#This Row],[T1_Attendances]]+NHS_A_E[[#This Row],[Other_Attendances]]</f>
        <v>24478</v>
      </c>
      <c r="P1192">
        <f>MATCH(LEFT(A1192,FIND("-",A1192)-1),{"April","May","June","July","August","September","October","November","December","January","February","March"},0)</f>
        <v>6</v>
      </c>
      <c r="Q1192" s="3">
        <f t="shared" si="36"/>
        <v>5.4641779091973139E-2</v>
      </c>
      <c r="R1192" t="str">
        <f t="shared" si="37"/>
        <v>September</v>
      </c>
    </row>
    <row r="1193" spans="1:18" x14ac:dyDescent="0.35">
      <c r="A1193" t="s">
        <v>434</v>
      </c>
      <c r="B1193" t="s">
        <v>313</v>
      </c>
      <c r="C1193" t="s">
        <v>20</v>
      </c>
      <c r="D1193" t="s">
        <v>314</v>
      </c>
      <c r="E1193">
        <v>0</v>
      </c>
      <c r="F1193">
        <v>0</v>
      </c>
      <c r="G1193">
        <v>0</v>
      </c>
      <c r="H1193">
        <v>0</v>
      </c>
      <c r="I1193">
        <v>0</v>
      </c>
      <c r="J1193">
        <v>0</v>
      </c>
      <c r="K1193" s="1">
        <v>45901</v>
      </c>
      <c r="L1193" t="s">
        <v>429</v>
      </c>
      <c r="M1193" t="s">
        <v>435</v>
      </c>
      <c r="N1193" s="2">
        <f>IFERROR(NHS_A_E[[#This Row],[T1_Over4hrs]]/NHS_A_E[[#This Row],[T1_Attendances]], 0)</f>
        <v>0</v>
      </c>
      <c r="O1193">
        <f>NHS_A_E[[#This Row],[T1_Attendances]]+NHS_A_E[[#This Row],[Other_Attendances]]</f>
        <v>0</v>
      </c>
      <c r="P1193">
        <f>MATCH(LEFT(A1193,FIND("-",A1193)-1),{"April","May","June","July","August","September","October","November","December","January","February","March"},0)</f>
        <v>6</v>
      </c>
      <c r="Q1193" s="3">
        <f t="shared" si="36"/>
        <v>0</v>
      </c>
      <c r="R1193" t="str">
        <f t="shared" si="37"/>
        <v>September</v>
      </c>
    </row>
    <row r="1194" spans="1:18" x14ac:dyDescent="0.35">
      <c r="A1194" t="s">
        <v>434</v>
      </c>
      <c r="B1194" t="s">
        <v>95</v>
      </c>
      <c r="C1194" t="s">
        <v>23</v>
      </c>
      <c r="D1194" t="s">
        <v>96</v>
      </c>
      <c r="E1194">
        <v>8199</v>
      </c>
      <c r="F1194">
        <v>4703</v>
      </c>
      <c r="G1194">
        <v>3248</v>
      </c>
      <c r="H1194">
        <v>26</v>
      </c>
      <c r="I1194">
        <v>563</v>
      </c>
      <c r="J1194">
        <v>0</v>
      </c>
      <c r="K1194" s="1">
        <v>45901</v>
      </c>
      <c r="L1194" t="s">
        <v>429</v>
      </c>
      <c r="M1194" t="s">
        <v>435</v>
      </c>
      <c r="N1194" s="2">
        <f>IFERROR(NHS_A_E[[#This Row],[T1_Over4hrs]]/NHS_A_E[[#This Row],[T1_Attendances]], 0)</f>
        <v>0.39614587144773755</v>
      </c>
      <c r="O1194">
        <f>NHS_A_E[[#This Row],[T1_Attendances]]+NHS_A_E[[#This Row],[Other_Attendances]]</f>
        <v>12902</v>
      </c>
      <c r="P1194">
        <f>MATCH(LEFT(A1194,FIND("-",A1194)-1),{"April","May","June","July","August","September","October","November","December","January","February","March"},0)</f>
        <v>6</v>
      </c>
      <c r="Q1194" s="3">
        <f t="shared" si="36"/>
        <v>0</v>
      </c>
      <c r="R1194" t="str">
        <f t="shared" si="37"/>
        <v>September</v>
      </c>
    </row>
    <row r="1195" spans="1:18" x14ac:dyDescent="0.35">
      <c r="A1195" t="s">
        <v>434</v>
      </c>
      <c r="B1195" t="s">
        <v>19</v>
      </c>
      <c r="C1195" t="s">
        <v>20</v>
      </c>
      <c r="D1195" t="s">
        <v>21</v>
      </c>
      <c r="E1195">
        <v>8897</v>
      </c>
      <c r="F1195">
        <v>0</v>
      </c>
      <c r="G1195">
        <v>3776</v>
      </c>
      <c r="H1195">
        <v>0</v>
      </c>
      <c r="I1195">
        <v>970</v>
      </c>
      <c r="J1195">
        <v>113</v>
      </c>
      <c r="K1195" s="1">
        <v>45901</v>
      </c>
      <c r="L1195" t="s">
        <v>429</v>
      </c>
      <c r="M1195" t="s">
        <v>435</v>
      </c>
      <c r="N1195" s="2">
        <f>IFERROR(NHS_A_E[[#This Row],[T1_Over4hrs]]/NHS_A_E[[#This Row],[T1_Attendances]], 0)</f>
        <v>0.42441272338990671</v>
      </c>
      <c r="O1195">
        <f>NHS_A_E[[#This Row],[T1_Attendances]]+NHS_A_E[[#This Row],[Other_Attendances]]</f>
        <v>8897</v>
      </c>
      <c r="P1195">
        <f>MATCH(LEFT(A1195,FIND("-",A1195)-1),{"April","May","June","July","August","September","October","November","December","January","February","March"},0)</f>
        <v>6</v>
      </c>
      <c r="Q1195" s="3">
        <f t="shared" si="36"/>
        <v>1.2700910419242442E-2</v>
      </c>
      <c r="R1195" t="str">
        <f t="shared" si="37"/>
        <v>September</v>
      </c>
    </row>
    <row r="1196" spans="1:18" x14ac:dyDescent="0.35">
      <c r="A1196" t="s">
        <v>434</v>
      </c>
      <c r="B1196" t="s">
        <v>93</v>
      </c>
      <c r="C1196" t="s">
        <v>63</v>
      </c>
      <c r="D1196" t="s">
        <v>94</v>
      </c>
      <c r="E1196">
        <v>10917</v>
      </c>
      <c r="F1196">
        <v>7767</v>
      </c>
      <c r="G1196">
        <v>5694</v>
      </c>
      <c r="H1196">
        <v>461</v>
      </c>
      <c r="I1196">
        <v>800</v>
      </c>
      <c r="J1196">
        <v>535</v>
      </c>
      <c r="K1196" s="1">
        <v>45901</v>
      </c>
      <c r="L1196" t="s">
        <v>429</v>
      </c>
      <c r="M1196" t="s">
        <v>435</v>
      </c>
      <c r="N1196" s="2">
        <f>IFERROR(NHS_A_E[[#This Row],[T1_Over4hrs]]/NHS_A_E[[#This Row],[T1_Attendances]], 0)</f>
        <v>0.52157186040120918</v>
      </c>
      <c r="O1196">
        <f>NHS_A_E[[#This Row],[T1_Attendances]]+NHS_A_E[[#This Row],[Other_Attendances]]</f>
        <v>18684</v>
      </c>
      <c r="P1196">
        <f>MATCH(LEFT(A1196,FIND("-",A1196)-1),{"April","May","June","July","August","September","October","November","December","January","February","March"},0)</f>
        <v>6</v>
      </c>
      <c r="Q1196" s="3">
        <f t="shared" si="36"/>
        <v>4.9006137217184206E-2</v>
      </c>
      <c r="R1196" t="str">
        <f t="shared" si="37"/>
        <v>September</v>
      </c>
    </row>
    <row r="1197" spans="1:18" x14ac:dyDescent="0.35">
      <c r="A1197" t="s">
        <v>434</v>
      </c>
      <c r="B1197" t="s">
        <v>387</v>
      </c>
      <c r="C1197" t="s">
        <v>35</v>
      </c>
      <c r="D1197" t="s">
        <v>388</v>
      </c>
      <c r="E1197">
        <v>0</v>
      </c>
      <c r="F1197">
        <v>1849</v>
      </c>
      <c r="G1197">
        <v>0</v>
      </c>
      <c r="H1197">
        <v>88</v>
      </c>
      <c r="I1197">
        <v>0</v>
      </c>
      <c r="J1197">
        <v>0</v>
      </c>
      <c r="K1197" s="1">
        <v>45901</v>
      </c>
      <c r="L1197" t="s">
        <v>429</v>
      </c>
      <c r="M1197" t="s">
        <v>435</v>
      </c>
      <c r="N1197" s="2">
        <f>IFERROR(NHS_A_E[[#This Row],[T1_Over4hrs]]/NHS_A_E[[#This Row],[T1_Attendances]], 0)</f>
        <v>0</v>
      </c>
      <c r="O1197">
        <f>NHS_A_E[[#This Row],[T1_Attendances]]+NHS_A_E[[#This Row],[Other_Attendances]]</f>
        <v>1849</v>
      </c>
      <c r="P1197">
        <f>MATCH(LEFT(A1197,FIND("-",A1197)-1),{"April","May","June","July","August","September","October","November","December","January","February","March"},0)</f>
        <v>6</v>
      </c>
      <c r="Q1197" s="3">
        <f t="shared" si="36"/>
        <v>0</v>
      </c>
      <c r="R1197" t="str">
        <f t="shared" si="37"/>
        <v>September</v>
      </c>
    </row>
    <row r="1198" spans="1:18" x14ac:dyDescent="0.35">
      <c r="A1198" t="s">
        <v>434</v>
      </c>
      <c r="B1198" t="s">
        <v>285</v>
      </c>
      <c r="C1198" t="s">
        <v>40</v>
      </c>
      <c r="D1198" t="s">
        <v>286</v>
      </c>
      <c r="E1198">
        <v>0</v>
      </c>
      <c r="F1198">
        <v>363</v>
      </c>
      <c r="G1198">
        <v>0</v>
      </c>
      <c r="H1198">
        <v>0</v>
      </c>
      <c r="I1198">
        <v>0</v>
      </c>
      <c r="J1198">
        <v>0</v>
      </c>
      <c r="K1198" s="1">
        <v>45901</v>
      </c>
      <c r="L1198" t="s">
        <v>429</v>
      </c>
      <c r="M1198" t="s">
        <v>435</v>
      </c>
      <c r="N1198" s="2">
        <f>IFERROR(NHS_A_E[[#This Row],[T1_Over4hrs]]/NHS_A_E[[#This Row],[T1_Attendances]], 0)</f>
        <v>0</v>
      </c>
      <c r="O1198">
        <f>NHS_A_E[[#This Row],[T1_Attendances]]+NHS_A_E[[#This Row],[Other_Attendances]]</f>
        <v>363</v>
      </c>
      <c r="P1198">
        <f>MATCH(LEFT(A1198,FIND("-",A1198)-1),{"April","May","June","July","August","September","October","November","December","January","February","March"},0)</f>
        <v>6</v>
      </c>
      <c r="Q1198" s="3">
        <f t="shared" si="36"/>
        <v>0</v>
      </c>
      <c r="R1198" t="str">
        <f t="shared" si="37"/>
        <v>September</v>
      </c>
    </row>
    <row r="1199" spans="1:18" x14ac:dyDescent="0.35">
      <c r="A1199" t="s">
        <v>434</v>
      </c>
      <c r="B1199" t="s">
        <v>44</v>
      </c>
      <c r="C1199" t="s">
        <v>40</v>
      </c>
      <c r="D1199" t="s">
        <v>45</v>
      </c>
      <c r="E1199">
        <v>12527</v>
      </c>
      <c r="F1199">
        <v>5585</v>
      </c>
      <c r="G1199">
        <v>5074</v>
      </c>
      <c r="H1199">
        <v>46</v>
      </c>
      <c r="I1199">
        <v>57</v>
      </c>
      <c r="J1199">
        <v>14</v>
      </c>
      <c r="K1199" s="1">
        <v>45901</v>
      </c>
      <c r="L1199" t="s">
        <v>429</v>
      </c>
      <c r="M1199" t="s">
        <v>435</v>
      </c>
      <c r="N1199" s="2">
        <f>IFERROR(NHS_A_E[[#This Row],[T1_Over4hrs]]/NHS_A_E[[#This Row],[T1_Attendances]], 0)</f>
        <v>0.40504510257843057</v>
      </c>
      <c r="O1199">
        <f>NHS_A_E[[#This Row],[T1_Attendances]]+NHS_A_E[[#This Row],[Other_Attendances]]</f>
        <v>18112</v>
      </c>
      <c r="P1199">
        <f>MATCH(LEFT(A1199,FIND("-",A1199)-1),{"April","May","June","July","August","September","October","November","December","January","February","March"},0)</f>
        <v>6</v>
      </c>
      <c r="Q1199" s="3">
        <f t="shared" si="36"/>
        <v>1.1175860142093078E-3</v>
      </c>
      <c r="R1199" t="str">
        <f t="shared" si="37"/>
        <v>September</v>
      </c>
    </row>
    <row r="1200" spans="1:18" x14ac:dyDescent="0.35">
      <c r="A1200" t="s">
        <v>434</v>
      </c>
      <c r="B1200" t="s">
        <v>89</v>
      </c>
      <c r="C1200" t="s">
        <v>35</v>
      </c>
      <c r="D1200" t="s">
        <v>90</v>
      </c>
      <c r="E1200">
        <v>26019</v>
      </c>
      <c r="F1200">
        <v>14950</v>
      </c>
      <c r="G1200">
        <v>8625</v>
      </c>
      <c r="H1200">
        <v>603</v>
      </c>
      <c r="I1200">
        <v>1018</v>
      </c>
      <c r="J1200">
        <v>1975</v>
      </c>
      <c r="K1200" s="1">
        <v>45901</v>
      </c>
      <c r="L1200" t="s">
        <v>429</v>
      </c>
      <c r="M1200" t="s">
        <v>435</v>
      </c>
      <c r="N1200" s="2">
        <f>IFERROR(NHS_A_E[[#This Row],[T1_Over4hrs]]/NHS_A_E[[#This Row],[T1_Attendances]], 0)</f>
        <v>0.33148852761443559</v>
      </c>
      <c r="O1200">
        <f>NHS_A_E[[#This Row],[T1_Attendances]]+NHS_A_E[[#This Row],[Other_Attendances]]</f>
        <v>40969</v>
      </c>
      <c r="P1200">
        <f>MATCH(LEFT(A1200,FIND("-",A1200)-1),{"April","May","June","July","August","September","October","November","December","January","February","March"},0)</f>
        <v>6</v>
      </c>
      <c r="Q1200" s="3">
        <f t="shared" si="36"/>
        <v>7.5906068642146121E-2</v>
      </c>
      <c r="R1200" t="str">
        <f t="shared" si="37"/>
        <v>September</v>
      </c>
    </row>
    <row r="1201" spans="1:18" x14ac:dyDescent="0.35">
      <c r="A1201" t="s">
        <v>434</v>
      </c>
      <c r="B1201" t="s">
        <v>281</v>
      </c>
      <c r="C1201" t="s">
        <v>40</v>
      </c>
      <c r="D1201" t="s">
        <v>282</v>
      </c>
      <c r="E1201">
        <v>0</v>
      </c>
      <c r="F1201">
        <v>6084</v>
      </c>
      <c r="G1201">
        <v>0</v>
      </c>
      <c r="H1201">
        <v>0</v>
      </c>
      <c r="I1201">
        <v>0</v>
      </c>
      <c r="J1201">
        <v>0</v>
      </c>
      <c r="K1201" s="1">
        <v>45901</v>
      </c>
      <c r="L1201" t="s">
        <v>429</v>
      </c>
      <c r="M1201" t="s">
        <v>435</v>
      </c>
      <c r="N1201" s="2">
        <f>IFERROR(NHS_A_E[[#This Row],[T1_Over4hrs]]/NHS_A_E[[#This Row],[T1_Attendances]], 0)</f>
        <v>0</v>
      </c>
      <c r="O1201">
        <f>NHS_A_E[[#This Row],[T1_Attendances]]+NHS_A_E[[#This Row],[Other_Attendances]]</f>
        <v>6084</v>
      </c>
      <c r="P1201">
        <f>MATCH(LEFT(A1201,FIND("-",A1201)-1),{"April","May","June","July","August","September","October","November","December","January","February","March"},0)</f>
        <v>6</v>
      </c>
      <c r="Q1201" s="3">
        <f t="shared" si="36"/>
        <v>0</v>
      </c>
      <c r="R1201" t="str">
        <f t="shared" si="37"/>
        <v>September</v>
      </c>
    </row>
    <row r="1202" spans="1:18" x14ac:dyDescent="0.35">
      <c r="A1202" t="s">
        <v>434</v>
      </c>
      <c r="B1202" t="s">
        <v>321</v>
      </c>
      <c r="C1202" t="s">
        <v>20</v>
      </c>
      <c r="D1202" t="s">
        <v>322</v>
      </c>
      <c r="E1202">
        <v>0</v>
      </c>
      <c r="F1202">
        <v>593</v>
      </c>
      <c r="G1202">
        <v>0</v>
      </c>
      <c r="H1202">
        <v>0</v>
      </c>
      <c r="I1202">
        <v>0</v>
      </c>
      <c r="J1202">
        <v>0</v>
      </c>
      <c r="K1202" s="1">
        <v>45901</v>
      </c>
      <c r="L1202" t="s">
        <v>429</v>
      </c>
      <c r="M1202" t="s">
        <v>435</v>
      </c>
      <c r="N1202" s="2">
        <f>IFERROR(NHS_A_E[[#This Row],[T1_Over4hrs]]/NHS_A_E[[#This Row],[T1_Attendances]], 0)</f>
        <v>0</v>
      </c>
      <c r="O1202">
        <f>NHS_A_E[[#This Row],[T1_Attendances]]+NHS_A_E[[#This Row],[Other_Attendances]]</f>
        <v>593</v>
      </c>
      <c r="P1202">
        <f>MATCH(LEFT(A1202,FIND("-",A1202)-1),{"April","May","June","July","August","September","October","November","December","January","February","March"},0)</f>
        <v>6</v>
      </c>
      <c r="Q1202" s="3">
        <f t="shared" si="36"/>
        <v>0</v>
      </c>
      <c r="R1202" t="str">
        <f t="shared" si="37"/>
        <v>September</v>
      </c>
    </row>
    <row r="1203" spans="1:18" x14ac:dyDescent="0.35">
      <c r="A1203" t="s">
        <v>434</v>
      </c>
      <c r="B1203" t="s">
        <v>165</v>
      </c>
      <c r="C1203" t="s">
        <v>63</v>
      </c>
      <c r="D1203" t="s">
        <v>166</v>
      </c>
      <c r="E1203">
        <v>12773</v>
      </c>
      <c r="F1203">
        <v>6244</v>
      </c>
      <c r="G1203">
        <v>5163</v>
      </c>
      <c r="H1203">
        <v>0</v>
      </c>
      <c r="I1203">
        <v>541</v>
      </c>
      <c r="J1203">
        <v>12</v>
      </c>
      <c r="K1203" s="1">
        <v>45901</v>
      </c>
      <c r="L1203" t="s">
        <v>429</v>
      </c>
      <c r="M1203" t="s">
        <v>435</v>
      </c>
      <c r="N1203" s="2">
        <f>IFERROR(NHS_A_E[[#This Row],[T1_Over4hrs]]/NHS_A_E[[#This Row],[T1_Attendances]], 0)</f>
        <v>0.40421200970797777</v>
      </c>
      <c r="O1203">
        <f>NHS_A_E[[#This Row],[T1_Attendances]]+NHS_A_E[[#This Row],[Other_Attendances]]</f>
        <v>19017</v>
      </c>
      <c r="P1203">
        <f>MATCH(LEFT(A1203,FIND("-",A1203)-1),{"April","May","June","July","August","September","October","November","December","January","February","March"},0)</f>
        <v>6</v>
      </c>
      <c r="Q1203" s="3">
        <f t="shared" si="36"/>
        <v>9.3948171925154627E-4</v>
      </c>
      <c r="R1203" t="str">
        <f t="shared" si="37"/>
        <v>September</v>
      </c>
    </row>
    <row r="1204" spans="1:18" x14ac:dyDescent="0.35">
      <c r="A1204" t="s">
        <v>438</v>
      </c>
      <c r="B1204" t="s">
        <v>93</v>
      </c>
      <c r="C1204" t="s">
        <v>63</v>
      </c>
      <c r="D1204" t="s">
        <v>94</v>
      </c>
      <c r="E1204">
        <v>11343</v>
      </c>
      <c r="F1204">
        <v>7942</v>
      </c>
      <c r="G1204">
        <v>5778</v>
      </c>
      <c r="H1204">
        <v>367</v>
      </c>
      <c r="I1204">
        <v>945</v>
      </c>
      <c r="J1204">
        <v>628</v>
      </c>
      <c r="K1204" s="1">
        <v>45931</v>
      </c>
      <c r="L1204" t="s">
        <v>439</v>
      </c>
      <c r="M1204" t="s">
        <v>435</v>
      </c>
      <c r="N1204" s="2">
        <f>IFERROR(NHS_A_E[[#This Row],[T1_Over4hrs]]/NHS_A_E[[#This Row],[T1_Attendances]], 0)</f>
        <v>0.50938905051573657</v>
      </c>
      <c r="O1204">
        <f>NHS_A_E[[#This Row],[T1_Attendances]]+NHS_A_E[[#This Row],[Other_Attendances]]</f>
        <v>19285</v>
      </c>
      <c r="P1204">
        <f>MATCH(LEFT(A1204,FIND("-",A1204)-1),{"April","May","June","July","August","September","October","November","December","January","February","March"},0)</f>
        <v>7</v>
      </c>
      <c r="Q1204" s="3">
        <f t="shared" si="36"/>
        <v>5.5364542008287047E-2</v>
      </c>
      <c r="R1204" t="str">
        <f t="shared" si="37"/>
        <v>October</v>
      </c>
    </row>
    <row r="1205" spans="1:18" x14ac:dyDescent="0.35">
      <c r="A1205" t="s">
        <v>438</v>
      </c>
      <c r="B1205" t="s">
        <v>391</v>
      </c>
      <c r="C1205" t="s">
        <v>63</v>
      </c>
      <c r="D1205" t="s">
        <v>392</v>
      </c>
      <c r="E1205">
        <v>4674</v>
      </c>
      <c r="F1205">
        <v>586</v>
      </c>
      <c r="G1205">
        <v>356</v>
      </c>
      <c r="H1205">
        <v>0</v>
      </c>
      <c r="I1205">
        <v>8</v>
      </c>
      <c r="J1205">
        <v>0</v>
      </c>
      <c r="K1205" s="1">
        <v>45931</v>
      </c>
      <c r="L1205" t="s">
        <v>439</v>
      </c>
      <c r="M1205" t="s">
        <v>435</v>
      </c>
      <c r="N1205" s="2">
        <f>IFERROR(NHS_A_E[[#This Row],[T1_Over4hrs]]/NHS_A_E[[#This Row],[T1_Attendances]], 0)</f>
        <v>7.6166024818142913E-2</v>
      </c>
      <c r="O1205">
        <f>NHS_A_E[[#This Row],[T1_Attendances]]+NHS_A_E[[#This Row],[Other_Attendances]]</f>
        <v>5260</v>
      </c>
      <c r="P1205">
        <f>MATCH(LEFT(A1205,FIND("-",A1205)-1),{"April","May","June","July","August","September","October","November","December","January","February","March"},0)</f>
        <v>7</v>
      </c>
      <c r="Q1205" s="3">
        <f t="shared" si="36"/>
        <v>0</v>
      </c>
      <c r="R1205" t="str">
        <f t="shared" si="37"/>
        <v>October</v>
      </c>
    </row>
    <row r="1206" spans="1:18" x14ac:dyDescent="0.35">
      <c r="A1206" t="s">
        <v>438</v>
      </c>
      <c r="B1206" t="s">
        <v>19</v>
      </c>
      <c r="C1206" t="s">
        <v>20</v>
      </c>
      <c r="D1206" t="s">
        <v>21</v>
      </c>
      <c r="E1206">
        <v>9562</v>
      </c>
      <c r="F1206">
        <v>0</v>
      </c>
      <c r="G1206">
        <v>4229</v>
      </c>
      <c r="H1206">
        <v>0</v>
      </c>
      <c r="I1206">
        <v>982</v>
      </c>
      <c r="J1206">
        <v>112</v>
      </c>
      <c r="K1206" s="1">
        <v>45931</v>
      </c>
      <c r="L1206" t="s">
        <v>439</v>
      </c>
      <c r="M1206" t="s">
        <v>435</v>
      </c>
      <c r="N1206" s="2">
        <f>IFERROR(NHS_A_E[[#This Row],[T1_Over4hrs]]/NHS_A_E[[#This Row],[T1_Attendances]], 0)</f>
        <v>0.44227149131980759</v>
      </c>
      <c r="O1206">
        <f>NHS_A_E[[#This Row],[T1_Attendances]]+NHS_A_E[[#This Row],[Other_Attendances]]</f>
        <v>9562</v>
      </c>
      <c r="P1206">
        <f>MATCH(LEFT(A1206,FIND("-",A1206)-1),{"April","May","June","July","August","September","October","November","December","January","February","March"},0)</f>
        <v>7</v>
      </c>
      <c r="Q1206" s="3">
        <f t="shared" si="36"/>
        <v>1.171303074670571E-2</v>
      </c>
      <c r="R1206" t="str">
        <f t="shared" si="37"/>
        <v>October</v>
      </c>
    </row>
    <row r="1207" spans="1:18" x14ac:dyDescent="0.35">
      <c r="A1207" t="s">
        <v>438</v>
      </c>
      <c r="B1207" t="s">
        <v>95</v>
      </c>
      <c r="C1207" t="s">
        <v>23</v>
      </c>
      <c r="D1207" t="s">
        <v>96</v>
      </c>
      <c r="E1207">
        <v>8428</v>
      </c>
      <c r="F1207">
        <v>5222</v>
      </c>
      <c r="G1207">
        <v>3454</v>
      </c>
      <c r="H1207">
        <v>43</v>
      </c>
      <c r="I1207">
        <v>706</v>
      </c>
      <c r="J1207">
        <v>0</v>
      </c>
      <c r="K1207" s="1">
        <v>45931</v>
      </c>
      <c r="L1207" t="s">
        <v>439</v>
      </c>
      <c r="M1207" t="s">
        <v>435</v>
      </c>
      <c r="N1207" s="2">
        <f>IFERROR(NHS_A_E[[#This Row],[T1_Over4hrs]]/NHS_A_E[[#This Row],[T1_Attendances]], 0)</f>
        <v>0.40982439487422878</v>
      </c>
      <c r="O1207">
        <f>NHS_A_E[[#This Row],[T1_Attendances]]+NHS_A_E[[#This Row],[Other_Attendances]]</f>
        <v>13650</v>
      </c>
      <c r="P1207">
        <f>MATCH(LEFT(A1207,FIND("-",A1207)-1),{"April","May","June","July","August","September","October","November","December","January","February","March"},0)</f>
        <v>7</v>
      </c>
      <c r="Q1207" s="3">
        <f t="shared" si="36"/>
        <v>0</v>
      </c>
      <c r="R1207" t="str">
        <f t="shared" si="37"/>
        <v>October</v>
      </c>
    </row>
    <row r="1208" spans="1:18" x14ac:dyDescent="0.35">
      <c r="A1208" t="s">
        <v>438</v>
      </c>
      <c r="B1208" t="s">
        <v>22</v>
      </c>
      <c r="C1208" t="s">
        <v>23</v>
      </c>
      <c r="D1208" t="s">
        <v>24</v>
      </c>
      <c r="E1208">
        <v>11567</v>
      </c>
      <c r="F1208">
        <v>13288</v>
      </c>
      <c r="G1208">
        <v>6210</v>
      </c>
      <c r="H1208">
        <v>1213</v>
      </c>
      <c r="I1208">
        <v>819</v>
      </c>
      <c r="J1208">
        <v>556</v>
      </c>
      <c r="K1208" s="1">
        <v>45931</v>
      </c>
      <c r="L1208" t="s">
        <v>439</v>
      </c>
      <c r="M1208" t="s">
        <v>435</v>
      </c>
      <c r="N1208" s="2">
        <f>IFERROR(NHS_A_E[[#This Row],[T1_Over4hrs]]/NHS_A_E[[#This Row],[T1_Attendances]], 0)</f>
        <v>0.53687213624967578</v>
      </c>
      <c r="O1208">
        <f>NHS_A_E[[#This Row],[T1_Attendances]]+NHS_A_E[[#This Row],[Other_Attendances]]</f>
        <v>24855</v>
      </c>
      <c r="P1208">
        <f>MATCH(LEFT(A1208,FIND("-",A1208)-1),{"April","May","June","July","August","September","October","November","December","January","February","March"},0)</f>
        <v>7</v>
      </c>
      <c r="Q1208" s="3">
        <f t="shared" si="36"/>
        <v>4.8067779026541024E-2</v>
      </c>
      <c r="R1208" t="str">
        <f t="shared" si="37"/>
        <v>October</v>
      </c>
    </row>
    <row r="1209" spans="1:18" x14ac:dyDescent="0.35">
      <c r="A1209" t="s">
        <v>438</v>
      </c>
      <c r="B1209" t="s">
        <v>97</v>
      </c>
      <c r="C1209" t="s">
        <v>15</v>
      </c>
      <c r="D1209" t="s">
        <v>98</v>
      </c>
      <c r="E1209">
        <v>23647</v>
      </c>
      <c r="F1209">
        <v>12660</v>
      </c>
      <c r="G1209">
        <v>9661</v>
      </c>
      <c r="H1209">
        <v>222</v>
      </c>
      <c r="I1209">
        <v>1387</v>
      </c>
      <c r="J1209">
        <v>492</v>
      </c>
      <c r="K1209" s="1">
        <v>45931</v>
      </c>
      <c r="L1209" t="s">
        <v>439</v>
      </c>
      <c r="M1209" t="s">
        <v>435</v>
      </c>
      <c r="N1209" s="2">
        <f>IFERROR(NHS_A_E[[#This Row],[T1_Over4hrs]]/NHS_A_E[[#This Row],[T1_Attendances]], 0)</f>
        <v>0.40855076753922276</v>
      </c>
      <c r="O1209">
        <f>NHS_A_E[[#This Row],[T1_Attendances]]+NHS_A_E[[#This Row],[Other_Attendances]]</f>
        <v>36307</v>
      </c>
      <c r="P1209">
        <f>MATCH(LEFT(A1209,FIND("-",A1209)-1),{"April","May","June","July","August","September","October","November","December","January","February","March"},0)</f>
        <v>7</v>
      </c>
      <c r="Q1209" s="3">
        <f t="shared" si="36"/>
        <v>2.080602190552713E-2</v>
      </c>
      <c r="R1209" t="str">
        <f t="shared" si="37"/>
        <v>October</v>
      </c>
    </row>
    <row r="1210" spans="1:18" x14ac:dyDescent="0.35">
      <c r="A1210" t="s">
        <v>438</v>
      </c>
      <c r="B1210" t="s">
        <v>32</v>
      </c>
      <c r="C1210" t="s">
        <v>30</v>
      </c>
      <c r="D1210" t="s">
        <v>33</v>
      </c>
      <c r="E1210">
        <v>0</v>
      </c>
      <c r="F1210">
        <v>0</v>
      </c>
      <c r="G1210">
        <v>0</v>
      </c>
      <c r="H1210">
        <v>0</v>
      </c>
      <c r="I1210">
        <v>0</v>
      </c>
      <c r="J1210">
        <v>0</v>
      </c>
      <c r="K1210" s="1">
        <v>45931</v>
      </c>
      <c r="L1210" t="s">
        <v>439</v>
      </c>
      <c r="M1210" t="s">
        <v>435</v>
      </c>
      <c r="N1210" s="2">
        <f>IFERROR(NHS_A_E[[#This Row],[T1_Over4hrs]]/NHS_A_E[[#This Row],[T1_Attendances]], 0)</f>
        <v>0</v>
      </c>
      <c r="O1210">
        <f>NHS_A_E[[#This Row],[T1_Attendances]]+NHS_A_E[[#This Row],[Other_Attendances]]</f>
        <v>0</v>
      </c>
      <c r="P1210">
        <f>MATCH(LEFT(A1210,FIND("-",A1210)-1),{"April","May","June","July","August","September","October","November","December","January","February","March"},0)</f>
        <v>7</v>
      </c>
      <c r="Q1210" s="3">
        <f t="shared" si="36"/>
        <v>0</v>
      </c>
      <c r="R1210" t="str">
        <f t="shared" si="37"/>
        <v>October</v>
      </c>
    </row>
    <row r="1211" spans="1:18" x14ac:dyDescent="0.35">
      <c r="A1211" t="s">
        <v>438</v>
      </c>
      <c r="B1211" t="s">
        <v>34</v>
      </c>
      <c r="C1211" t="s">
        <v>35</v>
      </c>
      <c r="D1211" t="s">
        <v>36</v>
      </c>
      <c r="E1211">
        <v>14159</v>
      </c>
      <c r="F1211">
        <v>14559</v>
      </c>
      <c r="G1211">
        <v>6429</v>
      </c>
      <c r="H1211">
        <v>179</v>
      </c>
      <c r="I1211">
        <v>690</v>
      </c>
      <c r="J1211">
        <v>949</v>
      </c>
      <c r="K1211" s="1">
        <v>45931</v>
      </c>
      <c r="L1211" t="s">
        <v>439</v>
      </c>
      <c r="M1211" t="s">
        <v>435</v>
      </c>
      <c r="N1211" s="2">
        <f>IFERROR(NHS_A_E[[#This Row],[T1_Over4hrs]]/NHS_A_E[[#This Row],[T1_Attendances]], 0)</f>
        <v>0.45405748993572992</v>
      </c>
      <c r="O1211">
        <f>NHS_A_E[[#This Row],[T1_Attendances]]+NHS_A_E[[#This Row],[Other_Attendances]]</f>
        <v>28718</v>
      </c>
      <c r="P1211">
        <f>MATCH(LEFT(A1211,FIND("-",A1211)-1),{"April","May","June","July","August","September","October","November","December","January","February","March"},0)</f>
        <v>7</v>
      </c>
      <c r="Q1211" s="3">
        <f t="shared" si="36"/>
        <v>6.7024507380464726E-2</v>
      </c>
      <c r="R1211" t="str">
        <f t="shared" si="37"/>
        <v>October</v>
      </c>
    </row>
    <row r="1212" spans="1:18" x14ac:dyDescent="0.35">
      <c r="A1212" t="s">
        <v>438</v>
      </c>
      <c r="B1212" t="s">
        <v>159</v>
      </c>
      <c r="C1212" t="s">
        <v>40</v>
      </c>
      <c r="D1212" t="s">
        <v>160</v>
      </c>
      <c r="E1212">
        <v>5372</v>
      </c>
      <c r="F1212">
        <v>5404</v>
      </c>
      <c r="G1212">
        <v>2895</v>
      </c>
      <c r="H1212">
        <v>257</v>
      </c>
      <c r="I1212">
        <v>963</v>
      </c>
      <c r="J1212">
        <v>276</v>
      </c>
      <c r="K1212" s="1">
        <v>45931</v>
      </c>
      <c r="L1212" t="s">
        <v>439</v>
      </c>
      <c r="M1212" t="s">
        <v>435</v>
      </c>
      <c r="N1212" s="2">
        <f>IFERROR(NHS_A_E[[#This Row],[T1_Over4hrs]]/NHS_A_E[[#This Row],[T1_Attendances]], 0)</f>
        <v>0.53890543559195825</v>
      </c>
      <c r="O1212">
        <f>NHS_A_E[[#This Row],[T1_Attendances]]+NHS_A_E[[#This Row],[Other_Attendances]]</f>
        <v>10776</v>
      </c>
      <c r="P1212">
        <f>MATCH(LEFT(A1212,FIND("-",A1212)-1),{"April","May","June","July","August","September","October","November","December","January","February","March"},0)</f>
        <v>7</v>
      </c>
      <c r="Q1212" s="3">
        <f t="shared" si="36"/>
        <v>5.137751303052867E-2</v>
      </c>
      <c r="R1212" t="str">
        <f t="shared" si="37"/>
        <v>October</v>
      </c>
    </row>
    <row r="1213" spans="1:18" x14ac:dyDescent="0.35">
      <c r="A1213" t="s">
        <v>438</v>
      </c>
      <c r="B1213" t="s">
        <v>393</v>
      </c>
      <c r="C1213" t="s">
        <v>23</v>
      </c>
      <c r="D1213" t="s">
        <v>394</v>
      </c>
      <c r="E1213">
        <v>15528</v>
      </c>
      <c r="F1213">
        <v>4796</v>
      </c>
      <c r="G1213">
        <v>5883</v>
      </c>
      <c r="H1213">
        <v>96</v>
      </c>
      <c r="I1213">
        <v>560</v>
      </c>
      <c r="J1213">
        <v>945</v>
      </c>
      <c r="K1213" s="1">
        <v>45931</v>
      </c>
      <c r="L1213" t="s">
        <v>439</v>
      </c>
      <c r="M1213" t="s">
        <v>435</v>
      </c>
      <c r="N1213" s="2">
        <f>IFERROR(NHS_A_E[[#This Row],[T1_Over4hrs]]/NHS_A_E[[#This Row],[T1_Attendances]], 0)</f>
        <v>0.37886398763523954</v>
      </c>
      <c r="O1213">
        <f>NHS_A_E[[#This Row],[T1_Attendances]]+NHS_A_E[[#This Row],[Other_Attendances]]</f>
        <v>20324</v>
      </c>
      <c r="P1213">
        <f>MATCH(LEFT(A1213,FIND("-",A1213)-1),{"April","May","June","July","August","September","October","November","December","January","February","March"},0)</f>
        <v>7</v>
      </c>
      <c r="Q1213" s="3">
        <f t="shared" si="36"/>
        <v>6.0857805255023184E-2</v>
      </c>
      <c r="R1213" t="str">
        <f t="shared" si="37"/>
        <v>October</v>
      </c>
    </row>
    <row r="1214" spans="1:18" x14ac:dyDescent="0.35">
      <c r="A1214" t="s">
        <v>438</v>
      </c>
      <c r="B1214" t="s">
        <v>37</v>
      </c>
      <c r="C1214" t="s">
        <v>35</v>
      </c>
      <c r="D1214" t="s">
        <v>38</v>
      </c>
      <c r="E1214">
        <v>16150</v>
      </c>
      <c r="F1214">
        <v>16657</v>
      </c>
      <c r="G1214">
        <v>7660</v>
      </c>
      <c r="H1214">
        <v>380</v>
      </c>
      <c r="I1214">
        <v>1253</v>
      </c>
      <c r="J1214">
        <v>652</v>
      </c>
      <c r="K1214" s="1">
        <v>45931</v>
      </c>
      <c r="L1214" t="s">
        <v>439</v>
      </c>
      <c r="M1214" t="s">
        <v>435</v>
      </c>
      <c r="N1214" s="2">
        <f>IFERROR(NHS_A_E[[#This Row],[T1_Over4hrs]]/NHS_A_E[[#This Row],[T1_Attendances]], 0)</f>
        <v>0.47430340557275541</v>
      </c>
      <c r="O1214">
        <f>NHS_A_E[[#This Row],[T1_Attendances]]+NHS_A_E[[#This Row],[Other_Attendances]]</f>
        <v>32807</v>
      </c>
      <c r="P1214">
        <f>MATCH(LEFT(A1214,FIND("-",A1214)-1),{"April","May","June","July","August","September","October","November","December","January","February","March"},0)</f>
        <v>7</v>
      </c>
      <c r="Q1214" s="3">
        <f t="shared" si="36"/>
        <v>4.0371517027863776E-2</v>
      </c>
      <c r="R1214" t="str">
        <f t="shared" si="37"/>
        <v>October</v>
      </c>
    </row>
    <row r="1215" spans="1:18" x14ac:dyDescent="0.35">
      <c r="A1215" t="s">
        <v>438</v>
      </c>
      <c r="B1215" t="s">
        <v>343</v>
      </c>
      <c r="C1215" t="s">
        <v>30</v>
      </c>
      <c r="D1215" t="s">
        <v>344</v>
      </c>
      <c r="E1215">
        <v>6441</v>
      </c>
      <c r="F1215">
        <v>0</v>
      </c>
      <c r="G1215">
        <v>841</v>
      </c>
      <c r="H1215">
        <v>0</v>
      </c>
      <c r="I1215">
        <v>0</v>
      </c>
      <c r="J1215">
        <v>0</v>
      </c>
      <c r="K1215" s="1">
        <v>45931</v>
      </c>
      <c r="L1215" t="s">
        <v>439</v>
      </c>
      <c r="M1215" t="s">
        <v>435</v>
      </c>
      <c r="N1215" s="2">
        <f>IFERROR(NHS_A_E[[#This Row],[T1_Over4hrs]]/NHS_A_E[[#This Row],[T1_Attendances]], 0)</f>
        <v>0.13056978730010868</v>
      </c>
      <c r="O1215">
        <f>NHS_A_E[[#This Row],[T1_Attendances]]+NHS_A_E[[#This Row],[Other_Attendances]]</f>
        <v>6441</v>
      </c>
      <c r="P1215">
        <f>MATCH(LEFT(A1215,FIND("-",A1215)-1),{"April","May","June","July","August","September","October","November","December","January","February","March"},0)</f>
        <v>7</v>
      </c>
      <c r="Q1215" s="3">
        <f t="shared" si="36"/>
        <v>0</v>
      </c>
      <c r="R1215" t="str">
        <f t="shared" si="37"/>
        <v>October</v>
      </c>
    </row>
    <row r="1216" spans="1:18" x14ac:dyDescent="0.35">
      <c r="A1216" t="s">
        <v>438</v>
      </c>
      <c r="B1216" t="s">
        <v>215</v>
      </c>
      <c r="C1216" t="s">
        <v>35</v>
      </c>
      <c r="D1216" t="s">
        <v>216</v>
      </c>
      <c r="E1216">
        <v>8936</v>
      </c>
      <c r="F1216">
        <v>3900</v>
      </c>
      <c r="G1216">
        <v>2633</v>
      </c>
      <c r="H1216">
        <v>106</v>
      </c>
      <c r="I1216">
        <v>408</v>
      </c>
      <c r="J1216">
        <v>651</v>
      </c>
      <c r="K1216" s="1">
        <v>45931</v>
      </c>
      <c r="L1216" t="s">
        <v>439</v>
      </c>
      <c r="M1216" t="s">
        <v>435</v>
      </c>
      <c r="N1216" s="2">
        <f>IFERROR(NHS_A_E[[#This Row],[T1_Over4hrs]]/NHS_A_E[[#This Row],[T1_Attendances]], 0)</f>
        <v>0.29465085049239031</v>
      </c>
      <c r="O1216">
        <f>NHS_A_E[[#This Row],[T1_Attendances]]+NHS_A_E[[#This Row],[Other_Attendances]]</f>
        <v>12836</v>
      </c>
      <c r="P1216">
        <f>MATCH(LEFT(A1216,FIND("-",A1216)-1),{"April","May","June","July","August","September","October","November","December","January","February","March"},0)</f>
        <v>7</v>
      </c>
      <c r="Q1216" s="3">
        <f t="shared" si="36"/>
        <v>7.2851387645478966E-2</v>
      </c>
      <c r="R1216" t="str">
        <f t="shared" si="37"/>
        <v>October</v>
      </c>
    </row>
    <row r="1217" spans="1:18" x14ac:dyDescent="0.35">
      <c r="A1217" t="s">
        <v>438</v>
      </c>
      <c r="B1217" t="s">
        <v>39</v>
      </c>
      <c r="C1217" t="s">
        <v>40</v>
      </c>
      <c r="D1217" t="s">
        <v>41</v>
      </c>
      <c r="E1217">
        <v>15284</v>
      </c>
      <c r="F1217">
        <v>9167</v>
      </c>
      <c r="G1217">
        <v>8226</v>
      </c>
      <c r="H1217">
        <v>321</v>
      </c>
      <c r="I1217">
        <v>852</v>
      </c>
      <c r="J1217">
        <v>1384</v>
      </c>
      <c r="K1217" s="1">
        <v>45931</v>
      </c>
      <c r="L1217" t="s">
        <v>439</v>
      </c>
      <c r="M1217" t="s">
        <v>435</v>
      </c>
      <c r="N1217" s="2">
        <f>IFERROR(NHS_A_E[[#This Row],[T1_Over4hrs]]/NHS_A_E[[#This Row],[T1_Attendances]], 0)</f>
        <v>0.53820989269824648</v>
      </c>
      <c r="O1217">
        <f>NHS_A_E[[#This Row],[T1_Attendances]]+NHS_A_E[[#This Row],[Other_Attendances]]</f>
        <v>24451</v>
      </c>
      <c r="P1217">
        <f>MATCH(LEFT(A1217,FIND("-",A1217)-1),{"April","May","June","July","August","September","October","November","December","January","February","March"},0)</f>
        <v>7</v>
      </c>
      <c r="Q1217" s="3">
        <f t="shared" si="36"/>
        <v>9.055221146296781E-2</v>
      </c>
      <c r="R1217" t="str">
        <f t="shared" si="37"/>
        <v>October</v>
      </c>
    </row>
    <row r="1218" spans="1:18" x14ac:dyDescent="0.35">
      <c r="A1218" t="s">
        <v>438</v>
      </c>
      <c r="B1218" t="s">
        <v>42</v>
      </c>
      <c r="C1218" t="s">
        <v>40</v>
      </c>
      <c r="D1218" t="s">
        <v>43</v>
      </c>
      <c r="E1218">
        <v>11208</v>
      </c>
      <c r="F1218">
        <v>5679</v>
      </c>
      <c r="G1218">
        <v>5069</v>
      </c>
      <c r="H1218">
        <v>445</v>
      </c>
      <c r="I1218">
        <v>917</v>
      </c>
      <c r="J1218">
        <v>606</v>
      </c>
      <c r="K1218" s="1">
        <v>45931</v>
      </c>
      <c r="L1218" t="s">
        <v>439</v>
      </c>
      <c r="M1218" t="s">
        <v>435</v>
      </c>
      <c r="N1218" s="2">
        <f>IFERROR(NHS_A_E[[#This Row],[T1_Over4hrs]]/NHS_A_E[[#This Row],[T1_Attendances]], 0)</f>
        <v>0.45226623840114205</v>
      </c>
      <c r="O1218">
        <f>NHS_A_E[[#This Row],[T1_Attendances]]+NHS_A_E[[#This Row],[Other_Attendances]]</f>
        <v>16887</v>
      </c>
      <c r="P1218">
        <f>MATCH(LEFT(A1218,FIND("-",A1218)-1),{"April","May","June","July","August","September","October","November","December","January","February","March"},0)</f>
        <v>7</v>
      </c>
      <c r="Q1218" s="3">
        <f t="shared" ref="Q1218:Q1281" si="38">IFERROR(J1218/E1218,0)</f>
        <v>5.4068522483940042E-2</v>
      </c>
      <c r="R1218" t="str">
        <f t="shared" ref="R1218:R1281" si="39">TEXT(A1218, "mmmm")</f>
        <v>October</v>
      </c>
    </row>
    <row r="1219" spans="1:18" x14ac:dyDescent="0.35">
      <c r="A1219" t="s">
        <v>438</v>
      </c>
      <c r="B1219" t="s">
        <v>44</v>
      </c>
      <c r="C1219" t="s">
        <v>40</v>
      </c>
      <c r="D1219" t="s">
        <v>45</v>
      </c>
      <c r="E1219">
        <v>12851</v>
      </c>
      <c r="F1219">
        <v>5876</v>
      </c>
      <c r="G1219">
        <v>5414</v>
      </c>
      <c r="H1219">
        <v>105</v>
      </c>
      <c r="I1219">
        <v>73</v>
      </c>
      <c r="J1219">
        <v>22</v>
      </c>
      <c r="K1219" s="1">
        <v>45931</v>
      </c>
      <c r="L1219" t="s">
        <v>439</v>
      </c>
      <c r="M1219" t="s">
        <v>435</v>
      </c>
      <c r="N1219" s="2">
        <f>IFERROR(NHS_A_E[[#This Row],[T1_Over4hrs]]/NHS_A_E[[#This Row],[T1_Attendances]], 0)</f>
        <v>0.42129017197105284</v>
      </c>
      <c r="O1219">
        <f>NHS_A_E[[#This Row],[T1_Attendances]]+NHS_A_E[[#This Row],[Other_Attendances]]</f>
        <v>18727</v>
      </c>
      <c r="P1219">
        <f>MATCH(LEFT(A1219,FIND("-",A1219)-1),{"April","May","June","July","August","September","October","November","December","January","February","March"},0)</f>
        <v>7</v>
      </c>
      <c r="Q1219" s="3">
        <f t="shared" si="38"/>
        <v>1.7119290327600966E-3</v>
      </c>
      <c r="R1219" t="str">
        <f t="shared" si="39"/>
        <v>October</v>
      </c>
    </row>
    <row r="1220" spans="1:18" x14ac:dyDescent="0.35">
      <c r="A1220" t="s">
        <v>438</v>
      </c>
      <c r="B1220" t="s">
        <v>217</v>
      </c>
      <c r="C1220" t="s">
        <v>15</v>
      </c>
      <c r="D1220" t="s">
        <v>218</v>
      </c>
      <c r="E1220">
        <v>11240</v>
      </c>
      <c r="F1220">
        <v>3567</v>
      </c>
      <c r="G1220">
        <v>5158</v>
      </c>
      <c r="H1220">
        <v>149</v>
      </c>
      <c r="I1220">
        <v>192</v>
      </c>
      <c r="J1220">
        <v>29</v>
      </c>
      <c r="K1220" s="1">
        <v>45931</v>
      </c>
      <c r="L1220" t="s">
        <v>439</v>
      </c>
      <c r="M1220" t="s">
        <v>435</v>
      </c>
      <c r="N1220" s="2">
        <f>IFERROR(NHS_A_E[[#This Row],[T1_Over4hrs]]/NHS_A_E[[#This Row],[T1_Attendances]], 0)</f>
        <v>0.45889679715302489</v>
      </c>
      <c r="O1220">
        <f>NHS_A_E[[#This Row],[T1_Attendances]]+NHS_A_E[[#This Row],[Other_Attendances]]</f>
        <v>14807</v>
      </c>
      <c r="P1220">
        <f>MATCH(LEFT(A1220,FIND("-",A1220)-1),{"April","May","June","July","August","September","October","November","December","January","February","March"},0)</f>
        <v>7</v>
      </c>
      <c r="Q1220" s="3">
        <f t="shared" si="38"/>
        <v>2.5800711743772242E-3</v>
      </c>
      <c r="R1220" t="str">
        <f t="shared" si="39"/>
        <v>October</v>
      </c>
    </row>
    <row r="1221" spans="1:18" x14ac:dyDescent="0.35">
      <c r="A1221" t="s">
        <v>438</v>
      </c>
      <c r="B1221" t="s">
        <v>129</v>
      </c>
      <c r="C1221" t="s">
        <v>63</v>
      </c>
      <c r="D1221" t="s">
        <v>130</v>
      </c>
      <c r="E1221">
        <v>14193</v>
      </c>
      <c r="F1221">
        <v>3954</v>
      </c>
      <c r="G1221">
        <v>5556</v>
      </c>
      <c r="H1221">
        <v>1</v>
      </c>
      <c r="I1221">
        <v>1283</v>
      </c>
      <c r="J1221">
        <v>142</v>
      </c>
      <c r="K1221" s="1">
        <v>45931</v>
      </c>
      <c r="L1221" t="s">
        <v>439</v>
      </c>
      <c r="M1221" t="s">
        <v>435</v>
      </c>
      <c r="N1221" s="2">
        <f>IFERROR(NHS_A_E[[#This Row],[T1_Over4hrs]]/NHS_A_E[[#This Row],[T1_Attendances]], 0)</f>
        <v>0.39146057915874022</v>
      </c>
      <c r="O1221">
        <f>NHS_A_E[[#This Row],[T1_Attendances]]+NHS_A_E[[#This Row],[Other_Attendances]]</f>
        <v>18147</v>
      </c>
      <c r="P1221">
        <f>MATCH(LEFT(A1221,FIND("-",A1221)-1),{"April","May","June","July","August","September","October","November","December","January","February","March"},0)</f>
        <v>7</v>
      </c>
      <c r="Q1221" s="3">
        <f t="shared" si="38"/>
        <v>1.0004932008736702E-2</v>
      </c>
      <c r="R1221" t="str">
        <f t="shared" si="39"/>
        <v>October</v>
      </c>
    </row>
    <row r="1222" spans="1:18" x14ac:dyDescent="0.35">
      <c r="A1222" t="s">
        <v>438</v>
      </c>
      <c r="B1222" t="s">
        <v>407</v>
      </c>
      <c r="C1222" t="s">
        <v>35</v>
      </c>
      <c r="D1222" t="s">
        <v>408</v>
      </c>
      <c r="E1222">
        <v>0</v>
      </c>
      <c r="F1222">
        <v>0</v>
      </c>
      <c r="G1222">
        <v>0</v>
      </c>
      <c r="H1222">
        <v>0</v>
      </c>
      <c r="I1222">
        <v>0</v>
      </c>
      <c r="J1222">
        <v>0</v>
      </c>
      <c r="K1222" s="1">
        <v>45931</v>
      </c>
      <c r="L1222" t="s">
        <v>439</v>
      </c>
      <c r="M1222" t="s">
        <v>435</v>
      </c>
      <c r="N1222" s="2">
        <f>IFERROR(NHS_A_E[[#This Row],[T1_Over4hrs]]/NHS_A_E[[#This Row],[T1_Attendances]], 0)</f>
        <v>0</v>
      </c>
      <c r="O1222">
        <f>NHS_A_E[[#This Row],[T1_Attendances]]+NHS_A_E[[#This Row],[Other_Attendances]]</f>
        <v>0</v>
      </c>
      <c r="P1222">
        <f>MATCH(LEFT(A1222,FIND("-",A1222)-1),{"April","May","June","July","August","September","October","November","December","January","February","March"},0)</f>
        <v>7</v>
      </c>
      <c r="Q1222" s="3">
        <f t="shared" si="38"/>
        <v>0</v>
      </c>
      <c r="R1222" t="str">
        <f t="shared" si="39"/>
        <v>October</v>
      </c>
    </row>
    <row r="1223" spans="1:18" x14ac:dyDescent="0.35">
      <c r="A1223" t="s">
        <v>438</v>
      </c>
      <c r="B1223" t="s">
        <v>323</v>
      </c>
      <c r="C1223" t="s">
        <v>23</v>
      </c>
      <c r="D1223" t="s">
        <v>324</v>
      </c>
      <c r="E1223">
        <v>8233</v>
      </c>
      <c r="F1223">
        <v>2322</v>
      </c>
      <c r="G1223">
        <v>2351</v>
      </c>
      <c r="H1223">
        <v>0</v>
      </c>
      <c r="I1223">
        <v>549</v>
      </c>
      <c r="J1223">
        <v>240</v>
      </c>
      <c r="K1223" s="1">
        <v>45931</v>
      </c>
      <c r="L1223" t="s">
        <v>439</v>
      </c>
      <c r="M1223" t="s">
        <v>435</v>
      </c>
      <c r="N1223" s="2">
        <f>IFERROR(NHS_A_E[[#This Row],[T1_Over4hrs]]/NHS_A_E[[#This Row],[T1_Attendances]], 0)</f>
        <v>0.28555811976193368</v>
      </c>
      <c r="O1223">
        <f>NHS_A_E[[#This Row],[T1_Attendances]]+NHS_A_E[[#This Row],[Other_Attendances]]</f>
        <v>10555</v>
      </c>
      <c r="P1223">
        <f>MATCH(LEFT(A1223,FIND("-",A1223)-1),{"April","May","June","July","August","September","October","November","December","January","February","March"},0)</f>
        <v>7</v>
      </c>
      <c r="Q1223" s="3">
        <f t="shared" si="38"/>
        <v>2.915097777237945E-2</v>
      </c>
      <c r="R1223" t="str">
        <f t="shared" si="39"/>
        <v>October</v>
      </c>
    </row>
    <row r="1224" spans="1:18" x14ac:dyDescent="0.35">
      <c r="A1224" t="s">
        <v>438</v>
      </c>
      <c r="B1224" t="s">
        <v>107</v>
      </c>
      <c r="C1224" t="s">
        <v>63</v>
      </c>
      <c r="D1224" t="s">
        <v>108</v>
      </c>
      <c r="E1224">
        <v>8972</v>
      </c>
      <c r="F1224">
        <v>7773</v>
      </c>
      <c r="G1224">
        <v>4759</v>
      </c>
      <c r="H1224">
        <v>244</v>
      </c>
      <c r="I1224">
        <v>1193</v>
      </c>
      <c r="J1224">
        <v>13</v>
      </c>
      <c r="K1224" s="1">
        <v>45931</v>
      </c>
      <c r="L1224" t="s">
        <v>439</v>
      </c>
      <c r="M1224" t="s">
        <v>435</v>
      </c>
      <c r="N1224" s="2">
        <f>IFERROR(NHS_A_E[[#This Row],[T1_Over4hrs]]/NHS_A_E[[#This Row],[T1_Attendances]], 0)</f>
        <v>0.53042799821667408</v>
      </c>
      <c r="O1224">
        <f>NHS_A_E[[#This Row],[T1_Attendances]]+NHS_A_E[[#This Row],[Other_Attendances]]</f>
        <v>16745</v>
      </c>
      <c r="P1224">
        <f>MATCH(LEFT(A1224,FIND("-",A1224)-1),{"April","May","June","July","August","September","October","November","December","January","February","March"},0)</f>
        <v>7</v>
      </c>
      <c r="Q1224" s="3">
        <f t="shared" si="38"/>
        <v>1.4489522960321E-3</v>
      </c>
      <c r="R1224" t="str">
        <f t="shared" si="39"/>
        <v>October</v>
      </c>
    </row>
    <row r="1225" spans="1:18" x14ac:dyDescent="0.35">
      <c r="A1225" t="s">
        <v>438</v>
      </c>
      <c r="B1225" t="s">
        <v>89</v>
      </c>
      <c r="C1225" t="s">
        <v>35</v>
      </c>
      <c r="D1225" t="s">
        <v>90</v>
      </c>
      <c r="E1225">
        <v>27391</v>
      </c>
      <c r="F1225">
        <v>15885</v>
      </c>
      <c r="G1225">
        <v>9137</v>
      </c>
      <c r="H1225">
        <v>700</v>
      </c>
      <c r="I1225">
        <v>899</v>
      </c>
      <c r="J1225">
        <v>2109</v>
      </c>
      <c r="K1225" s="1">
        <v>45931</v>
      </c>
      <c r="L1225" t="s">
        <v>439</v>
      </c>
      <c r="M1225" t="s">
        <v>435</v>
      </c>
      <c r="N1225" s="2">
        <f>IFERROR(NHS_A_E[[#This Row],[T1_Over4hrs]]/NHS_A_E[[#This Row],[T1_Attendances]], 0)</f>
        <v>0.33357672228104124</v>
      </c>
      <c r="O1225">
        <f>NHS_A_E[[#This Row],[T1_Attendances]]+NHS_A_E[[#This Row],[Other_Attendances]]</f>
        <v>43276</v>
      </c>
      <c r="P1225">
        <f>MATCH(LEFT(A1225,FIND("-",A1225)-1),{"April","May","June","July","August","September","October","November","December","January","February","March"},0)</f>
        <v>7</v>
      </c>
      <c r="Q1225" s="3">
        <f t="shared" si="38"/>
        <v>7.6996093607389293E-2</v>
      </c>
      <c r="R1225" t="str">
        <f t="shared" si="39"/>
        <v>October</v>
      </c>
    </row>
    <row r="1226" spans="1:18" x14ac:dyDescent="0.35">
      <c r="A1226" t="s">
        <v>438</v>
      </c>
      <c r="B1226" t="s">
        <v>145</v>
      </c>
      <c r="C1226" t="s">
        <v>40</v>
      </c>
      <c r="D1226" t="s">
        <v>146</v>
      </c>
      <c r="E1226">
        <v>0</v>
      </c>
      <c r="F1226">
        <v>53</v>
      </c>
      <c r="G1226">
        <v>0</v>
      </c>
      <c r="H1226">
        <v>0</v>
      </c>
      <c r="I1226">
        <v>0</v>
      </c>
      <c r="J1226">
        <v>0</v>
      </c>
      <c r="K1226" s="1">
        <v>45931</v>
      </c>
      <c r="L1226" t="s">
        <v>439</v>
      </c>
      <c r="M1226" t="s">
        <v>435</v>
      </c>
      <c r="N1226" s="2">
        <f>IFERROR(NHS_A_E[[#This Row],[T1_Over4hrs]]/NHS_A_E[[#This Row],[T1_Attendances]], 0)</f>
        <v>0</v>
      </c>
      <c r="O1226">
        <f>NHS_A_E[[#This Row],[T1_Attendances]]+NHS_A_E[[#This Row],[Other_Attendances]]</f>
        <v>53</v>
      </c>
      <c r="P1226">
        <f>MATCH(LEFT(A1226,FIND("-",A1226)-1),{"April","May","June","July","August","September","October","November","December","January","February","March"},0)</f>
        <v>7</v>
      </c>
      <c r="Q1226" s="3">
        <f t="shared" si="38"/>
        <v>0</v>
      </c>
      <c r="R1226" t="str">
        <f t="shared" si="39"/>
        <v>October</v>
      </c>
    </row>
    <row r="1227" spans="1:18" x14ac:dyDescent="0.35">
      <c r="A1227" t="s">
        <v>438</v>
      </c>
      <c r="B1227" t="s">
        <v>62</v>
      </c>
      <c r="C1227" t="s">
        <v>63</v>
      </c>
      <c r="D1227" t="s">
        <v>64</v>
      </c>
      <c r="E1227">
        <v>18939</v>
      </c>
      <c r="F1227">
        <v>11826</v>
      </c>
      <c r="G1227">
        <v>7529</v>
      </c>
      <c r="H1227">
        <v>453</v>
      </c>
      <c r="I1227">
        <v>1447</v>
      </c>
      <c r="J1227">
        <v>714</v>
      </c>
      <c r="K1227" s="1">
        <v>45931</v>
      </c>
      <c r="L1227" t="s">
        <v>439</v>
      </c>
      <c r="M1227" t="s">
        <v>435</v>
      </c>
      <c r="N1227" s="2">
        <f>IFERROR(NHS_A_E[[#This Row],[T1_Over4hrs]]/NHS_A_E[[#This Row],[T1_Attendances]], 0)</f>
        <v>0.39753946882095148</v>
      </c>
      <c r="O1227">
        <f>NHS_A_E[[#This Row],[T1_Attendances]]+NHS_A_E[[#This Row],[Other_Attendances]]</f>
        <v>30765</v>
      </c>
      <c r="P1227">
        <f>MATCH(LEFT(A1227,FIND("-",A1227)-1),{"April","May","June","July","August","September","October","November","December","January","February","March"},0)</f>
        <v>7</v>
      </c>
      <c r="Q1227" s="3">
        <f t="shared" si="38"/>
        <v>3.7699984159670519E-2</v>
      </c>
      <c r="R1227" t="str">
        <f t="shared" si="39"/>
        <v>October</v>
      </c>
    </row>
    <row r="1228" spans="1:18" x14ac:dyDescent="0.35">
      <c r="A1228" t="s">
        <v>438</v>
      </c>
      <c r="B1228" t="s">
        <v>99</v>
      </c>
      <c r="C1228" t="s">
        <v>30</v>
      </c>
      <c r="D1228" t="s">
        <v>100</v>
      </c>
      <c r="E1228">
        <v>0</v>
      </c>
      <c r="F1228">
        <v>0</v>
      </c>
      <c r="G1228">
        <v>0</v>
      </c>
      <c r="H1228">
        <v>0</v>
      </c>
      <c r="I1228">
        <v>0</v>
      </c>
      <c r="J1228">
        <v>0</v>
      </c>
      <c r="K1228" s="1">
        <v>45931</v>
      </c>
      <c r="L1228" t="s">
        <v>439</v>
      </c>
      <c r="M1228" t="s">
        <v>435</v>
      </c>
      <c r="N1228" s="2">
        <f>IFERROR(NHS_A_E[[#This Row],[T1_Over4hrs]]/NHS_A_E[[#This Row],[T1_Attendances]], 0)</f>
        <v>0</v>
      </c>
      <c r="O1228">
        <f>NHS_A_E[[#This Row],[T1_Attendances]]+NHS_A_E[[#This Row],[Other_Attendances]]</f>
        <v>0</v>
      </c>
      <c r="P1228">
        <f>MATCH(LEFT(A1228,FIND("-",A1228)-1),{"April","May","June","July","August","September","October","November","December","January","February","March"},0)</f>
        <v>7</v>
      </c>
      <c r="Q1228" s="3">
        <f t="shared" si="38"/>
        <v>0</v>
      </c>
      <c r="R1228" t="str">
        <f t="shared" si="39"/>
        <v>October</v>
      </c>
    </row>
    <row r="1229" spans="1:18" x14ac:dyDescent="0.35">
      <c r="A1229" t="s">
        <v>438</v>
      </c>
      <c r="B1229" t="s">
        <v>395</v>
      </c>
      <c r="C1229" t="s">
        <v>23</v>
      </c>
      <c r="D1229" t="s">
        <v>396</v>
      </c>
      <c r="E1229">
        <v>7944</v>
      </c>
      <c r="F1229">
        <v>730</v>
      </c>
      <c r="G1229">
        <v>2673</v>
      </c>
      <c r="H1229">
        <v>0</v>
      </c>
      <c r="I1229">
        <v>511</v>
      </c>
      <c r="J1229">
        <v>406</v>
      </c>
      <c r="K1229" s="1">
        <v>45931</v>
      </c>
      <c r="L1229" t="s">
        <v>439</v>
      </c>
      <c r="M1229" t="s">
        <v>435</v>
      </c>
      <c r="N1229" s="2">
        <f>IFERROR(NHS_A_E[[#This Row],[T1_Over4hrs]]/NHS_A_E[[#This Row],[T1_Attendances]], 0)</f>
        <v>0.33648036253776437</v>
      </c>
      <c r="O1229">
        <f>NHS_A_E[[#This Row],[T1_Attendances]]+NHS_A_E[[#This Row],[Other_Attendances]]</f>
        <v>8674</v>
      </c>
      <c r="P1229">
        <f>MATCH(LEFT(A1229,FIND("-",A1229)-1),{"April","May","June","July","August","September","October","November","December","January","February","March"},0)</f>
        <v>7</v>
      </c>
      <c r="Q1229" s="3">
        <f t="shared" si="38"/>
        <v>5.110775427995972E-2</v>
      </c>
      <c r="R1229" t="str">
        <f t="shared" si="39"/>
        <v>October</v>
      </c>
    </row>
    <row r="1230" spans="1:18" x14ac:dyDescent="0.35">
      <c r="A1230" t="s">
        <v>438</v>
      </c>
      <c r="B1230" t="s">
        <v>349</v>
      </c>
      <c r="C1230" t="s">
        <v>20</v>
      </c>
      <c r="D1230" t="s">
        <v>350</v>
      </c>
      <c r="E1230">
        <v>13317</v>
      </c>
      <c r="F1230">
        <v>4221</v>
      </c>
      <c r="G1230">
        <v>5806</v>
      </c>
      <c r="H1230">
        <v>4</v>
      </c>
      <c r="I1230">
        <v>946</v>
      </c>
      <c r="J1230">
        <v>207</v>
      </c>
      <c r="K1230" s="1">
        <v>45931</v>
      </c>
      <c r="L1230" t="s">
        <v>439</v>
      </c>
      <c r="M1230" t="s">
        <v>435</v>
      </c>
      <c r="N1230" s="2">
        <f>IFERROR(NHS_A_E[[#This Row],[T1_Over4hrs]]/NHS_A_E[[#This Row],[T1_Attendances]], 0)</f>
        <v>0.43598408049861082</v>
      </c>
      <c r="O1230">
        <f>NHS_A_E[[#This Row],[T1_Attendances]]+NHS_A_E[[#This Row],[Other_Attendances]]</f>
        <v>17538</v>
      </c>
      <c r="P1230">
        <f>MATCH(LEFT(A1230,FIND("-",A1230)-1),{"April","May","June","July","August","September","October","November","December","January","February","March"},0)</f>
        <v>7</v>
      </c>
      <c r="Q1230" s="3">
        <f t="shared" si="38"/>
        <v>1.5544041450777202E-2</v>
      </c>
      <c r="R1230" t="str">
        <f t="shared" si="39"/>
        <v>October</v>
      </c>
    </row>
    <row r="1231" spans="1:18" x14ac:dyDescent="0.35">
      <c r="A1231" t="s">
        <v>438</v>
      </c>
      <c r="B1231" t="s">
        <v>415</v>
      </c>
      <c r="C1231" t="s">
        <v>35</v>
      </c>
      <c r="D1231" t="s">
        <v>416</v>
      </c>
      <c r="E1231">
        <v>16287</v>
      </c>
      <c r="F1231">
        <v>8678</v>
      </c>
      <c r="G1231">
        <v>6934</v>
      </c>
      <c r="H1231">
        <v>358</v>
      </c>
      <c r="I1231">
        <v>1512</v>
      </c>
      <c r="J1231">
        <v>593</v>
      </c>
      <c r="K1231" s="1">
        <v>45931</v>
      </c>
      <c r="L1231" t="s">
        <v>439</v>
      </c>
      <c r="M1231" t="s">
        <v>435</v>
      </c>
      <c r="N1231" s="2">
        <f>IFERROR(NHS_A_E[[#This Row],[T1_Over4hrs]]/NHS_A_E[[#This Row],[T1_Attendances]], 0)</f>
        <v>0.42573831890464786</v>
      </c>
      <c r="O1231">
        <f>NHS_A_E[[#This Row],[T1_Attendances]]+NHS_A_E[[#This Row],[Other_Attendances]]</f>
        <v>24965</v>
      </c>
      <c r="P1231">
        <f>MATCH(LEFT(A1231,FIND("-",A1231)-1),{"April","May","June","July","August","September","October","November","December","January","February","March"},0)</f>
        <v>7</v>
      </c>
      <c r="Q1231" s="3">
        <f t="shared" si="38"/>
        <v>3.6409406274943205E-2</v>
      </c>
      <c r="R1231" t="str">
        <f t="shared" si="39"/>
        <v>October</v>
      </c>
    </row>
    <row r="1232" spans="1:18" x14ac:dyDescent="0.35">
      <c r="A1232" t="s">
        <v>438</v>
      </c>
      <c r="B1232" t="s">
        <v>46</v>
      </c>
      <c r="C1232" t="s">
        <v>40</v>
      </c>
      <c r="D1232" t="s">
        <v>47</v>
      </c>
      <c r="E1232">
        <v>0</v>
      </c>
      <c r="F1232">
        <v>0</v>
      </c>
      <c r="G1232">
        <v>0</v>
      </c>
      <c r="H1232">
        <v>0</v>
      </c>
      <c r="I1232">
        <v>0</v>
      </c>
      <c r="J1232">
        <v>0</v>
      </c>
      <c r="K1232" s="1">
        <v>45931</v>
      </c>
      <c r="L1232" t="s">
        <v>439</v>
      </c>
      <c r="M1232" t="s">
        <v>435</v>
      </c>
      <c r="N1232" s="2">
        <f>IFERROR(NHS_A_E[[#This Row],[T1_Over4hrs]]/NHS_A_E[[#This Row],[T1_Attendances]], 0)</f>
        <v>0</v>
      </c>
      <c r="O1232">
        <f>NHS_A_E[[#This Row],[T1_Attendances]]+NHS_A_E[[#This Row],[Other_Attendances]]</f>
        <v>0</v>
      </c>
      <c r="P1232">
        <f>MATCH(LEFT(A1232,FIND("-",A1232)-1),{"April","May","June","July","August","September","October","November","December","January","February","March"},0)</f>
        <v>7</v>
      </c>
      <c r="Q1232" s="3">
        <f t="shared" si="38"/>
        <v>0</v>
      </c>
      <c r="R1232" t="str">
        <f t="shared" si="39"/>
        <v>October</v>
      </c>
    </row>
    <row r="1233" spans="1:18" x14ac:dyDescent="0.35">
      <c r="A1233" t="s">
        <v>438</v>
      </c>
      <c r="B1233" t="s">
        <v>357</v>
      </c>
      <c r="C1233" t="s">
        <v>20</v>
      </c>
      <c r="D1233" t="s">
        <v>358</v>
      </c>
      <c r="E1233">
        <v>6185</v>
      </c>
      <c r="F1233">
        <v>5911</v>
      </c>
      <c r="G1233">
        <v>3152</v>
      </c>
      <c r="H1233">
        <v>486</v>
      </c>
      <c r="I1233">
        <v>702</v>
      </c>
      <c r="J1233">
        <v>326</v>
      </c>
      <c r="K1233" s="1">
        <v>45931</v>
      </c>
      <c r="L1233" t="s">
        <v>439</v>
      </c>
      <c r="M1233" t="s">
        <v>435</v>
      </c>
      <c r="N1233" s="2">
        <f>IFERROR(NHS_A_E[[#This Row],[T1_Over4hrs]]/NHS_A_E[[#This Row],[T1_Attendances]], 0)</f>
        <v>0.5096200485044462</v>
      </c>
      <c r="O1233">
        <f>NHS_A_E[[#This Row],[T1_Attendances]]+NHS_A_E[[#This Row],[Other_Attendances]]</f>
        <v>12096</v>
      </c>
      <c r="P1233">
        <f>MATCH(LEFT(A1233,FIND("-",A1233)-1),{"April","May","June","July","August","September","October","November","December","January","February","March"},0)</f>
        <v>7</v>
      </c>
      <c r="Q1233" s="3">
        <f t="shared" si="38"/>
        <v>5.270816491511722E-2</v>
      </c>
      <c r="R1233" t="str">
        <f t="shared" si="39"/>
        <v>October</v>
      </c>
    </row>
    <row r="1234" spans="1:18" x14ac:dyDescent="0.35">
      <c r="A1234" t="s">
        <v>438</v>
      </c>
      <c r="B1234" t="s">
        <v>52</v>
      </c>
      <c r="C1234" t="s">
        <v>40</v>
      </c>
      <c r="D1234" t="s">
        <v>53</v>
      </c>
      <c r="E1234">
        <v>10636</v>
      </c>
      <c r="F1234">
        <v>1921</v>
      </c>
      <c r="G1234">
        <v>4524</v>
      </c>
      <c r="H1234">
        <v>49</v>
      </c>
      <c r="I1234">
        <v>571</v>
      </c>
      <c r="J1234">
        <v>764</v>
      </c>
      <c r="K1234" s="1">
        <v>45931</v>
      </c>
      <c r="L1234" t="s">
        <v>439</v>
      </c>
      <c r="M1234" t="s">
        <v>435</v>
      </c>
      <c r="N1234" s="2">
        <f>IFERROR(NHS_A_E[[#This Row],[T1_Over4hrs]]/NHS_A_E[[#This Row],[T1_Attendances]], 0)</f>
        <v>0.42534787514103045</v>
      </c>
      <c r="O1234">
        <f>NHS_A_E[[#This Row],[T1_Attendances]]+NHS_A_E[[#This Row],[Other_Attendances]]</f>
        <v>12557</v>
      </c>
      <c r="P1234">
        <f>MATCH(LEFT(A1234,FIND("-",A1234)-1),{"April","May","June","July","August","September","October","November","December","January","February","March"},0)</f>
        <v>7</v>
      </c>
      <c r="Q1234" s="3">
        <f t="shared" si="38"/>
        <v>7.1831515607371194E-2</v>
      </c>
      <c r="R1234" t="str">
        <f t="shared" si="39"/>
        <v>October</v>
      </c>
    </row>
    <row r="1235" spans="1:18" x14ac:dyDescent="0.35">
      <c r="A1235" t="s">
        <v>438</v>
      </c>
      <c r="B1235" t="s">
        <v>403</v>
      </c>
      <c r="C1235" t="s">
        <v>15</v>
      </c>
      <c r="D1235" t="s">
        <v>404</v>
      </c>
      <c r="E1235">
        <v>0</v>
      </c>
      <c r="F1235">
        <v>1395</v>
      </c>
      <c r="G1235">
        <v>0</v>
      </c>
      <c r="H1235">
        <v>19</v>
      </c>
      <c r="I1235">
        <v>0</v>
      </c>
      <c r="J1235">
        <v>0</v>
      </c>
      <c r="K1235" s="1">
        <v>45931</v>
      </c>
      <c r="L1235" t="s">
        <v>439</v>
      </c>
      <c r="M1235" t="s">
        <v>435</v>
      </c>
      <c r="N1235" s="2">
        <f>IFERROR(NHS_A_E[[#This Row],[T1_Over4hrs]]/NHS_A_E[[#This Row],[T1_Attendances]], 0)</f>
        <v>0</v>
      </c>
      <c r="O1235">
        <f>NHS_A_E[[#This Row],[T1_Attendances]]+NHS_A_E[[#This Row],[Other_Attendances]]</f>
        <v>1395</v>
      </c>
      <c r="P1235">
        <f>MATCH(LEFT(A1235,FIND("-",A1235)-1),{"April","May","June","July","August","September","October","November","December","January","February","March"},0)</f>
        <v>7</v>
      </c>
      <c r="Q1235" s="3">
        <f t="shared" si="38"/>
        <v>0</v>
      </c>
      <c r="R1235" t="str">
        <f t="shared" si="39"/>
        <v>October</v>
      </c>
    </row>
    <row r="1236" spans="1:18" x14ac:dyDescent="0.35">
      <c r="A1236" t="s">
        <v>438</v>
      </c>
      <c r="B1236" t="s">
        <v>223</v>
      </c>
      <c r="C1236" t="s">
        <v>15</v>
      </c>
      <c r="D1236" t="s">
        <v>224</v>
      </c>
      <c r="E1236">
        <v>12950</v>
      </c>
      <c r="F1236">
        <v>3269</v>
      </c>
      <c r="G1236">
        <v>3808</v>
      </c>
      <c r="H1236">
        <v>110</v>
      </c>
      <c r="I1236">
        <v>450</v>
      </c>
      <c r="J1236">
        <v>0</v>
      </c>
      <c r="K1236" s="1">
        <v>45931</v>
      </c>
      <c r="L1236" t="s">
        <v>439</v>
      </c>
      <c r="M1236" t="s">
        <v>435</v>
      </c>
      <c r="N1236" s="2">
        <f>IFERROR(NHS_A_E[[#This Row],[T1_Over4hrs]]/NHS_A_E[[#This Row],[T1_Attendances]], 0)</f>
        <v>0.29405405405405405</v>
      </c>
      <c r="O1236">
        <f>NHS_A_E[[#This Row],[T1_Attendances]]+NHS_A_E[[#This Row],[Other_Attendances]]</f>
        <v>16219</v>
      </c>
      <c r="P1236">
        <f>MATCH(LEFT(A1236,FIND("-",A1236)-1),{"April","May","June","July","August","September","October","November","December","January","February","March"},0)</f>
        <v>7</v>
      </c>
      <c r="Q1236" s="3">
        <f t="shared" si="38"/>
        <v>0</v>
      </c>
      <c r="R1236" t="str">
        <f t="shared" si="39"/>
        <v>October</v>
      </c>
    </row>
    <row r="1237" spans="1:18" x14ac:dyDescent="0.35">
      <c r="A1237" t="s">
        <v>438</v>
      </c>
      <c r="B1237" t="s">
        <v>123</v>
      </c>
      <c r="C1237" t="s">
        <v>15</v>
      </c>
      <c r="D1237" t="s">
        <v>124</v>
      </c>
      <c r="E1237">
        <v>13171</v>
      </c>
      <c r="F1237">
        <v>13017</v>
      </c>
      <c r="G1237">
        <v>6372</v>
      </c>
      <c r="H1237">
        <v>357</v>
      </c>
      <c r="I1237">
        <v>406</v>
      </c>
      <c r="J1237">
        <v>1238</v>
      </c>
      <c r="K1237" s="1">
        <v>45931</v>
      </c>
      <c r="L1237" t="s">
        <v>439</v>
      </c>
      <c r="M1237" t="s">
        <v>435</v>
      </c>
      <c r="N1237" s="2">
        <f>IFERROR(NHS_A_E[[#This Row],[T1_Over4hrs]]/NHS_A_E[[#This Row],[T1_Attendances]], 0)</f>
        <v>0.4837901450155645</v>
      </c>
      <c r="O1237">
        <f>NHS_A_E[[#This Row],[T1_Attendances]]+NHS_A_E[[#This Row],[Other_Attendances]]</f>
        <v>26188</v>
      </c>
      <c r="P1237">
        <f>MATCH(LEFT(A1237,FIND("-",A1237)-1),{"April","May","June","July","August","September","October","November","December","January","February","March"},0)</f>
        <v>7</v>
      </c>
      <c r="Q1237" s="3">
        <f t="shared" si="38"/>
        <v>9.399438159593046E-2</v>
      </c>
      <c r="R1237" t="str">
        <f t="shared" si="39"/>
        <v>October</v>
      </c>
    </row>
    <row r="1238" spans="1:18" x14ac:dyDescent="0.35">
      <c r="A1238" t="s">
        <v>438</v>
      </c>
      <c r="B1238" t="s">
        <v>187</v>
      </c>
      <c r="C1238" t="s">
        <v>30</v>
      </c>
      <c r="D1238" t="s">
        <v>188</v>
      </c>
      <c r="E1238">
        <v>8296</v>
      </c>
      <c r="F1238">
        <v>1162</v>
      </c>
      <c r="G1238">
        <v>3528</v>
      </c>
      <c r="H1238">
        <v>59</v>
      </c>
      <c r="I1238">
        <v>802</v>
      </c>
      <c r="J1238">
        <v>447</v>
      </c>
      <c r="K1238" s="1">
        <v>45931</v>
      </c>
      <c r="L1238" t="s">
        <v>439</v>
      </c>
      <c r="M1238" t="s">
        <v>435</v>
      </c>
      <c r="N1238" s="2">
        <f>IFERROR(NHS_A_E[[#This Row],[T1_Over4hrs]]/NHS_A_E[[#This Row],[T1_Attendances]], 0)</f>
        <v>0.42526518804243008</v>
      </c>
      <c r="O1238">
        <f>NHS_A_E[[#This Row],[T1_Attendances]]+NHS_A_E[[#This Row],[Other_Attendances]]</f>
        <v>9458</v>
      </c>
      <c r="P1238">
        <f>MATCH(LEFT(A1238,FIND("-",A1238)-1),{"April","May","June","July","August","September","October","November","December","January","February","March"},0)</f>
        <v>7</v>
      </c>
      <c r="Q1238" s="3">
        <f t="shared" si="38"/>
        <v>5.388138862102218E-2</v>
      </c>
      <c r="R1238" t="str">
        <f t="shared" si="39"/>
        <v>October</v>
      </c>
    </row>
    <row r="1239" spans="1:18" x14ac:dyDescent="0.35">
      <c r="A1239" t="s">
        <v>438</v>
      </c>
      <c r="B1239" t="s">
        <v>133</v>
      </c>
      <c r="C1239" t="s">
        <v>15</v>
      </c>
      <c r="D1239" t="s">
        <v>134</v>
      </c>
      <c r="E1239">
        <v>0</v>
      </c>
      <c r="F1239">
        <v>1447</v>
      </c>
      <c r="G1239">
        <v>0</v>
      </c>
      <c r="H1239">
        <v>12</v>
      </c>
      <c r="I1239">
        <v>0</v>
      </c>
      <c r="J1239">
        <v>0</v>
      </c>
      <c r="K1239" s="1">
        <v>45931</v>
      </c>
      <c r="L1239" t="s">
        <v>439</v>
      </c>
      <c r="M1239" t="s">
        <v>435</v>
      </c>
      <c r="N1239" s="2">
        <f>IFERROR(NHS_A_E[[#This Row],[T1_Over4hrs]]/NHS_A_E[[#This Row],[T1_Attendances]], 0)</f>
        <v>0</v>
      </c>
      <c r="O1239">
        <f>NHS_A_E[[#This Row],[T1_Attendances]]+NHS_A_E[[#This Row],[Other_Attendances]]</f>
        <v>1447</v>
      </c>
      <c r="P1239">
        <f>MATCH(LEFT(A1239,FIND("-",A1239)-1),{"April","May","June","July","August","September","October","November","December","January","February","March"},0)</f>
        <v>7</v>
      </c>
      <c r="Q1239" s="3">
        <f t="shared" si="38"/>
        <v>0</v>
      </c>
      <c r="R1239" t="str">
        <f t="shared" si="39"/>
        <v>October</v>
      </c>
    </row>
    <row r="1240" spans="1:18" x14ac:dyDescent="0.35">
      <c r="A1240" t="s">
        <v>438</v>
      </c>
      <c r="B1240" t="s">
        <v>377</v>
      </c>
      <c r="C1240" t="s">
        <v>63</v>
      </c>
      <c r="D1240" t="s">
        <v>378</v>
      </c>
      <c r="E1240">
        <v>17426</v>
      </c>
      <c r="F1240">
        <v>6725</v>
      </c>
      <c r="G1240">
        <v>6729</v>
      </c>
      <c r="H1240">
        <v>263</v>
      </c>
      <c r="I1240">
        <v>2098</v>
      </c>
      <c r="J1240">
        <v>125</v>
      </c>
      <c r="K1240" s="1">
        <v>45931</v>
      </c>
      <c r="L1240" t="s">
        <v>439</v>
      </c>
      <c r="M1240" t="s">
        <v>435</v>
      </c>
      <c r="N1240" s="2">
        <f>IFERROR(NHS_A_E[[#This Row],[T1_Over4hrs]]/NHS_A_E[[#This Row],[T1_Attendances]], 0)</f>
        <v>0.38614713646275678</v>
      </c>
      <c r="O1240">
        <f>NHS_A_E[[#This Row],[T1_Attendances]]+NHS_A_E[[#This Row],[Other_Attendances]]</f>
        <v>24151</v>
      </c>
      <c r="P1240">
        <f>MATCH(LEFT(A1240,FIND("-",A1240)-1),{"April","May","June","July","August","September","October","November","December","January","February","March"},0)</f>
        <v>7</v>
      </c>
      <c r="Q1240" s="3">
        <f t="shared" si="38"/>
        <v>7.1731894869734875E-3</v>
      </c>
      <c r="R1240" t="str">
        <f t="shared" si="39"/>
        <v>October</v>
      </c>
    </row>
    <row r="1241" spans="1:18" x14ac:dyDescent="0.35">
      <c r="A1241" t="s">
        <v>438</v>
      </c>
      <c r="B1241" t="s">
        <v>197</v>
      </c>
      <c r="C1241" t="s">
        <v>63</v>
      </c>
      <c r="D1241" t="s">
        <v>198</v>
      </c>
      <c r="E1241">
        <v>13410</v>
      </c>
      <c r="F1241">
        <v>4086</v>
      </c>
      <c r="G1241">
        <v>5620</v>
      </c>
      <c r="H1241">
        <v>0</v>
      </c>
      <c r="I1241">
        <v>2278</v>
      </c>
      <c r="J1241">
        <v>19</v>
      </c>
      <c r="K1241" s="1">
        <v>45931</v>
      </c>
      <c r="L1241" t="s">
        <v>439</v>
      </c>
      <c r="M1241" t="s">
        <v>435</v>
      </c>
      <c r="N1241" s="2">
        <f>IFERROR(NHS_A_E[[#This Row],[T1_Over4hrs]]/NHS_A_E[[#This Row],[T1_Attendances]], 0)</f>
        <v>0.4190902311707681</v>
      </c>
      <c r="O1241">
        <f>NHS_A_E[[#This Row],[T1_Attendances]]+NHS_A_E[[#This Row],[Other_Attendances]]</f>
        <v>17496</v>
      </c>
      <c r="P1241">
        <f>MATCH(LEFT(A1241,FIND("-",A1241)-1),{"April","May","June","July","August","September","October","November","December","January","February","March"},0)</f>
        <v>7</v>
      </c>
      <c r="Q1241" s="3">
        <f t="shared" si="38"/>
        <v>1.4168530947054436E-3</v>
      </c>
      <c r="R1241" t="str">
        <f t="shared" si="39"/>
        <v>October</v>
      </c>
    </row>
    <row r="1242" spans="1:18" x14ac:dyDescent="0.35">
      <c r="A1242" t="s">
        <v>438</v>
      </c>
      <c r="B1242" t="s">
        <v>199</v>
      </c>
      <c r="C1242" t="s">
        <v>40</v>
      </c>
      <c r="D1242" t="s">
        <v>200</v>
      </c>
      <c r="E1242">
        <v>10982</v>
      </c>
      <c r="F1242">
        <v>2637</v>
      </c>
      <c r="G1242">
        <v>5893</v>
      </c>
      <c r="H1242">
        <v>340</v>
      </c>
      <c r="I1242">
        <v>429</v>
      </c>
      <c r="J1242">
        <v>1618</v>
      </c>
      <c r="K1242" s="1">
        <v>45931</v>
      </c>
      <c r="L1242" t="s">
        <v>439</v>
      </c>
      <c r="M1242" t="s">
        <v>435</v>
      </c>
      <c r="N1242" s="2">
        <f>IFERROR(NHS_A_E[[#This Row],[T1_Over4hrs]]/NHS_A_E[[#This Row],[T1_Attendances]], 0)</f>
        <v>0.53660535421598976</v>
      </c>
      <c r="O1242">
        <f>NHS_A_E[[#This Row],[T1_Attendances]]+NHS_A_E[[#This Row],[Other_Attendances]]</f>
        <v>13619</v>
      </c>
      <c r="P1242">
        <f>MATCH(LEFT(A1242,FIND("-",A1242)-1),{"April","May","June","July","August","September","October","November","December","January","February","March"},0)</f>
        <v>7</v>
      </c>
      <c r="Q1242" s="3">
        <f t="shared" si="38"/>
        <v>0.14733199781460571</v>
      </c>
      <c r="R1242" t="str">
        <f t="shared" si="39"/>
        <v>October</v>
      </c>
    </row>
    <row r="1243" spans="1:18" x14ac:dyDescent="0.35">
      <c r="A1243" t="s">
        <v>438</v>
      </c>
      <c r="B1243" t="s">
        <v>203</v>
      </c>
      <c r="C1243" t="s">
        <v>40</v>
      </c>
      <c r="D1243" t="s">
        <v>204</v>
      </c>
      <c r="E1243">
        <v>0</v>
      </c>
      <c r="F1243">
        <v>0</v>
      </c>
      <c r="G1243">
        <v>0</v>
      </c>
      <c r="H1243">
        <v>0</v>
      </c>
      <c r="I1243">
        <v>0</v>
      </c>
      <c r="J1243">
        <v>0</v>
      </c>
      <c r="K1243" s="1">
        <v>45931</v>
      </c>
      <c r="L1243" t="s">
        <v>439</v>
      </c>
      <c r="M1243" t="s">
        <v>435</v>
      </c>
      <c r="N1243" s="2">
        <f>IFERROR(NHS_A_E[[#This Row],[T1_Over4hrs]]/NHS_A_E[[#This Row],[T1_Attendances]], 0)</f>
        <v>0</v>
      </c>
      <c r="O1243">
        <f>NHS_A_E[[#This Row],[T1_Attendances]]+NHS_A_E[[#This Row],[Other_Attendances]]</f>
        <v>0</v>
      </c>
      <c r="P1243">
        <f>MATCH(LEFT(A1243,FIND("-",A1243)-1),{"April","May","June","July","August","September","October","November","December","January","February","March"},0)</f>
        <v>7</v>
      </c>
      <c r="Q1243" s="3">
        <f t="shared" si="38"/>
        <v>0</v>
      </c>
      <c r="R1243" t="str">
        <f t="shared" si="39"/>
        <v>October</v>
      </c>
    </row>
    <row r="1244" spans="1:18" x14ac:dyDescent="0.35">
      <c r="A1244" t="s">
        <v>438</v>
      </c>
      <c r="B1244" t="s">
        <v>281</v>
      </c>
      <c r="C1244" t="s">
        <v>40</v>
      </c>
      <c r="D1244" t="s">
        <v>282</v>
      </c>
      <c r="E1244">
        <v>0</v>
      </c>
      <c r="F1244">
        <v>6420</v>
      </c>
      <c r="G1244">
        <v>0</v>
      </c>
      <c r="H1244">
        <v>0</v>
      </c>
      <c r="I1244">
        <v>0</v>
      </c>
      <c r="J1244">
        <v>0</v>
      </c>
      <c r="K1244" s="1">
        <v>45931</v>
      </c>
      <c r="L1244" t="s">
        <v>439</v>
      </c>
      <c r="M1244" t="s">
        <v>435</v>
      </c>
      <c r="N1244" s="2">
        <f>IFERROR(NHS_A_E[[#This Row],[T1_Over4hrs]]/NHS_A_E[[#This Row],[T1_Attendances]], 0)</f>
        <v>0</v>
      </c>
      <c r="O1244">
        <f>NHS_A_E[[#This Row],[T1_Attendances]]+NHS_A_E[[#This Row],[Other_Attendances]]</f>
        <v>6420</v>
      </c>
      <c r="P1244">
        <f>MATCH(LEFT(A1244,FIND("-",A1244)-1),{"April","May","June","July","August","September","October","November","December","January","February","March"},0)</f>
        <v>7</v>
      </c>
      <c r="Q1244" s="3">
        <f t="shared" si="38"/>
        <v>0</v>
      </c>
      <c r="R1244" t="str">
        <f t="shared" si="39"/>
        <v>October</v>
      </c>
    </row>
    <row r="1245" spans="1:18" x14ac:dyDescent="0.35">
      <c r="A1245" t="s">
        <v>438</v>
      </c>
      <c r="B1245" t="s">
        <v>137</v>
      </c>
      <c r="C1245" t="s">
        <v>40</v>
      </c>
      <c r="D1245" t="s">
        <v>138</v>
      </c>
      <c r="E1245">
        <v>0</v>
      </c>
      <c r="F1245">
        <v>329</v>
      </c>
      <c r="G1245">
        <v>0</v>
      </c>
      <c r="H1245">
        <v>3</v>
      </c>
      <c r="I1245">
        <v>0</v>
      </c>
      <c r="J1245">
        <v>0</v>
      </c>
      <c r="K1245" s="1">
        <v>45931</v>
      </c>
      <c r="L1245" t="s">
        <v>439</v>
      </c>
      <c r="M1245" t="s">
        <v>435</v>
      </c>
      <c r="N1245" s="2">
        <f>IFERROR(NHS_A_E[[#This Row],[T1_Over4hrs]]/NHS_A_E[[#This Row],[T1_Attendances]], 0)</f>
        <v>0</v>
      </c>
      <c r="O1245">
        <f>NHS_A_E[[#This Row],[T1_Attendances]]+NHS_A_E[[#This Row],[Other_Attendances]]</f>
        <v>329</v>
      </c>
      <c r="P1245">
        <f>MATCH(LEFT(A1245,FIND("-",A1245)-1),{"April","May","June","July","August","September","October","November","December","January","February","March"},0)</f>
        <v>7</v>
      </c>
      <c r="Q1245" s="3">
        <f t="shared" si="38"/>
        <v>0</v>
      </c>
      <c r="R1245" t="str">
        <f t="shared" si="39"/>
        <v>October</v>
      </c>
    </row>
    <row r="1246" spans="1:18" x14ac:dyDescent="0.35">
      <c r="A1246" t="s">
        <v>438</v>
      </c>
      <c r="B1246" t="s">
        <v>139</v>
      </c>
      <c r="C1246" t="s">
        <v>40</v>
      </c>
      <c r="D1246" t="s">
        <v>140</v>
      </c>
      <c r="E1246">
        <v>0</v>
      </c>
      <c r="F1246">
        <v>89</v>
      </c>
      <c r="G1246">
        <v>0</v>
      </c>
      <c r="H1246">
        <v>0</v>
      </c>
      <c r="I1246">
        <v>0</v>
      </c>
      <c r="J1246">
        <v>0</v>
      </c>
      <c r="K1246" s="1">
        <v>45931</v>
      </c>
      <c r="L1246" t="s">
        <v>439</v>
      </c>
      <c r="M1246" t="s">
        <v>435</v>
      </c>
      <c r="N1246" s="2">
        <f>IFERROR(NHS_A_E[[#This Row],[T1_Over4hrs]]/NHS_A_E[[#This Row],[T1_Attendances]], 0)</f>
        <v>0</v>
      </c>
      <c r="O1246">
        <f>NHS_A_E[[#This Row],[T1_Attendances]]+NHS_A_E[[#This Row],[Other_Attendances]]</f>
        <v>89</v>
      </c>
      <c r="P1246">
        <f>MATCH(LEFT(A1246,FIND("-",A1246)-1),{"April","May","June","July","August","September","October","November","December","January","February","March"},0)</f>
        <v>7</v>
      </c>
      <c r="Q1246" s="3">
        <f t="shared" si="38"/>
        <v>0</v>
      </c>
      <c r="R1246" t="str">
        <f t="shared" si="39"/>
        <v>October</v>
      </c>
    </row>
    <row r="1247" spans="1:18" x14ac:dyDescent="0.35">
      <c r="A1247" t="s">
        <v>438</v>
      </c>
      <c r="B1247" t="s">
        <v>141</v>
      </c>
      <c r="C1247" t="s">
        <v>40</v>
      </c>
      <c r="D1247" t="s">
        <v>142</v>
      </c>
      <c r="E1247">
        <v>0</v>
      </c>
      <c r="F1247">
        <v>54</v>
      </c>
      <c r="G1247">
        <v>0</v>
      </c>
      <c r="H1247">
        <v>0</v>
      </c>
      <c r="I1247">
        <v>0</v>
      </c>
      <c r="J1247">
        <v>0</v>
      </c>
      <c r="K1247" s="1">
        <v>45931</v>
      </c>
      <c r="L1247" t="s">
        <v>439</v>
      </c>
      <c r="M1247" t="s">
        <v>435</v>
      </c>
      <c r="N1247" s="2">
        <f>IFERROR(NHS_A_E[[#This Row],[T1_Over4hrs]]/NHS_A_E[[#This Row],[T1_Attendances]], 0)</f>
        <v>0</v>
      </c>
      <c r="O1247">
        <f>NHS_A_E[[#This Row],[T1_Attendances]]+NHS_A_E[[#This Row],[Other_Attendances]]</f>
        <v>54</v>
      </c>
      <c r="P1247">
        <f>MATCH(LEFT(A1247,FIND("-",A1247)-1),{"April","May","June","July","August","September","October","November","December","January","February","March"},0)</f>
        <v>7</v>
      </c>
      <c r="Q1247" s="3">
        <f t="shared" si="38"/>
        <v>0</v>
      </c>
      <c r="R1247" t="str">
        <f t="shared" si="39"/>
        <v>October</v>
      </c>
    </row>
    <row r="1248" spans="1:18" x14ac:dyDescent="0.35">
      <c r="A1248" t="s">
        <v>438</v>
      </c>
      <c r="B1248" t="s">
        <v>143</v>
      </c>
      <c r="C1248" t="s">
        <v>40</v>
      </c>
      <c r="D1248" t="s">
        <v>144</v>
      </c>
      <c r="E1248">
        <v>0</v>
      </c>
      <c r="F1248">
        <v>534</v>
      </c>
      <c r="G1248">
        <v>0</v>
      </c>
      <c r="H1248">
        <v>0</v>
      </c>
      <c r="I1248">
        <v>0</v>
      </c>
      <c r="J1248">
        <v>0</v>
      </c>
      <c r="K1248" s="1">
        <v>45931</v>
      </c>
      <c r="L1248" t="s">
        <v>439</v>
      </c>
      <c r="M1248" t="s">
        <v>435</v>
      </c>
      <c r="N1248" s="2">
        <f>IFERROR(NHS_A_E[[#This Row],[T1_Over4hrs]]/NHS_A_E[[#This Row],[T1_Attendances]], 0)</f>
        <v>0</v>
      </c>
      <c r="O1248">
        <f>NHS_A_E[[#This Row],[T1_Attendances]]+NHS_A_E[[#This Row],[Other_Attendances]]</f>
        <v>534</v>
      </c>
      <c r="P1248">
        <f>MATCH(LEFT(A1248,FIND("-",A1248)-1),{"April","May","June","July","August","September","October","November","December","January","February","March"},0)</f>
        <v>7</v>
      </c>
      <c r="Q1248" s="3">
        <f t="shared" si="38"/>
        <v>0</v>
      </c>
      <c r="R1248" t="str">
        <f t="shared" si="39"/>
        <v>October</v>
      </c>
    </row>
    <row r="1249" spans="1:18" x14ac:dyDescent="0.35">
      <c r="A1249" t="s">
        <v>438</v>
      </c>
      <c r="B1249" t="s">
        <v>339</v>
      </c>
      <c r="C1249" t="s">
        <v>20</v>
      </c>
      <c r="D1249" t="s">
        <v>340</v>
      </c>
      <c r="E1249">
        <v>16671</v>
      </c>
      <c r="F1249">
        <v>0</v>
      </c>
      <c r="G1249">
        <v>6315</v>
      </c>
      <c r="H1249">
        <v>0</v>
      </c>
      <c r="I1249">
        <v>1187</v>
      </c>
      <c r="J1249">
        <v>562</v>
      </c>
      <c r="K1249" s="1">
        <v>45931</v>
      </c>
      <c r="L1249" t="s">
        <v>439</v>
      </c>
      <c r="M1249" t="s">
        <v>435</v>
      </c>
      <c r="N1249" s="2">
        <f>IFERROR(NHS_A_E[[#This Row],[T1_Over4hrs]]/NHS_A_E[[#This Row],[T1_Attendances]], 0)</f>
        <v>0.37880151160698217</v>
      </c>
      <c r="O1249">
        <f>NHS_A_E[[#This Row],[T1_Attendances]]+NHS_A_E[[#This Row],[Other_Attendances]]</f>
        <v>16671</v>
      </c>
      <c r="P1249">
        <f>MATCH(LEFT(A1249,FIND("-",A1249)-1),{"April","May","June","July","August","September","October","November","December","January","February","March"},0)</f>
        <v>7</v>
      </c>
      <c r="Q1249" s="3">
        <f t="shared" si="38"/>
        <v>3.3711235078879492E-2</v>
      </c>
      <c r="R1249" t="str">
        <f t="shared" si="39"/>
        <v>October</v>
      </c>
    </row>
    <row r="1250" spans="1:18" x14ac:dyDescent="0.35">
      <c r="A1250" t="s">
        <v>438</v>
      </c>
      <c r="B1250" t="s">
        <v>65</v>
      </c>
      <c r="C1250" t="s">
        <v>30</v>
      </c>
      <c r="D1250" t="s">
        <v>66</v>
      </c>
      <c r="E1250">
        <v>8009</v>
      </c>
      <c r="F1250">
        <v>5045</v>
      </c>
      <c r="G1250">
        <v>3531</v>
      </c>
      <c r="H1250">
        <v>54</v>
      </c>
      <c r="I1250">
        <v>647</v>
      </c>
      <c r="J1250">
        <v>434</v>
      </c>
      <c r="K1250" s="1">
        <v>45931</v>
      </c>
      <c r="L1250" t="s">
        <v>439</v>
      </c>
      <c r="M1250" t="s">
        <v>435</v>
      </c>
      <c r="N1250" s="2">
        <f>IFERROR(NHS_A_E[[#This Row],[T1_Over4hrs]]/NHS_A_E[[#This Row],[T1_Attendances]], 0)</f>
        <v>0.44087901111249844</v>
      </c>
      <c r="O1250">
        <f>NHS_A_E[[#This Row],[T1_Attendances]]+NHS_A_E[[#This Row],[Other_Attendances]]</f>
        <v>13054</v>
      </c>
      <c r="P1250">
        <f>MATCH(LEFT(A1250,FIND("-",A1250)-1),{"April","May","June","July","August","September","October","November","December","January","February","March"},0)</f>
        <v>7</v>
      </c>
      <c r="Q1250" s="3">
        <f t="shared" si="38"/>
        <v>5.4189037333000373E-2</v>
      </c>
      <c r="R1250" t="str">
        <f t="shared" si="39"/>
        <v>October</v>
      </c>
    </row>
    <row r="1251" spans="1:18" x14ac:dyDescent="0.35">
      <c r="A1251" t="s">
        <v>438</v>
      </c>
      <c r="B1251" t="s">
        <v>69</v>
      </c>
      <c r="C1251" t="s">
        <v>20</v>
      </c>
      <c r="D1251" t="s">
        <v>70</v>
      </c>
      <c r="E1251">
        <v>13881</v>
      </c>
      <c r="F1251">
        <v>0</v>
      </c>
      <c r="G1251">
        <v>5212</v>
      </c>
      <c r="H1251">
        <v>0</v>
      </c>
      <c r="I1251">
        <v>451</v>
      </c>
      <c r="J1251">
        <v>348</v>
      </c>
      <c r="K1251" s="1">
        <v>45931</v>
      </c>
      <c r="L1251" t="s">
        <v>439</v>
      </c>
      <c r="M1251" t="s">
        <v>435</v>
      </c>
      <c r="N1251" s="2">
        <f>IFERROR(NHS_A_E[[#This Row],[T1_Over4hrs]]/NHS_A_E[[#This Row],[T1_Attendances]], 0)</f>
        <v>0.37547727108997908</v>
      </c>
      <c r="O1251">
        <f>NHS_A_E[[#This Row],[T1_Attendances]]+NHS_A_E[[#This Row],[Other_Attendances]]</f>
        <v>13881</v>
      </c>
      <c r="P1251">
        <f>MATCH(LEFT(A1251,FIND("-",A1251)-1),{"April","May","June","July","August","September","October","November","December","January","February","March"},0)</f>
        <v>7</v>
      </c>
      <c r="Q1251" s="3">
        <f t="shared" si="38"/>
        <v>2.5070239896261077E-2</v>
      </c>
      <c r="R1251" t="str">
        <f t="shared" si="39"/>
        <v>October</v>
      </c>
    </row>
    <row r="1252" spans="1:18" x14ac:dyDescent="0.35">
      <c r="A1252" t="s">
        <v>438</v>
      </c>
      <c r="B1252" t="s">
        <v>71</v>
      </c>
      <c r="C1252" t="s">
        <v>35</v>
      </c>
      <c r="D1252" t="s">
        <v>72</v>
      </c>
      <c r="E1252">
        <v>0</v>
      </c>
      <c r="F1252">
        <v>0</v>
      </c>
      <c r="G1252">
        <v>0</v>
      </c>
      <c r="H1252">
        <v>0</v>
      </c>
      <c r="I1252">
        <v>0</v>
      </c>
      <c r="J1252">
        <v>0</v>
      </c>
      <c r="K1252" s="1">
        <v>45931</v>
      </c>
      <c r="L1252" t="s">
        <v>439</v>
      </c>
      <c r="M1252" t="s">
        <v>435</v>
      </c>
      <c r="N1252" s="2">
        <f>IFERROR(NHS_A_E[[#This Row],[T1_Over4hrs]]/NHS_A_E[[#This Row],[T1_Attendances]], 0)</f>
        <v>0</v>
      </c>
      <c r="O1252">
        <f>NHS_A_E[[#This Row],[T1_Attendances]]+NHS_A_E[[#This Row],[Other_Attendances]]</f>
        <v>0</v>
      </c>
      <c r="P1252">
        <f>MATCH(LEFT(A1252,FIND("-",A1252)-1),{"April","May","June","July","August","September","October","November","December","January","February","March"},0)</f>
        <v>7</v>
      </c>
      <c r="Q1252" s="3">
        <f t="shared" si="38"/>
        <v>0</v>
      </c>
      <c r="R1252" t="str">
        <f t="shared" si="39"/>
        <v>October</v>
      </c>
    </row>
    <row r="1253" spans="1:18" x14ac:dyDescent="0.35">
      <c r="A1253" t="s">
        <v>438</v>
      </c>
      <c r="B1253" t="s">
        <v>420</v>
      </c>
      <c r="C1253" t="s">
        <v>15</v>
      </c>
      <c r="D1253" t="s">
        <v>421</v>
      </c>
      <c r="E1253">
        <v>0</v>
      </c>
      <c r="F1253">
        <v>2943</v>
      </c>
      <c r="G1253">
        <v>0</v>
      </c>
      <c r="H1253">
        <v>0</v>
      </c>
      <c r="I1253">
        <v>0</v>
      </c>
      <c r="J1253">
        <v>0</v>
      </c>
      <c r="K1253" s="1">
        <v>45931</v>
      </c>
      <c r="L1253" t="s">
        <v>439</v>
      </c>
      <c r="M1253" t="s">
        <v>435</v>
      </c>
      <c r="N1253" s="2">
        <f>IFERROR(NHS_A_E[[#This Row],[T1_Over4hrs]]/NHS_A_E[[#This Row],[T1_Attendances]], 0)</f>
        <v>0</v>
      </c>
      <c r="O1253">
        <f>NHS_A_E[[#This Row],[T1_Attendances]]+NHS_A_E[[#This Row],[Other_Attendances]]</f>
        <v>2943</v>
      </c>
      <c r="P1253">
        <f>MATCH(LEFT(A1253,FIND("-",A1253)-1),{"April","May","June","July","August","September","October","November","December","January","February","March"},0)</f>
        <v>7</v>
      </c>
      <c r="Q1253" s="3">
        <f t="shared" si="38"/>
        <v>0</v>
      </c>
      <c r="R1253" t="str">
        <f t="shared" si="39"/>
        <v>October</v>
      </c>
    </row>
    <row r="1254" spans="1:18" x14ac:dyDescent="0.35">
      <c r="A1254" t="s">
        <v>438</v>
      </c>
      <c r="B1254" t="s">
        <v>431</v>
      </c>
      <c r="C1254" t="s">
        <v>15</v>
      </c>
      <c r="D1254" t="s">
        <v>432</v>
      </c>
      <c r="E1254">
        <v>0</v>
      </c>
      <c r="F1254">
        <v>2567</v>
      </c>
      <c r="G1254">
        <v>0</v>
      </c>
      <c r="H1254">
        <v>0</v>
      </c>
      <c r="I1254">
        <v>0</v>
      </c>
      <c r="J1254">
        <v>0</v>
      </c>
      <c r="K1254" s="1">
        <v>45931</v>
      </c>
      <c r="L1254" t="s">
        <v>439</v>
      </c>
      <c r="M1254" t="s">
        <v>435</v>
      </c>
      <c r="N1254" s="2">
        <f>IFERROR(NHS_A_E[[#This Row],[T1_Over4hrs]]/NHS_A_E[[#This Row],[T1_Attendances]], 0)</f>
        <v>0</v>
      </c>
      <c r="O1254">
        <f>NHS_A_E[[#This Row],[T1_Attendances]]+NHS_A_E[[#This Row],[Other_Attendances]]</f>
        <v>2567</v>
      </c>
      <c r="P1254">
        <f>MATCH(LEFT(A1254,FIND("-",A1254)-1),{"April","May","June","July","August","September","October","November","December","January","February","March"},0)</f>
        <v>7</v>
      </c>
      <c r="Q1254" s="3">
        <f t="shared" si="38"/>
        <v>0</v>
      </c>
      <c r="R1254" t="str">
        <f t="shared" si="39"/>
        <v>October</v>
      </c>
    </row>
    <row r="1255" spans="1:18" x14ac:dyDescent="0.35">
      <c r="A1255" t="s">
        <v>438</v>
      </c>
      <c r="B1255" t="s">
        <v>263</v>
      </c>
      <c r="C1255" t="s">
        <v>35</v>
      </c>
      <c r="D1255" t="s">
        <v>264</v>
      </c>
      <c r="E1255">
        <v>0</v>
      </c>
      <c r="F1255">
        <v>2914</v>
      </c>
      <c r="G1255">
        <v>0</v>
      </c>
      <c r="H1255">
        <v>9</v>
      </c>
      <c r="I1255">
        <v>0</v>
      </c>
      <c r="J1255">
        <v>0</v>
      </c>
      <c r="K1255" s="1">
        <v>45931</v>
      </c>
      <c r="L1255" t="s">
        <v>439</v>
      </c>
      <c r="M1255" t="s">
        <v>435</v>
      </c>
      <c r="N1255" s="2">
        <f>IFERROR(NHS_A_E[[#This Row],[T1_Over4hrs]]/NHS_A_E[[#This Row],[T1_Attendances]], 0)</f>
        <v>0</v>
      </c>
      <c r="O1255">
        <f>NHS_A_E[[#This Row],[T1_Attendances]]+NHS_A_E[[#This Row],[Other_Attendances]]</f>
        <v>2914</v>
      </c>
      <c r="P1255">
        <f>MATCH(LEFT(A1255,FIND("-",A1255)-1),{"April","May","June","July","August","September","October","November","December","January","February","March"},0)</f>
        <v>7</v>
      </c>
      <c r="Q1255" s="3">
        <f t="shared" si="38"/>
        <v>0</v>
      </c>
      <c r="R1255" t="str">
        <f t="shared" si="39"/>
        <v>October</v>
      </c>
    </row>
    <row r="1256" spans="1:18" x14ac:dyDescent="0.35">
      <c r="A1256" t="s">
        <v>438</v>
      </c>
      <c r="B1256" t="s">
        <v>265</v>
      </c>
      <c r="C1256" t="s">
        <v>35</v>
      </c>
      <c r="D1256" t="s">
        <v>266</v>
      </c>
      <c r="E1256">
        <v>0</v>
      </c>
      <c r="F1256">
        <v>2792</v>
      </c>
      <c r="G1256">
        <v>0</v>
      </c>
      <c r="H1256">
        <v>6</v>
      </c>
      <c r="I1256">
        <v>0</v>
      </c>
      <c r="J1256">
        <v>0</v>
      </c>
      <c r="K1256" s="1">
        <v>45931</v>
      </c>
      <c r="L1256" t="s">
        <v>439</v>
      </c>
      <c r="M1256" t="s">
        <v>435</v>
      </c>
      <c r="N1256" s="2">
        <f>IFERROR(NHS_A_E[[#This Row],[T1_Over4hrs]]/NHS_A_E[[#This Row],[T1_Attendances]], 0)</f>
        <v>0</v>
      </c>
      <c r="O1256">
        <f>NHS_A_E[[#This Row],[T1_Attendances]]+NHS_A_E[[#This Row],[Other_Attendances]]</f>
        <v>2792</v>
      </c>
      <c r="P1256">
        <f>MATCH(LEFT(A1256,FIND("-",A1256)-1),{"April","May","June","July","August","September","October","November","December","January","February","March"},0)</f>
        <v>7</v>
      </c>
      <c r="Q1256" s="3">
        <f t="shared" si="38"/>
        <v>0</v>
      </c>
      <c r="R1256" t="str">
        <f t="shared" si="39"/>
        <v>October</v>
      </c>
    </row>
    <row r="1257" spans="1:18" x14ac:dyDescent="0.35">
      <c r="A1257" t="s">
        <v>438</v>
      </c>
      <c r="B1257" t="s">
        <v>109</v>
      </c>
      <c r="C1257" t="s">
        <v>35</v>
      </c>
      <c r="D1257" t="s">
        <v>110</v>
      </c>
      <c r="E1257">
        <v>10559</v>
      </c>
      <c r="F1257">
        <v>6955</v>
      </c>
      <c r="G1257">
        <v>3780</v>
      </c>
      <c r="H1257">
        <v>192</v>
      </c>
      <c r="I1257">
        <v>129</v>
      </c>
      <c r="J1257">
        <v>94</v>
      </c>
      <c r="K1257" s="1">
        <v>45931</v>
      </c>
      <c r="L1257" t="s">
        <v>439</v>
      </c>
      <c r="M1257" t="s">
        <v>435</v>
      </c>
      <c r="N1257" s="2">
        <f>IFERROR(NHS_A_E[[#This Row],[T1_Over4hrs]]/NHS_A_E[[#This Row],[T1_Attendances]], 0)</f>
        <v>0.35798844587555639</v>
      </c>
      <c r="O1257">
        <f>NHS_A_E[[#This Row],[T1_Attendances]]+NHS_A_E[[#This Row],[Other_Attendances]]</f>
        <v>17514</v>
      </c>
      <c r="P1257">
        <f>MATCH(LEFT(A1257,FIND("-",A1257)-1),{"April","May","June","July","August","September","October","November","December","January","February","March"},0)</f>
        <v>7</v>
      </c>
      <c r="Q1257" s="3">
        <f t="shared" si="38"/>
        <v>8.9023581778577519E-3</v>
      </c>
      <c r="R1257" t="str">
        <f t="shared" si="39"/>
        <v>October</v>
      </c>
    </row>
    <row r="1258" spans="1:18" x14ac:dyDescent="0.35">
      <c r="A1258" t="s">
        <v>438</v>
      </c>
      <c r="B1258" t="s">
        <v>373</v>
      </c>
      <c r="C1258" t="s">
        <v>40</v>
      </c>
      <c r="D1258" t="s">
        <v>374</v>
      </c>
      <c r="E1258">
        <v>12936</v>
      </c>
      <c r="F1258">
        <v>9888</v>
      </c>
      <c r="G1258">
        <v>7207</v>
      </c>
      <c r="H1258">
        <v>2314</v>
      </c>
      <c r="I1258">
        <v>195</v>
      </c>
      <c r="J1258">
        <v>859</v>
      </c>
      <c r="K1258" s="1">
        <v>45931</v>
      </c>
      <c r="L1258" t="s">
        <v>439</v>
      </c>
      <c r="M1258" t="s">
        <v>435</v>
      </c>
      <c r="N1258" s="2">
        <f>IFERROR(NHS_A_E[[#This Row],[T1_Over4hrs]]/NHS_A_E[[#This Row],[T1_Attendances]], 0)</f>
        <v>0.55712739641311071</v>
      </c>
      <c r="O1258">
        <f>NHS_A_E[[#This Row],[T1_Attendances]]+NHS_A_E[[#This Row],[Other_Attendances]]</f>
        <v>22824</v>
      </c>
      <c r="P1258">
        <f>MATCH(LEFT(A1258,FIND("-",A1258)-1),{"April","May","June","July","August","September","October","November","December","January","February","March"},0)</f>
        <v>7</v>
      </c>
      <c r="Q1258" s="3">
        <f t="shared" si="38"/>
        <v>6.6403834260977124E-2</v>
      </c>
      <c r="R1258" t="str">
        <f t="shared" si="39"/>
        <v>October</v>
      </c>
    </row>
    <row r="1259" spans="1:18" x14ac:dyDescent="0.35">
      <c r="A1259" t="s">
        <v>438</v>
      </c>
      <c r="B1259" t="s">
        <v>305</v>
      </c>
      <c r="C1259" t="s">
        <v>30</v>
      </c>
      <c r="D1259" t="s">
        <v>306</v>
      </c>
      <c r="E1259">
        <v>0</v>
      </c>
      <c r="F1259">
        <v>1766</v>
      </c>
      <c r="G1259">
        <v>0</v>
      </c>
      <c r="H1259">
        <v>0</v>
      </c>
      <c r="I1259">
        <v>0</v>
      </c>
      <c r="J1259">
        <v>0</v>
      </c>
      <c r="K1259" s="1">
        <v>45931</v>
      </c>
      <c r="L1259" t="s">
        <v>439</v>
      </c>
      <c r="M1259" t="s">
        <v>435</v>
      </c>
      <c r="N1259" s="2">
        <f>IFERROR(NHS_A_E[[#This Row],[T1_Over4hrs]]/NHS_A_E[[#This Row],[T1_Attendances]], 0)</f>
        <v>0</v>
      </c>
      <c r="O1259">
        <f>NHS_A_E[[#This Row],[T1_Attendances]]+NHS_A_E[[#This Row],[Other_Attendances]]</f>
        <v>1766</v>
      </c>
      <c r="P1259">
        <f>MATCH(LEFT(A1259,FIND("-",A1259)-1),{"April","May","June","July","August","September","October","November","December","January","February","March"},0)</f>
        <v>7</v>
      </c>
      <c r="Q1259" s="3">
        <f t="shared" si="38"/>
        <v>0</v>
      </c>
      <c r="R1259" t="str">
        <f t="shared" si="39"/>
        <v>October</v>
      </c>
    </row>
    <row r="1260" spans="1:18" x14ac:dyDescent="0.35">
      <c r="A1260" t="s">
        <v>438</v>
      </c>
      <c r="B1260" t="s">
        <v>345</v>
      </c>
      <c r="C1260" t="s">
        <v>23</v>
      </c>
      <c r="D1260" t="s">
        <v>346</v>
      </c>
      <c r="E1260">
        <v>17663</v>
      </c>
      <c r="F1260">
        <v>8549</v>
      </c>
      <c r="G1260">
        <v>7164</v>
      </c>
      <c r="H1260">
        <v>0</v>
      </c>
      <c r="I1260">
        <v>82</v>
      </c>
      <c r="J1260">
        <v>40</v>
      </c>
      <c r="K1260" s="1">
        <v>45931</v>
      </c>
      <c r="L1260" t="s">
        <v>439</v>
      </c>
      <c r="M1260" t="s">
        <v>435</v>
      </c>
      <c r="N1260" s="2">
        <f>IFERROR(NHS_A_E[[#This Row],[T1_Over4hrs]]/NHS_A_E[[#This Row],[T1_Attendances]], 0)</f>
        <v>0.40559361376889541</v>
      </c>
      <c r="O1260">
        <f>NHS_A_E[[#This Row],[T1_Attendances]]+NHS_A_E[[#This Row],[Other_Attendances]]</f>
        <v>26212</v>
      </c>
      <c r="P1260">
        <f>MATCH(LEFT(A1260,FIND("-",A1260)-1),{"April","May","June","July","August","September","October","November","December","January","February","March"},0)</f>
        <v>7</v>
      </c>
      <c r="Q1260" s="3">
        <f t="shared" si="38"/>
        <v>2.2646209590669762E-3</v>
      </c>
      <c r="R1260" t="str">
        <f t="shared" si="39"/>
        <v>October</v>
      </c>
    </row>
    <row r="1261" spans="1:18" x14ac:dyDescent="0.35">
      <c r="A1261" t="s">
        <v>438</v>
      </c>
      <c r="B1261" t="s">
        <v>239</v>
      </c>
      <c r="C1261" t="s">
        <v>35</v>
      </c>
      <c r="D1261" t="s">
        <v>240</v>
      </c>
      <c r="E1261">
        <v>0</v>
      </c>
      <c r="F1261">
        <v>1094</v>
      </c>
      <c r="G1261">
        <v>0</v>
      </c>
      <c r="H1261">
        <v>0</v>
      </c>
      <c r="I1261">
        <v>0</v>
      </c>
      <c r="J1261">
        <v>0</v>
      </c>
      <c r="K1261" s="1">
        <v>45931</v>
      </c>
      <c r="L1261" t="s">
        <v>439</v>
      </c>
      <c r="M1261" t="s">
        <v>435</v>
      </c>
      <c r="N1261" s="2">
        <f>IFERROR(NHS_A_E[[#This Row],[T1_Over4hrs]]/NHS_A_E[[#This Row],[T1_Attendances]], 0)</f>
        <v>0</v>
      </c>
      <c r="O1261">
        <f>NHS_A_E[[#This Row],[T1_Attendances]]+NHS_A_E[[#This Row],[Other_Attendances]]</f>
        <v>1094</v>
      </c>
      <c r="P1261">
        <f>MATCH(LEFT(A1261,FIND("-",A1261)-1),{"April","May","June","July","August","September","October","November","December","January","February","March"},0)</f>
        <v>7</v>
      </c>
      <c r="Q1261" s="3">
        <f t="shared" si="38"/>
        <v>0</v>
      </c>
      <c r="R1261" t="str">
        <f t="shared" si="39"/>
        <v>October</v>
      </c>
    </row>
    <row r="1262" spans="1:18" x14ac:dyDescent="0.35">
      <c r="A1262" t="s">
        <v>438</v>
      </c>
      <c r="B1262" t="s">
        <v>211</v>
      </c>
      <c r="C1262" t="s">
        <v>30</v>
      </c>
      <c r="D1262" t="s">
        <v>212</v>
      </c>
      <c r="E1262">
        <v>8314</v>
      </c>
      <c r="F1262">
        <v>2815</v>
      </c>
      <c r="G1262">
        <v>4670</v>
      </c>
      <c r="H1262">
        <v>118</v>
      </c>
      <c r="I1262">
        <v>646</v>
      </c>
      <c r="J1262">
        <v>822</v>
      </c>
      <c r="K1262" s="1">
        <v>45931</v>
      </c>
      <c r="L1262" t="s">
        <v>439</v>
      </c>
      <c r="M1262" t="s">
        <v>435</v>
      </c>
      <c r="N1262" s="2">
        <f>IFERROR(NHS_A_E[[#This Row],[T1_Over4hrs]]/NHS_A_E[[#This Row],[T1_Attendances]], 0)</f>
        <v>0.56170315131104165</v>
      </c>
      <c r="O1262">
        <f>NHS_A_E[[#This Row],[T1_Attendances]]+NHS_A_E[[#This Row],[Other_Attendances]]</f>
        <v>11129</v>
      </c>
      <c r="P1262">
        <f>MATCH(LEFT(A1262,FIND("-",A1262)-1),{"April","May","June","July","August","September","October","November","December","January","February","March"},0)</f>
        <v>7</v>
      </c>
      <c r="Q1262" s="3">
        <f t="shared" si="38"/>
        <v>9.8869376954534516E-2</v>
      </c>
      <c r="R1262" t="str">
        <f t="shared" si="39"/>
        <v>October</v>
      </c>
    </row>
    <row r="1263" spans="1:18" x14ac:dyDescent="0.35">
      <c r="A1263" t="s">
        <v>438</v>
      </c>
      <c r="B1263" t="s">
        <v>151</v>
      </c>
      <c r="C1263" t="s">
        <v>30</v>
      </c>
      <c r="D1263" t="s">
        <v>152</v>
      </c>
      <c r="E1263">
        <v>27521</v>
      </c>
      <c r="F1263">
        <v>9475</v>
      </c>
      <c r="G1263">
        <v>11063</v>
      </c>
      <c r="H1263">
        <v>271</v>
      </c>
      <c r="I1263">
        <v>1130</v>
      </c>
      <c r="J1263">
        <v>1237</v>
      </c>
      <c r="K1263" s="1">
        <v>45931</v>
      </c>
      <c r="L1263" t="s">
        <v>439</v>
      </c>
      <c r="M1263" t="s">
        <v>435</v>
      </c>
      <c r="N1263" s="2">
        <f>IFERROR(NHS_A_E[[#This Row],[T1_Over4hrs]]/NHS_A_E[[#This Row],[T1_Attendances]], 0)</f>
        <v>0.40198393953708078</v>
      </c>
      <c r="O1263">
        <f>NHS_A_E[[#This Row],[T1_Attendances]]+NHS_A_E[[#This Row],[Other_Attendances]]</f>
        <v>36996</v>
      </c>
      <c r="P1263">
        <f>MATCH(LEFT(A1263,FIND("-",A1263)-1),{"April","May","June","July","August","September","October","November","December","January","February","March"},0)</f>
        <v>7</v>
      </c>
      <c r="Q1263" s="3">
        <f t="shared" si="38"/>
        <v>4.494749464045638E-2</v>
      </c>
      <c r="R1263" t="str">
        <f t="shared" si="39"/>
        <v>October</v>
      </c>
    </row>
    <row r="1264" spans="1:18" x14ac:dyDescent="0.35">
      <c r="A1264" t="s">
        <v>438</v>
      </c>
      <c r="B1264" t="s">
        <v>209</v>
      </c>
      <c r="C1264" t="s">
        <v>35</v>
      </c>
      <c r="D1264" t="s">
        <v>210</v>
      </c>
      <c r="E1264">
        <v>26298</v>
      </c>
      <c r="F1264">
        <v>19094</v>
      </c>
      <c r="G1264">
        <v>11870</v>
      </c>
      <c r="H1264">
        <v>2032</v>
      </c>
      <c r="I1264">
        <v>1062</v>
      </c>
      <c r="J1264">
        <v>1241</v>
      </c>
      <c r="K1264" s="1">
        <v>45931</v>
      </c>
      <c r="L1264" t="s">
        <v>439</v>
      </c>
      <c r="M1264" t="s">
        <v>435</v>
      </c>
      <c r="N1264" s="2">
        <f>IFERROR(NHS_A_E[[#This Row],[T1_Over4hrs]]/NHS_A_E[[#This Row],[T1_Attendances]], 0)</f>
        <v>0.45136512282302838</v>
      </c>
      <c r="O1264">
        <f>NHS_A_E[[#This Row],[T1_Attendances]]+NHS_A_E[[#This Row],[Other_Attendances]]</f>
        <v>45392</v>
      </c>
      <c r="P1264">
        <f>MATCH(LEFT(A1264,FIND("-",A1264)-1),{"April","May","June","July","August","September","October","November","December","January","February","March"},0)</f>
        <v>7</v>
      </c>
      <c r="Q1264" s="3">
        <f t="shared" si="38"/>
        <v>4.7189900372651909E-2</v>
      </c>
      <c r="R1264" t="str">
        <f t="shared" si="39"/>
        <v>October</v>
      </c>
    </row>
    <row r="1265" spans="1:18" x14ac:dyDescent="0.35">
      <c r="A1265" t="s">
        <v>438</v>
      </c>
      <c r="B1265" t="s">
        <v>105</v>
      </c>
      <c r="C1265" t="s">
        <v>15</v>
      </c>
      <c r="D1265" t="s">
        <v>106</v>
      </c>
      <c r="E1265">
        <v>12327</v>
      </c>
      <c r="F1265">
        <v>0</v>
      </c>
      <c r="G1265">
        <v>5600</v>
      </c>
      <c r="H1265">
        <v>0</v>
      </c>
      <c r="I1265">
        <v>583</v>
      </c>
      <c r="J1265">
        <v>1</v>
      </c>
      <c r="K1265" s="1">
        <v>45931</v>
      </c>
      <c r="L1265" t="s">
        <v>439</v>
      </c>
      <c r="M1265" t="s">
        <v>435</v>
      </c>
      <c r="N1265" s="2">
        <f>IFERROR(NHS_A_E[[#This Row],[T1_Over4hrs]]/NHS_A_E[[#This Row],[T1_Attendances]], 0)</f>
        <v>0.45428733674048838</v>
      </c>
      <c r="O1265">
        <f>NHS_A_E[[#This Row],[T1_Attendances]]+NHS_A_E[[#This Row],[Other_Attendances]]</f>
        <v>12327</v>
      </c>
      <c r="P1265">
        <f>MATCH(LEFT(A1265,FIND("-",A1265)-1),{"April","May","June","July","August","September","October","November","December","January","February","March"},0)</f>
        <v>7</v>
      </c>
      <c r="Q1265" s="3">
        <f t="shared" si="38"/>
        <v>8.112273870365864E-5</v>
      </c>
      <c r="R1265" t="str">
        <f t="shared" si="39"/>
        <v>October</v>
      </c>
    </row>
    <row r="1266" spans="1:18" x14ac:dyDescent="0.35">
      <c r="A1266" t="s">
        <v>438</v>
      </c>
      <c r="B1266" t="s">
        <v>149</v>
      </c>
      <c r="C1266" t="s">
        <v>15</v>
      </c>
      <c r="D1266" t="s">
        <v>150</v>
      </c>
      <c r="E1266">
        <v>11157</v>
      </c>
      <c r="F1266">
        <v>3091</v>
      </c>
      <c r="G1266">
        <v>4450</v>
      </c>
      <c r="H1266">
        <v>21</v>
      </c>
      <c r="I1266">
        <v>784</v>
      </c>
      <c r="J1266">
        <v>1232</v>
      </c>
      <c r="K1266" s="1">
        <v>45931</v>
      </c>
      <c r="L1266" t="s">
        <v>439</v>
      </c>
      <c r="M1266" t="s">
        <v>435</v>
      </c>
      <c r="N1266" s="2">
        <f>IFERROR(NHS_A_E[[#This Row],[T1_Over4hrs]]/NHS_A_E[[#This Row],[T1_Attendances]], 0)</f>
        <v>0.39885273819127004</v>
      </c>
      <c r="O1266">
        <f>NHS_A_E[[#This Row],[T1_Attendances]]+NHS_A_E[[#This Row],[Other_Attendances]]</f>
        <v>14248</v>
      </c>
      <c r="P1266">
        <f>MATCH(LEFT(A1266,FIND("-",A1266)-1),{"April","May","June","July","August","September","October","November","December","January","February","March"},0)</f>
        <v>7</v>
      </c>
      <c r="Q1266" s="3">
        <f t="shared" si="38"/>
        <v>0.11042394909025724</v>
      </c>
      <c r="R1266" t="str">
        <f t="shared" si="39"/>
        <v>October</v>
      </c>
    </row>
    <row r="1267" spans="1:18" x14ac:dyDescent="0.35">
      <c r="A1267" t="s">
        <v>438</v>
      </c>
      <c r="B1267" t="s">
        <v>83</v>
      </c>
      <c r="C1267" t="s">
        <v>35</v>
      </c>
      <c r="D1267" t="s">
        <v>84</v>
      </c>
      <c r="E1267">
        <v>14426</v>
      </c>
      <c r="F1267">
        <v>16111</v>
      </c>
      <c r="G1267">
        <v>7089</v>
      </c>
      <c r="H1267">
        <v>1291</v>
      </c>
      <c r="I1267">
        <v>677</v>
      </c>
      <c r="J1267">
        <v>446</v>
      </c>
      <c r="K1267" s="1">
        <v>45931</v>
      </c>
      <c r="L1267" t="s">
        <v>439</v>
      </c>
      <c r="M1267" t="s">
        <v>435</v>
      </c>
      <c r="N1267" s="2">
        <f>IFERROR(NHS_A_E[[#This Row],[T1_Over4hrs]]/NHS_A_E[[#This Row],[T1_Attendances]], 0)</f>
        <v>0.49140440870650215</v>
      </c>
      <c r="O1267">
        <f>NHS_A_E[[#This Row],[T1_Attendances]]+NHS_A_E[[#This Row],[Other_Attendances]]</f>
        <v>30537</v>
      </c>
      <c r="P1267">
        <f>MATCH(LEFT(A1267,FIND("-",A1267)-1),{"April","May","June","July","August","September","October","November","December","January","February","March"},0)</f>
        <v>7</v>
      </c>
      <c r="Q1267" s="3">
        <f t="shared" si="38"/>
        <v>3.091640094274227E-2</v>
      </c>
      <c r="R1267" t="str">
        <f t="shared" si="39"/>
        <v>October</v>
      </c>
    </row>
    <row r="1268" spans="1:18" x14ac:dyDescent="0.35">
      <c r="A1268" t="s">
        <v>438</v>
      </c>
      <c r="B1268" t="s">
        <v>119</v>
      </c>
      <c r="C1268" t="s">
        <v>15</v>
      </c>
      <c r="D1268" t="s">
        <v>120</v>
      </c>
      <c r="E1268">
        <v>9939</v>
      </c>
      <c r="F1268">
        <v>3127</v>
      </c>
      <c r="G1268">
        <v>3693</v>
      </c>
      <c r="H1268">
        <v>96</v>
      </c>
      <c r="I1268">
        <v>190</v>
      </c>
      <c r="J1268">
        <v>336</v>
      </c>
      <c r="K1268" s="1">
        <v>45931</v>
      </c>
      <c r="L1268" t="s">
        <v>439</v>
      </c>
      <c r="M1268" t="s">
        <v>435</v>
      </c>
      <c r="N1268" s="2">
        <f>IFERROR(NHS_A_E[[#This Row],[T1_Over4hrs]]/NHS_A_E[[#This Row],[T1_Attendances]], 0)</f>
        <v>0.37156655599154842</v>
      </c>
      <c r="O1268">
        <f>NHS_A_E[[#This Row],[T1_Attendances]]+NHS_A_E[[#This Row],[Other_Attendances]]</f>
        <v>13066</v>
      </c>
      <c r="P1268">
        <f>MATCH(LEFT(A1268,FIND("-",A1268)-1),{"April","May","June","July","August","September","October","November","December","January","February","March"},0)</f>
        <v>7</v>
      </c>
      <c r="Q1268" s="3">
        <f t="shared" si="38"/>
        <v>3.3806217929369151E-2</v>
      </c>
      <c r="R1268" t="str">
        <f t="shared" si="39"/>
        <v>October</v>
      </c>
    </row>
    <row r="1269" spans="1:18" x14ac:dyDescent="0.35">
      <c r="A1269" t="s">
        <v>438</v>
      </c>
      <c r="B1269" t="s">
        <v>201</v>
      </c>
      <c r="C1269" t="s">
        <v>20</v>
      </c>
      <c r="D1269" t="s">
        <v>202</v>
      </c>
      <c r="E1269">
        <v>0</v>
      </c>
      <c r="F1269">
        <v>1898</v>
      </c>
      <c r="G1269">
        <v>0</v>
      </c>
      <c r="H1269">
        <v>42</v>
      </c>
      <c r="I1269">
        <v>0</v>
      </c>
      <c r="J1269">
        <v>0</v>
      </c>
      <c r="K1269" s="1">
        <v>45931</v>
      </c>
      <c r="L1269" t="s">
        <v>439</v>
      </c>
      <c r="M1269" t="s">
        <v>435</v>
      </c>
      <c r="N1269" s="2">
        <f>IFERROR(NHS_A_E[[#This Row],[T1_Over4hrs]]/NHS_A_E[[#This Row],[T1_Attendances]], 0)</f>
        <v>0</v>
      </c>
      <c r="O1269">
        <f>NHS_A_E[[#This Row],[T1_Attendances]]+NHS_A_E[[#This Row],[Other_Attendances]]</f>
        <v>1898</v>
      </c>
      <c r="P1269">
        <f>MATCH(LEFT(A1269,FIND("-",A1269)-1),{"April","May","June","July","August","September","October","November","December","January","February","March"},0)</f>
        <v>7</v>
      </c>
      <c r="Q1269" s="3">
        <f t="shared" si="38"/>
        <v>0</v>
      </c>
      <c r="R1269" t="str">
        <f t="shared" si="39"/>
        <v>October</v>
      </c>
    </row>
    <row r="1270" spans="1:18" x14ac:dyDescent="0.35">
      <c r="A1270" t="s">
        <v>438</v>
      </c>
      <c r="B1270" t="s">
        <v>125</v>
      </c>
      <c r="C1270" t="s">
        <v>35</v>
      </c>
      <c r="D1270" t="s">
        <v>126</v>
      </c>
      <c r="E1270">
        <v>0</v>
      </c>
      <c r="F1270">
        <v>12138</v>
      </c>
      <c r="G1270">
        <v>0</v>
      </c>
      <c r="H1270">
        <v>133</v>
      </c>
      <c r="I1270">
        <v>0</v>
      </c>
      <c r="J1270">
        <v>0</v>
      </c>
      <c r="K1270" s="1">
        <v>45931</v>
      </c>
      <c r="L1270" t="s">
        <v>439</v>
      </c>
      <c r="M1270" t="s">
        <v>435</v>
      </c>
      <c r="N1270" s="2">
        <f>IFERROR(NHS_A_E[[#This Row],[T1_Over4hrs]]/NHS_A_E[[#This Row],[T1_Attendances]], 0)</f>
        <v>0</v>
      </c>
      <c r="O1270">
        <f>NHS_A_E[[#This Row],[T1_Attendances]]+NHS_A_E[[#This Row],[Other_Attendances]]</f>
        <v>12138</v>
      </c>
      <c r="P1270">
        <f>MATCH(LEFT(A1270,FIND("-",A1270)-1),{"April","May","June","July","August","September","October","November","December","January","February","March"},0)</f>
        <v>7</v>
      </c>
      <c r="Q1270" s="3">
        <f t="shared" si="38"/>
        <v>0</v>
      </c>
      <c r="R1270" t="str">
        <f t="shared" si="39"/>
        <v>October</v>
      </c>
    </row>
    <row r="1271" spans="1:18" x14ac:dyDescent="0.35">
      <c r="A1271" t="s">
        <v>438</v>
      </c>
      <c r="B1271" t="s">
        <v>155</v>
      </c>
      <c r="C1271" t="s">
        <v>15</v>
      </c>
      <c r="D1271" t="s">
        <v>156</v>
      </c>
      <c r="E1271">
        <v>11773</v>
      </c>
      <c r="F1271">
        <v>2670</v>
      </c>
      <c r="G1271">
        <v>4120</v>
      </c>
      <c r="H1271">
        <v>0</v>
      </c>
      <c r="I1271">
        <v>691</v>
      </c>
      <c r="J1271">
        <v>13</v>
      </c>
      <c r="K1271" s="1">
        <v>45931</v>
      </c>
      <c r="L1271" t="s">
        <v>439</v>
      </c>
      <c r="M1271" t="s">
        <v>435</v>
      </c>
      <c r="N1271" s="2">
        <f>IFERROR(NHS_A_E[[#This Row],[T1_Over4hrs]]/NHS_A_E[[#This Row],[T1_Attendances]], 0)</f>
        <v>0.34995328293553046</v>
      </c>
      <c r="O1271">
        <f>NHS_A_E[[#This Row],[T1_Attendances]]+NHS_A_E[[#This Row],[Other_Attendances]]</f>
        <v>14443</v>
      </c>
      <c r="P1271">
        <f>MATCH(LEFT(A1271,FIND("-",A1271)-1),{"April","May","June","July","August","September","October","November","December","January","February","March"},0)</f>
        <v>7</v>
      </c>
      <c r="Q1271" s="3">
        <f t="shared" si="38"/>
        <v>1.1042215238257029E-3</v>
      </c>
      <c r="R1271" t="str">
        <f t="shared" si="39"/>
        <v>October</v>
      </c>
    </row>
    <row r="1272" spans="1:18" x14ac:dyDescent="0.35">
      <c r="A1272" t="s">
        <v>438</v>
      </c>
      <c r="B1272" t="s">
        <v>111</v>
      </c>
      <c r="C1272" t="s">
        <v>40</v>
      </c>
      <c r="D1272" t="s">
        <v>112</v>
      </c>
      <c r="E1272">
        <v>0</v>
      </c>
      <c r="F1272">
        <v>501</v>
      </c>
      <c r="G1272">
        <v>0</v>
      </c>
      <c r="H1272">
        <v>0</v>
      </c>
      <c r="I1272">
        <v>0</v>
      </c>
      <c r="J1272">
        <v>0</v>
      </c>
      <c r="K1272" s="1">
        <v>45931</v>
      </c>
      <c r="L1272" t="s">
        <v>439</v>
      </c>
      <c r="M1272" t="s">
        <v>435</v>
      </c>
      <c r="N1272" s="2">
        <f>IFERROR(NHS_A_E[[#This Row],[T1_Over4hrs]]/NHS_A_E[[#This Row],[T1_Attendances]], 0)</f>
        <v>0</v>
      </c>
      <c r="O1272">
        <f>NHS_A_E[[#This Row],[T1_Attendances]]+NHS_A_E[[#This Row],[Other_Attendances]]</f>
        <v>501</v>
      </c>
      <c r="P1272">
        <f>MATCH(LEFT(A1272,FIND("-",A1272)-1),{"April","May","June","July","August","September","October","November","December","January","February","March"},0)</f>
        <v>7</v>
      </c>
      <c r="Q1272" s="3">
        <f t="shared" si="38"/>
        <v>0</v>
      </c>
      <c r="R1272" t="str">
        <f t="shared" si="39"/>
        <v>October</v>
      </c>
    </row>
    <row r="1273" spans="1:18" x14ac:dyDescent="0.35">
      <c r="A1273" t="s">
        <v>438</v>
      </c>
      <c r="B1273" t="s">
        <v>243</v>
      </c>
      <c r="C1273" t="s">
        <v>23</v>
      </c>
      <c r="D1273" t="s">
        <v>244</v>
      </c>
      <c r="E1273">
        <v>0</v>
      </c>
      <c r="F1273">
        <v>2189</v>
      </c>
      <c r="G1273">
        <v>0</v>
      </c>
      <c r="H1273">
        <v>100</v>
      </c>
      <c r="I1273">
        <v>0</v>
      </c>
      <c r="J1273">
        <v>0</v>
      </c>
      <c r="K1273" s="1">
        <v>45931</v>
      </c>
      <c r="L1273" t="s">
        <v>439</v>
      </c>
      <c r="M1273" t="s">
        <v>435</v>
      </c>
      <c r="N1273" s="2">
        <f>IFERROR(NHS_A_E[[#This Row],[T1_Over4hrs]]/NHS_A_E[[#This Row],[T1_Attendances]], 0)</f>
        <v>0</v>
      </c>
      <c r="O1273">
        <f>NHS_A_E[[#This Row],[T1_Attendances]]+NHS_A_E[[#This Row],[Other_Attendances]]</f>
        <v>2189</v>
      </c>
      <c r="P1273">
        <f>MATCH(LEFT(A1273,FIND("-",A1273)-1),{"April","May","June","July","August","September","October","November","December","January","February","March"},0)</f>
        <v>7</v>
      </c>
      <c r="Q1273" s="3">
        <f t="shared" si="38"/>
        <v>0</v>
      </c>
      <c r="R1273" t="str">
        <f t="shared" si="39"/>
        <v>October</v>
      </c>
    </row>
    <row r="1274" spans="1:18" x14ac:dyDescent="0.35">
      <c r="A1274" t="s">
        <v>438</v>
      </c>
      <c r="B1274" t="s">
        <v>369</v>
      </c>
      <c r="C1274" t="s">
        <v>30</v>
      </c>
      <c r="D1274" t="s">
        <v>370</v>
      </c>
      <c r="E1274">
        <v>0</v>
      </c>
      <c r="F1274">
        <v>2951</v>
      </c>
      <c r="G1274">
        <v>0</v>
      </c>
      <c r="H1274">
        <v>51</v>
      </c>
      <c r="I1274">
        <v>0</v>
      </c>
      <c r="J1274">
        <v>0</v>
      </c>
      <c r="K1274" s="1">
        <v>45931</v>
      </c>
      <c r="L1274" t="s">
        <v>439</v>
      </c>
      <c r="M1274" t="s">
        <v>435</v>
      </c>
      <c r="N1274" s="2">
        <f>IFERROR(NHS_A_E[[#This Row],[T1_Over4hrs]]/NHS_A_E[[#This Row],[T1_Attendances]], 0)</f>
        <v>0</v>
      </c>
      <c r="O1274">
        <f>NHS_A_E[[#This Row],[T1_Attendances]]+NHS_A_E[[#This Row],[Other_Attendances]]</f>
        <v>2951</v>
      </c>
      <c r="P1274">
        <f>MATCH(LEFT(A1274,FIND("-",A1274)-1),{"April","May","June","July","August","September","October","November","December","January","February","March"},0)</f>
        <v>7</v>
      </c>
      <c r="Q1274" s="3">
        <f t="shared" si="38"/>
        <v>0</v>
      </c>
      <c r="R1274" t="str">
        <f t="shared" si="39"/>
        <v>October</v>
      </c>
    </row>
    <row r="1275" spans="1:18" x14ac:dyDescent="0.35">
      <c r="A1275" t="s">
        <v>438</v>
      </c>
      <c r="B1275" t="s">
        <v>157</v>
      </c>
      <c r="C1275" t="s">
        <v>40</v>
      </c>
      <c r="D1275" t="s">
        <v>158</v>
      </c>
      <c r="E1275">
        <v>36434</v>
      </c>
      <c r="F1275">
        <v>3395</v>
      </c>
      <c r="G1275">
        <v>14338</v>
      </c>
      <c r="H1275">
        <v>46</v>
      </c>
      <c r="I1275">
        <v>2442</v>
      </c>
      <c r="J1275">
        <v>2030</v>
      </c>
      <c r="K1275" s="1">
        <v>45931</v>
      </c>
      <c r="L1275" t="s">
        <v>439</v>
      </c>
      <c r="M1275" t="s">
        <v>435</v>
      </c>
      <c r="N1275" s="2">
        <f>IFERROR(NHS_A_E[[#This Row],[T1_Over4hrs]]/NHS_A_E[[#This Row],[T1_Attendances]], 0)</f>
        <v>0.39353351265301639</v>
      </c>
      <c r="O1275">
        <f>NHS_A_E[[#This Row],[T1_Attendances]]+NHS_A_E[[#This Row],[Other_Attendances]]</f>
        <v>39829</v>
      </c>
      <c r="P1275">
        <f>MATCH(LEFT(A1275,FIND("-",A1275)-1),{"April","May","June","July","August","September","October","November","December","January","February","March"},0)</f>
        <v>7</v>
      </c>
      <c r="Q1275" s="3">
        <f t="shared" si="38"/>
        <v>5.5717187242685401E-2</v>
      </c>
      <c r="R1275" t="str">
        <f t="shared" si="39"/>
        <v>October</v>
      </c>
    </row>
    <row r="1276" spans="1:18" x14ac:dyDescent="0.35">
      <c r="A1276" t="s">
        <v>438</v>
      </c>
      <c r="B1276" t="s">
        <v>409</v>
      </c>
      <c r="C1276" t="s">
        <v>15</v>
      </c>
      <c r="D1276" t="s">
        <v>410</v>
      </c>
      <c r="E1276">
        <v>20896</v>
      </c>
      <c r="F1276">
        <v>1822</v>
      </c>
      <c r="G1276">
        <v>4634</v>
      </c>
      <c r="H1276">
        <v>29</v>
      </c>
      <c r="I1276">
        <v>1046</v>
      </c>
      <c r="J1276">
        <v>317</v>
      </c>
      <c r="K1276" s="1">
        <v>45931</v>
      </c>
      <c r="L1276" t="s">
        <v>439</v>
      </c>
      <c r="M1276" t="s">
        <v>435</v>
      </c>
      <c r="N1276" s="2">
        <f>IFERROR(NHS_A_E[[#This Row],[T1_Over4hrs]]/NHS_A_E[[#This Row],[T1_Attendances]], 0)</f>
        <v>0.22176493108728942</v>
      </c>
      <c r="O1276">
        <f>NHS_A_E[[#This Row],[T1_Attendances]]+NHS_A_E[[#This Row],[Other_Attendances]]</f>
        <v>22718</v>
      </c>
      <c r="P1276">
        <f>MATCH(LEFT(A1276,FIND("-",A1276)-1),{"April","May","June","July","August","September","October","November","December","January","February","March"},0)</f>
        <v>7</v>
      </c>
      <c r="Q1276" s="3">
        <f t="shared" si="38"/>
        <v>1.5170367534456355E-2</v>
      </c>
      <c r="R1276" t="str">
        <f t="shared" si="39"/>
        <v>October</v>
      </c>
    </row>
    <row r="1277" spans="1:18" x14ac:dyDescent="0.35">
      <c r="A1277" t="s">
        <v>438</v>
      </c>
      <c r="B1277" t="s">
        <v>169</v>
      </c>
      <c r="C1277" t="s">
        <v>20</v>
      </c>
      <c r="D1277" t="s">
        <v>170</v>
      </c>
      <c r="E1277">
        <v>9818</v>
      </c>
      <c r="F1277">
        <v>0</v>
      </c>
      <c r="G1277">
        <v>3786</v>
      </c>
      <c r="H1277">
        <v>0</v>
      </c>
      <c r="I1277">
        <v>631</v>
      </c>
      <c r="J1277">
        <v>401</v>
      </c>
      <c r="K1277" s="1">
        <v>45931</v>
      </c>
      <c r="L1277" t="s">
        <v>439</v>
      </c>
      <c r="M1277" t="s">
        <v>435</v>
      </c>
      <c r="N1277" s="2">
        <f>IFERROR(NHS_A_E[[#This Row],[T1_Over4hrs]]/NHS_A_E[[#This Row],[T1_Attendances]], 0)</f>
        <v>0.38561825218985535</v>
      </c>
      <c r="O1277">
        <f>NHS_A_E[[#This Row],[T1_Attendances]]+NHS_A_E[[#This Row],[Other_Attendances]]</f>
        <v>9818</v>
      </c>
      <c r="P1277">
        <f>MATCH(LEFT(A1277,FIND("-",A1277)-1),{"April","May","June","July","August","September","October","November","December","January","February","March"},0)</f>
        <v>7</v>
      </c>
      <c r="Q1277" s="3">
        <f t="shared" si="38"/>
        <v>4.0843348950906501E-2</v>
      </c>
      <c r="R1277" t="str">
        <f t="shared" si="39"/>
        <v>October</v>
      </c>
    </row>
    <row r="1278" spans="1:18" x14ac:dyDescent="0.35">
      <c r="A1278" t="s">
        <v>438</v>
      </c>
      <c r="B1278" t="s">
        <v>221</v>
      </c>
      <c r="C1278" t="s">
        <v>63</v>
      </c>
      <c r="D1278" t="s">
        <v>222</v>
      </c>
      <c r="E1278">
        <v>11014</v>
      </c>
      <c r="F1278">
        <v>13208</v>
      </c>
      <c r="G1278">
        <v>2985</v>
      </c>
      <c r="H1278">
        <v>0</v>
      </c>
      <c r="I1278">
        <v>49</v>
      </c>
      <c r="J1278">
        <v>0</v>
      </c>
      <c r="K1278" s="1">
        <v>45931</v>
      </c>
      <c r="L1278" t="s">
        <v>439</v>
      </c>
      <c r="M1278" t="s">
        <v>435</v>
      </c>
      <c r="N1278" s="2">
        <f>IFERROR(NHS_A_E[[#This Row],[T1_Over4hrs]]/NHS_A_E[[#This Row],[T1_Attendances]], 0)</f>
        <v>0.27101870346831308</v>
      </c>
      <c r="O1278">
        <f>NHS_A_E[[#This Row],[T1_Attendances]]+NHS_A_E[[#This Row],[Other_Attendances]]</f>
        <v>24222</v>
      </c>
      <c r="P1278">
        <f>MATCH(LEFT(A1278,FIND("-",A1278)-1),{"April","May","June","July","August","September","October","November","December","January","February","March"},0)</f>
        <v>7</v>
      </c>
      <c r="Q1278" s="3">
        <f t="shared" si="38"/>
        <v>0</v>
      </c>
      <c r="R1278" t="str">
        <f t="shared" si="39"/>
        <v>October</v>
      </c>
    </row>
    <row r="1279" spans="1:18" x14ac:dyDescent="0.35">
      <c r="A1279" t="s">
        <v>438</v>
      </c>
      <c r="B1279" t="s">
        <v>179</v>
      </c>
      <c r="C1279" t="s">
        <v>40</v>
      </c>
      <c r="D1279" t="s">
        <v>180</v>
      </c>
      <c r="E1279">
        <v>17436</v>
      </c>
      <c r="F1279">
        <v>4099</v>
      </c>
      <c r="G1279">
        <v>6972</v>
      </c>
      <c r="H1279">
        <v>374</v>
      </c>
      <c r="I1279">
        <v>965</v>
      </c>
      <c r="J1279">
        <v>1196</v>
      </c>
      <c r="K1279" s="1">
        <v>45931</v>
      </c>
      <c r="L1279" t="s">
        <v>439</v>
      </c>
      <c r="M1279" t="s">
        <v>435</v>
      </c>
      <c r="N1279" s="2">
        <f>IFERROR(NHS_A_E[[#This Row],[T1_Over4hrs]]/NHS_A_E[[#This Row],[T1_Attendances]], 0)</f>
        <v>0.39986235375086027</v>
      </c>
      <c r="O1279">
        <f>NHS_A_E[[#This Row],[T1_Attendances]]+NHS_A_E[[#This Row],[Other_Attendances]]</f>
        <v>21535</v>
      </c>
      <c r="P1279">
        <f>MATCH(LEFT(A1279,FIND("-",A1279)-1),{"April","May","June","July","August","September","October","November","December","January","February","March"},0)</f>
        <v>7</v>
      </c>
      <c r="Q1279" s="3">
        <f t="shared" si="38"/>
        <v>6.859371415462262E-2</v>
      </c>
      <c r="R1279" t="str">
        <f t="shared" si="39"/>
        <v>October</v>
      </c>
    </row>
    <row r="1280" spans="1:18" x14ac:dyDescent="0.35">
      <c r="A1280" t="s">
        <v>438</v>
      </c>
      <c r="B1280" t="s">
        <v>181</v>
      </c>
      <c r="C1280" t="s">
        <v>40</v>
      </c>
      <c r="D1280" t="s">
        <v>182</v>
      </c>
      <c r="E1280">
        <v>23885</v>
      </c>
      <c r="F1280">
        <v>0</v>
      </c>
      <c r="G1280">
        <v>9536</v>
      </c>
      <c r="H1280">
        <v>0</v>
      </c>
      <c r="I1280">
        <v>1182</v>
      </c>
      <c r="J1280">
        <v>844</v>
      </c>
      <c r="K1280" s="1">
        <v>45931</v>
      </c>
      <c r="L1280" t="s">
        <v>439</v>
      </c>
      <c r="M1280" t="s">
        <v>435</v>
      </c>
      <c r="N1280" s="2">
        <f>IFERROR(NHS_A_E[[#This Row],[T1_Over4hrs]]/NHS_A_E[[#This Row],[T1_Attendances]], 0)</f>
        <v>0.3992463889470379</v>
      </c>
      <c r="O1280">
        <f>NHS_A_E[[#This Row],[T1_Attendances]]+NHS_A_E[[#This Row],[Other_Attendances]]</f>
        <v>23885</v>
      </c>
      <c r="P1280">
        <f>MATCH(LEFT(A1280,FIND("-",A1280)-1),{"April","May","June","July","August","September","October","November","December","January","February","March"},0)</f>
        <v>7</v>
      </c>
      <c r="Q1280" s="3">
        <f t="shared" si="38"/>
        <v>3.5335984927778938E-2</v>
      </c>
      <c r="R1280" t="str">
        <f t="shared" si="39"/>
        <v>October</v>
      </c>
    </row>
    <row r="1281" spans="1:18" x14ac:dyDescent="0.35">
      <c r="A1281" t="s">
        <v>438</v>
      </c>
      <c r="B1281" t="s">
        <v>183</v>
      </c>
      <c r="C1281" t="s">
        <v>23</v>
      </c>
      <c r="D1281" t="s">
        <v>184</v>
      </c>
      <c r="E1281">
        <v>8532</v>
      </c>
      <c r="F1281">
        <v>7389</v>
      </c>
      <c r="G1281">
        <v>2749</v>
      </c>
      <c r="H1281">
        <v>65</v>
      </c>
      <c r="I1281">
        <v>779</v>
      </c>
      <c r="J1281">
        <v>22</v>
      </c>
      <c r="K1281" s="1">
        <v>45931</v>
      </c>
      <c r="L1281" t="s">
        <v>439</v>
      </c>
      <c r="M1281" t="s">
        <v>435</v>
      </c>
      <c r="N1281" s="2">
        <f>IFERROR(NHS_A_E[[#This Row],[T1_Over4hrs]]/NHS_A_E[[#This Row],[T1_Attendances]], 0)</f>
        <v>0.32219878105954053</v>
      </c>
      <c r="O1281">
        <f>NHS_A_E[[#This Row],[T1_Attendances]]+NHS_A_E[[#This Row],[Other_Attendances]]</f>
        <v>15921</v>
      </c>
      <c r="P1281">
        <f>MATCH(LEFT(A1281,FIND("-",A1281)-1),{"April","May","June","July","August","September","October","November","December","January","February","March"},0)</f>
        <v>7</v>
      </c>
      <c r="Q1281" s="3">
        <f t="shared" si="38"/>
        <v>2.5785278949835913E-3</v>
      </c>
      <c r="R1281" t="str">
        <f t="shared" si="39"/>
        <v>October</v>
      </c>
    </row>
    <row r="1282" spans="1:18" x14ac:dyDescent="0.35">
      <c r="A1282" t="s">
        <v>438</v>
      </c>
      <c r="B1282" t="s">
        <v>185</v>
      </c>
      <c r="C1282" t="s">
        <v>23</v>
      </c>
      <c r="D1282" t="s">
        <v>437</v>
      </c>
      <c r="E1282">
        <v>9294</v>
      </c>
      <c r="F1282">
        <v>8403</v>
      </c>
      <c r="G1282">
        <v>4574</v>
      </c>
      <c r="H1282">
        <v>27</v>
      </c>
      <c r="I1282">
        <v>545</v>
      </c>
      <c r="J1282">
        <v>172</v>
      </c>
      <c r="K1282" s="1">
        <v>45931</v>
      </c>
      <c r="L1282" t="s">
        <v>439</v>
      </c>
      <c r="M1282" t="s">
        <v>435</v>
      </c>
      <c r="N1282" s="2">
        <f>IFERROR(NHS_A_E[[#This Row],[T1_Over4hrs]]/NHS_A_E[[#This Row],[T1_Attendances]], 0)</f>
        <v>0.49214547019582527</v>
      </c>
      <c r="O1282">
        <f>NHS_A_E[[#This Row],[T1_Attendances]]+NHS_A_E[[#This Row],[Other_Attendances]]</f>
        <v>17697</v>
      </c>
      <c r="P1282">
        <f>MATCH(LEFT(A1282,FIND("-",A1282)-1),{"April","May","June","July","August","September","October","November","December","January","February","March"},0)</f>
        <v>7</v>
      </c>
      <c r="Q1282" s="3">
        <f t="shared" ref="Q1282:Q1345" si="40">IFERROR(J1282/E1282,0)</f>
        <v>1.8506563374219926E-2</v>
      </c>
      <c r="R1282" t="str">
        <f t="shared" ref="R1282:R1345" si="41">TEXT(A1282, "mmmm")</f>
        <v>October</v>
      </c>
    </row>
    <row r="1283" spans="1:18" x14ac:dyDescent="0.35">
      <c r="A1283" t="s">
        <v>438</v>
      </c>
      <c r="B1283" t="s">
        <v>189</v>
      </c>
      <c r="C1283" t="s">
        <v>30</v>
      </c>
      <c r="D1283" t="s">
        <v>190</v>
      </c>
      <c r="E1283">
        <v>7210</v>
      </c>
      <c r="F1283">
        <v>3092</v>
      </c>
      <c r="G1283">
        <v>3769</v>
      </c>
      <c r="H1283">
        <v>86</v>
      </c>
      <c r="I1283">
        <v>579</v>
      </c>
      <c r="J1283">
        <v>988</v>
      </c>
      <c r="K1283" s="1">
        <v>45931</v>
      </c>
      <c r="L1283" t="s">
        <v>439</v>
      </c>
      <c r="M1283" t="s">
        <v>435</v>
      </c>
      <c r="N1283" s="2">
        <f>IFERROR(NHS_A_E[[#This Row],[T1_Over4hrs]]/NHS_A_E[[#This Row],[T1_Attendances]], 0)</f>
        <v>0.52274618585298194</v>
      </c>
      <c r="O1283">
        <f>NHS_A_E[[#This Row],[T1_Attendances]]+NHS_A_E[[#This Row],[Other_Attendances]]</f>
        <v>10302</v>
      </c>
      <c r="P1283">
        <f>MATCH(LEFT(A1283,FIND("-",A1283)-1),{"April","May","June","July","August","September","October","November","December","January","February","March"},0)</f>
        <v>7</v>
      </c>
      <c r="Q1283" s="3">
        <f t="shared" si="40"/>
        <v>0.13703190013869626</v>
      </c>
      <c r="R1283" t="str">
        <f t="shared" si="41"/>
        <v>October</v>
      </c>
    </row>
    <row r="1284" spans="1:18" x14ac:dyDescent="0.35">
      <c r="A1284" t="s">
        <v>438</v>
      </c>
      <c r="B1284" t="s">
        <v>191</v>
      </c>
      <c r="C1284" t="s">
        <v>15</v>
      </c>
      <c r="D1284" t="s">
        <v>192</v>
      </c>
      <c r="E1284">
        <v>9250</v>
      </c>
      <c r="F1284">
        <v>2428</v>
      </c>
      <c r="G1284">
        <v>3788</v>
      </c>
      <c r="H1284">
        <v>28</v>
      </c>
      <c r="I1284">
        <v>275</v>
      </c>
      <c r="J1284">
        <v>117</v>
      </c>
      <c r="K1284" s="1">
        <v>45931</v>
      </c>
      <c r="L1284" t="s">
        <v>439</v>
      </c>
      <c r="M1284" t="s">
        <v>435</v>
      </c>
      <c r="N1284" s="2">
        <f>IFERROR(NHS_A_E[[#This Row],[T1_Over4hrs]]/NHS_A_E[[#This Row],[T1_Attendances]], 0)</f>
        <v>0.40951351351351351</v>
      </c>
      <c r="O1284">
        <f>NHS_A_E[[#This Row],[T1_Attendances]]+NHS_A_E[[#This Row],[Other_Attendances]]</f>
        <v>11678</v>
      </c>
      <c r="P1284">
        <f>MATCH(LEFT(A1284,FIND("-",A1284)-1),{"April","May","June","July","August","September","October","November","December","January","February","March"},0)</f>
        <v>7</v>
      </c>
      <c r="Q1284" s="3">
        <f t="shared" si="40"/>
        <v>1.2648648648648649E-2</v>
      </c>
      <c r="R1284" t="str">
        <f t="shared" si="41"/>
        <v>October</v>
      </c>
    </row>
    <row r="1285" spans="1:18" x14ac:dyDescent="0.35">
      <c r="A1285" t="s">
        <v>438</v>
      </c>
      <c r="B1285" t="s">
        <v>195</v>
      </c>
      <c r="C1285" t="s">
        <v>30</v>
      </c>
      <c r="D1285" t="s">
        <v>196</v>
      </c>
      <c r="E1285">
        <v>9263</v>
      </c>
      <c r="F1285">
        <v>10484</v>
      </c>
      <c r="G1285">
        <v>4480</v>
      </c>
      <c r="H1285">
        <v>153</v>
      </c>
      <c r="I1285">
        <v>524</v>
      </c>
      <c r="J1285">
        <v>544</v>
      </c>
      <c r="K1285" s="1">
        <v>45931</v>
      </c>
      <c r="L1285" t="s">
        <v>439</v>
      </c>
      <c r="M1285" t="s">
        <v>435</v>
      </c>
      <c r="N1285" s="2">
        <f>IFERROR(NHS_A_E[[#This Row],[T1_Over4hrs]]/NHS_A_E[[#This Row],[T1_Attendances]], 0)</f>
        <v>0.48364460757853828</v>
      </c>
      <c r="O1285">
        <f>NHS_A_E[[#This Row],[T1_Attendances]]+NHS_A_E[[#This Row],[Other_Attendances]]</f>
        <v>19747</v>
      </c>
      <c r="P1285">
        <f>MATCH(LEFT(A1285,FIND("-",A1285)-1),{"April","May","June","July","August","September","October","November","December","January","February","March"},0)</f>
        <v>7</v>
      </c>
      <c r="Q1285" s="3">
        <f t="shared" si="40"/>
        <v>5.8728273777393931E-2</v>
      </c>
      <c r="R1285" t="str">
        <f t="shared" si="41"/>
        <v>October</v>
      </c>
    </row>
    <row r="1286" spans="1:18" x14ac:dyDescent="0.35">
      <c r="A1286" t="s">
        <v>438</v>
      </c>
      <c r="B1286" t="s">
        <v>205</v>
      </c>
      <c r="C1286" t="s">
        <v>35</v>
      </c>
      <c r="D1286" t="s">
        <v>206</v>
      </c>
      <c r="E1286">
        <v>12719</v>
      </c>
      <c r="F1286">
        <v>7454</v>
      </c>
      <c r="G1286">
        <v>5375</v>
      </c>
      <c r="H1286">
        <v>416</v>
      </c>
      <c r="I1286">
        <v>575</v>
      </c>
      <c r="J1286">
        <v>0</v>
      </c>
      <c r="K1286" s="1">
        <v>45931</v>
      </c>
      <c r="L1286" t="s">
        <v>439</v>
      </c>
      <c r="M1286" t="s">
        <v>435</v>
      </c>
      <c r="N1286" s="2">
        <f>IFERROR(NHS_A_E[[#This Row],[T1_Over4hrs]]/NHS_A_E[[#This Row],[T1_Attendances]], 0)</f>
        <v>0.42259611604685904</v>
      </c>
      <c r="O1286">
        <f>NHS_A_E[[#This Row],[T1_Attendances]]+NHS_A_E[[#This Row],[Other_Attendances]]</f>
        <v>20173</v>
      </c>
      <c r="P1286">
        <f>MATCH(LEFT(A1286,FIND("-",A1286)-1),{"April","May","June","July","August","September","October","November","December","January","February","March"},0)</f>
        <v>7</v>
      </c>
      <c r="Q1286" s="3">
        <f t="shared" si="40"/>
        <v>0</v>
      </c>
      <c r="R1286" t="str">
        <f t="shared" si="41"/>
        <v>October</v>
      </c>
    </row>
    <row r="1287" spans="1:18" x14ac:dyDescent="0.35">
      <c r="A1287" t="s">
        <v>438</v>
      </c>
      <c r="B1287" t="s">
        <v>379</v>
      </c>
      <c r="C1287" t="s">
        <v>63</v>
      </c>
      <c r="D1287" t="s">
        <v>380</v>
      </c>
      <c r="E1287">
        <v>0</v>
      </c>
      <c r="F1287">
        <v>2371</v>
      </c>
      <c r="G1287">
        <v>0</v>
      </c>
      <c r="H1287">
        <v>9</v>
      </c>
      <c r="I1287">
        <v>0</v>
      </c>
      <c r="J1287">
        <v>0</v>
      </c>
      <c r="K1287" s="1">
        <v>45931</v>
      </c>
      <c r="L1287" t="s">
        <v>439</v>
      </c>
      <c r="M1287" t="s">
        <v>435</v>
      </c>
      <c r="N1287" s="2">
        <f>IFERROR(NHS_A_E[[#This Row],[T1_Over4hrs]]/NHS_A_E[[#This Row],[T1_Attendances]], 0)</f>
        <v>0</v>
      </c>
      <c r="O1287">
        <f>NHS_A_E[[#This Row],[T1_Attendances]]+NHS_A_E[[#This Row],[Other_Attendances]]</f>
        <v>2371</v>
      </c>
      <c r="P1287">
        <f>MATCH(LEFT(A1287,FIND("-",A1287)-1),{"April","May","June","July","August","September","October","November","December","January","February","March"},0)</f>
        <v>7</v>
      </c>
      <c r="Q1287" s="3">
        <f t="shared" si="40"/>
        <v>0</v>
      </c>
      <c r="R1287" t="str">
        <f t="shared" si="41"/>
        <v>October</v>
      </c>
    </row>
    <row r="1288" spans="1:18" x14ac:dyDescent="0.35">
      <c r="A1288" t="s">
        <v>438</v>
      </c>
      <c r="B1288" t="s">
        <v>337</v>
      </c>
      <c r="C1288" t="s">
        <v>20</v>
      </c>
      <c r="D1288" t="s">
        <v>338</v>
      </c>
      <c r="E1288">
        <v>14481</v>
      </c>
      <c r="F1288">
        <v>4810</v>
      </c>
      <c r="G1288">
        <v>6026</v>
      </c>
      <c r="H1288">
        <v>0</v>
      </c>
      <c r="I1288">
        <v>1171</v>
      </c>
      <c r="J1288">
        <v>434</v>
      </c>
      <c r="K1288" s="1">
        <v>45931</v>
      </c>
      <c r="L1288" t="s">
        <v>439</v>
      </c>
      <c r="M1288" t="s">
        <v>435</v>
      </c>
      <c r="N1288" s="2">
        <f>IFERROR(NHS_A_E[[#This Row],[T1_Over4hrs]]/NHS_A_E[[#This Row],[T1_Attendances]], 0)</f>
        <v>0.4161314826324149</v>
      </c>
      <c r="O1288">
        <f>NHS_A_E[[#This Row],[T1_Attendances]]+NHS_A_E[[#This Row],[Other_Attendances]]</f>
        <v>19291</v>
      </c>
      <c r="P1288">
        <f>MATCH(LEFT(A1288,FIND("-",A1288)-1),{"April","May","June","July","August","September","October","November","December","January","February","March"},0)</f>
        <v>7</v>
      </c>
      <c r="Q1288" s="3">
        <f t="shared" si="40"/>
        <v>2.9970305918099578E-2</v>
      </c>
      <c r="R1288" t="str">
        <f t="shared" si="41"/>
        <v>October</v>
      </c>
    </row>
    <row r="1289" spans="1:18" x14ac:dyDescent="0.35">
      <c r="A1289" t="s">
        <v>438</v>
      </c>
      <c r="B1289" t="s">
        <v>25</v>
      </c>
      <c r="C1289" t="s">
        <v>15</v>
      </c>
      <c r="D1289" t="s">
        <v>26</v>
      </c>
      <c r="E1289">
        <v>0</v>
      </c>
      <c r="F1289">
        <v>11779</v>
      </c>
      <c r="G1289">
        <v>0</v>
      </c>
      <c r="H1289">
        <v>173</v>
      </c>
      <c r="I1289">
        <v>0</v>
      </c>
      <c r="J1289">
        <v>0</v>
      </c>
      <c r="K1289" s="1">
        <v>45931</v>
      </c>
      <c r="L1289" t="s">
        <v>439</v>
      </c>
      <c r="M1289" t="s">
        <v>435</v>
      </c>
      <c r="N1289" s="2">
        <f>IFERROR(NHS_A_E[[#This Row],[T1_Over4hrs]]/NHS_A_E[[#This Row],[T1_Attendances]], 0)</f>
        <v>0</v>
      </c>
      <c r="O1289">
        <f>NHS_A_E[[#This Row],[T1_Attendances]]+NHS_A_E[[#This Row],[Other_Attendances]]</f>
        <v>11779</v>
      </c>
      <c r="P1289">
        <f>MATCH(LEFT(A1289,FIND("-",A1289)-1),{"April","May","June","July","August","September","October","November","December","January","February","March"},0)</f>
        <v>7</v>
      </c>
      <c r="Q1289" s="3">
        <f t="shared" si="40"/>
        <v>0</v>
      </c>
      <c r="R1289" t="str">
        <f t="shared" si="41"/>
        <v>October</v>
      </c>
    </row>
    <row r="1290" spans="1:18" x14ac:dyDescent="0.35">
      <c r="A1290" t="s">
        <v>438</v>
      </c>
      <c r="B1290" t="s">
        <v>213</v>
      </c>
      <c r="C1290" t="s">
        <v>23</v>
      </c>
      <c r="D1290" t="s">
        <v>214</v>
      </c>
      <c r="E1290">
        <v>11309</v>
      </c>
      <c r="F1290">
        <v>5334</v>
      </c>
      <c r="G1290">
        <v>4661</v>
      </c>
      <c r="H1290">
        <v>48</v>
      </c>
      <c r="I1290">
        <v>546</v>
      </c>
      <c r="J1290">
        <v>568</v>
      </c>
      <c r="K1290" s="1">
        <v>45931</v>
      </c>
      <c r="L1290" t="s">
        <v>439</v>
      </c>
      <c r="M1290" t="s">
        <v>435</v>
      </c>
      <c r="N1290" s="2">
        <f>IFERROR(NHS_A_E[[#This Row],[T1_Over4hrs]]/NHS_A_E[[#This Row],[T1_Attendances]], 0)</f>
        <v>0.41214961535060574</v>
      </c>
      <c r="O1290">
        <f>NHS_A_E[[#This Row],[T1_Attendances]]+NHS_A_E[[#This Row],[Other_Attendances]]</f>
        <v>16643</v>
      </c>
      <c r="P1290">
        <f>MATCH(LEFT(A1290,FIND("-",A1290)-1),{"April","May","June","July","August","September","October","November","December","January","February","March"},0)</f>
        <v>7</v>
      </c>
      <c r="Q1290" s="3">
        <f t="shared" si="40"/>
        <v>5.0225484127685911E-2</v>
      </c>
      <c r="R1290" t="str">
        <f t="shared" si="41"/>
        <v>October</v>
      </c>
    </row>
    <row r="1291" spans="1:18" x14ac:dyDescent="0.35">
      <c r="A1291" t="s">
        <v>438</v>
      </c>
      <c r="B1291" t="s">
        <v>103</v>
      </c>
      <c r="C1291" t="s">
        <v>20</v>
      </c>
      <c r="D1291" t="s">
        <v>104</v>
      </c>
      <c r="E1291">
        <v>12856</v>
      </c>
      <c r="F1291">
        <v>8360</v>
      </c>
      <c r="G1291">
        <v>6024</v>
      </c>
      <c r="H1291">
        <v>139</v>
      </c>
      <c r="I1291">
        <v>610</v>
      </c>
      <c r="J1291">
        <v>207</v>
      </c>
      <c r="K1291" s="1">
        <v>45931</v>
      </c>
      <c r="L1291" t="s">
        <v>439</v>
      </c>
      <c r="M1291" t="s">
        <v>435</v>
      </c>
      <c r="N1291" s="2">
        <f>IFERROR(NHS_A_E[[#This Row],[T1_Over4hrs]]/NHS_A_E[[#This Row],[T1_Attendances]], 0)</f>
        <v>0.46857498444306162</v>
      </c>
      <c r="O1291">
        <f>NHS_A_E[[#This Row],[T1_Attendances]]+NHS_A_E[[#This Row],[Other_Attendances]]</f>
        <v>21216</v>
      </c>
      <c r="P1291">
        <f>MATCH(LEFT(A1291,FIND("-",A1291)-1),{"April","May","June","July","August","September","October","November","December","January","February","March"},0)</f>
        <v>7</v>
      </c>
      <c r="Q1291" s="3">
        <f t="shared" si="40"/>
        <v>1.6101431238332298E-2</v>
      </c>
      <c r="R1291" t="str">
        <f t="shared" si="41"/>
        <v>October</v>
      </c>
    </row>
    <row r="1292" spans="1:18" x14ac:dyDescent="0.35">
      <c r="A1292" t="s">
        <v>438</v>
      </c>
      <c r="B1292" t="s">
        <v>401</v>
      </c>
      <c r="C1292" t="s">
        <v>35</v>
      </c>
      <c r="D1292" t="s">
        <v>402</v>
      </c>
      <c r="E1292">
        <v>13542</v>
      </c>
      <c r="F1292">
        <v>5354</v>
      </c>
      <c r="G1292">
        <v>4873</v>
      </c>
      <c r="H1292">
        <v>0</v>
      </c>
      <c r="I1292">
        <v>292</v>
      </c>
      <c r="J1292">
        <v>751</v>
      </c>
      <c r="K1292" s="1">
        <v>45931</v>
      </c>
      <c r="L1292" t="s">
        <v>439</v>
      </c>
      <c r="M1292" t="s">
        <v>435</v>
      </c>
      <c r="N1292" s="2">
        <f>IFERROR(NHS_A_E[[#This Row],[T1_Over4hrs]]/NHS_A_E[[#This Row],[T1_Attendances]], 0)</f>
        <v>0.35984345000738444</v>
      </c>
      <c r="O1292">
        <f>NHS_A_E[[#This Row],[T1_Attendances]]+NHS_A_E[[#This Row],[Other_Attendances]]</f>
        <v>18896</v>
      </c>
      <c r="P1292">
        <f>MATCH(LEFT(A1292,FIND("-",A1292)-1),{"April","May","June","July","August","September","October","November","December","January","February","March"},0)</f>
        <v>7</v>
      </c>
      <c r="Q1292" s="3">
        <f t="shared" si="40"/>
        <v>5.5457096440702999E-2</v>
      </c>
      <c r="R1292" t="str">
        <f t="shared" si="41"/>
        <v>October</v>
      </c>
    </row>
    <row r="1293" spans="1:18" x14ac:dyDescent="0.35">
      <c r="A1293" t="s">
        <v>438</v>
      </c>
      <c r="B1293" t="s">
        <v>273</v>
      </c>
      <c r="C1293" t="s">
        <v>30</v>
      </c>
      <c r="D1293" t="s">
        <v>274</v>
      </c>
      <c r="E1293">
        <v>4646</v>
      </c>
      <c r="F1293">
        <v>0</v>
      </c>
      <c r="G1293">
        <v>2459</v>
      </c>
      <c r="H1293">
        <v>0</v>
      </c>
      <c r="I1293">
        <v>298</v>
      </c>
      <c r="J1293">
        <v>256</v>
      </c>
      <c r="K1293" s="1">
        <v>45931</v>
      </c>
      <c r="L1293" t="s">
        <v>439</v>
      </c>
      <c r="M1293" t="s">
        <v>435</v>
      </c>
      <c r="N1293" s="2">
        <f>IFERROR(NHS_A_E[[#This Row],[T1_Over4hrs]]/NHS_A_E[[#This Row],[T1_Attendances]], 0)</f>
        <v>0.52927249246663799</v>
      </c>
      <c r="O1293">
        <f>NHS_A_E[[#This Row],[T1_Attendances]]+NHS_A_E[[#This Row],[Other_Attendances]]</f>
        <v>4646</v>
      </c>
      <c r="P1293">
        <f>MATCH(LEFT(A1293,FIND("-",A1293)-1),{"April","May","June","July","August","September","October","November","December","January","February","March"},0)</f>
        <v>7</v>
      </c>
      <c r="Q1293" s="3">
        <f t="shared" si="40"/>
        <v>5.5101162290142058E-2</v>
      </c>
      <c r="R1293" t="str">
        <f t="shared" si="41"/>
        <v>October</v>
      </c>
    </row>
    <row r="1294" spans="1:18" x14ac:dyDescent="0.35">
      <c r="A1294" t="s">
        <v>438</v>
      </c>
      <c r="B1294" t="s">
        <v>411</v>
      </c>
      <c r="C1294" t="s">
        <v>35</v>
      </c>
      <c r="D1294" t="s">
        <v>412</v>
      </c>
      <c r="E1294">
        <v>9130</v>
      </c>
      <c r="F1294">
        <v>0</v>
      </c>
      <c r="G1294">
        <v>2753</v>
      </c>
      <c r="H1294">
        <v>0</v>
      </c>
      <c r="I1294">
        <v>248</v>
      </c>
      <c r="J1294">
        <v>296</v>
      </c>
      <c r="K1294" s="1">
        <v>45931</v>
      </c>
      <c r="L1294" t="s">
        <v>439</v>
      </c>
      <c r="M1294" t="s">
        <v>435</v>
      </c>
      <c r="N1294" s="2">
        <f>IFERROR(NHS_A_E[[#This Row],[T1_Over4hrs]]/NHS_A_E[[#This Row],[T1_Attendances]], 0)</f>
        <v>0.30153340635268344</v>
      </c>
      <c r="O1294">
        <f>NHS_A_E[[#This Row],[T1_Attendances]]+NHS_A_E[[#This Row],[Other_Attendances]]</f>
        <v>9130</v>
      </c>
      <c r="P1294">
        <f>MATCH(LEFT(A1294,FIND("-",A1294)-1),{"April","May","June","July","August","September","October","November","December","January","February","March"},0)</f>
        <v>7</v>
      </c>
      <c r="Q1294" s="3">
        <f t="shared" si="40"/>
        <v>3.2420591456736036E-2</v>
      </c>
      <c r="R1294" t="str">
        <f t="shared" si="41"/>
        <v>October</v>
      </c>
    </row>
    <row r="1295" spans="1:18" x14ac:dyDescent="0.35">
      <c r="A1295" t="s">
        <v>438</v>
      </c>
      <c r="B1295" t="s">
        <v>173</v>
      </c>
      <c r="C1295" t="s">
        <v>23</v>
      </c>
      <c r="D1295" t="s">
        <v>174</v>
      </c>
      <c r="E1295">
        <v>12942</v>
      </c>
      <c r="F1295">
        <v>7670</v>
      </c>
      <c r="G1295">
        <v>4125</v>
      </c>
      <c r="H1295">
        <v>1</v>
      </c>
      <c r="I1295">
        <v>741</v>
      </c>
      <c r="J1295">
        <v>215</v>
      </c>
      <c r="K1295" s="1">
        <v>45931</v>
      </c>
      <c r="L1295" t="s">
        <v>439</v>
      </c>
      <c r="M1295" t="s">
        <v>435</v>
      </c>
      <c r="N1295" s="2">
        <f>IFERROR(NHS_A_E[[#This Row],[T1_Over4hrs]]/NHS_A_E[[#This Row],[T1_Attendances]], 0)</f>
        <v>0.31872971719981458</v>
      </c>
      <c r="O1295">
        <f>NHS_A_E[[#This Row],[T1_Attendances]]+NHS_A_E[[#This Row],[Other_Attendances]]</f>
        <v>20612</v>
      </c>
      <c r="P1295">
        <f>MATCH(LEFT(A1295,FIND("-",A1295)-1),{"April","May","June","July","August","September","October","November","December","January","February","March"},0)</f>
        <v>7</v>
      </c>
      <c r="Q1295" s="3">
        <f t="shared" si="40"/>
        <v>1.6612579199505487E-2</v>
      </c>
      <c r="R1295" t="str">
        <f t="shared" si="41"/>
        <v>October</v>
      </c>
    </row>
    <row r="1296" spans="1:18" x14ac:dyDescent="0.35">
      <c r="A1296" t="s">
        <v>438</v>
      </c>
      <c r="B1296" t="s">
        <v>50</v>
      </c>
      <c r="C1296" t="s">
        <v>15</v>
      </c>
      <c r="D1296" t="s">
        <v>51</v>
      </c>
      <c r="E1296">
        <v>11792</v>
      </c>
      <c r="F1296">
        <v>3883</v>
      </c>
      <c r="G1296">
        <v>3066</v>
      </c>
      <c r="H1296">
        <v>9</v>
      </c>
      <c r="I1296">
        <v>713</v>
      </c>
      <c r="J1296">
        <v>112</v>
      </c>
      <c r="K1296" s="1">
        <v>45931</v>
      </c>
      <c r="L1296" t="s">
        <v>439</v>
      </c>
      <c r="M1296" t="s">
        <v>435</v>
      </c>
      <c r="N1296" s="2">
        <f>IFERROR(NHS_A_E[[#This Row],[T1_Over4hrs]]/NHS_A_E[[#This Row],[T1_Attendances]], 0)</f>
        <v>0.2600067842605156</v>
      </c>
      <c r="O1296">
        <f>NHS_A_E[[#This Row],[T1_Attendances]]+NHS_A_E[[#This Row],[Other_Attendances]]</f>
        <v>15675</v>
      </c>
      <c r="P1296">
        <f>MATCH(LEFT(A1296,FIND("-",A1296)-1),{"April","May","June","July","August","September","October","November","December","January","February","March"},0)</f>
        <v>7</v>
      </c>
      <c r="Q1296" s="3">
        <f t="shared" si="40"/>
        <v>9.497964721845319E-3</v>
      </c>
      <c r="R1296" t="str">
        <f t="shared" si="41"/>
        <v>October</v>
      </c>
    </row>
    <row r="1297" spans="1:18" x14ac:dyDescent="0.35">
      <c r="A1297" t="s">
        <v>438</v>
      </c>
      <c r="B1297" t="s">
        <v>56</v>
      </c>
      <c r="C1297" t="s">
        <v>20</v>
      </c>
      <c r="D1297" t="s">
        <v>57</v>
      </c>
      <c r="E1297">
        <v>4719</v>
      </c>
      <c r="F1297">
        <v>1568</v>
      </c>
      <c r="G1297">
        <v>2093</v>
      </c>
      <c r="H1297">
        <v>0</v>
      </c>
      <c r="I1297">
        <v>464</v>
      </c>
      <c r="J1297">
        <v>80</v>
      </c>
      <c r="K1297" s="1">
        <v>45931</v>
      </c>
      <c r="L1297" t="s">
        <v>439</v>
      </c>
      <c r="M1297" t="s">
        <v>435</v>
      </c>
      <c r="N1297" s="2">
        <f>IFERROR(NHS_A_E[[#This Row],[T1_Over4hrs]]/NHS_A_E[[#This Row],[T1_Attendances]], 0)</f>
        <v>0.44352617079889806</v>
      </c>
      <c r="O1297">
        <f>NHS_A_E[[#This Row],[T1_Attendances]]+NHS_A_E[[#This Row],[Other_Attendances]]</f>
        <v>6287</v>
      </c>
      <c r="P1297">
        <f>MATCH(LEFT(A1297,FIND("-",A1297)-1),{"April","May","June","July","August","September","October","November","December","January","February","March"},0)</f>
        <v>7</v>
      </c>
      <c r="Q1297" s="3">
        <f t="shared" si="40"/>
        <v>1.6952744225471498E-2</v>
      </c>
      <c r="R1297" t="str">
        <f t="shared" si="41"/>
        <v>October</v>
      </c>
    </row>
    <row r="1298" spans="1:18" x14ac:dyDescent="0.35">
      <c r="A1298" t="s">
        <v>438</v>
      </c>
      <c r="B1298" t="s">
        <v>58</v>
      </c>
      <c r="C1298" t="s">
        <v>40</v>
      </c>
      <c r="D1298" t="s">
        <v>59</v>
      </c>
      <c r="E1298">
        <v>5419</v>
      </c>
      <c r="F1298">
        <v>0</v>
      </c>
      <c r="G1298">
        <v>1065</v>
      </c>
      <c r="H1298">
        <v>0</v>
      </c>
      <c r="I1298">
        <v>10</v>
      </c>
      <c r="J1298">
        <v>2</v>
      </c>
      <c r="K1298" s="1">
        <v>45931</v>
      </c>
      <c r="L1298" t="s">
        <v>439</v>
      </c>
      <c r="M1298" t="s">
        <v>435</v>
      </c>
      <c r="N1298" s="2">
        <f>IFERROR(NHS_A_E[[#This Row],[T1_Over4hrs]]/NHS_A_E[[#This Row],[T1_Attendances]], 0)</f>
        <v>0.19653072522605647</v>
      </c>
      <c r="O1298">
        <f>NHS_A_E[[#This Row],[T1_Attendances]]+NHS_A_E[[#This Row],[Other_Attendances]]</f>
        <v>5419</v>
      </c>
      <c r="P1298">
        <f>MATCH(LEFT(A1298,FIND("-",A1298)-1),{"April","May","June","July","August","September","October","November","December","January","February","March"},0)</f>
        <v>7</v>
      </c>
      <c r="Q1298" s="3">
        <f t="shared" si="40"/>
        <v>3.6907178446207787E-4</v>
      </c>
      <c r="R1298" t="str">
        <f t="shared" si="41"/>
        <v>October</v>
      </c>
    </row>
    <row r="1299" spans="1:18" x14ac:dyDescent="0.35">
      <c r="A1299" t="s">
        <v>438</v>
      </c>
      <c r="B1299" t="s">
        <v>171</v>
      </c>
      <c r="C1299" t="s">
        <v>35</v>
      </c>
      <c r="D1299" t="s">
        <v>172</v>
      </c>
      <c r="E1299">
        <v>11208</v>
      </c>
      <c r="F1299">
        <v>2251</v>
      </c>
      <c r="G1299">
        <v>3363</v>
      </c>
      <c r="H1299">
        <v>199</v>
      </c>
      <c r="I1299">
        <v>908</v>
      </c>
      <c r="J1299">
        <v>890</v>
      </c>
      <c r="K1299" s="1">
        <v>45931</v>
      </c>
      <c r="L1299" t="s">
        <v>439</v>
      </c>
      <c r="M1299" t="s">
        <v>435</v>
      </c>
      <c r="N1299" s="2">
        <f>IFERROR(NHS_A_E[[#This Row],[T1_Over4hrs]]/NHS_A_E[[#This Row],[T1_Attendances]], 0)</f>
        <v>0.30005353319057815</v>
      </c>
      <c r="O1299">
        <f>NHS_A_E[[#This Row],[T1_Attendances]]+NHS_A_E[[#This Row],[Other_Attendances]]</f>
        <v>13459</v>
      </c>
      <c r="P1299">
        <f>MATCH(LEFT(A1299,FIND("-",A1299)-1),{"April","May","June","July","August","September","October","November","December","January","February","March"},0)</f>
        <v>7</v>
      </c>
      <c r="Q1299" s="3">
        <f t="shared" si="40"/>
        <v>7.9407566024268378E-2</v>
      </c>
      <c r="R1299" t="str">
        <f t="shared" si="41"/>
        <v>October</v>
      </c>
    </row>
    <row r="1300" spans="1:18" x14ac:dyDescent="0.35">
      <c r="A1300" t="s">
        <v>438</v>
      </c>
      <c r="B1300" t="s">
        <v>313</v>
      </c>
      <c r="C1300" t="s">
        <v>20</v>
      </c>
      <c r="D1300" t="s">
        <v>314</v>
      </c>
      <c r="E1300">
        <v>0</v>
      </c>
      <c r="F1300">
        <v>0</v>
      </c>
      <c r="G1300">
        <v>0</v>
      </c>
      <c r="H1300">
        <v>0</v>
      </c>
      <c r="I1300">
        <v>0</v>
      </c>
      <c r="J1300">
        <v>0</v>
      </c>
      <c r="K1300" s="1">
        <v>45931</v>
      </c>
      <c r="L1300" t="s">
        <v>439</v>
      </c>
      <c r="M1300" t="s">
        <v>435</v>
      </c>
      <c r="N1300" s="2">
        <f>IFERROR(NHS_A_E[[#This Row],[T1_Over4hrs]]/NHS_A_E[[#This Row],[T1_Attendances]], 0)</f>
        <v>0</v>
      </c>
      <c r="O1300">
        <f>NHS_A_E[[#This Row],[T1_Attendances]]+NHS_A_E[[#This Row],[Other_Attendances]]</f>
        <v>0</v>
      </c>
      <c r="P1300">
        <f>MATCH(LEFT(A1300,FIND("-",A1300)-1),{"April","May","June","July","August","September","October","November","December","January","February","March"},0)</f>
        <v>7</v>
      </c>
      <c r="Q1300" s="3">
        <f t="shared" si="40"/>
        <v>0</v>
      </c>
      <c r="R1300" t="str">
        <f t="shared" si="41"/>
        <v>October</v>
      </c>
    </row>
    <row r="1301" spans="1:18" x14ac:dyDescent="0.35">
      <c r="A1301" t="s">
        <v>438</v>
      </c>
      <c r="B1301" t="s">
        <v>87</v>
      </c>
      <c r="C1301" t="s">
        <v>23</v>
      </c>
      <c r="D1301" t="s">
        <v>88</v>
      </c>
      <c r="E1301">
        <v>27691</v>
      </c>
      <c r="F1301">
        <v>7669</v>
      </c>
      <c r="G1301">
        <v>9186</v>
      </c>
      <c r="H1301">
        <v>130</v>
      </c>
      <c r="I1301">
        <v>2393</v>
      </c>
      <c r="J1301">
        <v>610</v>
      </c>
      <c r="K1301" s="1">
        <v>45931</v>
      </c>
      <c r="L1301" t="s">
        <v>439</v>
      </c>
      <c r="M1301" t="s">
        <v>435</v>
      </c>
      <c r="N1301" s="2">
        <f>IFERROR(NHS_A_E[[#This Row],[T1_Over4hrs]]/NHS_A_E[[#This Row],[T1_Attendances]], 0)</f>
        <v>0.33173233180455741</v>
      </c>
      <c r="O1301">
        <f>NHS_A_E[[#This Row],[T1_Attendances]]+NHS_A_E[[#This Row],[Other_Attendances]]</f>
        <v>35360</v>
      </c>
      <c r="P1301">
        <f>MATCH(LEFT(A1301,FIND("-",A1301)-1),{"April","May","June","July","August","September","October","November","December","January","February","March"},0)</f>
        <v>7</v>
      </c>
      <c r="Q1301" s="3">
        <f t="shared" si="40"/>
        <v>2.2028818027517966E-2</v>
      </c>
      <c r="R1301" t="str">
        <f t="shared" si="41"/>
        <v>October</v>
      </c>
    </row>
    <row r="1302" spans="1:18" x14ac:dyDescent="0.35">
      <c r="A1302" t="s">
        <v>438</v>
      </c>
      <c r="B1302" t="s">
        <v>135</v>
      </c>
      <c r="C1302" t="s">
        <v>40</v>
      </c>
      <c r="D1302" t="s">
        <v>136</v>
      </c>
      <c r="E1302">
        <v>0</v>
      </c>
      <c r="F1302">
        <v>0</v>
      </c>
      <c r="G1302">
        <v>0</v>
      </c>
      <c r="H1302">
        <v>0</v>
      </c>
      <c r="I1302">
        <v>0</v>
      </c>
      <c r="J1302">
        <v>0</v>
      </c>
      <c r="K1302" s="1">
        <v>45931</v>
      </c>
      <c r="L1302" t="s">
        <v>439</v>
      </c>
      <c r="M1302" t="s">
        <v>435</v>
      </c>
      <c r="N1302" s="2">
        <f>IFERROR(NHS_A_E[[#This Row],[T1_Over4hrs]]/NHS_A_E[[#This Row],[T1_Attendances]], 0)</f>
        <v>0</v>
      </c>
      <c r="O1302">
        <f>NHS_A_E[[#This Row],[T1_Attendances]]+NHS_A_E[[#This Row],[Other_Attendances]]</f>
        <v>0</v>
      </c>
      <c r="P1302">
        <f>MATCH(LEFT(A1302,FIND("-",A1302)-1),{"April","May","June","July","August","September","October","November","December","January","February","March"},0)</f>
        <v>7</v>
      </c>
      <c r="Q1302" s="3">
        <f t="shared" si="40"/>
        <v>0</v>
      </c>
      <c r="R1302" t="str">
        <f t="shared" si="41"/>
        <v>October</v>
      </c>
    </row>
    <row r="1303" spans="1:18" x14ac:dyDescent="0.35">
      <c r="A1303" t="s">
        <v>438</v>
      </c>
      <c r="B1303" t="s">
        <v>347</v>
      </c>
      <c r="C1303" t="s">
        <v>63</v>
      </c>
      <c r="D1303" t="s">
        <v>348</v>
      </c>
      <c r="E1303">
        <v>6305</v>
      </c>
      <c r="F1303">
        <v>0</v>
      </c>
      <c r="G1303">
        <v>2412</v>
      </c>
      <c r="H1303">
        <v>0</v>
      </c>
      <c r="I1303">
        <v>517</v>
      </c>
      <c r="J1303">
        <v>139</v>
      </c>
      <c r="K1303" s="1">
        <v>45931</v>
      </c>
      <c r="L1303" t="s">
        <v>439</v>
      </c>
      <c r="M1303" t="s">
        <v>435</v>
      </c>
      <c r="N1303" s="2">
        <f>IFERROR(NHS_A_E[[#This Row],[T1_Over4hrs]]/NHS_A_E[[#This Row],[T1_Attendances]], 0)</f>
        <v>0.3825535289452815</v>
      </c>
      <c r="O1303">
        <f>NHS_A_E[[#This Row],[T1_Attendances]]+NHS_A_E[[#This Row],[Other_Attendances]]</f>
        <v>6305</v>
      </c>
      <c r="P1303">
        <f>MATCH(LEFT(A1303,FIND("-",A1303)-1),{"April","May","June","July","August","September","October","November","December","January","February","March"},0)</f>
        <v>7</v>
      </c>
      <c r="Q1303" s="3">
        <f t="shared" si="40"/>
        <v>2.2045995241871532E-2</v>
      </c>
      <c r="R1303" t="str">
        <f t="shared" si="41"/>
        <v>October</v>
      </c>
    </row>
    <row r="1304" spans="1:18" x14ac:dyDescent="0.35">
      <c r="A1304" t="s">
        <v>438</v>
      </c>
      <c r="B1304" t="s">
        <v>231</v>
      </c>
      <c r="C1304" t="s">
        <v>63</v>
      </c>
      <c r="D1304" t="s">
        <v>232</v>
      </c>
      <c r="E1304">
        <v>9681</v>
      </c>
      <c r="F1304">
        <v>0</v>
      </c>
      <c r="G1304">
        <v>3103</v>
      </c>
      <c r="H1304">
        <v>0</v>
      </c>
      <c r="I1304">
        <v>422</v>
      </c>
      <c r="J1304">
        <v>0</v>
      </c>
      <c r="K1304" s="1">
        <v>45931</v>
      </c>
      <c r="L1304" t="s">
        <v>439</v>
      </c>
      <c r="M1304" t="s">
        <v>435</v>
      </c>
      <c r="N1304" s="2">
        <f>IFERROR(NHS_A_E[[#This Row],[T1_Over4hrs]]/NHS_A_E[[#This Row],[T1_Attendances]], 0)</f>
        <v>0.32052473917983682</v>
      </c>
      <c r="O1304">
        <f>NHS_A_E[[#This Row],[T1_Attendances]]+NHS_A_E[[#This Row],[Other_Attendances]]</f>
        <v>9681</v>
      </c>
      <c r="P1304">
        <f>MATCH(LEFT(A1304,FIND("-",A1304)-1),{"April","May","June","July","August","September","October","November","December","January","February","March"},0)</f>
        <v>7</v>
      </c>
      <c r="Q1304" s="3">
        <f t="shared" si="40"/>
        <v>0</v>
      </c>
      <c r="R1304" t="str">
        <f t="shared" si="41"/>
        <v>October</v>
      </c>
    </row>
    <row r="1305" spans="1:18" x14ac:dyDescent="0.35">
      <c r="A1305" t="s">
        <v>438</v>
      </c>
      <c r="B1305" t="s">
        <v>54</v>
      </c>
      <c r="C1305" t="s">
        <v>15</v>
      </c>
      <c r="D1305" t="s">
        <v>55</v>
      </c>
      <c r="E1305">
        <v>0</v>
      </c>
      <c r="F1305">
        <v>4218</v>
      </c>
      <c r="G1305">
        <v>0</v>
      </c>
      <c r="H1305">
        <v>235</v>
      </c>
      <c r="I1305">
        <v>0</v>
      </c>
      <c r="J1305">
        <v>0</v>
      </c>
      <c r="K1305" s="1">
        <v>45931</v>
      </c>
      <c r="L1305" t="s">
        <v>439</v>
      </c>
      <c r="M1305" t="s">
        <v>435</v>
      </c>
      <c r="N1305" s="2">
        <f>IFERROR(NHS_A_E[[#This Row],[T1_Over4hrs]]/NHS_A_E[[#This Row],[T1_Attendances]], 0)</f>
        <v>0</v>
      </c>
      <c r="O1305">
        <f>NHS_A_E[[#This Row],[T1_Attendances]]+NHS_A_E[[#This Row],[Other_Attendances]]</f>
        <v>4218</v>
      </c>
      <c r="P1305">
        <f>MATCH(LEFT(A1305,FIND("-",A1305)-1),{"April","May","June","July","August","September","October","November","December","January","February","March"},0)</f>
        <v>7</v>
      </c>
      <c r="Q1305" s="3">
        <f t="shared" si="40"/>
        <v>0</v>
      </c>
      <c r="R1305" t="str">
        <f t="shared" si="41"/>
        <v>October</v>
      </c>
    </row>
    <row r="1306" spans="1:18" x14ac:dyDescent="0.35">
      <c r="A1306" t="s">
        <v>438</v>
      </c>
      <c r="B1306" t="s">
        <v>175</v>
      </c>
      <c r="C1306" t="s">
        <v>63</v>
      </c>
      <c r="D1306" t="s">
        <v>176</v>
      </c>
      <c r="E1306">
        <v>4983</v>
      </c>
      <c r="F1306">
        <v>11225</v>
      </c>
      <c r="G1306">
        <v>2889</v>
      </c>
      <c r="H1306">
        <v>28</v>
      </c>
      <c r="I1306">
        <v>286</v>
      </c>
      <c r="J1306">
        <v>47</v>
      </c>
      <c r="K1306" s="1">
        <v>45931</v>
      </c>
      <c r="L1306" t="s">
        <v>439</v>
      </c>
      <c r="M1306" t="s">
        <v>435</v>
      </c>
      <c r="N1306" s="2">
        <f>IFERROR(NHS_A_E[[#This Row],[T1_Over4hrs]]/NHS_A_E[[#This Row],[T1_Attendances]], 0)</f>
        <v>0.57977122215532817</v>
      </c>
      <c r="O1306">
        <f>NHS_A_E[[#This Row],[T1_Attendances]]+NHS_A_E[[#This Row],[Other_Attendances]]</f>
        <v>16208</v>
      </c>
      <c r="P1306">
        <f>MATCH(LEFT(A1306,FIND("-",A1306)-1),{"April","May","June","July","August","September","October","November","December","January","February","March"},0)</f>
        <v>7</v>
      </c>
      <c r="Q1306" s="3">
        <f t="shared" si="40"/>
        <v>9.4320690347180422E-3</v>
      </c>
      <c r="R1306" t="str">
        <f t="shared" si="41"/>
        <v>October</v>
      </c>
    </row>
    <row r="1307" spans="1:18" x14ac:dyDescent="0.35">
      <c r="A1307" t="s">
        <v>438</v>
      </c>
      <c r="B1307" t="s">
        <v>237</v>
      </c>
      <c r="C1307" t="s">
        <v>30</v>
      </c>
      <c r="D1307" t="s">
        <v>238</v>
      </c>
      <c r="E1307">
        <v>14603</v>
      </c>
      <c r="F1307">
        <v>11378</v>
      </c>
      <c r="G1307">
        <v>4992</v>
      </c>
      <c r="H1307">
        <v>618</v>
      </c>
      <c r="I1307">
        <v>271</v>
      </c>
      <c r="J1307">
        <v>1380</v>
      </c>
      <c r="K1307" s="1">
        <v>45931</v>
      </c>
      <c r="L1307" t="s">
        <v>439</v>
      </c>
      <c r="M1307" t="s">
        <v>435</v>
      </c>
      <c r="N1307" s="2">
        <f>IFERROR(NHS_A_E[[#This Row],[T1_Over4hrs]]/NHS_A_E[[#This Row],[T1_Attendances]], 0)</f>
        <v>0.34184756556871876</v>
      </c>
      <c r="O1307">
        <f>NHS_A_E[[#This Row],[T1_Attendances]]+NHS_A_E[[#This Row],[Other_Attendances]]</f>
        <v>25981</v>
      </c>
      <c r="P1307">
        <f>MATCH(LEFT(A1307,FIND("-",A1307)-1),{"April","May","June","July","August","September","October","November","December","January","February","March"},0)</f>
        <v>7</v>
      </c>
      <c r="Q1307" s="3">
        <f t="shared" si="40"/>
        <v>9.4501129904814074E-2</v>
      </c>
      <c r="R1307" t="str">
        <f t="shared" si="41"/>
        <v>October</v>
      </c>
    </row>
    <row r="1308" spans="1:18" x14ac:dyDescent="0.35">
      <c r="A1308" t="s">
        <v>438</v>
      </c>
      <c r="B1308" t="s">
        <v>325</v>
      </c>
      <c r="C1308" t="s">
        <v>40</v>
      </c>
      <c r="D1308" t="s">
        <v>326</v>
      </c>
      <c r="E1308">
        <v>0</v>
      </c>
      <c r="F1308">
        <v>8124</v>
      </c>
      <c r="G1308">
        <v>0</v>
      </c>
      <c r="H1308">
        <v>121</v>
      </c>
      <c r="I1308">
        <v>0</v>
      </c>
      <c r="J1308">
        <v>0</v>
      </c>
      <c r="K1308" s="1">
        <v>45931</v>
      </c>
      <c r="L1308" t="s">
        <v>439</v>
      </c>
      <c r="M1308" t="s">
        <v>435</v>
      </c>
      <c r="N1308" s="2">
        <f>IFERROR(NHS_A_E[[#This Row],[T1_Over4hrs]]/NHS_A_E[[#This Row],[T1_Attendances]], 0)</f>
        <v>0</v>
      </c>
      <c r="O1308">
        <f>NHS_A_E[[#This Row],[T1_Attendances]]+NHS_A_E[[#This Row],[Other_Attendances]]</f>
        <v>8124</v>
      </c>
      <c r="P1308">
        <f>MATCH(LEFT(A1308,FIND("-",A1308)-1),{"April","May","June","July","August","September","October","November","December","January","February","March"},0)</f>
        <v>7</v>
      </c>
      <c r="Q1308" s="3">
        <f t="shared" si="40"/>
        <v>0</v>
      </c>
      <c r="R1308" t="str">
        <f t="shared" si="41"/>
        <v>October</v>
      </c>
    </row>
    <row r="1309" spans="1:18" x14ac:dyDescent="0.35">
      <c r="A1309" t="s">
        <v>438</v>
      </c>
      <c r="B1309" t="s">
        <v>327</v>
      </c>
      <c r="C1309" t="s">
        <v>40</v>
      </c>
      <c r="D1309" t="s">
        <v>328</v>
      </c>
      <c r="E1309">
        <v>0</v>
      </c>
      <c r="F1309">
        <v>7561</v>
      </c>
      <c r="G1309">
        <v>0</v>
      </c>
      <c r="H1309">
        <v>288</v>
      </c>
      <c r="I1309">
        <v>0</v>
      </c>
      <c r="J1309">
        <v>0</v>
      </c>
      <c r="K1309" s="1">
        <v>45931</v>
      </c>
      <c r="L1309" t="s">
        <v>439</v>
      </c>
      <c r="M1309" t="s">
        <v>435</v>
      </c>
      <c r="N1309" s="2">
        <f>IFERROR(NHS_A_E[[#This Row],[T1_Over4hrs]]/NHS_A_E[[#This Row],[T1_Attendances]], 0)</f>
        <v>0</v>
      </c>
      <c r="O1309">
        <f>NHS_A_E[[#This Row],[T1_Attendances]]+NHS_A_E[[#This Row],[Other_Attendances]]</f>
        <v>7561</v>
      </c>
      <c r="P1309">
        <f>MATCH(LEFT(A1309,FIND("-",A1309)-1),{"April","May","June","July","August","September","October","November","December","January","February","March"},0)</f>
        <v>7</v>
      </c>
      <c r="Q1309" s="3">
        <f t="shared" si="40"/>
        <v>0</v>
      </c>
      <c r="R1309" t="str">
        <f t="shared" si="41"/>
        <v>October</v>
      </c>
    </row>
    <row r="1310" spans="1:18" x14ac:dyDescent="0.35">
      <c r="A1310" t="s">
        <v>438</v>
      </c>
      <c r="B1310" t="s">
        <v>241</v>
      </c>
      <c r="C1310" t="s">
        <v>40</v>
      </c>
      <c r="D1310" t="s">
        <v>242</v>
      </c>
      <c r="E1310">
        <v>0</v>
      </c>
      <c r="F1310">
        <v>0</v>
      </c>
      <c r="G1310">
        <v>0</v>
      </c>
      <c r="H1310">
        <v>0</v>
      </c>
      <c r="I1310">
        <v>0</v>
      </c>
      <c r="J1310">
        <v>0</v>
      </c>
      <c r="K1310" s="1">
        <v>45931</v>
      </c>
      <c r="L1310" t="s">
        <v>439</v>
      </c>
      <c r="M1310" t="s">
        <v>435</v>
      </c>
      <c r="N1310" s="2">
        <f>IFERROR(NHS_A_E[[#This Row],[T1_Over4hrs]]/NHS_A_E[[#This Row],[T1_Attendances]], 0)</f>
        <v>0</v>
      </c>
      <c r="O1310">
        <f>NHS_A_E[[#This Row],[T1_Attendances]]+NHS_A_E[[#This Row],[Other_Attendances]]</f>
        <v>0</v>
      </c>
      <c r="P1310">
        <f>MATCH(LEFT(A1310,FIND("-",A1310)-1),{"April","May","June","July","August","September","October","November","December","January","February","March"},0)</f>
        <v>7</v>
      </c>
      <c r="Q1310" s="3">
        <f t="shared" si="40"/>
        <v>0</v>
      </c>
      <c r="R1310" t="str">
        <f t="shared" si="41"/>
        <v>October</v>
      </c>
    </row>
    <row r="1311" spans="1:18" x14ac:dyDescent="0.35">
      <c r="A1311" t="s">
        <v>438</v>
      </c>
      <c r="B1311" t="s">
        <v>381</v>
      </c>
      <c r="C1311" t="s">
        <v>40</v>
      </c>
      <c r="D1311" t="s">
        <v>382</v>
      </c>
      <c r="E1311">
        <v>0</v>
      </c>
      <c r="F1311">
        <v>412</v>
      </c>
      <c r="G1311">
        <v>0</v>
      </c>
      <c r="H1311">
        <v>0</v>
      </c>
      <c r="I1311">
        <v>0</v>
      </c>
      <c r="J1311">
        <v>0</v>
      </c>
      <c r="K1311" s="1">
        <v>45931</v>
      </c>
      <c r="L1311" t="s">
        <v>439</v>
      </c>
      <c r="M1311" t="s">
        <v>435</v>
      </c>
      <c r="N1311" s="2">
        <f>IFERROR(NHS_A_E[[#This Row],[T1_Over4hrs]]/NHS_A_E[[#This Row],[T1_Attendances]], 0)</f>
        <v>0</v>
      </c>
      <c r="O1311">
        <f>NHS_A_E[[#This Row],[T1_Attendances]]+NHS_A_E[[#This Row],[Other_Attendances]]</f>
        <v>412</v>
      </c>
      <c r="P1311">
        <f>MATCH(LEFT(A1311,FIND("-",A1311)-1),{"April","May","June","July","August","September","October","November","December","January","February","March"},0)</f>
        <v>7</v>
      </c>
      <c r="Q1311" s="3">
        <f t="shared" si="40"/>
        <v>0</v>
      </c>
      <c r="R1311" t="str">
        <f t="shared" si="41"/>
        <v>October</v>
      </c>
    </row>
    <row r="1312" spans="1:18" x14ac:dyDescent="0.35">
      <c r="A1312" t="s">
        <v>438</v>
      </c>
      <c r="B1312" t="s">
        <v>335</v>
      </c>
      <c r="C1312" t="s">
        <v>63</v>
      </c>
      <c r="D1312" t="s">
        <v>336</v>
      </c>
      <c r="E1312">
        <v>11600</v>
      </c>
      <c r="F1312">
        <v>5852</v>
      </c>
      <c r="G1312">
        <v>5505</v>
      </c>
      <c r="H1312">
        <v>233</v>
      </c>
      <c r="I1312">
        <v>865</v>
      </c>
      <c r="J1312">
        <v>2</v>
      </c>
      <c r="K1312" s="1">
        <v>45931</v>
      </c>
      <c r="L1312" t="s">
        <v>439</v>
      </c>
      <c r="M1312" t="s">
        <v>435</v>
      </c>
      <c r="N1312" s="2">
        <f>IFERROR(NHS_A_E[[#This Row],[T1_Over4hrs]]/NHS_A_E[[#This Row],[T1_Attendances]], 0)</f>
        <v>0.47456896551724137</v>
      </c>
      <c r="O1312">
        <f>NHS_A_E[[#This Row],[T1_Attendances]]+NHS_A_E[[#This Row],[Other_Attendances]]</f>
        <v>17452</v>
      </c>
      <c r="P1312">
        <f>MATCH(LEFT(A1312,FIND("-",A1312)-1),{"April","May","June","July","August","September","October","November","December","January","February","March"},0)</f>
        <v>7</v>
      </c>
      <c r="Q1312" s="3">
        <f t="shared" si="40"/>
        <v>1.7241379310344826E-4</v>
      </c>
      <c r="R1312" t="str">
        <f t="shared" si="41"/>
        <v>October</v>
      </c>
    </row>
    <row r="1313" spans="1:18" x14ac:dyDescent="0.35">
      <c r="A1313" t="s">
        <v>438</v>
      </c>
      <c r="B1313" t="s">
        <v>383</v>
      </c>
      <c r="C1313" t="s">
        <v>20</v>
      </c>
      <c r="D1313" t="s">
        <v>384</v>
      </c>
      <c r="E1313">
        <v>0</v>
      </c>
      <c r="F1313">
        <v>88</v>
      </c>
      <c r="G1313">
        <v>0</v>
      </c>
      <c r="H1313">
        <v>0</v>
      </c>
      <c r="I1313">
        <v>0</v>
      </c>
      <c r="J1313">
        <v>0</v>
      </c>
      <c r="K1313" s="1">
        <v>45931</v>
      </c>
      <c r="L1313" t="s">
        <v>439</v>
      </c>
      <c r="M1313" t="s">
        <v>435</v>
      </c>
      <c r="N1313" s="2">
        <f>IFERROR(NHS_A_E[[#This Row],[T1_Over4hrs]]/NHS_A_E[[#This Row],[T1_Attendances]], 0)</f>
        <v>0</v>
      </c>
      <c r="O1313">
        <f>NHS_A_E[[#This Row],[T1_Attendances]]+NHS_A_E[[#This Row],[Other_Attendances]]</f>
        <v>88</v>
      </c>
      <c r="P1313">
        <f>MATCH(LEFT(A1313,FIND("-",A1313)-1),{"April","May","June","July","August","September","October","November","December","January","February","March"},0)</f>
        <v>7</v>
      </c>
      <c r="Q1313" s="3">
        <f t="shared" si="40"/>
        <v>0</v>
      </c>
      <c r="R1313" t="str">
        <f t="shared" si="41"/>
        <v>October</v>
      </c>
    </row>
    <row r="1314" spans="1:18" x14ac:dyDescent="0.35">
      <c r="A1314" t="s">
        <v>438</v>
      </c>
      <c r="B1314" t="s">
        <v>235</v>
      </c>
      <c r="C1314" t="s">
        <v>35</v>
      </c>
      <c r="D1314" t="s">
        <v>236</v>
      </c>
      <c r="E1314">
        <v>11547</v>
      </c>
      <c r="F1314">
        <v>0</v>
      </c>
      <c r="G1314">
        <v>2351</v>
      </c>
      <c r="H1314">
        <v>0</v>
      </c>
      <c r="I1314">
        <v>269</v>
      </c>
      <c r="J1314">
        <v>20</v>
      </c>
      <c r="K1314" s="1">
        <v>45931</v>
      </c>
      <c r="L1314" t="s">
        <v>439</v>
      </c>
      <c r="M1314" t="s">
        <v>435</v>
      </c>
      <c r="N1314" s="2">
        <f>IFERROR(NHS_A_E[[#This Row],[T1_Over4hrs]]/NHS_A_E[[#This Row],[T1_Attendances]], 0)</f>
        <v>0.20360266735948732</v>
      </c>
      <c r="O1314">
        <f>NHS_A_E[[#This Row],[T1_Attendances]]+NHS_A_E[[#This Row],[Other_Attendances]]</f>
        <v>11547</v>
      </c>
      <c r="P1314">
        <f>MATCH(LEFT(A1314,FIND("-",A1314)-1),{"April","May","June","July","August","September","October","November","December","January","February","March"},0)</f>
        <v>7</v>
      </c>
      <c r="Q1314" s="3">
        <f t="shared" si="40"/>
        <v>1.732051615138131E-3</v>
      </c>
      <c r="R1314" t="str">
        <f t="shared" si="41"/>
        <v>October</v>
      </c>
    </row>
    <row r="1315" spans="1:18" x14ac:dyDescent="0.35">
      <c r="A1315" t="s">
        <v>438</v>
      </c>
      <c r="B1315" t="s">
        <v>319</v>
      </c>
      <c r="C1315" t="s">
        <v>63</v>
      </c>
      <c r="D1315" t="s">
        <v>320</v>
      </c>
      <c r="E1315">
        <v>0</v>
      </c>
      <c r="F1315">
        <v>1118</v>
      </c>
      <c r="G1315">
        <v>0</v>
      </c>
      <c r="H1315">
        <v>3</v>
      </c>
      <c r="I1315">
        <v>0</v>
      </c>
      <c r="J1315">
        <v>0</v>
      </c>
      <c r="K1315" s="1">
        <v>45931</v>
      </c>
      <c r="L1315" t="s">
        <v>439</v>
      </c>
      <c r="M1315" t="s">
        <v>435</v>
      </c>
      <c r="N1315" s="2">
        <f>IFERROR(NHS_A_E[[#This Row],[T1_Over4hrs]]/NHS_A_E[[#This Row],[T1_Attendances]], 0)</f>
        <v>0</v>
      </c>
      <c r="O1315">
        <f>NHS_A_E[[#This Row],[T1_Attendances]]+NHS_A_E[[#This Row],[Other_Attendances]]</f>
        <v>1118</v>
      </c>
      <c r="P1315">
        <f>MATCH(LEFT(A1315,FIND("-",A1315)-1),{"April","May","June","July","August","September","October","November","December","January","February","March"},0)</f>
        <v>7</v>
      </c>
      <c r="Q1315" s="3">
        <f t="shared" si="40"/>
        <v>0</v>
      </c>
      <c r="R1315" t="str">
        <f t="shared" si="41"/>
        <v>October</v>
      </c>
    </row>
    <row r="1316" spans="1:18" x14ac:dyDescent="0.35">
      <c r="A1316" t="s">
        <v>438</v>
      </c>
      <c r="B1316" t="s">
        <v>193</v>
      </c>
      <c r="C1316" t="s">
        <v>63</v>
      </c>
      <c r="D1316" t="s">
        <v>194</v>
      </c>
      <c r="E1316">
        <v>0</v>
      </c>
      <c r="F1316">
        <v>0</v>
      </c>
      <c r="G1316">
        <v>0</v>
      </c>
      <c r="H1316">
        <v>0</v>
      </c>
      <c r="I1316">
        <v>0</v>
      </c>
      <c r="J1316">
        <v>0</v>
      </c>
      <c r="K1316" s="1">
        <v>45931</v>
      </c>
      <c r="L1316" t="s">
        <v>439</v>
      </c>
      <c r="M1316" t="s">
        <v>435</v>
      </c>
      <c r="N1316" s="2">
        <f>IFERROR(NHS_A_E[[#This Row],[T1_Over4hrs]]/NHS_A_E[[#This Row],[T1_Attendances]], 0)</f>
        <v>0</v>
      </c>
      <c r="O1316">
        <f>NHS_A_E[[#This Row],[T1_Attendances]]+NHS_A_E[[#This Row],[Other_Attendances]]</f>
        <v>0</v>
      </c>
      <c r="P1316">
        <f>MATCH(LEFT(A1316,FIND("-",A1316)-1),{"April","May","June","July","August","September","October","November","December","January","February","March"},0)</f>
        <v>7</v>
      </c>
      <c r="Q1316" s="3">
        <f t="shared" si="40"/>
        <v>0</v>
      </c>
      <c r="R1316" t="str">
        <f t="shared" si="41"/>
        <v>October</v>
      </c>
    </row>
    <row r="1317" spans="1:18" x14ac:dyDescent="0.35">
      <c r="A1317" t="s">
        <v>438</v>
      </c>
      <c r="B1317" t="s">
        <v>375</v>
      </c>
      <c r="C1317" t="s">
        <v>40</v>
      </c>
      <c r="D1317" t="s">
        <v>376</v>
      </c>
      <c r="E1317">
        <v>11927</v>
      </c>
      <c r="F1317">
        <v>9016</v>
      </c>
      <c r="G1317">
        <v>5468</v>
      </c>
      <c r="H1317">
        <v>114</v>
      </c>
      <c r="I1317">
        <v>768</v>
      </c>
      <c r="J1317">
        <v>380</v>
      </c>
      <c r="K1317" s="1">
        <v>45931</v>
      </c>
      <c r="L1317" t="s">
        <v>439</v>
      </c>
      <c r="M1317" t="s">
        <v>435</v>
      </c>
      <c r="N1317" s="2">
        <f>IFERROR(NHS_A_E[[#This Row],[T1_Over4hrs]]/NHS_A_E[[#This Row],[T1_Attendances]], 0)</f>
        <v>0.45845560492999077</v>
      </c>
      <c r="O1317">
        <f>NHS_A_E[[#This Row],[T1_Attendances]]+NHS_A_E[[#This Row],[Other_Attendances]]</f>
        <v>20943</v>
      </c>
      <c r="P1317">
        <f>MATCH(LEFT(A1317,FIND("-",A1317)-1),{"April","May","June","July","August","September","October","November","December","January","February","March"},0)</f>
        <v>7</v>
      </c>
      <c r="Q1317" s="3">
        <f t="shared" si="40"/>
        <v>3.1860484614739663E-2</v>
      </c>
      <c r="R1317" t="str">
        <f t="shared" si="41"/>
        <v>October</v>
      </c>
    </row>
    <row r="1318" spans="1:18" x14ac:dyDescent="0.35">
      <c r="A1318" t="s">
        <v>438</v>
      </c>
      <c r="B1318" t="s">
        <v>259</v>
      </c>
      <c r="C1318" t="s">
        <v>40</v>
      </c>
      <c r="D1318" t="s">
        <v>260</v>
      </c>
      <c r="E1318">
        <v>0</v>
      </c>
      <c r="F1318">
        <v>0</v>
      </c>
      <c r="G1318">
        <v>0</v>
      </c>
      <c r="H1318">
        <v>0</v>
      </c>
      <c r="I1318">
        <v>0</v>
      </c>
      <c r="J1318">
        <v>0</v>
      </c>
      <c r="K1318" s="1">
        <v>45931</v>
      </c>
      <c r="L1318" t="s">
        <v>439</v>
      </c>
      <c r="M1318" t="s">
        <v>435</v>
      </c>
      <c r="N1318" s="2">
        <f>IFERROR(NHS_A_E[[#This Row],[T1_Over4hrs]]/NHS_A_E[[#This Row],[T1_Attendances]], 0)</f>
        <v>0</v>
      </c>
      <c r="O1318">
        <f>NHS_A_E[[#This Row],[T1_Attendances]]+NHS_A_E[[#This Row],[Other_Attendances]]</f>
        <v>0</v>
      </c>
      <c r="P1318">
        <f>MATCH(LEFT(A1318,FIND("-",A1318)-1),{"April","May","June","July","August","September","October","November","December","January","February","March"},0)</f>
        <v>7</v>
      </c>
      <c r="Q1318" s="3">
        <f t="shared" si="40"/>
        <v>0</v>
      </c>
      <c r="R1318" t="str">
        <f t="shared" si="41"/>
        <v>October</v>
      </c>
    </row>
    <row r="1319" spans="1:18" x14ac:dyDescent="0.35">
      <c r="A1319" t="s">
        <v>438</v>
      </c>
      <c r="B1319" t="s">
        <v>389</v>
      </c>
      <c r="C1319" t="s">
        <v>20</v>
      </c>
      <c r="D1319" t="s">
        <v>390</v>
      </c>
      <c r="E1319">
        <v>4757</v>
      </c>
      <c r="F1319">
        <v>0</v>
      </c>
      <c r="G1319">
        <v>1564</v>
      </c>
      <c r="H1319">
        <v>0</v>
      </c>
      <c r="I1319">
        <v>192</v>
      </c>
      <c r="J1319">
        <v>80</v>
      </c>
      <c r="K1319" s="1">
        <v>45931</v>
      </c>
      <c r="L1319" t="s">
        <v>439</v>
      </c>
      <c r="M1319" t="s">
        <v>435</v>
      </c>
      <c r="N1319" s="2">
        <f>IFERROR(NHS_A_E[[#This Row],[T1_Over4hrs]]/NHS_A_E[[#This Row],[T1_Attendances]], 0)</f>
        <v>0.32877864200126128</v>
      </c>
      <c r="O1319">
        <f>NHS_A_E[[#This Row],[T1_Attendances]]+NHS_A_E[[#This Row],[Other_Attendances]]</f>
        <v>4757</v>
      </c>
      <c r="P1319">
        <f>MATCH(LEFT(A1319,FIND("-",A1319)-1),{"April","May","June","July","August","September","October","November","December","January","February","March"},0)</f>
        <v>7</v>
      </c>
      <c r="Q1319" s="3">
        <f t="shared" si="40"/>
        <v>1.681732184149674E-2</v>
      </c>
      <c r="R1319" t="str">
        <f t="shared" si="41"/>
        <v>October</v>
      </c>
    </row>
    <row r="1320" spans="1:18" x14ac:dyDescent="0.35">
      <c r="A1320" t="s">
        <v>438</v>
      </c>
      <c r="B1320" t="s">
        <v>29</v>
      </c>
      <c r="C1320" t="s">
        <v>30</v>
      </c>
      <c r="D1320" t="s">
        <v>31</v>
      </c>
      <c r="E1320">
        <v>17001</v>
      </c>
      <c r="F1320">
        <v>8706</v>
      </c>
      <c r="G1320">
        <v>8937</v>
      </c>
      <c r="H1320">
        <v>433</v>
      </c>
      <c r="I1320">
        <v>1439</v>
      </c>
      <c r="J1320">
        <v>962</v>
      </c>
      <c r="K1320" s="1">
        <v>45931</v>
      </c>
      <c r="L1320" t="s">
        <v>439</v>
      </c>
      <c r="M1320" t="s">
        <v>435</v>
      </c>
      <c r="N1320" s="2">
        <f>IFERROR(NHS_A_E[[#This Row],[T1_Over4hrs]]/NHS_A_E[[#This Row],[T1_Attendances]], 0)</f>
        <v>0.52567496029645311</v>
      </c>
      <c r="O1320">
        <f>NHS_A_E[[#This Row],[T1_Attendances]]+NHS_A_E[[#This Row],[Other_Attendances]]</f>
        <v>25707</v>
      </c>
      <c r="P1320">
        <f>MATCH(LEFT(A1320,FIND("-",A1320)-1),{"April","May","June","July","August","September","October","November","December","January","February","March"},0)</f>
        <v>7</v>
      </c>
      <c r="Q1320" s="3">
        <f t="shared" si="40"/>
        <v>5.6584906770189985E-2</v>
      </c>
      <c r="R1320" t="str">
        <f t="shared" si="41"/>
        <v>October</v>
      </c>
    </row>
    <row r="1321" spans="1:18" x14ac:dyDescent="0.35">
      <c r="A1321" t="s">
        <v>438</v>
      </c>
      <c r="B1321" t="s">
        <v>361</v>
      </c>
      <c r="C1321" t="s">
        <v>40</v>
      </c>
      <c r="D1321" t="s">
        <v>362</v>
      </c>
      <c r="E1321">
        <v>10327</v>
      </c>
      <c r="F1321">
        <v>8329</v>
      </c>
      <c r="G1321">
        <v>3898</v>
      </c>
      <c r="H1321">
        <v>110</v>
      </c>
      <c r="I1321">
        <v>559</v>
      </c>
      <c r="J1321">
        <v>695</v>
      </c>
      <c r="K1321" s="1">
        <v>45931</v>
      </c>
      <c r="L1321" t="s">
        <v>439</v>
      </c>
      <c r="M1321" t="s">
        <v>435</v>
      </c>
      <c r="N1321" s="2">
        <f>IFERROR(NHS_A_E[[#This Row],[T1_Over4hrs]]/NHS_A_E[[#This Row],[T1_Attendances]], 0)</f>
        <v>0.37745715115716083</v>
      </c>
      <c r="O1321">
        <f>NHS_A_E[[#This Row],[T1_Attendances]]+NHS_A_E[[#This Row],[Other_Attendances]]</f>
        <v>18656</v>
      </c>
      <c r="P1321">
        <f>MATCH(LEFT(A1321,FIND("-",A1321)-1),{"April","May","June","July","August","September","October","November","December","January","February","March"},0)</f>
        <v>7</v>
      </c>
      <c r="Q1321" s="3">
        <f t="shared" si="40"/>
        <v>6.7299312481843704E-2</v>
      </c>
      <c r="R1321" t="str">
        <f t="shared" si="41"/>
        <v>October</v>
      </c>
    </row>
    <row r="1322" spans="1:18" x14ac:dyDescent="0.35">
      <c r="A1322" t="s">
        <v>438</v>
      </c>
      <c r="B1322" t="s">
        <v>253</v>
      </c>
      <c r="C1322" t="s">
        <v>63</v>
      </c>
      <c r="D1322" t="s">
        <v>254</v>
      </c>
      <c r="E1322">
        <v>5933</v>
      </c>
      <c r="F1322">
        <v>4258</v>
      </c>
      <c r="G1322">
        <v>2653</v>
      </c>
      <c r="H1322">
        <v>26</v>
      </c>
      <c r="I1322">
        <v>886</v>
      </c>
      <c r="J1322">
        <v>21</v>
      </c>
      <c r="K1322" s="1">
        <v>45931</v>
      </c>
      <c r="L1322" t="s">
        <v>439</v>
      </c>
      <c r="M1322" t="s">
        <v>435</v>
      </c>
      <c r="N1322" s="2">
        <f>IFERROR(NHS_A_E[[#This Row],[T1_Over4hrs]]/NHS_A_E[[#This Row],[T1_Attendances]], 0)</f>
        <v>0.44715995280633741</v>
      </c>
      <c r="O1322">
        <f>NHS_A_E[[#This Row],[T1_Attendances]]+NHS_A_E[[#This Row],[Other_Attendances]]</f>
        <v>10191</v>
      </c>
      <c r="P1322">
        <f>MATCH(LEFT(A1322,FIND("-",A1322)-1),{"April","May","June","July","August","September","October","November","December","January","February","March"},0)</f>
        <v>7</v>
      </c>
      <c r="Q1322" s="3">
        <f t="shared" si="40"/>
        <v>3.5395246923984494E-3</v>
      </c>
      <c r="R1322" t="str">
        <f t="shared" si="41"/>
        <v>October</v>
      </c>
    </row>
    <row r="1323" spans="1:18" x14ac:dyDescent="0.35">
      <c r="A1323" t="s">
        <v>438</v>
      </c>
      <c r="B1323" t="s">
        <v>291</v>
      </c>
      <c r="C1323" t="s">
        <v>63</v>
      </c>
      <c r="D1323" t="s">
        <v>292</v>
      </c>
      <c r="E1323">
        <v>5321</v>
      </c>
      <c r="F1323">
        <v>1063</v>
      </c>
      <c r="G1323">
        <v>1651</v>
      </c>
      <c r="H1323">
        <v>2</v>
      </c>
      <c r="I1323">
        <v>135</v>
      </c>
      <c r="J1323">
        <v>6</v>
      </c>
      <c r="K1323" s="1">
        <v>45931</v>
      </c>
      <c r="L1323" t="s">
        <v>439</v>
      </c>
      <c r="M1323" t="s">
        <v>435</v>
      </c>
      <c r="N1323" s="2">
        <f>IFERROR(NHS_A_E[[#This Row],[T1_Over4hrs]]/NHS_A_E[[#This Row],[T1_Attendances]], 0)</f>
        <v>0.31028002255215187</v>
      </c>
      <c r="O1323">
        <f>NHS_A_E[[#This Row],[T1_Attendances]]+NHS_A_E[[#This Row],[Other_Attendances]]</f>
        <v>6384</v>
      </c>
      <c r="P1323">
        <f>MATCH(LEFT(A1323,FIND("-",A1323)-1),{"April","May","June","July","August","September","October","November","December","January","February","March"},0)</f>
        <v>7</v>
      </c>
      <c r="Q1323" s="3">
        <f t="shared" si="40"/>
        <v>1.1276075925577898E-3</v>
      </c>
      <c r="R1323" t="str">
        <f t="shared" si="41"/>
        <v>October</v>
      </c>
    </row>
    <row r="1324" spans="1:18" x14ac:dyDescent="0.35">
      <c r="A1324" t="s">
        <v>438</v>
      </c>
      <c r="B1324" t="s">
        <v>227</v>
      </c>
      <c r="C1324" t="s">
        <v>30</v>
      </c>
      <c r="D1324" t="s">
        <v>228</v>
      </c>
      <c r="E1324">
        <v>0</v>
      </c>
      <c r="F1324">
        <v>1009</v>
      </c>
      <c r="G1324">
        <v>0</v>
      </c>
      <c r="H1324">
        <v>0</v>
      </c>
      <c r="I1324">
        <v>0</v>
      </c>
      <c r="J1324">
        <v>0</v>
      </c>
      <c r="K1324" s="1">
        <v>45931</v>
      </c>
      <c r="L1324" t="s">
        <v>439</v>
      </c>
      <c r="M1324" t="s">
        <v>435</v>
      </c>
      <c r="N1324" s="2">
        <f>IFERROR(NHS_A_E[[#This Row],[T1_Over4hrs]]/NHS_A_E[[#This Row],[T1_Attendances]], 0)</f>
        <v>0</v>
      </c>
      <c r="O1324">
        <f>NHS_A_E[[#This Row],[T1_Attendances]]+NHS_A_E[[#This Row],[Other_Attendances]]</f>
        <v>1009</v>
      </c>
      <c r="P1324">
        <f>MATCH(LEFT(A1324,FIND("-",A1324)-1),{"April","May","June","July","August","September","October","November","December","January","February","March"},0)</f>
        <v>7</v>
      </c>
      <c r="Q1324" s="3">
        <f t="shared" si="40"/>
        <v>0</v>
      </c>
      <c r="R1324" t="str">
        <f t="shared" si="41"/>
        <v>October</v>
      </c>
    </row>
    <row r="1325" spans="1:18" x14ac:dyDescent="0.35">
      <c r="A1325" t="s">
        <v>438</v>
      </c>
      <c r="B1325" t="s">
        <v>397</v>
      </c>
      <c r="C1325" t="s">
        <v>63</v>
      </c>
      <c r="D1325" t="s">
        <v>398</v>
      </c>
      <c r="E1325">
        <v>0</v>
      </c>
      <c r="F1325">
        <v>436</v>
      </c>
      <c r="G1325">
        <v>0</v>
      </c>
      <c r="H1325">
        <v>0</v>
      </c>
      <c r="I1325">
        <v>0</v>
      </c>
      <c r="J1325">
        <v>0</v>
      </c>
      <c r="K1325" s="1">
        <v>45931</v>
      </c>
      <c r="L1325" t="s">
        <v>439</v>
      </c>
      <c r="M1325" t="s">
        <v>435</v>
      </c>
      <c r="N1325" s="2">
        <f>IFERROR(NHS_A_E[[#This Row],[T1_Over4hrs]]/NHS_A_E[[#This Row],[T1_Attendances]], 0)</f>
        <v>0</v>
      </c>
      <c r="O1325">
        <f>NHS_A_E[[#This Row],[T1_Attendances]]+NHS_A_E[[#This Row],[Other_Attendances]]</f>
        <v>436</v>
      </c>
      <c r="P1325">
        <f>MATCH(LEFT(A1325,FIND("-",A1325)-1),{"April","May","June","July","August","September","October","November","December","January","February","March"},0)</f>
        <v>7</v>
      </c>
      <c r="Q1325" s="3">
        <f t="shared" si="40"/>
        <v>0</v>
      </c>
      <c r="R1325" t="str">
        <f t="shared" si="41"/>
        <v>October</v>
      </c>
    </row>
    <row r="1326" spans="1:18" x14ac:dyDescent="0.35">
      <c r="A1326" t="s">
        <v>438</v>
      </c>
      <c r="B1326" t="s">
        <v>127</v>
      </c>
      <c r="C1326" t="s">
        <v>15</v>
      </c>
      <c r="D1326" t="s">
        <v>128</v>
      </c>
      <c r="E1326">
        <v>0</v>
      </c>
      <c r="F1326">
        <v>2161</v>
      </c>
      <c r="G1326">
        <v>0</v>
      </c>
      <c r="H1326">
        <v>0</v>
      </c>
      <c r="I1326">
        <v>0</v>
      </c>
      <c r="J1326">
        <v>0</v>
      </c>
      <c r="K1326" s="1">
        <v>45931</v>
      </c>
      <c r="L1326" t="s">
        <v>439</v>
      </c>
      <c r="M1326" t="s">
        <v>435</v>
      </c>
      <c r="N1326" s="2">
        <f>IFERROR(NHS_A_E[[#This Row],[T1_Over4hrs]]/NHS_A_E[[#This Row],[T1_Attendances]], 0)</f>
        <v>0</v>
      </c>
      <c r="O1326">
        <f>NHS_A_E[[#This Row],[T1_Attendances]]+NHS_A_E[[#This Row],[Other_Attendances]]</f>
        <v>2161</v>
      </c>
      <c r="P1326">
        <f>MATCH(LEFT(A1326,FIND("-",A1326)-1),{"April","May","June","July","August","September","October","November","December","January","February","March"},0)</f>
        <v>7</v>
      </c>
      <c r="Q1326" s="3">
        <f t="shared" si="40"/>
        <v>0</v>
      </c>
      <c r="R1326" t="str">
        <f t="shared" si="41"/>
        <v>October</v>
      </c>
    </row>
    <row r="1327" spans="1:18" x14ac:dyDescent="0.35">
      <c r="A1327" t="s">
        <v>438</v>
      </c>
      <c r="B1327" t="s">
        <v>289</v>
      </c>
      <c r="C1327" t="s">
        <v>30</v>
      </c>
      <c r="D1327" t="s">
        <v>290</v>
      </c>
      <c r="E1327">
        <v>0</v>
      </c>
      <c r="F1327">
        <v>0</v>
      </c>
      <c r="G1327">
        <v>0</v>
      </c>
      <c r="H1327">
        <v>0</v>
      </c>
      <c r="I1327">
        <v>0</v>
      </c>
      <c r="J1327">
        <v>0</v>
      </c>
      <c r="K1327" s="1">
        <v>45931</v>
      </c>
      <c r="L1327" t="s">
        <v>439</v>
      </c>
      <c r="M1327" t="s">
        <v>435</v>
      </c>
      <c r="N1327" s="2">
        <f>IFERROR(NHS_A_E[[#This Row],[T1_Over4hrs]]/NHS_A_E[[#This Row],[T1_Attendances]], 0)</f>
        <v>0</v>
      </c>
      <c r="O1327">
        <f>NHS_A_E[[#This Row],[T1_Attendances]]+NHS_A_E[[#This Row],[Other_Attendances]]</f>
        <v>0</v>
      </c>
      <c r="P1327">
        <f>MATCH(LEFT(A1327,FIND("-",A1327)-1),{"April","May","June","July","August","September","October","November","December","January","February","March"},0)</f>
        <v>7</v>
      </c>
      <c r="Q1327" s="3">
        <f t="shared" si="40"/>
        <v>0</v>
      </c>
      <c r="R1327" t="str">
        <f t="shared" si="41"/>
        <v>October</v>
      </c>
    </row>
    <row r="1328" spans="1:18" x14ac:dyDescent="0.35">
      <c r="A1328" t="s">
        <v>438</v>
      </c>
      <c r="B1328" t="s">
        <v>269</v>
      </c>
      <c r="C1328" t="s">
        <v>40</v>
      </c>
      <c r="D1328" t="s">
        <v>270</v>
      </c>
      <c r="E1328">
        <v>6138</v>
      </c>
      <c r="F1328">
        <v>127</v>
      </c>
      <c r="G1328">
        <v>2478</v>
      </c>
      <c r="H1328">
        <v>0</v>
      </c>
      <c r="I1328">
        <v>417</v>
      </c>
      <c r="J1328">
        <v>272</v>
      </c>
      <c r="K1328" s="1">
        <v>45931</v>
      </c>
      <c r="L1328" t="s">
        <v>439</v>
      </c>
      <c r="M1328" t="s">
        <v>435</v>
      </c>
      <c r="N1328" s="2">
        <f>IFERROR(NHS_A_E[[#This Row],[T1_Over4hrs]]/NHS_A_E[[#This Row],[T1_Attendances]], 0)</f>
        <v>0.40371456500488756</v>
      </c>
      <c r="O1328">
        <f>NHS_A_E[[#This Row],[T1_Attendances]]+NHS_A_E[[#This Row],[Other_Attendances]]</f>
        <v>6265</v>
      </c>
      <c r="P1328">
        <f>MATCH(LEFT(A1328,FIND("-",A1328)-1),{"April","May","June","July","August","September","October","November","December","January","February","March"},0)</f>
        <v>7</v>
      </c>
      <c r="Q1328" s="3">
        <f t="shared" si="40"/>
        <v>4.4314108830237862E-2</v>
      </c>
      <c r="R1328" t="str">
        <f t="shared" si="41"/>
        <v>October</v>
      </c>
    </row>
    <row r="1329" spans="1:18" x14ac:dyDescent="0.35">
      <c r="A1329" t="s">
        <v>438</v>
      </c>
      <c r="B1329" t="s">
        <v>267</v>
      </c>
      <c r="C1329" t="s">
        <v>15</v>
      </c>
      <c r="D1329" t="s">
        <v>268</v>
      </c>
      <c r="E1329">
        <v>0</v>
      </c>
      <c r="F1329">
        <v>6140</v>
      </c>
      <c r="G1329">
        <v>0</v>
      </c>
      <c r="H1329">
        <v>13</v>
      </c>
      <c r="I1329">
        <v>0</v>
      </c>
      <c r="J1329">
        <v>0</v>
      </c>
      <c r="K1329" s="1">
        <v>45931</v>
      </c>
      <c r="L1329" t="s">
        <v>439</v>
      </c>
      <c r="M1329" t="s">
        <v>435</v>
      </c>
      <c r="N1329" s="2">
        <f>IFERROR(NHS_A_E[[#This Row],[T1_Over4hrs]]/NHS_A_E[[#This Row],[T1_Attendances]], 0)</f>
        <v>0</v>
      </c>
      <c r="O1329">
        <f>NHS_A_E[[#This Row],[T1_Attendances]]+NHS_A_E[[#This Row],[Other_Attendances]]</f>
        <v>6140</v>
      </c>
      <c r="P1329">
        <f>MATCH(LEFT(A1329,FIND("-",A1329)-1),{"April","May","June","July","August","September","October","November","December","January","February","March"},0)</f>
        <v>7</v>
      </c>
      <c r="Q1329" s="3">
        <f t="shared" si="40"/>
        <v>0</v>
      </c>
      <c r="R1329" t="str">
        <f t="shared" si="41"/>
        <v>October</v>
      </c>
    </row>
    <row r="1330" spans="1:18" x14ac:dyDescent="0.35">
      <c r="A1330" t="s">
        <v>438</v>
      </c>
      <c r="B1330" t="s">
        <v>321</v>
      </c>
      <c r="C1330" t="s">
        <v>20</v>
      </c>
      <c r="D1330" t="s">
        <v>322</v>
      </c>
      <c r="E1330">
        <v>0</v>
      </c>
      <c r="F1330">
        <v>609</v>
      </c>
      <c r="G1330">
        <v>0</v>
      </c>
      <c r="H1330">
        <v>0</v>
      </c>
      <c r="I1330">
        <v>0</v>
      </c>
      <c r="J1330">
        <v>0</v>
      </c>
      <c r="K1330" s="1">
        <v>45931</v>
      </c>
      <c r="L1330" t="s">
        <v>439</v>
      </c>
      <c r="M1330" t="s">
        <v>435</v>
      </c>
      <c r="N1330" s="2">
        <f>IFERROR(NHS_A_E[[#This Row],[T1_Over4hrs]]/NHS_A_E[[#This Row],[T1_Attendances]], 0)</f>
        <v>0</v>
      </c>
      <c r="O1330">
        <f>NHS_A_E[[#This Row],[T1_Attendances]]+NHS_A_E[[#This Row],[Other_Attendances]]</f>
        <v>609</v>
      </c>
      <c r="P1330">
        <f>MATCH(LEFT(A1330,FIND("-",A1330)-1),{"April","May","June","July","August","September","October","November","December","January","February","March"},0)</f>
        <v>7</v>
      </c>
      <c r="Q1330" s="3">
        <f t="shared" si="40"/>
        <v>0</v>
      </c>
      <c r="R1330" t="str">
        <f t="shared" si="41"/>
        <v>October</v>
      </c>
    </row>
    <row r="1331" spans="1:18" x14ac:dyDescent="0.35">
      <c r="A1331" t="s">
        <v>438</v>
      </c>
      <c r="B1331" t="s">
        <v>283</v>
      </c>
      <c r="C1331" t="s">
        <v>15</v>
      </c>
      <c r="D1331" t="s">
        <v>284</v>
      </c>
      <c r="E1331">
        <v>0</v>
      </c>
      <c r="F1331">
        <v>2858</v>
      </c>
      <c r="G1331">
        <v>0</v>
      </c>
      <c r="H1331">
        <v>12</v>
      </c>
      <c r="I1331">
        <v>0</v>
      </c>
      <c r="J1331">
        <v>0</v>
      </c>
      <c r="K1331" s="1">
        <v>45931</v>
      </c>
      <c r="L1331" t="s">
        <v>439</v>
      </c>
      <c r="M1331" t="s">
        <v>435</v>
      </c>
      <c r="N1331" s="2">
        <f>IFERROR(NHS_A_E[[#This Row],[T1_Over4hrs]]/NHS_A_E[[#This Row],[T1_Attendances]], 0)</f>
        <v>0</v>
      </c>
      <c r="O1331">
        <f>NHS_A_E[[#This Row],[T1_Attendances]]+NHS_A_E[[#This Row],[Other_Attendances]]</f>
        <v>2858</v>
      </c>
      <c r="P1331">
        <f>MATCH(LEFT(A1331,FIND("-",A1331)-1),{"April","May","June","July","August","September","October","November","December","January","February","March"},0)</f>
        <v>7</v>
      </c>
      <c r="Q1331" s="3">
        <f t="shared" si="40"/>
        <v>0</v>
      </c>
      <c r="R1331" t="str">
        <f t="shared" si="41"/>
        <v>October</v>
      </c>
    </row>
    <row r="1332" spans="1:18" x14ac:dyDescent="0.35">
      <c r="A1332" t="s">
        <v>438</v>
      </c>
      <c r="B1332" t="s">
        <v>285</v>
      </c>
      <c r="C1332" t="s">
        <v>40</v>
      </c>
      <c r="D1332" t="s">
        <v>286</v>
      </c>
      <c r="E1332">
        <v>0</v>
      </c>
      <c r="F1332">
        <v>362</v>
      </c>
      <c r="G1332">
        <v>0</v>
      </c>
      <c r="H1332">
        <v>0</v>
      </c>
      <c r="I1332">
        <v>0</v>
      </c>
      <c r="J1332">
        <v>0</v>
      </c>
      <c r="K1332" s="1">
        <v>45931</v>
      </c>
      <c r="L1332" t="s">
        <v>439</v>
      </c>
      <c r="M1332" t="s">
        <v>435</v>
      </c>
      <c r="N1332" s="2">
        <f>IFERROR(NHS_A_E[[#This Row],[T1_Over4hrs]]/NHS_A_E[[#This Row],[T1_Attendances]], 0)</f>
        <v>0</v>
      </c>
      <c r="O1332">
        <f>NHS_A_E[[#This Row],[T1_Attendances]]+NHS_A_E[[#This Row],[Other_Attendances]]</f>
        <v>362</v>
      </c>
      <c r="P1332">
        <f>MATCH(LEFT(A1332,FIND("-",A1332)-1),{"April","May","June","July","August","September","October","November","December","January","February","March"},0)</f>
        <v>7</v>
      </c>
      <c r="Q1332" s="3">
        <f t="shared" si="40"/>
        <v>0</v>
      </c>
      <c r="R1332" t="str">
        <f t="shared" si="41"/>
        <v>October</v>
      </c>
    </row>
    <row r="1333" spans="1:18" x14ac:dyDescent="0.35">
      <c r="A1333" t="s">
        <v>438</v>
      </c>
      <c r="B1333" t="s">
        <v>277</v>
      </c>
      <c r="C1333" t="s">
        <v>15</v>
      </c>
      <c r="D1333" t="s">
        <v>278</v>
      </c>
      <c r="E1333">
        <v>0</v>
      </c>
      <c r="F1333">
        <v>2427</v>
      </c>
      <c r="G1333">
        <v>0</v>
      </c>
      <c r="H1333">
        <v>28</v>
      </c>
      <c r="I1333">
        <v>0</v>
      </c>
      <c r="J1333">
        <v>0</v>
      </c>
      <c r="K1333" s="1">
        <v>45931</v>
      </c>
      <c r="L1333" t="s">
        <v>439</v>
      </c>
      <c r="M1333" t="s">
        <v>435</v>
      </c>
      <c r="N1333" s="2">
        <f>IFERROR(NHS_A_E[[#This Row],[T1_Over4hrs]]/NHS_A_E[[#This Row],[T1_Attendances]], 0)</f>
        <v>0</v>
      </c>
      <c r="O1333">
        <f>NHS_A_E[[#This Row],[T1_Attendances]]+NHS_A_E[[#This Row],[Other_Attendances]]</f>
        <v>2427</v>
      </c>
      <c r="P1333">
        <f>MATCH(LEFT(A1333,FIND("-",A1333)-1),{"April","May","June","July","August","September","October","November","December","January","February","March"},0)</f>
        <v>7</v>
      </c>
      <c r="Q1333" s="3">
        <f t="shared" si="40"/>
        <v>0</v>
      </c>
      <c r="R1333" t="str">
        <f t="shared" si="41"/>
        <v>October</v>
      </c>
    </row>
    <row r="1334" spans="1:18" x14ac:dyDescent="0.35">
      <c r="A1334" t="s">
        <v>438</v>
      </c>
      <c r="B1334" t="s">
        <v>279</v>
      </c>
      <c r="C1334" t="s">
        <v>15</v>
      </c>
      <c r="D1334" t="s">
        <v>280</v>
      </c>
      <c r="E1334">
        <v>0</v>
      </c>
      <c r="F1334">
        <v>2622</v>
      </c>
      <c r="G1334">
        <v>0</v>
      </c>
      <c r="H1334">
        <v>64</v>
      </c>
      <c r="I1334">
        <v>0</v>
      </c>
      <c r="J1334">
        <v>0</v>
      </c>
      <c r="K1334" s="1">
        <v>45931</v>
      </c>
      <c r="L1334" t="s">
        <v>439</v>
      </c>
      <c r="M1334" t="s">
        <v>435</v>
      </c>
      <c r="N1334" s="2">
        <f>IFERROR(NHS_A_E[[#This Row],[T1_Over4hrs]]/NHS_A_E[[#This Row],[T1_Attendances]], 0)</f>
        <v>0</v>
      </c>
      <c r="O1334">
        <f>NHS_A_E[[#This Row],[T1_Attendances]]+NHS_A_E[[#This Row],[Other_Attendances]]</f>
        <v>2622</v>
      </c>
      <c r="P1334">
        <f>MATCH(LEFT(A1334,FIND("-",A1334)-1),{"April","May","June","July","August","September","October","November","December","January","February","March"},0)</f>
        <v>7</v>
      </c>
      <c r="Q1334" s="3">
        <f t="shared" si="40"/>
        <v>0</v>
      </c>
      <c r="R1334" t="str">
        <f t="shared" si="41"/>
        <v>October</v>
      </c>
    </row>
    <row r="1335" spans="1:18" x14ac:dyDescent="0.35">
      <c r="A1335" t="s">
        <v>438</v>
      </c>
      <c r="B1335" t="s">
        <v>115</v>
      </c>
      <c r="C1335" t="s">
        <v>40</v>
      </c>
      <c r="D1335" t="s">
        <v>116</v>
      </c>
      <c r="E1335">
        <v>0</v>
      </c>
      <c r="F1335">
        <v>3152</v>
      </c>
      <c r="G1335">
        <v>0</v>
      </c>
      <c r="H1335">
        <v>24</v>
      </c>
      <c r="I1335">
        <v>0</v>
      </c>
      <c r="J1335">
        <v>0</v>
      </c>
      <c r="K1335" s="1">
        <v>45931</v>
      </c>
      <c r="L1335" t="s">
        <v>439</v>
      </c>
      <c r="M1335" t="s">
        <v>435</v>
      </c>
      <c r="N1335" s="2">
        <f>IFERROR(NHS_A_E[[#This Row],[T1_Over4hrs]]/NHS_A_E[[#This Row],[T1_Attendances]], 0)</f>
        <v>0</v>
      </c>
      <c r="O1335">
        <f>NHS_A_E[[#This Row],[T1_Attendances]]+NHS_A_E[[#This Row],[Other_Attendances]]</f>
        <v>3152</v>
      </c>
      <c r="P1335">
        <f>MATCH(LEFT(A1335,FIND("-",A1335)-1),{"April","May","June","July","August","September","October","November","December","January","February","March"},0)</f>
        <v>7</v>
      </c>
      <c r="Q1335" s="3">
        <f t="shared" si="40"/>
        <v>0</v>
      </c>
      <c r="R1335" t="str">
        <f t="shared" si="41"/>
        <v>October</v>
      </c>
    </row>
    <row r="1336" spans="1:18" x14ac:dyDescent="0.35">
      <c r="A1336" t="s">
        <v>438</v>
      </c>
      <c r="B1336" t="s">
        <v>161</v>
      </c>
      <c r="C1336" t="s">
        <v>30</v>
      </c>
      <c r="D1336" t="s">
        <v>162</v>
      </c>
      <c r="E1336">
        <v>7318</v>
      </c>
      <c r="F1336">
        <v>2950</v>
      </c>
      <c r="G1336">
        <v>4048</v>
      </c>
      <c r="H1336">
        <v>4</v>
      </c>
      <c r="I1336">
        <v>471</v>
      </c>
      <c r="J1336">
        <v>510</v>
      </c>
      <c r="K1336" s="1">
        <v>45931</v>
      </c>
      <c r="L1336" t="s">
        <v>439</v>
      </c>
      <c r="M1336" t="s">
        <v>435</v>
      </c>
      <c r="N1336" s="2">
        <f>IFERROR(NHS_A_E[[#This Row],[T1_Over4hrs]]/NHS_A_E[[#This Row],[T1_Attendances]], 0)</f>
        <v>0.55315660016397927</v>
      </c>
      <c r="O1336">
        <f>NHS_A_E[[#This Row],[T1_Attendances]]+NHS_A_E[[#This Row],[Other_Attendances]]</f>
        <v>10268</v>
      </c>
      <c r="P1336">
        <f>MATCH(LEFT(A1336,FIND("-",A1336)-1),{"April","May","June","July","August","September","October","November","December","January","February","March"},0)</f>
        <v>7</v>
      </c>
      <c r="Q1336" s="3">
        <f t="shared" si="40"/>
        <v>6.969117245148948E-2</v>
      </c>
      <c r="R1336" t="str">
        <f t="shared" si="41"/>
        <v>October</v>
      </c>
    </row>
    <row r="1337" spans="1:18" x14ac:dyDescent="0.35">
      <c r="A1337" t="s">
        <v>438</v>
      </c>
      <c r="B1337" t="s">
        <v>293</v>
      </c>
      <c r="C1337" t="s">
        <v>20</v>
      </c>
      <c r="D1337" t="s">
        <v>294</v>
      </c>
      <c r="E1337">
        <v>0</v>
      </c>
      <c r="F1337">
        <v>0</v>
      </c>
      <c r="G1337">
        <v>0</v>
      </c>
      <c r="H1337">
        <v>0</v>
      </c>
      <c r="I1337">
        <v>0</v>
      </c>
      <c r="J1337">
        <v>0</v>
      </c>
      <c r="K1337" s="1">
        <v>45931</v>
      </c>
      <c r="L1337" t="s">
        <v>439</v>
      </c>
      <c r="M1337" t="s">
        <v>435</v>
      </c>
      <c r="N1337" s="2">
        <f>IFERROR(NHS_A_E[[#This Row],[T1_Over4hrs]]/NHS_A_E[[#This Row],[T1_Attendances]], 0)</f>
        <v>0</v>
      </c>
      <c r="O1337">
        <f>NHS_A_E[[#This Row],[T1_Attendances]]+NHS_A_E[[#This Row],[Other_Attendances]]</f>
        <v>0</v>
      </c>
      <c r="P1337">
        <f>MATCH(LEFT(A1337,FIND("-",A1337)-1),{"April","May","June","July","August","September","October","November","December","January","February","March"},0)</f>
        <v>7</v>
      </c>
      <c r="Q1337" s="3">
        <f t="shared" si="40"/>
        <v>0</v>
      </c>
      <c r="R1337" t="str">
        <f t="shared" si="41"/>
        <v>October</v>
      </c>
    </row>
    <row r="1338" spans="1:18" x14ac:dyDescent="0.35">
      <c r="A1338" t="s">
        <v>438</v>
      </c>
      <c r="B1338" t="s">
        <v>297</v>
      </c>
      <c r="C1338" t="s">
        <v>15</v>
      </c>
      <c r="D1338" t="s">
        <v>298</v>
      </c>
      <c r="E1338">
        <v>0</v>
      </c>
      <c r="F1338">
        <v>2826</v>
      </c>
      <c r="G1338">
        <v>0</v>
      </c>
      <c r="H1338">
        <v>27</v>
      </c>
      <c r="I1338">
        <v>0</v>
      </c>
      <c r="J1338">
        <v>0</v>
      </c>
      <c r="K1338" s="1">
        <v>45931</v>
      </c>
      <c r="L1338" t="s">
        <v>439</v>
      </c>
      <c r="M1338" t="s">
        <v>435</v>
      </c>
      <c r="N1338" s="2">
        <f>IFERROR(NHS_A_E[[#This Row],[T1_Over4hrs]]/NHS_A_E[[#This Row],[T1_Attendances]], 0)</f>
        <v>0</v>
      </c>
      <c r="O1338">
        <f>NHS_A_E[[#This Row],[T1_Attendances]]+NHS_A_E[[#This Row],[Other_Attendances]]</f>
        <v>2826</v>
      </c>
      <c r="P1338">
        <f>MATCH(LEFT(A1338,FIND("-",A1338)-1),{"April","May","June","July","August","September","October","November","December","January","February","March"},0)</f>
        <v>7</v>
      </c>
      <c r="Q1338" s="3">
        <f t="shared" si="40"/>
        <v>0</v>
      </c>
      <c r="R1338" t="str">
        <f t="shared" si="41"/>
        <v>October</v>
      </c>
    </row>
    <row r="1339" spans="1:18" x14ac:dyDescent="0.35">
      <c r="A1339" t="s">
        <v>438</v>
      </c>
      <c r="B1339" t="s">
        <v>299</v>
      </c>
      <c r="C1339" t="s">
        <v>63</v>
      </c>
      <c r="D1339" t="s">
        <v>300</v>
      </c>
      <c r="E1339">
        <v>16644</v>
      </c>
      <c r="F1339">
        <v>0</v>
      </c>
      <c r="G1339">
        <v>2858</v>
      </c>
      <c r="H1339">
        <v>0</v>
      </c>
      <c r="I1339">
        <v>975</v>
      </c>
      <c r="J1339">
        <v>7</v>
      </c>
      <c r="K1339" s="1">
        <v>45931</v>
      </c>
      <c r="L1339" t="s">
        <v>439</v>
      </c>
      <c r="M1339" t="s">
        <v>435</v>
      </c>
      <c r="N1339" s="2">
        <f>IFERROR(NHS_A_E[[#This Row],[T1_Over4hrs]]/NHS_A_E[[#This Row],[T1_Attendances]], 0)</f>
        <v>0.17171353040134582</v>
      </c>
      <c r="O1339">
        <f>NHS_A_E[[#This Row],[T1_Attendances]]+NHS_A_E[[#This Row],[Other_Attendances]]</f>
        <v>16644</v>
      </c>
      <c r="P1339">
        <f>MATCH(LEFT(A1339,FIND("-",A1339)-1),{"April","May","June","July","August","September","October","November","December","January","February","March"},0)</f>
        <v>7</v>
      </c>
      <c r="Q1339" s="3">
        <f t="shared" si="40"/>
        <v>4.2057197788993028E-4</v>
      </c>
      <c r="R1339" t="str">
        <f t="shared" si="41"/>
        <v>October</v>
      </c>
    </row>
    <row r="1340" spans="1:18" x14ac:dyDescent="0.35">
      <c r="A1340" t="s">
        <v>438</v>
      </c>
      <c r="B1340" t="s">
        <v>75</v>
      </c>
      <c r="C1340" t="s">
        <v>63</v>
      </c>
      <c r="D1340" t="s">
        <v>76</v>
      </c>
      <c r="E1340">
        <v>0</v>
      </c>
      <c r="F1340">
        <v>3696</v>
      </c>
      <c r="G1340">
        <v>0</v>
      </c>
      <c r="H1340">
        <v>373</v>
      </c>
      <c r="I1340">
        <v>0</v>
      </c>
      <c r="J1340">
        <v>0</v>
      </c>
      <c r="K1340" s="1">
        <v>45931</v>
      </c>
      <c r="L1340" t="s">
        <v>439</v>
      </c>
      <c r="M1340" t="s">
        <v>435</v>
      </c>
      <c r="N1340" s="2">
        <f>IFERROR(NHS_A_E[[#This Row],[T1_Over4hrs]]/NHS_A_E[[#This Row],[T1_Attendances]], 0)</f>
        <v>0</v>
      </c>
      <c r="O1340">
        <f>NHS_A_E[[#This Row],[T1_Attendances]]+NHS_A_E[[#This Row],[Other_Attendances]]</f>
        <v>3696</v>
      </c>
      <c r="P1340">
        <f>MATCH(LEFT(A1340,FIND("-",A1340)-1),{"April","May","June","July","August","September","October","November","December","January","February","March"},0)</f>
        <v>7</v>
      </c>
      <c r="Q1340" s="3">
        <f t="shared" si="40"/>
        <v>0</v>
      </c>
      <c r="R1340" t="str">
        <f t="shared" si="41"/>
        <v>October</v>
      </c>
    </row>
    <row r="1341" spans="1:18" x14ac:dyDescent="0.35">
      <c r="A1341" t="s">
        <v>438</v>
      </c>
      <c r="B1341" t="s">
        <v>77</v>
      </c>
      <c r="C1341" t="s">
        <v>63</v>
      </c>
      <c r="D1341" t="s">
        <v>78</v>
      </c>
      <c r="E1341">
        <v>0</v>
      </c>
      <c r="F1341">
        <v>1455</v>
      </c>
      <c r="G1341">
        <v>0</v>
      </c>
      <c r="H1341">
        <v>33</v>
      </c>
      <c r="I1341">
        <v>0</v>
      </c>
      <c r="J1341">
        <v>0</v>
      </c>
      <c r="K1341" s="1">
        <v>45931</v>
      </c>
      <c r="L1341" t="s">
        <v>439</v>
      </c>
      <c r="M1341" t="s">
        <v>435</v>
      </c>
      <c r="N1341" s="2">
        <f>IFERROR(NHS_A_E[[#This Row],[T1_Over4hrs]]/NHS_A_E[[#This Row],[T1_Attendances]], 0)</f>
        <v>0</v>
      </c>
      <c r="O1341">
        <f>NHS_A_E[[#This Row],[T1_Attendances]]+NHS_A_E[[#This Row],[Other_Attendances]]</f>
        <v>1455</v>
      </c>
      <c r="P1341">
        <f>MATCH(LEFT(A1341,FIND("-",A1341)-1),{"April","May","June","July","August","September","October","November","December","January","February","March"},0)</f>
        <v>7</v>
      </c>
      <c r="Q1341" s="3">
        <f t="shared" si="40"/>
        <v>0</v>
      </c>
      <c r="R1341" t="str">
        <f t="shared" si="41"/>
        <v>October</v>
      </c>
    </row>
    <row r="1342" spans="1:18" x14ac:dyDescent="0.35">
      <c r="A1342" t="s">
        <v>438</v>
      </c>
      <c r="B1342" t="s">
        <v>79</v>
      </c>
      <c r="C1342" t="s">
        <v>63</v>
      </c>
      <c r="D1342" t="s">
        <v>80</v>
      </c>
      <c r="E1342">
        <v>0</v>
      </c>
      <c r="F1342">
        <v>2680</v>
      </c>
      <c r="G1342">
        <v>0</v>
      </c>
      <c r="H1342">
        <v>75</v>
      </c>
      <c r="I1342">
        <v>0</v>
      </c>
      <c r="J1342">
        <v>0</v>
      </c>
      <c r="K1342" s="1">
        <v>45931</v>
      </c>
      <c r="L1342" t="s">
        <v>439</v>
      </c>
      <c r="M1342" t="s">
        <v>435</v>
      </c>
      <c r="N1342" s="2">
        <f>IFERROR(NHS_A_E[[#This Row],[T1_Over4hrs]]/NHS_A_E[[#This Row],[T1_Attendances]], 0)</f>
        <v>0</v>
      </c>
      <c r="O1342">
        <f>NHS_A_E[[#This Row],[T1_Attendances]]+NHS_A_E[[#This Row],[Other_Attendances]]</f>
        <v>2680</v>
      </c>
      <c r="P1342">
        <f>MATCH(LEFT(A1342,FIND("-",A1342)-1),{"April","May","June","July","August","September","October","November","December","January","February","March"},0)</f>
        <v>7</v>
      </c>
      <c r="Q1342" s="3">
        <f t="shared" si="40"/>
        <v>0</v>
      </c>
      <c r="R1342" t="str">
        <f t="shared" si="41"/>
        <v>October</v>
      </c>
    </row>
    <row r="1343" spans="1:18" x14ac:dyDescent="0.35">
      <c r="A1343" t="s">
        <v>438</v>
      </c>
      <c r="B1343" t="s">
        <v>81</v>
      </c>
      <c r="C1343" t="s">
        <v>63</v>
      </c>
      <c r="D1343" t="s">
        <v>82</v>
      </c>
      <c r="E1343">
        <v>0</v>
      </c>
      <c r="F1343">
        <v>1707</v>
      </c>
      <c r="G1343">
        <v>0</v>
      </c>
      <c r="H1343">
        <v>7</v>
      </c>
      <c r="I1343">
        <v>0</v>
      </c>
      <c r="J1343">
        <v>0</v>
      </c>
      <c r="K1343" s="1">
        <v>45931</v>
      </c>
      <c r="L1343" t="s">
        <v>439</v>
      </c>
      <c r="M1343" t="s">
        <v>435</v>
      </c>
      <c r="N1343" s="2">
        <f>IFERROR(NHS_A_E[[#This Row],[T1_Over4hrs]]/NHS_A_E[[#This Row],[T1_Attendances]], 0)</f>
        <v>0</v>
      </c>
      <c r="O1343">
        <f>NHS_A_E[[#This Row],[T1_Attendances]]+NHS_A_E[[#This Row],[Other_Attendances]]</f>
        <v>1707</v>
      </c>
      <c r="P1343">
        <f>MATCH(LEFT(A1343,FIND("-",A1343)-1),{"April","May","June","July","August","September","October","November","December","January","February","March"},0)</f>
        <v>7</v>
      </c>
      <c r="Q1343" s="3">
        <f t="shared" si="40"/>
        <v>0</v>
      </c>
      <c r="R1343" t="str">
        <f t="shared" si="41"/>
        <v>October</v>
      </c>
    </row>
    <row r="1344" spans="1:18" x14ac:dyDescent="0.35">
      <c r="A1344" t="s">
        <v>438</v>
      </c>
      <c r="B1344" t="s">
        <v>440</v>
      </c>
      <c r="C1344" t="s">
        <v>15</v>
      </c>
      <c r="D1344" t="s">
        <v>441</v>
      </c>
      <c r="E1344">
        <v>0</v>
      </c>
      <c r="F1344">
        <v>1012</v>
      </c>
      <c r="G1344">
        <v>0</v>
      </c>
      <c r="H1344">
        <v>0</v>
      </c>
      <c r="I1344">
        <v>0</v>
      </c>
      <c r="J1344">
        <v>0</v>
      </c>
      <c r="K1344" s="1">
        <v>45931</v>
      </c>
      <c r="L1344" t="s">
        <v>439</v>
      </c>
      <c r="M1344" t="s">
        <v>435</v>
      </c>
      <c r="N1344" s="2">
        <f>IFERROR(NHS_A_E[[#This Row],[T1_Over4hrs]]/NHS_A_E[[#This Row],[T1_Attendances]], 0)</f>
        <v>0</v>
      </c>
      <c r="O1344">
        <f>NHS_A_E[[#This Row],[T1_Attendances]]+NHS_A_E[[#This Row],[Other_Attendances]]</f>
        <v>1012</v>
      </c>
      <c r="P1344">
        <f>MATCH(LEFT(A1344,FIND("-",A1344)-1),{"April","May","June","July","August","September","October","November","December","January","February","March"},0)</f>
        <v>7</v>
      </c>
      <c r="Q1344" s="3">
        <f t="shared" si="40"/>
        <v>0</v>
      </c>
      <c r="R1344" t="str">
        <f t="shared" si="41"/>
        <v>October</v>
      </c>
    </row>
    <row r="1345" spans="1:18" x14ac:dyDescent="0.35">
      <c r="A1345" t="s">
        <v>438</v>
      </c>
      <c r="B1345" t="s">
        <v>117</v>
      </c>
      <c r="C1345" t="s">
        <v>15</v>
      </c>
      <c r="D1345" t="s">
        <v>436</v>
      </c>
      <c r="E1345">
        <v>6976</v>
      </c>
      <c r="F1345">
        <v>1879</v>
      </c>
      <c r="G1345">
        <v>2548</v>
      </c>
      <c r="H1345">
        <v>0</v>
      </c>
      <c r="I1345">
        <v>508</v>
      </c>
      <c r="J1345">
        <v>12</v>
      </c>
      <c r="K1345" s="1">
        <v>45931</v>
      </c>
      <c r="L1345" t="s">
        <v>439</v>
      </c>
      <c r="M1345" t="s">
        <v>435</v>
      </c>
      <c r="N1345" s="2">
        <f>IFERROR(NHS_A_E[[#This Row],[T1_Over4hrs]]/NHS_A_E[[#This Row],[T1_Attendances]], 0)</f>
        <v>0.36525229357798167</v>
      </c>
      <c r="O1345">
        <f>NHS_A_E[[#This Row],[T1_Attendances]]+NHS_A_E[[#This Row],[Other_Attendances]]</f>
        <v>8855</v>
      </c>
      <c r="P1345">
        <f>MATCH(LEFT(A1345,FIND("-",A1345)-1),{"April","May","June","July","August","September","October","November","December","January","February","March"},0)</f>
        <v>7</v>
      </c>
      <c r="Q1345" s="3">
        <f t="shared" si="40"/>
        <v>1.7201834862385322E-3</v>
      </c>
      <c r="R1345" t="str">
        <f t="shared" si="41"/>
        <v>October</v>
      </c>
    </row>
    <row r="1346" spans="1:18" x14ac:dyDescent="0.35">
      <c r="A1346" t="s">
        <v>438</v>
      </c>
      <c r="B1346" t="s">
        <v>249</v>
      </c>
      <c r="C1346" t="s">
        <v>20</v>
      </c>
      <c r="D1346" t="s">
        <v>250</v>
      </c>
      <c r="E1346">
        <v>6886</v>
      </c>
      <c r="F1346">
        <v>3271</v>
      </c>
      <c r="G1346">
        <v>3222</v>
      </c>
      <c r="H1346">
        <v>22</v>
      </c>
      <c r="I1346">
        <v>185</v>
      </c>
      <c r="J1346">
        <v>35</v>
      </c>
      <c r="K1346" s="1">
        <v>45931</v>
      </c>
      <c r="L1346" t="s">
        <v>439</v>
      </c>
      <c r="M1346" t="s">
        <v>435</v>
      </c>
      <c r="N1346" s="2">
        <f>IFERROR(NHS_A_E[[#This Row],[T1_Over4hrs]]/NHS_A_E[[#This Row],[T1_Attendances]], 0)</f>
        <v>0.46790589602091198</v>
      </c>
      <c r="O1346">
        <f>NHS_A_E[[#This Row],[T1_Attendances]]+NHS_A_E[[#This Row],[Other_Attendances]]</f>
        <v>10157</v>
      </c>
      <c r="P1346">
        <f>MATCH(LEFT(A1346,FIND("-",A1346)-1),{"April","May","June","July","August","September","October","November","December","January","February","March"},0)</f>
        <v>7</v>
      </c>
      <c r="Q1346" s="3">
        <f t="shared" ref="Q1346:Q1409" si="42">IFERROR(J1346/E1346,0)</f>
        <v>5.0827766482718561E-3</v>
      </c>
      <c r="R1346" t="str">
        <f t="shared" ref="R1346:R1409" si="43">TEXT(A1346, "mmmm")</f>
        <v>October</v>
      </c>
    </row>
    <row r="1347" spans="1:18" x14ac:dyDescent="0.35">
      <c r="A1347" t="s">
        <v>438</v>
      </c>
      <c r="B1347" t="s">
        <v>295</v>
      </c>
      <c r="C1347" t="s">
        <v>15</v>
      </c>
      <c r="D1347" t="s">
        <v>296</v>
      </c>
      <c r="E1347">
        <v>10542</v>
      </c>
      <c r="F1347">
        <v>0</v>
      </c>
      <c r="G1347">
        <v>4261</v>
      </c>
      <c r="H1347">
        <v>0</v>
      </c>
      <c r="I1347">
        <v>587</v>
      </c>
      <c r="J1347">
        <v>757</v>
      </c>
      <c r="K1347" s="1">
        <v>45931</v>
      </c>
      <c r="L1347" t="s">
        <v>439</v>
      </c>
      <c r="M1347" t="s">
        <v>435</v>
      </c>
      <c r="N1347" s="2">
        <f>IFERROR(NHS_A_E[[#This Row],[T1_Over4hrs]]/NHS_A_E[[#This Row],[T1_Attendances]], 0)</f>
        <v>0.4041927527983305</v>
      </c>
      <c r="O1347">
        <f>NHS_A_E[[#This Row],[T1_Attendances]]+NHS_A_E[[#This Row],[Other_Attendances]]</f>
        <v>10542</v>
      </c>
      <c r="P1347">
        <f>MATCH(LEFT(A1347,FIND("-",A1347)-1),{"April","May","June","July","August","September","October","November","December","January","February","March"},0)</f>
        <v>7</v>
      </c>
      <c r="Q1347" s="3">
        <f t="shared" si="42"/>
        <v>7.1808006070954278E-2</v>
      </c>
      <c r="R1347" t="str">
        <f t="shared" si="43"/>
        <v>October</v>
      </c>
    </row>
    <row r="1348" spans="1:18" x14ac:dyDescent="0.35">
      <c r="A1348" t="s">
        <v>438</v>
      </c>
      <c r="B1348" t="s">
        <v>271</v>
      </c>
      <c r="C1348" t="s">
        <v>30</v>
      </c>
      <c r="D1348" t="s">
        <v>272</v>
      </c>
      <c r="E1348">
        <v>0</v>
      </c>
      <c r="F1348">
        <v>14676</v>
      </c>
      <c r="G1348">
        <v>0</v>
      </c>
      <c r="H1348">
        <v>489</v>
      </c>
      <c r="I1348">
        <v>0</v>
      </c>
      <c r="J1348">
        <v>0</v>
      </c>
      <c r="K1348" s="1">
        <v>45931</v>
      </c>
      <c r="L1348" t="s">
        <v>439</v>
      </c>
      <c r="M1348" t="s">
        <v>435</v>
      </c>
      <c r="N1348" s="2">
        <f>IFERROR(NHS_A_E[[#This Row],[T1_Over4hrs]]/NHS_A_E[[#This Row],[T1_Attendances]], 0)</f>
        <v>0</v>
      </c>
      <c r="O1348">
        <f>NHS_A_E[[#This Row],[T1_Attendances]]+NHS_A_E[[#This Row],[Other_Attendances]]</f>
        <v>14676</v>
      </c>
      <c r="P1348">
        <f>MATCH(LEFT(A1348,FIND("-",A1348)-1),{"April","May","June","July","August","September","October","November","December","January","February","March"},0)</f>
        <v>7</v>
      </c>
      <c r="Q1348" s="3">
        <f t="shared" si="42"/>
        <v>0</v>
      </c>
      <c r="R1348" t="str">
        <f t="shared" si="43"/>
        <v>October</v>
      </c>
    </row>
    <row r="1349" spans="1:18" x14ac:dyDescent="0.35">
      <c r="A1349" t="s">
        <v>438</v>
      </c>
      <c r="B1349" t="s">
        <v>177</v>
      </c>
      <c r="C1349" t="s">
        <v>63</v>
      </c>
      <c r="D1349" t="s">
        <v>178</v>
      </c>
      <c r="E1349">
        <v>9956</v>
      </c>
      <c r="F1349">
        <v>4361</v>
      </c>
      <c r="G1349">
        <v>5884</v>
      </c>
      <c r="H1349">
        <v>438</v>
      </c>
      <c r="I1349">
        <v>991</v>
      </c>
      <c r="J1349">
        <v>670</v>
      </c>
      <c r="K1349" s="1">
        <v>45931</v>
      </c>
      <c r="L1349" t="s">
        <v>439</v>
      </c>
      <c r="M1349" t="s">
        <v>435</v>
      </c>
      <c r="N1349" s="2">
        <f>IFERROR(NHS_A_E[[#This Row],[T1_Over4hrs]]/NHS_A_E[[#This Row],[T1_Attendances]], 0)</f>
        <v>0.59100040176777824</v>
      </c>
      <c r="O1349">
        <f>NHS_A_E[[#This Row],[T1_Attendances]]+NHS_A_E[[#This Row],[Other_Attendances]]</f>
        <v>14317</v>
      </c>
      <c r="P1349">
        <f>MATCH(LEFT(A1349,FIND("-",A1349)-1),{"April","May","June","July","August","September","October","November","December","January","February","March"},0)</f>
        <v>7</v>
      </c>
      <c r="Q1349" s="3">
        <f t="shared" si="42"/>
        <v>6.7296102852551221E-2</v>
      </c>
      <c r="R1349" t="str">
        <f t="shared" si="43"/>
        <v>October</v>
      </c>
    </row>
    <row r="1350" spans="1:18" x14ac:dyDescent="0.35">
      <c r="A1350" t="s">
        <v>438</v>
      </c>
      <c r="B1350" t="s">
        <v>153</v>
      </c>
      <c r="C1350" t="s">
        <v>30</v>
      </c>
      <c r="D1350" t="s">
        <v>154</v>
      </c>
      <c r="E1350">
        <v>12893</v>
      </c>
      <c r="F1350">
        <v>3418</v>
      </c>
      <c r="G1350">
        <v>4637</v>
      </c>
      <c r="H1350">
        <v>133</v>
      </c>
      <c r="I1350">
        <v>1023</v>
      </c>
      <c r="J1350">
        <v>463</v>
      </c>
      <c r="K1350" s="1">
        <v>45931</v>
      </c>
      <c r="L1350" t="s">
        <v>439</v>
      </c>
      <c r="M1350" t="s">
        <v>435</v>
      </c>
      <c r="N1350" s="2">
        <f>IFERROR(NHS_A_E[[#This Row],[T1_Over4hrs]]/NHS_A_E[[#This Row],[T1_Attendances]], 0)</f>
        <v>0.35965252462576591</v>
      </c>
      <c r="O1350">
        <f>NHS_A_E[[#This Row],[T1_Attendances]]+NHS_A_E[[#This Row],[Other_Attendances]]</f>
        <v>16311</v>
      </c>
      <c r="P1350">
        <f>MATCH(LEFT(A1350,FIND("-",A1350)-1),{"April","May","June","July","August","September","October","November","December","January","February","March"},0)</f>
        <v>7</v>
      </c>
      <c r="Q1350" s="3">
        <f t="shared" si="42"/>
        <v>3.5910959435352517E-2</v>
      </c>
      <c r="R1350" t="str">
        <f t="shared" si="43"/>
        <v>October</v>
      </c>
    </row>
    <row r="1351" spans="1:18" x14ac:dyDescent="0.35">
      <c r="A1351" t="s">
        <v>438</v>
      </c>
      <c r="B1351" t="s">
        <v>367</v>
      </c>
      <c r="C1351" t="s">
        <v>23</v>
      </c>
      <c r="D1351" t="s">
        <v>368</v>
      </c>
      <c r="E1351">
        <v>0</v>
      </c>
      <c r="F1351">
        <v>1205</v>
      </c>
      <c r="G1351">
        <v>0</v>
      </c>
      <c r="H1351">
        <v>63</v>
      </c>
      <c r="I1351">
        <v>0</v>
      </c>
      <c r="J1351">
        <v>0</v>
      </c>
      <c r="K1351" s="1">
        <v>45931</v>
      </c>
      <c r="L1351" t="s">
        <v>439</v>
      </c>
      <c r="M1351" t="s">
        <v>435</v>
      </c>
      <c r="N1351" s="2">
        <f>IFERROR(NHS_A_E[[#This Row],[T1_Over4hrs]]/NHS_A_E[[#This Row],[T1_Attendances]], 0)</f>
        <v>0</v>
      </c>
      <c r="O1351">
        <f>NHS_A_E[[#This Row],[T1_Attendances]]+NHS_A_E[[#This Row],[Other_Attendances]]</f>
        <v>1205</v>
      </c>
      <c r="P1351">
        <f>MATCH(LEFT(A1351,FIND("-",A1351)-1),{"April","May","June","July","August","September","October","November","December","January","February","March"},0)</f>
        <v>7</v>
      </c>
      <c r="Q1351" s="3">
        <f t="shared" si="42"/>
        <v>0</v>
      </c>
      <c r="R1351" t="str">
        <f t="shared" si="43"/>
        <v>October</v>
      </c>
    </row>
    <row r="1352" spans="1:18" x14ac:dyDescent="0.35">
      <c r="A1352" t="s">
        <v>438</v>
      </c>
      <c r="B1352" t="s">
        <v>85</v>
      </c>
      <c r="C1352" t="s">
        <v>63</v>
      </c>
      <c r="D1352" t="s">
        <v>86</v>
      </c>
      <c r="E1352">
        <v>9468</v>
      </c>
      <c r="F1352">
        <v>3244</v>
      </c>
      <c r="G1352">
        <v>2265</v>
      </c>
      <c r="H1352">
        <v>0</v>
      </c>
      <c r="I1352">
        <v>593</v>
      </c>
      <c r="J1352">
        <v>113</v>
      </c>
      <c r="K1352" s="1">
        <v>45931</v>
      </c>
      <c r="L1352" t="s">
        <v>439</v>
      </c>
      <c r="M1352" t="s">
        <v>435</v>
      </c>
      <c r="N1352" s="2">
        <f>IFERROR(NHS_A_E[[#This Row],[T1_Over4hrs]]/NHS_A_E[[#This Row],[T1_Attendances]], 0)</f>
        <v>0.23922686945500635</v>
      </c>
      <c r="O1352">
        <f>NHS_A_E[[#This Row],[T1_Attendances]]+NHS_A_E[[#This Row],[Other_Attendances]]</f>
        <v>12712</v>
      </c>
      <c r="P1352">
        <f>MATCH(LEFT(A1352,FIND("-",A1352)-1),{"April","May","June","July","August","September","October","November","December","January","February","March"},0)</f>
        <v>7</v>
      </c>
      <c r="Q1352" s="3">
        <f t="shared" si="42"/>
        <v>1.1934938741022392E-2</v>
      </c>
      <c r="R1352" t="str">
        <f t="shared" si="43"/>
        <v>October</v>
      </c>
    </row>
    <row r="1353" spans="1:18" x14ac:dyDescent="0.35">
      <c r="A1353" t="s">
        <v>438</v>
      </c>
      <c r="B1353" t="s">
        <v>229</v>
      </c>
      <c r="C1353" t="s">
        <v>23</v>
      </c>
      <c r="D1353" t="s">
        <v>230</v>
      </c>
      <c r="E1353">
        <v>6549</v>
      </c>
      <c r="F1353">
        <v>1257</v>
      </c>
      <c r="G1353">
        <v>2593</v>
      </c>
      <c r="H1353">
        <v>0</v>
      </c>
      <c r="I1353">
        <v>309</v>
      </c>
      <c r="J1353">
        <v>148</v>
      </c>
      <c r="K1353" s="1">
        <v>45931</v>
      </c>
      <c r="L1353" t="s">
        <v>439</v>
      </c>
      <c r="M1353" t="s">
        <v>435</v>
      </c>
      <c r="N1353" s="2">
        <f>IFERROR(NHS_A_E[[#This Row],[T1_Over4hrs]]/NHS_A_E[[#This Row],[T1_Attendances]], 0)</f>
        <v>0.39593831119254846</v>
      </c>
      <c r="O1353">
        <f>NHS_A_E[[#This Row],[T1_Attendances]]+NHS_A_E[[#This Row],[Other_Attendances]]</f>
        <v>7806</v>
      </c>
      <c r="P1353">
        <f>MATCH(LEFT(A1353,FIND("-",A1353)-1),{"April","May","June","July","August","September","October","November","December","January","February","March"},0)</f>
        <v>7</v>
      </c>
      <c r="Q1353" s="3">
        <f t="shared" si="42"/>
        <v>2.2598870056497175E-2</v>
      </c>
      <c r="R1353" t="str">
        <f t="shared" si="43"/>
        <v>October</v>
      </c>
    </row>
    <row r="1354" spans="1:18" x14ac:dyDescent="0.35">
      <c r="A1354" t="s">
        <v>438</v>
      </c>
      <c r="B1354" t="s">
        <v>315</v>
      </c>
      <c r="C1354" t="s">
        <v>23</v>
      </c>
      <c r="D1354" t="s">
        <v>316</v>
      </c>
      <c r="E1354">
        <v>7429</v>
      </c>
      <c r="F1354">
        <v>1286</v>
      </c>
      <c r="G1354">
        <v>2542</v>
      </c>
      <c r="H1354">
        <v>0</v>
      </c>
      <c r="I1354">
        <v>519</v>
      </c>
      <c r="J1354">
        <v>363</v>
      </c>
      <c r="K1354" s="1">
        <v>45931</v>
      </c>
      <c r="L1354" t="s">
        <v>439</v>
      </c>
      <c r="M1354" t="s">
        <v>435</v>
      </c>
      <c r="N1354" s="2">
        <f>IFERROR(NHS_A_E[[#This Row],[T1_Over4hrs]]/NHS_A_E[[#This Row],[T1_Attendances]], 0)</f>
        <v>0.34217256696729037</v>
      </c>
      <c r="O1354">
        <f>NHS_A_E[[#This Row],[T1_Attendances]]+NHS_A_E[[#This Row],[Other_Attendances]]</f>
        <v>8715</v>
      </c>
      <c r="P1354">
        <f>MATCH(LEFT(A1354,FIND("-",A1354)-1),{"April","May","June","July","August","September","October","November","December","January","February","March"},0)</f>
        <v>7</v>
      </c>
      <c r="Q1354" s="3">
        <f t="shared" si="42"/>
        <v>4.886256562121416E-2</v>
      </c>
      <c r="R1354" t="str">
        <f t="shared" si="43"/>
        <v>October</v>
      </c>
    </row>
    <row r="1355" spans="1:18" x14ac:dyDescent="0.35">
      <c r="A1355" t="s">
        <v>438</v>
      </c>
      <c r="B1355" t="s">
        <v>399</v>
      </c>
      <c r="C1355" t="s">
        <v>40</v>
      </c>
      <c r="D1355" t="s">
        <v>400</v>
      </c>
      <c r="E1355">
        <v>8934</v>
      </c>
      <c r="F1355">
        <v>422</v>
      </c>
      <c r="G1355">
        <v>2584</v>
      </c>
      <c r="H1355">
        <v>0</v>
      </c>
      <c r="I1355">
        <v>639</v>
      </c>
      <c r="J1355">
        <v>53</v>
      </c>
      <c r="K1355" s="1">
        <v>45931</v>
      </c>
      <c r="L1355" t="s">
        <v>439</v>
      </c>
      <c r="M1355" t="s">
        <v>435</v>
      </c>
      <c r="N1355" s="2">
        <f>IFERROR(NHS_A_E[[#This Row],[T1_Over4hrs]]/NHS_A_E[[#This Row],[T1_Attendances]], 0)</f>
        <v>0.28923214685471232</v>
      </c>
      <c r="O1355">
        <f>NHS_A_E[[#This Row],[T1_Attendances]]+NHS_A_E[[#This Row],[Other_Attendances]]</f>
        <v>9356</v>
      </c>
      <c r="P1355">
        <f>MATCH(LEFT(A1355,FIND("-",A1355)-1),{"April","May","June","July","August","September","October","November","December","January","February","March"},0)</f>
        <v>7</v>
      </c>
      <c r="Q1355" s="3">
        <f t="shared" si="42"/>
        <v>5.9323931049921645E-3</v>
      </c>
      <c r="R1355" t="str">
        <f t="shared" si="43"/>
        <v>October</v>
      </c>
    </row>
    <row r="1356" spans="1:18" x14ac:dyDescent="0.35">
      <c r="A1356" t="s">
        <v>438</v>
      </c>
      <c r="B1356" t="s">
        <v>351</v>
      </c>
      <c r="C1356" t="s">
        <v>63</v>
      </c>
      <c r="D1356" t="s">
        <v>352</v>
      </c>
      <c r="E1356">
        <v>9779</v>
      </c>
      <c r="F1356">
        <v>7235</v>
      </c>
      <c r="G1356">
        <v>5154</v>
      </c>
      <c r="H1356">
        <v>59</v>
      </c>
      <c r="I1356">
        <v>785</v>
      </c>
      <c r="J1356">
        <v>738</v>
      </c>
      <c r="K1356" s="1">
        <v>45931</v>
      </c>
      <c r="L1356" t="s">
        <v>439</v>
      </c>
      <c r="M1356" t="s">
        <v>435</v>
      </c>
      <c r="N1356" s="2">
        <f>IFERROR(NHS_A_E[[#This Row],[T1_Over4hrs]]/NHS_A_E[[#This Row],[T1_Attendances]], 0)</f>
        <v>0.52704775539421211</v>
      </c>
      <c r="O1356">
        <f>NHS_A_E[[#This Row],[T1_Attendances]]+NHS_A_E[[#This Row],[Other_Attendances]]</f>
        <v>17014</v>
      </c>
      <c r="P1356">
        <f>MATCH(LEFT(A1356,FIND("-",A1356)-1),{"April","May","June","July","August","September","October","November","December","January","February","March"},0)</f>
        <v>7</v>
      </c>
      <c r="Q1356" s="3">
        <f t="shared" si="42"/>
        <v>7.5467839247366802E-2</v>
      </c>
      <c r="R1356" t="str">
        <f t="shared" si="43"/>
        <v>October</v>
      </c>
    </row>
    <row r="1357" spans="1:18" x14ac:dyDescent="0.35">
      <c r="A1357" t="s">
        <v>438</v>
      </c>
      <c r="B1357" t="s">
        <v>233</v>
      </c>
      <c r="C1357" t="s">
        <v>30</v>
      </c>
      <c r="D1357" t="s">
        <v>234</v>
      </c>
      <c r="E1357">
        <v>5823</v>
      </c>
      <c r="F1357">
        <v>2231</v>
      </c>
      <c r="G1357">
        <v>2669</v>
      </c>
      <c r="H1357">
        <v>180</v>
      </c>
      <c r="I1357">
        <v>565</v>
      </c>
      <c r="J1357">
        <v>530</v>
      </c>
      <c r="K1357" s="1">
        <v>45931</v>
      </c>
      <c r="L1357" t="s">
        <v>439</v>
      </c>
      <c r="M1357" t="s">
        <v>435</v>
      </c>
      <c r="N1357" s="2">
        <f>IFERROR(NHS_A_E[[#This Row],[T1_Over4hrs]]/NHS_A_E[[#This Row],[T1_Attendances]], 0)</f>
        <v>0.4583547999313069</v>
      </c>
      <c r="O1357">
        <f>NHS_A_E[[#This Row],[T1_Attendances]]+NHS_A_E[[#This Row],[Other_Attendances]]</f>
        <v>8054</v>
      </c>
      <c r="P1357">
        <f>MATCH(LEFT(A1357,FIND("-",A1357)-1),{"April","May","June","July","August","September","October","November","December","January","February","March"},0)</f>
        <v>7</v>
      </c>
      <c r="Q1357" s="3">
        <f t="shared" si="42"/>
        <v>9.1018375407865365E-2</v>
      </c>
      <c r="R1357" t="str">
        <f t="shared" si="43"/>
        <v>October</v>
      </c>
    </row>
    <row r="1358" spans="1:18" x14ac:dyDescent="0.35">
      <c r="A1358" t="s">
        <v>438</v>
      </c>
      <c r="B1358" t="s">
        <v>413</v>
      </c>
      <c r="C1358" t="s">
        <v>20</v>
      </c>
      <c r="D1358" t="s">
        <v>414</v>
      </c>
      <c r="E1358">
        <v>8855</v>
      </c>
      <c r="F1358">
        <v>7625</v>
      </c>
      <c r="G1358">
        <v>5258</v>
      </c>
      <c r="H1358">
        <v>62</v>
      </c>
      <c r="I1358">
        <v>647</v>
      </c>
      <c r="J1358">
        <v>528</v>
      </c>
      <c r="K1358" s="1">
        <v>45931</v>
      </c>
      <c r="L1358" t="s">
        <v>439</v>
      </c>
      <c r="M1358" t="s">
        <v>435</v>
      </c>
      <c r="N1358" s="2">
        <f>IFERROR(NHS_A_E[[#This Row],[T1_Over4hrs]]/NHS_A_E[[#This Row],[T1_Attendances]], 0)</f>
        <v>0.59378881987577636</v>
      </c>
      <c r="O1358">
        <f>NHS_A_E[[#This Row],[T1_Attendances]]+NHS_A_E[[#This Row],[Other_Attendances]]</f>
        <v>16480</v>
      </c>
      <c r="P1358">
        <f>MATCH(LEFT(A1358,FIND("-",A1358)-1),{"April","May","June","July","August","September","October","November","December","January","February","March"},0)</f>
        <v>7</v>
      </c>
      <c r="Q1358" s="3">
        <f t="shared" si="42"/>
        <v>5.9627329192546583E-2</v>
      </c>
      <c r="R1358" t="str">
        <f t="shared" si="43"/>
        <v>October</v>
      </c>
    </row>
    <row r="1359" spans="1:18" x14ac:dyDescent="0.35">
      <c r="A1359" t="s">
        <v>438</v>
      </c>
      <c r="B1359" t="s">
        <v>48</v>
      </c>
      <c r="C1359" t="s">
        <v>40</v>
      </c>
      <c r="D1359" t="s">
        <v>49</v>
      </c>
      <c r="E1359">
        <v>7354</v>
      </c>
      <c r="F1359">
        <v>1640</v>
      </c>
      <c r="G1359">
        <v>1918</v>
      </c>
      <c r="H1359">
        <v>5</v>
      </c>
      <c r="I1359">
        <v>254</v>
      </c>
      <c r="J1359">
        <v>560</v>
      </c>
      <c r="K1359" s="1">
        <v>45931</v>
      </c>
      <c r="L1359" t="s">
        <v>439</v>
      </c>
      <c r="M1359" t="s">
        <v>435</v>
      </c>
      <c r="N1359" s="2">
        <f>IFERROR(NHS_A_E[[#This Row],[T1_Over4hrs]]/NHS_A_E[[#This Row],[T1_Attendances]], 0)</f>
        <v>0.26081044329616537</v>
      </c>
      <c r="O1359">
        <f>NHS_A_E[[#This Row],[T1_Attendances]]+NHS_A_E[[#This Row],[Other_Attendances]]</f>
        <v>8994</v>
      </c>
      <c r="P1359">
        <f>MATCH(LEFT(A1359,FIND("-",A1359)-1),{"April","May","June","July","August","September","October","November","December","January","February","March"},0)</f>
        <v>7</v>
      </c>
      <c r="Q1359" s="3">
        <f t="shared" si="42"/>
        <v>7.6149034539026383E-2</v>
      </c>
      <c r="R1359" t="str">
        <f t="shared" si="43"/>
        <v>October</v>
      </c>
    </row>
    <row r="1360" spans="1:18" x14ac:dyDescent="0.35">
      <c r="A1360" t="s">
        <v>438</v>
      </c>
      <c r="B1360" t="s">
        <v>167</v>
      </c>
      <c r="C1360" t="s">
        <v>30</v>
      </c>
      <c r="D1360" t="s">
        <v>168</v>
      </c>
      <c r="E1360">
        <v>8841</v>
      </c>
      <c r="F1360">
        <v>3894</v>
      </c>
      <c r="G1360">
        <v>4490</v>
      </c>
      <c r="H1360">
        <v>336</v>
      </c>
      <c r="I1360">
        <v>579</v>
      </c>
      <c r="J1360">
        <v>288</v>
      </c>
      <c r="K1360" s="1">
        <v>45931</v>
      </c>
      <c r="L1360" t="s">
        <v>439</v>
      </c>
      <c r="M1360" t="s">
        <v>435</v>
      </c>
      <c r="N1360" s="2">
        <f>IFERROR(NHS_A_E[[#This Row],[T1_Over4hrs]]/NHS_A_E[[#This Row],[T1_Attendances]], 0)</f>
        <v>0.50786110168532972</v>
      </c>
      <c r="O1360">
        <f>NHS_A_E[[#This Row],[T1_Attendances]]+NHS_A_E[[#This Row],[Other_Attendances]]</f>
        <v>12735</v>
      </c>
      <c r="P1360">
        <f>MATCH(LEFT(A1360,FIND("-",A1360)-1),{"April","May","June","July","August","September","October","November","December","January","February","March"},0)</f>
        <v>7</v>
      </c>
      <c r="Q1360" s="3">
        <f t="shared" si="42"/>
        <v>3.2575500508992196E-2</v>
      </c>
      <c r="R1360" t="str">
        <f t="shared" si="43"/>
        <v>October</v>
      </c>
    </row>
    <row r="1361" spans="1:18" x14ac:dyDescent="0.35">
      <c r="A1361" t="s">
        <v>438</v>
      </c>
      <c r="B1361" t="s">
        <v>355</v>
      </c>
      <c r="C1361" t="s">
        <v>30</v>
      </c>
      <c r="D1361" t="s">
        <v>356</v>
      </c>
      <c r="E1361">
        <v>8957</v>
      </c>
      <c r="F1361">
        <v>2566</v>
      </c>
      <c r="G1361">
        <v>4543</v>
      </c>
      <c r="H1361">
        <v>146</v>
      </c>
      <c r="I1361">
        <v>502</v>
      </c>
      <c r="J1361">
        <v>590</v>
      </c>
      <c r="K1361" s="1">
        <v>45931</v>
      </c>
      <c r="L1361" t="s">
        <v>439</v>
      </c>
      <c r="M1361" t="s">
        <v>435</v>
      </c>
      <c r="N1361" s="2">
        <f>IFERROR(NHS_A_E[[#This Row],[T1_Over4hrs]]/NHS_A_E[[#This Row],[T1_Attendances]], 0)</f>
        <v>0.50720107178742879</v>
      </c>
      <c r="O1361">
        <f>NHS_A_E[[#This Row],[T1_Attendances]]+NHS_A_E[[#This Row],[Other_Attendances]]</f>
        <v>11523</v>
      </c>
      <c r="P1361">
        <f>MATCH(LEFT(A1361,FIND("-",A1361)-1),{"April","May","June","July","August","September","October","November","December","January","February","March"},0)</f>
        <v>7</v>
      </c>
      <c r="Q1361" s="3">
        <f t="shared" si="42"/>
        <v>6.5870269063302442E-2</v>
      </c>
      <c r="R1361" t="str">
        <f t="shared" si="43"/>
        <v>October</v>
      </c>
    </row>
    <row r="1362" spans="1:18" x14ac:dyDescent="0.35">
      <c r="A1362" t="s">
        <v>438</v>
      </c>
      <c r="B1362" t="s">
        <v>359</v>
      </c>
      <c r="C1362" t="s">
        <v>40</v>
      </c>
      <c r="D1362" t="s">
        <v>360</v>
      </c>
      <c r="E1362">
        <v>10233</v>
      </c>
      <c r="F1362">
        <v>4270</v>
      </c>
      <c r="G1362">
        <v>3203</v>
      </c>
      <c r="H1362">
        <v>87</v>
      </c>
      <c r="I1362">
        <v>2600</v>
      </c>
      <c r="J1362">
        <v>141</v>
      </c>
      <c r="K1362" s="1">
        <v>45931</v>
      </c>
      <c r="L1362" t="s">
        <v>439</v>
      </c>
      <c r="M1362" t="s">
        <v>435</v>
      </c>
      <c r="N1362" s="2">
        <f>IFERROR(NHS_A_E[[#This Row],[T1_Over4hrs]]/NHS_A_E[[#This Row],[T1_Attendances]], 0)</f>
        <v>0.31300693833675364</v>
      </c>
      <c r="O1362">
        <f>NHS_A_E[[#This Row],[T1_Attendances]]+NHS_A_E[[#This Row],[Other_Attendances]]</f>
        <v>14503</v>
      </c>
      <c r="P1362">
        <f>MATCH(LEFT(A1362,FIND("-",A1362)-1),{"April","May","June","July","August","September","October","November","December","January","February","March"},0)</f>
        <v>7</v>
      </c>
      <c r="Q1362" s="3">
        <f t="shared" si="42"/>
        <v>1.3778950454412195E-2</v>
      </c>
      <c r="R1362" t="str">
        <f t="shared" si="43"/>
        <v>October</v>
      </c>
    </row>
    <row r="1363" spans="1:18" x14ac:dyDescent="0.35">
      <c r="A1363" t="s">
        <v>438</v>
      </c>
      <c r="B1363" t="s">
        <v>417</v>
      </c>
      <c r="C1363" t="s">
        <v>63</v>
      </c>
      <c r="D1363" t="s">
        <v>418</v>
      </c>
      <c r="E1363">
        <v>8931</v>
      </c>
      <c r="F1363">
        <v>1961</v>
      </c>
      <c r="G1363">
        <v>4126</v>
      </c>
      <c r="H1363">
        <v>45</v>
      </c>
      <c r="I1363">
        <v>610</v>
      </c>
      <c r="J1363">
        <v>318</v>
      </c>
      <c r="K1363" s="1">
        <v>45931</v>
      </c>
      <c r="L1363" t="s">
        <v>439</v>
      </c>
      <c r="M1363" t="s">
        <v>435</v>
      </c>
      <c r="N1363" s="2">
        <f>IFERROR(NHS_A_E[[#This Row],[T1_Over4hrs]]/NHS_A_E[[#This Row],[T1_Attendances]], 0)</f>
        <v>0.46198633971559738</v>
      </c>
      <c r="O1363">
        <f>NHS_A_E[[#This Row],[T1_Attendances]]+NHS_A_E[[#This Row],[Other_Attendances]]</f>
        <v>10892</v>
      </c>
      <c r="P1363">
        <f>MATCH(LEFT(A1363,FIND("-",A1363)-1),{"April","May","June","July","August","September","October","November","December","January","February","March"},0)</f>
        <v>7</v>
      </c>
      <c r="Q1363" s="3">
        <f t="shared" si="42"/>
        <v>3.5606315082297613E-2</v>
      </c>
      <c r="R1363" t="str">
        <f t="shared" si="43"/>
        <v>October</v>
      </c>
    </row>
    <row r="1364" spans="1:18" x14ac:dyDescent="0.35">
      <c r="A1364" t="s">
        <v>438</v>
      </c>
      <c r="B1364" t="s">
        <v>405</v>
      </c>
      <c r="C1364" t="s">
        <v>15</v>
      </c>
      <c r="D1364" t="s">
        <v>406</v>
      </c>
      <c r="E1364">
        <v>10088</v>
      </c>
      <c r="F1364">
        <v>6025</v>
      </c>
      <c r="G1364">
        <v>3467</v>
      </c>
      <c r="H1364">
        <v>906</v>
      </c>
      <c r="I1364">
        <v>367</v>
      </c>
      <c r="J1364">
        <v>728</v>
      </c>
      <c r="K1364" s="1">
        <v>45931</v>
      </c>
      <c r="L1364" t="s">
        <v>439</v>
      </c>
      <c r="M1364" t="s">
        <v>435</v>
      </c>
      <c r="N1364" s="2">
        <f>IFERROR(NHS_A_E[[#This Row],[T1_Over4hrs]]/NHS_A_E[[#This Row],[T1_Attendances]], 0)</f>
        <v>0.34367565424266455</v>
      </c>
      <c r="O1364">
        <f>NHS_A_E[[#This Row],[T1_Attendances]]+NHS_A_E[[#This Row],[Other_Attendances]]</f>
        <v>16113</v>
      </c>
      <c r="P1364">
        <f>MATCH(LEFT(A1364,FIND("-",A1364)-1),{"April","May","June","July","August","September","October","November","December","January","February","March"},0)</f>
        <v>7</v>
      </c>
      <c r="Q1364" s="3">
        <f t="shared" si="42"/>
        <v>7.2164948453608241E-2</v>
      </c>
      <c r="R1364" t="str">
        <f t="shared" si="43"/>
        <v>October</v>
      </c>
    </row>
    <row r="1365" spans="1:18" x14ac:dyDescent="0.35">
      <c r="A1365" t="s">
        <v>438</v>
      </c>
      <c r="B1365" t="s">
        <v>60</v>
      </c>
      <c r="C1365" t="s">
        <v>35</v>
      </c>
      <c r="D1365" t="s">
        <v>61</v>
      </c>
      <c r="E1365">
        <v>20266</v>
      </c>
      <c r="F1365">
        <v>6584</v>
      </c>
      <c r="G1365">
        <v>5947</v>
      </c>
      <c r="H1365">
        <v>129</v>
      </c>
      <c r="I1365">
        <v>1040</v>
      </c>
      <c r="J1365">
        <v>45</v>
      </c>
      <c r="K1365" s="1">
        <v>45931</v>
      </c>
      <c r="L1365" t="s">
        <v>439</v>
      </c>
      <c r="M1365" t="s">
        <v>435</v>
      </c>
      <c r="N1365" s="2">
        <f>IFERROR(NHS_A_E[[#This Row],[T1_Over4hrs]]/NHS_A_E[[#This Row],[T1_Attendances]], 0)</f>
        <v>0.29344715286687062</v>
      </c>
      <c r="O1365">
        <f>NHS_A_E[[#This Row],[T1_Attendances]]+NHS_A_E[[#This Row],[Other_Attendances]]</f>
        <v>26850</v>
      </c>
      <c r="P1365">
        <f>MATCH(LEFT(A1365,FIND("-",A1365)-1),{"April","May","June","July","August","September","October","November","December","January","February","March"},0)</f>
        <v>7</v>
      </c>
      <c r="Q1365" s="3">
        <f t="shared" si="42"/>
        <v>2.220467778545347E-3</v>
      </c>
      <c r="R1365" t="str">
        <f t="shared" si="43"/>
        <v>October</v>
      </c>
    </row>
    <row r="1366" spans="1:18" x14ac:dyDescent="0.35">
      <c r="A1366" t="s">
        <v>438</v>
      </c>
      <c r="B1366" t="s">
        <v>365</v>
      </c>
      <c r="C1366" t="s">
        <v>35</v>
      </c>
      <c r="D1366" t="s">
        <v>366</v>
      </c>
      <c r="E1366">
        <v>14180</v>
      </c>
      <c r="F1366">
        <v>0</v>
      </c>
      <c r="G1366">
        <v>3951</v>
      </c>
      <c r="H1366">
        <v>0</v>
      </c>
      <c r="I1366">
        <v>449</v>
      </c>
      <c r="J1366">
        <v>219</v>
      </c>
      <c r="K1366" s="1">
        <v>45931</v>
      </c>
      <c r="L1366" t="s">
        <v>439</v>
      </c>
      <c r="M1366" t="s">
        <v>435</v>
      </c>
      <c r="N1366" s="2">
        <f>IFERROR(NHS_A_E[[#This Row],[T1_Over4hrs]]/NHS_A_E[[#This Row],[T1_Attendances]], 0)</f>
        <v>0.27863187588152327</v>
      </c>
      <c r="O1366">
        <f>NHS_A_E[[#This Row],[T1_Attendances]]+NHS_A_E[[#This Row],[Other_Attendances]]</f>
        <v>14180</v>
      </c>
      <c r="P1366">
        <f>MATCH(LEFT(A1366,FIND("-",A1366)-1),{"April","May","June","July","August","September","October","November","December","January","February","March"},0)</f>
        <v>7</v>
      </c>
      <c r="Q1366" s="3">
        <f t="shared" si="42"/>
        <v>1.544428772919605E-2</v>
      </c>
      <c r="R1366" t="str">
        <f t="shared" si="43"/>
        <v>October</v>
      </c>
    </row>
    <row r="1367" spans="1:18" x14ac:dyDescent="0.35">
      <c r="A1367" t="s">
        <v>438</v>
      </c>
      <c r="B1367" t="s">
        <v>165</v>
      </c>
      <c r="C1367" t="s">
        <v>63</v>
      </c>
      <c r="D1367" t="s">
        <v>166</v>
      </c>
      <c r="E1367">
        <v>13761</v>
      </c>
      <c r="F1367">
        <v>6799</v>
      </c>
      <c r="G1367">
        <v>5390</v>
      </c>
      <c r="H1367">
        <v>0</v>
      </c>
      <c r="I1367">
        <v>595</v>
      </c>
      <c r="J1367">
        <v>42</v>
      </c>
      <c r="K1367" s="1">
        <v>45931</v>
      </c>
      <c r="L1367" t="s">
        <v>439</v>
      </c>
      <c r="M1367" t="s">
        <v>435</v>
      </c>
      <c r="N1367" s="2">
        <f>IFERROR(NHS_A_E[[#This Row],[T1_Over4hrs]]/NHS_A_E[[#This Row],[T1_Attendances]], 0)</f>
        <v>0.39168665067945646</v>
      </c>
      <c r="O1367">
        <f>NHS_A_E[[#This Row],[T1_Attendances]]+NHS_A_E[[#This Row],[Other_Attendances]]</f>
        <v>20560</v>
      </c>
      <c r="P1367">
        <f>MATCH(LEFT(A1367,FIND("-",A1367)-1),{"April","May","June","July","August","September","October","November","December","January","February","March"},0)</f>
        <v>7</v>
      </c>
      <c r="Q1367" s="3">
        <f t="shared" si="42"/>
        <v>3.0521037715282319E-3</v>
      </c>
      <c r="R1367" t="str">
        <f t="shared" si="43"/>
        <v>October</v>
      </c>
    </row>
    <row r="1368" spans="1:18" x14ac:dyDescent="0.35">
      <c r="A1368" t="s">
        <v>438</v>
      </c>
      <c r="B1368" t="s">
        <v>131</v>
      </c>
      <c r="C1368" t="s">
        <v>40</v>
      </c>
      <c r="D1368" t="s">
        <v>132</v>
      </c>
      <c r="E1368">
        <v>19491</v>
      </c>
      <c r="F1368">
        <v>9994</v>
      </c>
      <c r="G1368">
        <v>9255</v>
      </c>
      <c r="H1368">
        <v>4</v>
      </c>
      <c r="I1368">
        <v>935</v>
      </c>
      <c r="J1368">
        <v>1234</v>
      </c>
      <c r="K1368" s="1">
        <v>45931</v>
      </c>
      <c r="L1368" t="s">
        <v>439</v>
      </c>
      <c r="M1368" t="s">
        <v>435</v>
      </c>
      <c r="N1368" s="2">
        <f>IFERROR(NHS_A_E[[#This Row],[T1_Over4hrs]]/NHS_A_E[[#This Row],[T1_Attendances]], 0)</f>
        <v>0.47483453901800832</v>
      </c>
      <c r="O1368">
        <f>NHS_A_E[[#This Row],[T1_Attendances]]+NHS_A_E[[#This Row],[Other_Attendances]]</f>
        <v>29485</v>
      </c>
      <c r="P1368">
        <f>MATCH(LEFT(A1368,FIND("-",A1368)-1),{"April","May","June","July","August","September","October","November","December","January","February","March"},0)</f>
        <v>7</v>
      </c>
      <c r="Q1368" s="3">
        <f t="shared" si="42"/>
        <v>6.3311271869067778E-2</v>
      </c>
      <c r="R1368" t="str">
        <f t="shared" si="43"/>
        <v>October</v>
      </c>
    </row>
    <row r="1369" spans="1:18" x14ac:dyDescent="0.35">
      <c r="A1369" t="s">
        <v>438</v>
      </c>
      <c r="B1369" t="s">
        <v>275</v>
      </c>
      <c r="C1369" t="s">
        <v>20</v>
      </c>
      <c r="D1369" t="s">
        <v>276</v>
      </c>
      <c r="E1369">
        <v>0</v>
      </c>
      <c r="F1369">
        <v>8164</v>
      </c>
      <c r="G1369">
        <v>0</v>
      </c>
      <c r="H1369">
        <v>113</v>
      </c>
      <c r="I1369">
        <v>0</v>
      </c>
      <c r="J1369">
        <v>0</v>
      </c>
      <c r="K1369" s="1">
        <v>45931</v>
      </c>
      <c r="L1369" t="s">
        <v>439</v>
      </c>
      <c r="M1369" t="s">
        <v>435</v>
      </c>
      <c r="N1369" s="2">
        <f>IFERROR(NHS_A_E[[#This Row],[T1_Over4hrs]]/NHS_A_E[[#This Row],[T1_Attendances]], 0)</f>
        <v>0</v>
      </c>
      <c r="O1369">
        <f>NHS_A_E[[#This Row],[T1_Attendances]]+NHS_A_E[[#This Row],[Other_Attendances]]</f>
        <v>8164</v>
      </c>
      <c r="P1369">
        <f>MATCH(LEFT(A1369,FIND("-",A1369)-1),{"April","May","June","July","August","September","October","November","December","January","February","March"},0)</f>
        <v>7</v>
      </c>
      <c r="Q1369" s="3">
        <f t="shared" si="42"/>
        <v>0</v>
      </c>
      <c r="R1369" t="str">
        <f t="shared" si="43"/>
        <v>October</v>
      </c>
    </row>
    <row r="1370" spans="1:18" x14ac:dyDescent="0.35">
      <c r="A1370" t="s">
        <v>438</v>
      </c>
      <c r="B1370" t="s">
        <v>363</v>
      </c>
      <c r="C1370" t="s">
        <v>40</v>
      </c>
      <c r="D1370" t="s">
        <v>364</v>
      </c>
      <c r="E1370">
        <v>14072</v>
      </c>
      <c r="F1370">
        <v>5674</v>
      </c>
      <c r="G1370">
        <v>7317</v>
      </c>
      <c r="H1370">
        <v>106</v>
      </c>
      <c r="I1370">
        <v>935</v>
      </c>
      <c r="J1370">
        <v>1326</v>
      </c>
      <c r="K1370" s="1">
        <v>45931</v>
      </c>
      <c r="L1370" t="s">
        <v>439</v>
      </c>
      <c r="M1370" t="s">
        <v>435</v>
      </c>
      <c r="N1370" s="2">
        <f>IFERROR(NHS_A_E[[#This Row],[T1_Over4hrs]]/NHS_A_E[[#This Row],[T1_Attendances]], 0)</f>
        <v>0.51996873223422402</v>
      </c>
      <c r="O1370">
        <f>NHS_A_E[[#This Row],[T1_Attendances]]+NHS_A_E[[#This Row],[Other_Attendances]]</f>
        <v>19746</v>
      </c>
      <c r="P1370">
        <f>MATCH(LEFT(A1370,FIND("-",A1370)-1),{"April","May","June","July","August","September","October","November","December","January","February","March"},0)</f>
        <v>7</v>
      </c>
      <c r="Q1370" s="3">
        <f t="shared" si="42"/>
        <v>9.4229675952245601E-2</v>
      </c>
      <c r="R1370" t="str">
        <f t="shared" si="43"/>
        <v>October</v>
      </c>
    </row>
    <row r="1371" spans="1:18" x14ac:dyDescent="0.35">
      <c r="A1371" t="s">
        <v>438</v>
      </c>
      <c r="B1371" t="s">
        <v>247</v>
      </c>
      <c r="C1371" t="s">
        <v>15</v>
      </c>
      <c r="D1371" t="s">
        <v>248</v>
      </c>
      <c r="E1371">
        <v>0</v>
      </c>
      <c r="F1371">
        <v>5220</v>
      </c>
      <c r="G1371">
        <v>0</v>
      </c>
      <c r="H1371">
        <v>514</v>
      </c>
      <c r="I1371">
        <v>0</v>
      </c>
      <c r="J1371">
        <v>0</v>
      </c>
      <c r="K1371" s="1">
        <v>45931</v>
      </c>
      <c r="L1371" t="s">
        <v>439</v>
      </c>
      <c r="M1371" t="s">
        <v>435</v>
      </c>
      <c r="N1371" s="2">
        <f>IFERROR(NHS_A_E[[#This Row],[T1_Over4hrs]]/NHS_A_E[[#This Row],[T1_Attendances]], 0)</f>
        <v>0</v>
      </c>
      <c r="O1371">
        <f>NHS_A_E[[#This Row],[T1_Attendances]]+NHS_A_E[[#This Row],[Other_Attendances]]</f>
        <v>5220</v>
      </c>
      <c r="P1371">
        <f>MATCH(LEFT(A1371,FIND("-",A1371)-1),{"April","May","June","July","August","September","October","November","December","January","February","March"},0)</f>
        <v>7</v>
      </c>
      <c r="Q1371" s="3">
        <f t="shared" si="42"/>
        <v>0</v>
      </c>
      <c r="R1371" t="str">
        <f t="shared" si="43"/>
        <v>October</v>
      </c>
    </row>
    <row r="1372" spans="1:18" x14ac:dyDescent="0.35">
      <c r="A1372" t="s">
        <v>438</v>
      </c>
      <c r="B1372" t="s">
        <v>73</v>
      </c>
      <c r="C1372" t="s">
        <v>15</v>
      </c>
      <c r="D1372" t="s">
        <v>74</v>
      </c>
      <c r="E1372">
        <v>4287</v>
      </c>
      <c r="F1372">
        <v>1632</v>
      </c>
      <c r="G1372">
        <v>1661</v>
      </c>
      <c r="H1372">
        <v>92</v>
      </c>
      <c r="I1372">
        <v>256</v>
      </c>
      <c r="J1372">
        <v>164</v>
      </c>
      <c r="K1372" s="1">
        <v>45931</v>
      </c>
      <c r="L1372" t="s">
        <v>439</v>
      </c>
      <c r="M1372" t="s">
        <v>435</v>
      </c>
      <c r="N1372" s="2">
        <f>IFERROR(NHS_A_E[[#This Row],[T1_Over4hrs]]/NHS_A_E[[#This Row],[T1_Attendances]], 0)</f>
        <v>0.38745043153720549</v>
      </c>
      <c r="O1372">
        <f>NHS_A_E[[#This Row],[T1_Attendances]]+NHS_A_E[[#This Row],[Other_Attendances]]</f>
        <v>5919</v>
      </c>
      <c r="P1372">
        <f>MATCH(LEFT(A1372,FIND("-",A1372)-1),{"April","May","June","July","August","September","October","November","December","January","February","March"},0)</f>
        <v>7</v>
      </c>
      <c r="Q1372" s="3">
        <f t="shared" si="42"/>
        <v>3.8255190109633776E-2</v>
      </c>
      <c r="R1372" t="str">
        <f t="shared" si="43"/>
        <v>October</v>
      </c>
    </row>
    <row r="1373" spans="1:18" x14ac:dyDescent="0.35">
      <c r="A1373" t="s">
        <v>438</v>
      </c>
      <c r="B1373" t="s">
        <v>333</v>
      </c>
      <c r="C1373" t="s">
        <v>30</v>
      </c>
      <c r="D1373" t="s">
        <v>334</v>
      </c>
      <c r="E1373">
        <v>27673</v>
      </c>
      <c r="F1373">
        <v>11284</v>
      </c>
      <c r="G1373">
        <v>11350</v>
      </c>
      <c r="H1373">
        <v>328</v>
      </c>
      <c r="I1373">
        <v>3619</v>
      </c>
      <c r="J1373">
        <v>85</v>
      </c>
      <c r="K1373" s="1">
        <v>45931</v>
      </c>
      <c r="L1373" t="s">
        <v>439</v>
      </c>
      <c r="M1373" t="s">
        <v>435</v>
      </c>
      <c r="N1373" s="2">
        <f>IFERROR(NHS_A_E[[#This Row],[T1_Over4hrs]]/NHS_A_E[[#This Row],[T1_Attendances]], 0)</f>
        <v>0.41014707476601742</v>
      </c>
      <c r="O1373">
        <f>NHS_A_E[[#This Row],[T1_Attendances]]+NHS_A_E[[#This Row],[Other_Attendances]]</f>
        <v>38957</v>
      </c>
      <c r="P1373">
        <f>MATCH(LEFT(A1373,FIND("-",A1373)-1),{"April","May","June","July","August","September","October","November","December","January","February","March"},0)</f>
        <v>7</v>
      </c>
      <c r="Q1373" s="3">
        <f t="shared" si="42"/>
        <v>3.0715860224767824E-3</v>
      </c>
      <c r="R1373" t="str">
        <f t="shared" si="43"/>
        <v>October</v>
      </c>
    </row>
    <row r="1374" spans="1:18" x14ac:dyDescent="0.35">
      <c r="A1374" t="s">
        <v>438</v>
      </c>
      <c r="B1374" t="s">
        <v>341</v>
      </c>
      <c r="C1374" t="s">
        <v>40</v>
      </c>
      <c r="D1374" t="s">
        <v>342</v>
      </c>
      <c r="E1374">
        <v>9963</v>
      </c>
      <c r="F1374">
        <v>4428</v>
      </c>
      <c r="G1374">
        <v>3596</v>
      </c>
      <c r="H1374">
        <v>105</v>
      </c>
      <c r="I1374">
        <v>945</v>
      </c>
      <c r="J1374">
        <v>279</v>
      </c>
      <c r="K1374" s="1">
        <v>45931</v>
      </c>
      <c r="L1374" t="s">
        <v>439</v>
      </c>
      <c r="M1374" t="s">
        <v>435</v>
      </c>
      <c r="N1374" s="2">
        <f>IFERROR(NHS_A_E[[#This Row],[T1_Over4hrs]]/NHS_A_E[[#This Row],[T1_Attendances]], 0)</f>
        <v>0.36093546120646391</v>
      </c>
      <c r="O1374">
        <f>NHS_A_E[[#This Row],[T1_Attendances]]+NHS_A_E[[#This Row],[Other_Attendances]]</f>
        <v>14391</v>
      </c>
      <c r="P1374">
        <f>MATCH(LEFT(A1374,FIND("-",A1374)-1),{"April","May","June","July","August","September","October","November","December","January","February","March"},0)</f>
        <v>7</v>
      </c>
      <c r="Q1374" s="3">
        <f t="shared" si="42"/>
        <v>2.8003613369467027E-2</v>
      </c>
      <c r="R1374" t="str">
        <f t="shared" si="43"/>
        <v>October</v>
      </c>
    </row>
    <row r="1375" spans="1:18" x14ac:dyDescent="0.35">
      <c r="A1375" t="s">
        <v>438</v>
      </c>
      <c r="B1375" t="s">
        <v>287</v>
      </c>
      <c r="C1375" t="s">
        <v>40</v>
      </c>
      <c r="D1375" t="s">
        <v>288</v>
      </c>
      <c r="E1375">
        <v>0</v>
      </c>
      <c r="F1375">
        <v>3324</v>
      </c>
      <c r="G1375">
        <v>0</v>
      </c>
      <c r="H1375">
        <v>0</v>
      </c>
      <c r="I1375">
        <v>0</v>
      </c>
      <c r="J1375">
        <v>0</v>
      </c>
      <c r="K1375" s="1">
        <v>45931</v>
      </c>
      <c r="L1375" t="s">
        <v>439</v>
      </c>
      <c r="M1375" t="s">
        <v>435</v>
      </c>
      <c r="N1375" s="2">
        <f>IFERROR(NHS_A_E[[#This Row],[T1_Over4hrs]]/NHS_A_E[[#This Row],[T1_Attendances]], 0)</f>
        <v>0</v>
      </c>
      <c r="O1375">
        <f>NHS_A_E[[#This Row],[T1_Attendances]]+NHS_A_E[[#This Row],[Other_Attendances]]</f>
        <v>3324</v>
      </c>
      <c r="P1375">
        <f>MATCH(LEFT(A1375,FIND("-",A1375)-1),{"April","May","June","July","August","September","October","November","December","January","February","March"},0)</f>
        <v>7</v>
      </c>
      <c r="Q1375" s="3">
        <f t="shared" si="42"/>
        <v>0</v>
      </c>
      <c r="R1375" t="str">
        <f t="shared" si="43"/>
        <v>October</v>
      </c>
    </row>
    <row r="1376" spans="1:18" x14ac:dyDescent="0.35">
      <c r="A1376" t="s">
        <v>438</v>
      </c>
      <c r="B1376" t="s">
        <v>385</v>
      </c>
      <c r="C1376" t="s">
        <v>20</v>
      </c>
      <c r="D1376" t="s">
        <v>386</v>
      </c>
      <c r="E1376">
        <v>0</v>
      </c>
      <c r="F1376">
        <v>8430</v>
      </c>
      <c r="G1376">
        <v>0</v>
      </c>
      <c r="H1376">
        <v>328</v>
      </c>
      <c r="I1376">
        <v>0</v>
      </c>
      <c r="J1376">
        <v>0</v>
      </c>
      <c r="K1376" s="1">
        <v>45931</v>
      </c>
      <c r="L1376" t="s">
        <v>439</v>
      </c>
      <c r="M1376" t="s">
        <v>435</v>
      </c>
      <c r="N1376" s="2">
        <f>IFERROR(NHS_A_E[[#This Row],[T1_Over4hrs]]/NHS_A_E[[#This Row],[T1_Attendances]], 0)</f>
        <v>0</v>
      </c>
      <c r="O1376">
        <f>NHS_A_E[[#This Row],[T1_Attendances]]+NHS_A_E[[#This Row],[Other_Attendances]]</f>
        <v>8430</v>
      </c>
      <c r="P1376">
        <f>MATCH(LEFT(A1376,FIND("-",A1376)-1),{"April","May","June","July","August","September","October","November","December","January","February","March"},0)</f>
        <v>7</v>
      </c>
      <c r="Q1376" s="3">
        <f t="shared" si="42"/>
        <v>0</v>
      </c>
      <c r="R1376" t="str">
        <f t="shared" si="43"/>
        <v>October</v>
      </c>
    </row>
    <row r="1377" spans="1:18" x14ac:dyDescent="0.35">
      <c r="A1377" t="s">
        <v>438</v>
      </c>
      <c r="B1377" t="s">
        <v>207</v>
      </c>
      <c r="C1377" t="s">
        <v>15</v>
      </c>
      <c r="D1377" t="s">
        <v>208</v>
      </c>
      <c r="E1377">
        <v>27873</v>
      </c>
      <c r="F1377">
        <v>1887</v>
      </c>
      <c r="G1377">
        <v>10753</v>
      </c>
      <c r="H1377">
        <v>155</v>
      </c>
      <c r="I1377">
        <v>850</v>
      </c>
      <c r="J1377">
        <v>961</v>
      </c>
      <c r="K1377" s="1">
        <v>45931</v>
      </c>
      <c r="L1377" t="s">
        <v>439</v>
      </c>
      <c r="M1377" t="s">
        <v>435</v>
      </c>
      <c r="N1377" s="2">
        <f>IFERROR(NHS_A_E[[#This Row],[T1_Over4hrs]]/NHS_A_E[[#This Row],[T1_Attendances]], 0)</f>
        <v>0.38578552721271481</v>
      </c>
      <c r="O1377">
        <f>NHS_A_E[[#This Row],[T1_Attendances]]+NHS_A_E[[#This Row],[Other_Attendances]]</f>
        <v>29760</v>
      </c>
      <c r="P1377">
        <f>MATCH(LEFT(A1377,FIND("-",A1377)-1),{"April","May","June","July","August","September","October","November","December","January","February","March"},0)</f>
        <v>7</v>
      </c>
      <c r="Q1377" s="3">
        <f t="shared" si="42"/>
        <v>3.4477810067090019E-2</v>
      </c>
      <c r="R1377" t="str">
        <f t="shared" si="43"/>
        <v>October</v>
      </c>
    </row>
    <row r="1378" spans="1:18" x14ac:dyDescent="0.35">
      <c r="A1378" t="s">
        <v>438</v>
      </c>
      <c r="B1378" t="s">
        <v>261</v>
      </c>
      <c r="C1378" t="s">
        <v>15</v>
      </c>
      <c r="D1378" t="s">
        <v>262</v>
      </c>
      <c r="E1378">
        <v>0</v>
      </c>
      <c r="F1378">
        <v>4944</v>
      </c>
      <c r="G1378">
        <v>0</v>
      </c>
      <c r="H1378">
        <v>0</v>
      </c>
      <c r="I1378">
        <v>0</v>
      </c>
      <c r="J1378">
        <v>0</v>
      </c>
      <c r="K1378" s="1">
        <v>45931</v>
      </c>
      <c r="L1378" t="s">
        <v>439</v>
      </c>
      <c r="M1378" t="s">
        <v>435</v>
      </c>
      <c r="N1378" s="2">
        <f>IFERROR(NHS_A_E[[#This Row],[T1_Over4hrs]]/NHS_A_E[[#This Row],[T1_Attendances]], 0)</f>
        <v>0</v>
      </c>
      <c r="O1378">
        <f>NHS_A_E[[#This Row],[T1_Attendances]]+NHS_A_E[[#This Row],[Other_Attendances]]</f>
        <v>4944</v>
      </c>
      <c r="P1378">
        <f>MATCH(LEFT(A1378,FIND("-",A1378)-1),{"April","May","June","July","August","September","October","November","December","January","February","March"},0)</f>
        <v>7</v>
      </c>
      <c r="Q1378" s="3">
        <f t="shared" si="42"/>
        <v>0</v>
      </c>
      <c r="R1378" t="str">
        <f t="shared" si="43"/>
        <v>October</v>
      </c>
    </row>
    <row r="1379" spans="1:18" x14ac:dyDescent="0.35">
      <c r="A1379" t="s">
        <v>438</v>
      </c>
      <c r="B1379" t="s">
        <v>163</v>
      </c>
      <c r="C1379" t="s">
        <v>35</v>
      </c>
      <c r="D1379" t="s">
        <v>164</v>
      </c>
      <c r="E1379">
        <v>0</v>
      </c>
      <c r="F1379">
        <v>3456</v>
      </c>
      <c r="G1379">
        <v>0</v>
      </c>
      <c r="H1379">
        <v>11</v>
      </c>
      <c r="I1379">
        <v>0</v>
      </c>
      <c r="J1379">
        <v>0</v>
      </c>
      <c r="K1379" s="1">
        <v>45931</v>
      </c>
      <c r="L1379" t="s">
        <v>439</v>
      </c>
      <c r="M1379" t="s">
        <v>435</v>
      </c>
      <c r="N1379" s="2">
        <f>IFERROR(NHS_A_E[[#This Row],[T1_Over4hrs]]/NHS_A_E[[#This Row],[T1_Attendances]], 0)</f>
        <v>0</v>
      </c>
      <c r="O1379">
        <f>NHS_A_E[[#This Row],[T1_Attendances]]+NHS_A_E[[#This Row],[Other_Attendances]]</f>
        <v>3456</v>
      </c>
      <c r="P1379">
        <f>MATCH(LEFT(A1379,FIND("-",A1379)-1),{"April","May","June","July","August","September","October","November","December","January","February","March"},0)</f>
        <v>7</v>
      </c>
      <c r="Q1379" s="3">
        <f t="shared" si="42"/>
        <v>0</v>
      </c>
      <c r="R1379" t="str">
        <f t="shared" si="43"/>
        <v>October</v>
      </c>
    </row>
    <row r="1380" spans="1:18" x14ac:dyDescent="0.35">
      <c r="A1380" t="s">
        <v>438</v>
      </c>
      <c r="B1380" t="s">
        <v>422</v>
      </c>
      <c r="C1380" t="s">
        <v>20</v>
      </c>
      <c r="D1380" t="s">
        <v>423</v>
      </c>
      <c r="E1380">
        <v>0</v>
      </c>
      <c r="F1380">
        <v>889</v>
      </c>
      <c r="G1380">
        <v>0</v>
      </c>
      <c r="H1380">
        <v>1</v>
      </c>
      <c r="I1380">
        <v>0</v>
      </c>
      <c r="J1380">
        <v>0</v>
      </c>
      <c r="K1380" s="1">
        <v>45931</v>
      </c>
      <c r="L1380" t="s">
        <v>439</v>
      </c>
      <c r="M1380" t="s">
        <v>435</v>
      </c>
      <c r="N1380" s="2">
        <f>IFERROR(NHS_A_E[[#This Row],[T1_Over4hrs]]/NHS_A_E[[#This Row],[T1_Attendances]], 0)</f>
        <v>0</v>
      </c>
      <c r="O1380">
        <f>NHS_A_E[[#This Row],[T1_Attendances]]+NHS_A_E[[#This Row],[Other_Attendances]]</f>
        <v>889</v>
      </c>
      <c r="P1380">
        <f>MATCH(LEFT(A1380,FIND("-",A1380)-1),{"April","May","June","July","August","September","October","November","December","January","February","March"},0)</f>
        <v>7</v>
      </c>
      <c r="Q1380" s="3">
        <f t="shared" si="42"/>
        <v>0</v>
      </c>
      <c r="R1380" t="str">
        <f t="shared" si="43"/>
        <v>October</v>
      </c>
    </row>
    <row r="1381" spans="1:18" x14ac:dyDescent="0.35">
      <c r="A1381" t="s">
        <v>438</v>
      </c>
      <c r="B1381" t="s">
        <v>14</v>
      </c>
      <c r="C1381" t="s">
        <v>15</v>
      </c>
      <c r="D1381" t="s">
        <v>16</v>
      </c>
      <c r="E1381">
        <v>0</v>
      </c>
      <c r="F1381">
        <v>2218</v>
      </c>
      <c r="G1381">
        <v>0</v>
      </c>
      <c r="H1381">
        <v>8</v>
      </c>
      <c r="I1381">
        <v>0</v>
      </c>
      <c r="J1381">
        <v>0</v>
      </c>
      <c r="K1381" s="1">
        <v>45931</v>
      </c>
      <c r="L1381" t="s">
        <v>439</v>
      </c>
      <c r="M1381" t="s">
        <v>435</v>
      </c>
      <c r="N1381" s="2">
        <f>IFERROR(NHS_A_E[[#This Row],[T1_Over4hrs]]/NHS_A_E[[#This Row],[T1_Attendances]], 0)</f>
        <v>0</v>
      </c>
      <c r="O1381">
        <f>NHS_A_E[[#This Row],[T1_Attendances]]+NHS_A_E[[#This Row],[Other_Attendances]]</f>
        <v>2218</v>
      </c>
      <c r="P1381">
        <f>MATCH(LEFT(A1381,FIND("-",A1381)-1),{"April","May","June","July","August","September","October","November","December","January","February","March"},0)</f>
        <v>7</v>
      </c>
      <c r="Q1381" s="3">
        <f t="shared" si="42"/>
        <v>0</v>
      </c>
      <c r="R1381" t="str">
        <f t="shared" si="43"/>
        <v>October</v>
      </c>
    </row>
    <row r="1382" spans="1:18" x14ac:dyDescent="0.35">
      <c r="A1382" t="s">
        <v>438</v>
      </c>
      <c r="B1382" t="s">
        <v>424</v>
      </c>
      <c r="C1382" t="s">
        <v>20</v>
      </c>
      <c r="D1382" t="s">
        <v>425</v>
      </c>
      <c r="E1382">
        <v>0</v>
      </c>
      <c r="F1382">
        <v>1645</v>
      </c>
      <c r="G1382">
        <v>0</v>
      </c>
      <c r="H1382">
        <v>12</v>
      </c>
      <c r="I1382">
        <v>0</v>
      </c>
      <c r="J1382">
        <v>0</v>
      </c>
      <c r="K1382" s="1">
        <v>45931</v>
      </c>
      <c r="L1382" t="s">
        <v>439</v>
      </c>
      <c r="M1382" t="s">
        <v>435</v>
      </c>
      <c r="N1382" s="2">
        <f>IFERROR(NHS_A_E[[#This Row],[T1_Over4hrs]]/NHS_A_E[[#This Row],[T1_Attendances]], 0)</f>
        <v>0</v>
      </c>
      <c r="O1382">
        <f>NHS_A_E[[#This Row],[T1_Attendances]]+NHS_A_E[[#This Row],[Other_Attendances]]</f>
        <v>1645</v>
      </c>
      <c r="P1382">
        <f>MATCH(LEFT(A1382,FIND("-",A1382)-1),{"April","May","June","July","August","September","October","November","December","January","February","March"},0)</f>
        <v>7</v>
      </c>
      <c r="Q1382" s="3">
        <f t="shared" si="42"/>
        <v>0</v>
      </c>
      <c r="R1382" t="str">
        <f t="shared" si="43"/>
        <v>October</v>
      </c>
    </row>
    <row r="1383" spans="1:18" x14ac:dyDescent="0.35">
      <c r="A1383" t="s">
        <v>438</v>
      </c>
      <c r="B1383" t="s">
        <v>309</v>
      </c>
      <c r="C1383" t="s">
        <v>30</v>
      </c>
      <c r="D1383" t="s">
        <v>310</v>
      </c>
      <c r="E1383">
        <v>0</v>
      </c>
      <c r="F1383">
        <v>1718</v>
      </c>
      <c r="G1383">
        <v>0</v>
      </c>
      <c r="H1383">
        <v>24</v>
      </c>
      <c r="I1383">
        <v>0</v>
      </c>
      <c r="J1383">
        <v>0</v>
      </c>
      <c r="K1383" s="1">
        <v>45931</v>
      </c>
      <c r="L1383" t="s">
        <v>439</v>
      </c>
      <c r="M1383" t="s">
        <v>435</v>
      </c>
      <c r="N1383" s="2">
        <f>IFERROR(NHS_A_E[[#This Row],[T1_Over4hrs]]/NHS_A_E[[#This Row],[T1_Attendances]], 0)</f>
        <v>0</v>
      </c>
      <c r="O1383">
        <f>NHS_A_E[[#This Row],[T1_Attendances]]+NHS_A_E[[#This Row],[Other_Attendances]]</f>
        <v>1718</v>
      </c>
      <c r="P1383">
        <f>MATCH(LEFT(A1383,FIND("-",A1383)-1),{"April","May","June","July","August","September","October","November","December","January","February","March"},0)</f>
        <v>7</v>
      </c>
      <c r="Q1383" s="3">
        <f t="shared" si="42"/>
        <v>0</v>
      </c>
      <c r="R1383" t="str">
        <f t="shared" si="43"/>
        <v>October</v>
      </c>
    </row>
    <row r="1384" spans="1:18" x14ac:dyDescent="0.35">
      <c r="A1384" t="s">
        <v>438</v>
      </c>
      <c r="B1384" t="s">
        <v>311</v>
      </c>
      <c r="C1384" t="s">
        <v>20</v>
      </c>
      <c r="D1384" t="s">
        <v>312</v>
      </c>
      <c r="E1384">
        <v>0</v>
      </c>
      <c r="F1384">
        <v>1130</v>
      </c>
      <c r="G1384">
        <v>0</v>
      </c>
      <c r="H1384">
        <v>5</v>
      </c>
      <c r="I1384">
        <v>0</v>
      </c>
      <c r="J1384">
        <v>0</v>
      </c>
      <c r="K1384" s="1">
        <v>45931</v>
      </c>
      <c r="L1384" t="s">
        <v>439</v>
      </c>
      <c r="M1384" t="s">
        <v>435</v>
      </c>
      <c r="N1384" s="2">
        <f>IFERROR(NHS_A_E[[#This Row],[T1_Over4hrs]]/NHS_A_E[[#This Row],[T1_Attendances]], 0)</f>
        <v>0</v>
      </c>
      <c r="O1384">
        <f>NHS_A_E[[#This Row],[T1_Attendances]]+NHS_A_E[[#This Row],[Other_Attendances]]</f>
        <v>1130</v>
      </c>
      <c r="P1384">
        <f>MATCH(LEFT(A1384,FIND("-",A1384)-1),{"April","May","June","July","August","September","October","November","December","January","February","March"},0)</f>
        <v>7</v>
      </c>
      <c r="Q1384" s="3">
        <f t="shared" si="42"/>
        <v>0</v>
      </c>
      <c r="R1384" t="str">
        <f t="shared" si="43"/>
        <v>October</v>
      </c>
    </row>
    <row r="1385" spans="1:18" x14ac:dyDescent="0.35">
      <c r="A1385" t="s">
        <v>438</v>
      </c>
      <c r="B1385" t="s">
        <v>331</v>
      </c>
      <c r="C1385" t="s">
        <v>15</v>
      </c>
      <c r="D1385" t="s">
        <v>332</v>
      </c>
      <c r="E1385">
        <v>0</v>
      </c>
      <c r="F1385">
        <v>5502</v>
      </c>
      <c r="G1385">
        <v>0</v>
      </c>
      <c r="H1385">
        <v>113</v>
      </c>
      <c r="I1385">
        <v>0</v>
      </c>
      <c r="J1385">
        <v>0</v>
      </c>
      <c r="K1385" s="1">
        <v>45931</v>
      </c>
      <c r="L1385" t="s">
        <v>439</v>
      </c>
      <c r="M1385" t="s">
        <v>435</v>
      </c>
      <c r="N1385" s="2">
        <f>IFERROR(NHS_A_E[[#This Row],[T1_Over4hrs]]/NHS_A_E[[#This Row],[T1_Attendances]], 0)</f>
        <v>0</v>
      </c>
      <c r="O1385">
        <f>NHS_A_E[[#This Row],[T1_Attendances]]+NHS_A_E[[#This Row],[Other_Attendances]]</f>
        <v>5502</v>
      </c>
      <c r="P1385">
        <f>MATCH(LEFT(A1385,FIND("-",A1385)-1),{"April","May","June","July","August","September","October","November","December","January","February","March"},0)</f>
        <v>7</v>
      </c>
      <c r="Q1385" s="3">
        <f t="shared" si="42"/>
        <v>0</v>
      </c>
      <c r="R1385" t="str">
        <f t="shared" si="43"/>
        <v>October</v>
      </c>
    </row>
    <row r="1386" spans="1:18" x14ac:dyDescent="0.35">
      <c r="A1386" t="s">
        <v>438</v>
      </c>
      <c r="B1386" t="s">
        <v>371</v>
      </c>
      <c r="C1386" t="s">
        <v>35</v>
      </c>
      <c r="D1386" t="s">
        <v>372</v>
      </c>
      <c r="E1386">
        <v>5359</v>
      </c>
      <c r="F1386">
        <v>6831</v>
      </c>
      <c r="G1386">
        <v>2771</v>
      </c>
      <c r="H1386">
        <v>58</v>
      </c>
      <c r="I1386">
        <v>516</v>
      </c>
      <c r="J1386">
        <v>42</v>
      </c>
      <c r="K1386" s="1">
        <v>45931</v>
      </c>
      <c r="L1386" t="s">
        <v>439</v>
      </c>
      <c r="M1386" t="s">
        <v>435</v>
      </c>
      <c r="N1386" s="2">
        <f>IFERROR(NHS_A_E[[#This Row],[T1_Over4hrs]]/NHS_A_E[[#This Row],[T1_Attendances]], 0)</f>
        <v>0.51707408098525842</v>
      </c>
      <c r="O1386">
        <f>NHS_A_E[[#This Row],[T1_Attendances]]+NHS_A_E[[#This Row],[Other_Attendances]]</f>
        <v>12190</v>
      </c>
      <c r="P1386">
        <f>MATCH(LEFT(A1386,FIND("-",A1386)-1),{"April","May","June","July","August","September","October","November","December","January","February","March"},0)</f>
        <v>7</v>
      </c>
      <c r="Q1386" s="3">
        <f t="shared" si="42"/>
        <v>7.8372830752005979E-3</v>
      </c>
      <c r="R1386" t="str">
        <f t="shared" si="43"/>
        <v>October</v>
      </c>
    </row>
    <row r="1387" spans="1:18" x14ac:dyDescent="0.35">
      <c r="A1387" t="s">
        <v>438</v>
      </c>
      <c r="B1387" t="s">
        <v>387</v>
      </c>
      <c r="C1387" t="s">
        <v>35</v>
      </c>
      <c r="D1387" t="s">
        <v>388</v>
      </c>
      <c r="E1387">
        <v>0</v>
      </c>
      <c r="F1387">
        <v>1899</v>
      </c>
      <c r="G1387">
        <v>0</v>
      </c>
      <c r="H1387">
        <v>36</v>
      </c>
      <c r="I1387">
        <v>0</v>
      </c>
      <c r="J1387">
        <v>0</v>
      </c>
      <c r="K1387" s="1">
        <v>45931</v>
      </c>
      <c r="L1387" t="s">
        <v>439</v>
      </c>
      <c r="M1387" t="s">
        <v>435</v>
      </c>
      <c r="N1387" s="2">
        <f>IFERROR(NHS_A_E[[#This Row],[T1_Over4hrs]]/NHS_A_E[[#This Row],[T1_Attendances]], 0)</f>
        <v>0</v>
      </c>
      <c r="O1387">
        <f>NHS_A_E[[#This Row],[T1_Attendances]]+NHS_A_E[[#This Row],[Other_Attendances]]</f>
        <v>1899</v>
      </c>
      <c r="P1387">
        <f>MATCH(LEFT(A1387,FIND("-",A1387)-1),{"April","May","June","July","August","September","October","November","December","January","February","March"},0)</f>
        <v>7</v>
      </c>
      <c r="Q1387" s="3">
        <f t="shared" si="42"/>
        <v>0</v>
      </c>
      <c r="R1387" t="str">
        <f t="shared" si="43"/>
        <v>October</v>
      </c>
    </row>
    <row r="1388" spans="1:18" x14ac:dyDescent="0.35">
      <c r="A1388" t="s">
        <v>438</v>
      </c>
      <c r="B1388" t="s">
        <v>251</v>
      </c>
      <c r="C1388" t="s">
        <v>35</v>
      </c>
      <c r="D1388" t="s">
        <v>252</v>
      </c>
      <c r="E1388">
        <v>7042</v>
      </c>
      <c r="F1388">
        <v>8553</v>
      </c>
      <c r="G1388">
        <v>3867</v>
      </c>
      <c r="H1388">
        <v>365</v>
      </c>
      <c r="I1388">
        <v>218</v>
      </c>
      <c r="J1388">
        <v>579</v>
      </c>
      <c r="K1388" s="1">
        <v>45931</v>
      </c>
      <c r="L1388" t="s">
        <v>439</v>
      </c>
      <c r="M1388" t="s">
        <v>435</v>
      </c>
      <c r="N1388" s="2">
        <f>IFERROR(NHS_A_E[[#This Row],[T1_Over4hrs]]/NHS_A_E[[#This Row],[T1_Attendances]], 0)</f>
        <v>0.54913376881567733</v>
      </c>
      <c r="O1388">
        <f>NHS_A_E[[#This Row],[T1_Attendances]]+NHS_A_E[[#This Row],[Other_Attendances]]</f>
        <v>15595</v>
      </c>
      <c r="P1388">
        <f>MATCH(LEFT(A1388,FIND("-",A1388)-1),{"April","May","June","July","August","September","October","November","December","January","February","March"},0)</f>
        <v>7</v>
      </c>
      <c r="Q1388" s="3">
        <f t="shared" si="42"/>
        <v>8.2220959954558359E-2</v>
      </c>
      <c r="R1388" t="str">
        <f t="shared" si="43"/>
        <v>October</v>
      </c>
    </row>
    <row r="1389" spans="1:18" x14ac:dyDescent="0.35">
      <c r="A1389" t="s">
        <v>438</v>
      </c>
      <c r="B1389" t="s">
        <v>67</v>
      </c>
      <c r="C1389" t="s">
        <v>30</v>
      </c>
      <c r="D1389" t="s">
        <v>68</v>
      </c>
      <c r="E1389">
        <v>0</v>
      </c>
      <c r="F1389">
        <v>0</v>
      </c>
      <c r="G1389">
        <v>0</v>
      </c>
      <c r="H1389">
        <v>0</v>
      </c>
      <c r="I1389">
        <v>0</v>
      </c>
      <c r="J1389">
        <v>0</v>
      </c>
      <c r="K1389" s="1">
        <v>45931</v>
      </c>
      <c r="L1389" t="s">
        <v>439</v>
      </c>
      <c r="M1389" t="s">
        <v>435</v>
      </c>
      <c r="N1389" s="2">
        <f>IFERROR(NHS_A_E[[#This Row],[T1_Over4hrs]]/NHS_A_E[[#This Row],[T1_Attendances]], 0)</f>
        <v>0</v>
      </c>
      <c r="O1389">
        <f>NHS_A_E[[#This Row],[T1_Attendances]]+NHS_A_E[[#This Row],[Other_Attendances]]</f>
        <v>0</v>
      </c>
      <c r="P1389">
        <f>MATCH(LEFT(A1389,FIND("-",A1389)-1),{"April","May","June","July","August","September","October","November","December","January","February","March"},0)</f>
        <v>7</v>
      </c>
      <c r="Q1389" s="3">
        <f t="shared" si="42"/>
        <v>0</v>
      </c>
      <c r="R1389" t="str">
        <f t="shared" si="43"/>
        <v>October</v>
      </c>
    </row>
    <row r="1390" spans="1:18" x14ac:dyDescent="0.35">
      <c r="A1390" t="s">
        <v>438</v>
      </c>
      <c r="B1390" t="s">
        <v>27</v>
      </c>
      <c r="C1390" t="s">
        <v>20</v>
      </c>
      <c r="D1390" t="s">
        <v>28</v>
      </c>
      <c r="E1390">
        <v>6727</v>
      </c>
      <c r="F1390">
        <v>11554</v>
      </c>
      <c r="G1390">
        <v>3087</v>
      </c>
      <c r="H1390">
        <v>526</v>
      </c>
      <c r="I1390">
        <v>431</v>
      </c>
      <c r="J1390">
        <v>626</v>
      </c>
      <c r="K1390" s="1">
        <v>45931</v>
      </c>
      <c r="L1390" t="s">
        <v>439</v>
      </c>
      <c r="M1390" t="s">
        <v>435</v>
      </c>
      <c r="N1390" s="2">
        <f>IFERROR(NHS_A_E[[#This Row],[T1_Over4hrs]]/NHS_A_E[[#This Row],[T1_Attendances]], 0)</f>
        <v>0.45889698231009363</v>
      </c>
      <c r="O1390">
        <f>NHS_A_E[[#This Row],[T1_Attendances]]+NHS_A_E[[#This Row],[Other_Attendances]]</f>
        <v>18281</v>
      </c>
      <c r="P1390">
        <f>MATCH(LEFT(A1390,FIND("-",A1390)-1),{"April","May","June","July","August","September","October","November","December","January","February","March"},0)</f>
        <v>7</v>
      </c>
      <c r="Q1390" s="3">
        <f t="shared" si="42"/>
        <v>9.305782666864873E-2</v>
      </c>
      <c r="R1390" t="str">
        <f t="shared" si="43"/>
        <v>October</v>
      </c>
    </row>
    <row r="1391" spans="1:18" x14ac:dyDescent="0.35">
      <c r="A1391" t="s">
        <v>438</v>
      </c>
      <c r="B1391" t="s">
        <v>101</v>
      </c>
      <c r="C1391" t="s">
        <v>63</v>
      </c>
      <c r="D1391" t="s">
        <v>102</v>
      </c>
      <c r="E1391">
        <v>9550</v>
      </c>
      <c r="F1391">
        <v>0</v>
      </c>
      <c r="G1391">
        <v>3062</v>
      </c>
      <c r="H1391">
        <v>0</v>
      </c>
      <c r="I1391">
        <v>602</v>
      </c>
      <c r="J1391">
        <v>2</v>
      </c>
      <c r="K1391" s="1">
        <v>45931</v>
      </c>
      <c r="L1391" t="s">
        <v>439</v>
      </c>
      <c r="M1391" t="s">
        <v>435</v>
      </c>
      <c r="N1391" s="2">
        <f>IFERROR(NHS_A_E[[#This Row],[T1_Over4hrs]]/NHS_A_E[[#This Row],[T1_Attendances]], 0)</f>
        <v>0.32062827225130891</v>
      </c>
      <c r="O1391">
        <f>NHS_A_E[[#This Row],[T1_Attendances]]+NHS_A_E[[#This Row],[Other_Attendances]]</f>
        <v>9550</v>
      </c>
      <c r="P1391">
        <f>MATCH(LEFT(A1391,FIND("-",A1391)-1),{"April","May","June","July","August","September","October","November","December","January","February","March"},0)</f>
        <v>7</v>
      </c>
      <c r="Q1391" s="3">
        <f t="shared" si="42"/>
        <v>2.094240837696335E-4</v>
      </c>
      <c r="R1391" t="str">
        <f t="shared" si="43"/>
        <v>October</v>
      </c>
    </row>
    <row r="1392" spans="1:18" x14ac:dyDescent="0.35">
      <c r="A1392" t="s">
        <v>438</v>
      </c>
      <c r="B1392" t="s">
        <v>353</v>
      </c>
      <c r="C1392" t="s">
        <v>40</v>
      </c>
      <c r="D1392" t="s">
        <v>354</v>
      </c>
      <c r="E1392">
        <v>11729</v>
      </c>
      <c r="F1392">
        <v>6773</v>
      </c>
      <c r="G1392">
        <v>4517</v>
      </c>
      <c r="H1392">
        <v>201</v>
      </c>
      <c r="I1392">
        <v>794</v>
      </c>
      <c r="J1392">
        <v>581</v>
      </c>
      <c r="K1392" s="1">
        <v>45931</v>
      </c>
      <c r="L1392" t="s">
        <v>439</v>
      </c>
      <c r="M1392" t="s">
        <v>435</v>
      </c>
      <c r="N1392" s="2">
        <f>IFERROR(NHS_A_E[[#This Row],[T1_Over4hrs]]/NHS_A_E[[#This Row],[T1_Attendances]], 0)</f>
        <v>0.38511382044505071</v>
      </c>
      <c r="O1392">
        <f>NHS_A_E[[#This Row],[T1_Attendances]]+NHS_A_E[[#This Row],[Other_Attendances]]</f>
        <v>18502</v>
      </c>
      <c r="P1392">
        <f>MATCH(LEFT(A1392,FIND("-",A1392)-1),{"April","May","June","July","August","September","October","November","December","January","February","March"},0)</f>
        <v>7</v>
      </c>
      <c r="Q1392" s="3">
        <f t="shared" si="42"/>
        <v>4.9535339756159945E-2</v>
      </c>
      <c r="R1392" t="str">
        <f t="shared" si="43"/>
        <v>October</v>
      </c>
    </row>
    <row r="1393" spans="1:18" x14ac:dyDescent="0.35">
      <c r="A1393" t="s">
        <v>438</v>
      </c>
      <c r="B1393" t="s">
        <v>121</v>
      </c>
      <c r="C1393" t="s">
        <v>15</v>
      </c>
      <c r="D1393" t="s">
        <v>122</v>
      </c>
      <c r="E1393">
        <v>7513</v>
      </c>
      <c r="F1393">
        <v>2868</v>
      </c>
      <c r="G1393">
        <v>3785</v>
      </c>
      <c r="H1393">
        <v>16</v>
      </c>
      <c r="I1393">
        <v>596</v>
      </c>
      <c r="J1393">
        <v>361</v>
      </c>
      <c r="K1393" s="1">
        <v>45931</v>
      </c>
      <c r="L1393" t="s">
        <v>439</v>
      </c>
      <c r="M1393" t="s">
        <v>435</v>
      </c>
      <c r="N1393" s="2">
        <f>IFERROR(NHS_A_E[[#This Row],[T1_Over4hrs]]/NHS_A_E[[#This Row],[T1_Attendances]], 0)</f>
        <v>0.50379342473046718</v>
      </c>
      <c r="O1393">
        <f>NHS_A_E[[#This Row],[T1_Attendances]]+NHS_A_E[[#This Row],[Other_Attendances]]</f>
        <v>10381</v>
      </c>
      <c r="P1393">
        <f>MATCH(LEFT(A1393,FIND("-",A1393)-1),{"April","May","June","July","August","September","October","November","December","January","February","March"},0)</f>
        <v>7</v>
      </c>
      <c r="Q1393" s="3">
        <f t="shared" si="42"/>
        <v>4.8050046585917744E-2</v>
      </c>
      <c r="R1393" t="str">
        <f t="shared" si="43"/>
        <v>October</v>
      </c>
    </row>
    <row r="1394" spans="1:18" x14ac:dyDescent="0.35">
      <c r="A1394" t="s">
        <v>438</v>
      </c>
      <c r="B1394" t="s">
        <v>317</v>
      </c>
      <c r="C1394" t="s">
        <v>63</v>
      </c>
      <c r="D1394" t="s">
        <v>318</v>
      </c>
      <c r="E1394">
        <v>7664</v>
      </c>
      <c r="F1394">
        <v>9064</v>
      </c>
      <c r="G1394">
        <v>3933</v>
      </c>
      <c r="H1394">
        <v>312</v>
      </c>
      <c r="I1394">
        <v>400</v>
      </c>
      <c r="J1394">
        <v>24</v>
      </c>
      <c r="K1394" s="1">
        <v>45931</v>
      </c>
      <c r="L1394" t="s">
        <v>439</v>
      </c>
      <c r="M1394" t="s">
        <v>435</v>
      </c>
      <c r="N1394" s="2">
        <f>IFERROR(NHS_A_E[[#This Row],[T1_Over4hrs]]/NHS_A_E[[#This Row],[T1_Attendances]], 0)</f>
        <v>0.51317849686847594</v>
      </c>
      <c r="O1394">
        <f>NHS_A_E[[#This Row],[T1_Attendances]]+NHS_A_E[[#This Row],[Other_Attendances]]</f>
        <v>16728</v>
      </c>
      <c r="P1394">
        <f>MATCH(LEFT(A1394,FIND("-",A1394)-1),{"April","May","June","July","August","September","October","November","December","January","February","March"},0)</f>
        <v>7</v>
      </c>
      <c r="Q1394" s="3">
        <f t="shared" si="42"/>
        <v>3.1315240083507308E-3</v>
      </c>
      <c r="R1394" t="str">
        <f t="shared" si="43"/>
        <v>October</v>
      </c>
    </row>
    <row r="1395" spans="1:18" x14ac:dyDescent="0.35">
      <c r="A1395" t="s">
        <v>438</v>
      </c>
      <c r="B1395" t="s">
        <v>219</v>
      </c>
      <c r="C1395" t="s">
        <v>30</v>
      </c>
      <c r="D1395" t="s">
        <v>220</v>
      </c>
      <c r="E1395">
        <v>9431</v>
      </c>
      <c r="F1395">
        <v>2798</v>
      </c>
      <c r="G1395">
        <v>3720</v>
      </c>
      <c r="H1395">
        <v>69</v>
      </c>
      <c r="I1395">
        <v>718</v>
      </c>
      <c r="J1395">
        <v>700</v>
      </c>
      <c r="K1395" s="1">
        <v>45931</v>
      </c>
      <c r="L1395" t="s">
        <v>439</v>
      </c>
      <c r="M1395" t="s">
        <v>435</v>
      </c>
      <c r="N1395" s="2">
        <f>IFERROR(NHS_A_E[[#This Row],[T1_Over4hrs]]/NHS_A_E[[#This Row],[T1_Attendances]], 0)</f>
        <v>0.39444385537058635</v>
      </c>
      <c r="O1395">
        <f>NHS_A_E[[#This Row],[T1_Attendances]]+NHS_A_E[[#This Row],[Other_Attendances]]</f>
        <v>12229</v>
      </c>
      <c r="P1395">
        <f>MATCH(LEFT(A1395,FIND("-",A1395)-1),{"April","May","June","July","August","September","October","November","December","January","February","March"},0)</f>
        <v>7</v>
      </c>
      <c r="Q1395" s="3">
        <f t="shared" si="42"/>
        <v>7.4223306118121085E-2</v>
      </c>
      <c r="R1395" t="str">
        <f t="shared" si="43"/>
        <v>October</v>
      </c>
    </row>
    <row r="1396" spans="1:18" x14ac:dyDescent="0.35">
      <c r="A1396" t="s">
        <v>438</v>
      </c>
      <c r="B1396" t="s">
        <v>301</v>
      </c>
      <c r="C1396" t="s">
        <v>30</v>
      </c>
      <c r="D1396" t="s">
        <v>302</v>
      </c>
      <c r="E1396">
        <v>0</v>
      </c>
      <c r="F1396">
        <v>4249</v>
      </c>
      <c r="G1396">
        <v>0</v>
      </c>
      <c r="H1396">
        <v>382</v>
      </c>
      <c r="I1396">
        <v>0</v>
      </c>
      <c r="J1396">
        <v>0</v>
      </c>
      <c r="K1396" s="1">
        <v>45931</v>
      </c>
      <c r="L1396" t="s">
        <v>439</v>
      </c>
      <c r="M1396" t="s">
        <v>435</v>
      </c>
      <c r="N1396" s="2">
        <f>IFERROR(NHS_A_E[[#This Row],[T1_Over4hrs]]/NHS_A_E[[#This Row],[T1_Attendances]], 0)</f>
        <v>0</v>
      </c>
      <c r="O1396">
        <f>NHS_A_E[[#This Row],[T1_Attendances]]+NHS_A_E[[#This Row],[Other_Attendances]]</f>
        <v>4249</v>
      </c>
      <c r="P1396">
        <f>MATCH(LEFT(A1396,FIND("-",A1396)-1),{"April","May","June","July","August","September","October","November","December","January","February","March"},0)</f>
        <v>7</v>
      </c>
      <c r="Q1396" s="3">
        <f t="shared" si="42"/>
        <v>0</v>
      </c>
      <c r="R1396" t="str">
        <f t="shared" si="43"/>
        <v>October</v>
      </c>
    </row>
    <row r="1397" spans="1:18" x14ac:dyDescent="0.35">
      <c r="A1397" t="s">
        <v>438</v>
      </c>
      <c r="B1397" t="s">
        <v>303</v>
      </c>
      <c r="C1397" t="s">
        <v>23</v>
      </c>
      <c r="D1397" t="s">
        <v>304</v>
      </c>
      <c r="E1397">
        <v>0</v>
      </c>
      <c r="F1397">
        <v>2619</v>
      </c>
      <c r="G1397">
        <v>0</v>
      </c>
      <c r="H1397">
        <v>0</v>
      </c>
      <c r="I1397">
        <v>0</v>
      </c>
      <c r="J1397">
        <v>0</v>
      </c>
      <c r="K1397" s="1">
        <v>45931</v>
      </c>
      <c r="L1397" t="s">
        <v>439</v>
      </c>
      <c r="M1397" t="s">
        <v>435</v>
      </c>
      <c r="N1397" s="2">
        <f>IFERROR(NHS_A_E[[#This Row],[T1_Over4hrs]]/NHS_A_E[[#This Row],[T1_Attendances]], 0)</f>
        <v>0</v>
      </c>
      <c r="O1397">
        <f>NHS_A_E[[#This Row],[T1_Attendances]]+NHS_A_E[[#This Row],[Other_Attendances]]</f>
        <v>2619</v>
      </c>
      <c r="P1397">
        <f>MATCH(LEFT(A1397,FIND("-",A1397)-1),{"April","May","June","July","August","September","October","November","December","January","February","March"},0)</f>
        <v>7</v>
      </c>
      <c r="Q1397" s="3">
        <f t="shared" si="42"/>
        <v>0</v>
      </c>
      <c r="R1397" t="str">
        <f t="shared" si="43"/>
        <v>October</v>
      </c>
    </row>
    <row r="1398" spans="1:18" x14ac:dyDescent="0.35">
      <c r="A1398" t="s">
        <v>438</v>
      </c>
      <c r="B1398" t="s">
        <v>147</v>
      </c>
      <c r="C1398" t="s">
        <v>40</v>
      </c>
      <c r="D1398" t="s">
        <v>148</v>
      </c>
      <c r="E1398">
        <v>0</v>
      </c>
      <c r="F1398">
        <v>1869</v>
      </c>
      <c r="G1398">
        <v>0</v>
      </c>
      <c r="H1398">
        <v>2</v>
      </c>
      <c r="I1398">
        <v>0</v>
      </c>
      <c r="J1398">
        <v>0</v>
      </c>
      <c r="K1398" s="1">
        <v>45931</v>
      </c>
      <c r="L1398" t="s">
        <v>439</v>
      </c>
      <c r="M1398" t="s">
        <v>435</v>
      </c>
      <c r="N1398" s="2">
        <f>IFERROR(NHS_A_E[[#This Row],[T1_Over4hrs]]/NHS_A_E[[#This Row],[T1_Attendances]], 0)</f>
        <v>0</v>
      </c>
      <c r="O1398">
        <f>NHS_A_E[[#This Row],[T1_Attendances]]+NHS_A_E[[#This Row],[Other_Attendances]]</f>
        <v>1869</v>
      </c>
      <c r="P1398">
        <f>MATCH(LEFT(A1398,FIND("-",A1398)-1),{"April","May","June","July","August","September","October","November","December","January","February","March"},0)</f>
        <v>7</v>
      </c>
      <c r="Q1398" s="3">
        <f t="shared" si="42"/>
        <v>0</v>
      </c>
      <c r="R1398" t="str">
        <f t="shared" si="43"/>
        <v>October</v>
      </c>
    </row>
    <row r="1399" spans="1:18" x14ac:dyDescent="0.35">
      <c r="A1399" t="s">
        <v>438</v>
      </c>
      <c r="B1399" t="s">
        <v>91</v>
      </c>
      <c r="C1399" t="s">
        <v>30</v>
      </c>
      <c r="D1399" t="s">
        <v>92</v>
      </c>
      <c r="E1399">
        <v>18638</v>
      </c>
      <c r="F1399">
        <v>7376</v>
      </c>
      <c r="G1399">
        <v>7006</v>
      </c>
      <c r="H1399">
        <v>66</v>
      </c>
      <c r="I1399">
        <v>515</v>
      </c>
      <c r="J1399">
        <v>508</v>
      </c>
      <c r="K1399" s="1">
        <v>45931</v>
      </c>
      <c r="L1399" t="s">
        <v>439</v>
      </c>
      <c r="M1399" t="s">
        <v>435</v>
      </c>
      <c r="N1399" s="2">
        <f>IFERROR(NHS_A_E[[#This Row],[T1_Over4hrs]]/NHS_A_E[[#This Row],[T1_Attendances]], 0)</f>
        <v>0.37589870157742244</v>
      </c>
      <c r="O1399">
        <f>NHS_A_E[[#This Row],[T1_Attendances]]+NHS_A_E[[#This Row],[Other_Attendances]]</f>
        <v>26014</v>
      </c>
      <c r="P1399">
        <f>MATCH(LEFT(A1399,FIND("-",A1399)-1),{"April","May","June","July","August","September","October","November","December","January","February","March"},0)</f>
        <v>7</v>
      </c>
      <c r="Q1399" s="3">
        <f t="shared" si="42"/>
        <v>2.7256143363021783E-2</v>
      </c>
      <c r="R1399" t="str">
        <f t="shared" si="43"/>
        <v>October</v>
      </c>
    </row>
    <row r="1400" spans="1:18" x14ac:dyDescent="0.35">
      <c r="A1400" t="s">
        <v>442</v>
      </c>
      <c r="B1400" t="s">
        <v>283</v>
      </c>
      <c r="C1400" t="s">
        <v>15</v>
      </c>
      <c r="D1400" t="s">
        <v>284</v>
      </c>
      <c r="E1400">
        <v>0</v>
      </c>
      <c r="F1400">
        <v>2802</v>
      </c>
      <c r="G1400">
        <v>0</v>
      </c>
      <c r="H1400">
        <v>13</v>
      </c>
      <c r="I1400">
        <v>0</v>
      </c>
      <c r="J1400">
        <v>0</v>
      </c>
      <c r="K1400" s="1">
        <v>45962</v>
      </c>
      <c r="L1400" t="s">
        <v>439</v>
      </c>
      <c r="M1400" t="s">
        <v>435</v>
      </c>
      <c r="N1400" s="2">
        <f>IFERROR(NHS_A_E[[#This Row],[T1_Over4hrs]]/NHS_A_E[[#This Row],[T1_Attendances]], 0)</f>
        <v>0</v>
      </c>
      <c r="O1400">
        <f>NHS_A_E[[#This Row],[T1_Attendances]]+NHS_A_E[[#This Row],[Other_Attendances]]</f>
        <v>2802</v>
      </c>
      <c r="P1400">
        <f>MATCH(LEFT(A1400,FIND("-",A1400)-1),{"April","May","June","July","August","September","October","November","December","January","February","March"},0)</f>
        <v>8</v>
      </c>
      <c r="Q1400" s="3">
        <f t="shared" si="42"/>
        <v>0</v>
      </c>
      <c r="R1400" t="str">
        <f t="shared" si="43"/>
        <v>November</v>
      </c>
    </row>
    <row r="1401" spans="1:18" x14ac:dyDescent="0.35">
      <c r="A1401" t="s">
        <v>442</v>
      </c>
      <c r="B1401" t="s">
        <v>297</v>
      </c>
      <c r="C1401" t="s">
        <v>15</v>
      </c>
      <c r="D1401" t="s">
        <v>298</v>
      </c>
      <c r="E1401">
        <v>0</v>
      </c>
      <c r="F1401">
        <v>2719</v>
      </c>
      <c r="G1401">
        <v>0</v>
      </c>
      <c r="H1401">
        <v>33</v>
      </c>
      <c r="I1401">
        <v>0</v>
      </c>
      <c r="J1401">
        <v>0</v>
      </c>
      <c r="K1401" s="1">
        <v>45962</v>
      </c>
      <c r="L1401" t="s">
        <v>439</v>
      </c>
      <c r="M1401" t="s">
        <v>435</v>
      </c>
      <c r="N1401" s="2">
        <f>IFERROR(NHS_A_E[[#This Row],[T1_Over4hrs]]/NHS_A_E[[#This Row],[T1_Attendances]], 0)</f>
        <v>0</v>
      </c>
      <c r="O1401">
        <f>NHS_A_E[[#This Row],[T1_Attendances]]+NHS_A_E[[#This Row],[Other_Attendances]]</f>
        <v>2719</v>
      </c>
      <c r="P1401">
        <f>MATCH(LEFT(A1401,FIND("-",A1401)-1),{"April","May","June","July","August","September","October","November","December","January","February","March"},0)</f>
        <v>8</v>
      </c>
      <c r="Q1401" s="3">
        <f t="shared" si="42"/>
        <v>0</v>
      </c>
      <c r="R1401" t="str">
        <f t="shared" si="43"/>
        <v>November</v>
      </c>
    </row>
    <row r="1402" spans="1:18" x14ac:dyDescent="0.35">
      <c r="A1402" t="s">
        <v>442</v>
      </c>
      <c r="B1402" t="s">
        <v>73</v>
      </c>
      <c r="C1402" t="s">
        <v>15</v>
      </c>
      <c r="D1402" t="s">
        <v>74</v>
      </c>
      <c r="E1402">
        <v>4230</v>
      </c>
      <c r="F1402">
        <v>1528</v>
      </c>
      <c r="G1402">
        <v>1539</v>
      </c>
      <c r="H1402">
        <v>58</v>
      </c>
      <c r="I1402">
        <v>231</v>
      </c>
      <c r="J1402">
        <v>151</v>
      </c>
      <c r="K1402" s="1">
        <v>45962</v>
      </c>
      <c r="L1402" t="s">
        <v>439</v>
      </c>
      <c r="M1402" t="s">
        <v>435</v>
      </c>
      <c r="N1402" s="2">
        <f>IFERROR(NHS_A_E[[#This Row],[T1_Over4hrs]]/NHS_A_E[[#This Row],[T1_Attendances]], 0)</f>
        <v>0.36382978723404258</v>
      </c>
      <c r="O1402">
        <f>NHS_A_E[[#This Row],[T1_Attendances]]+NHS_A_E[[#This Row],[Other_Attendances]]</f>
        <v>5758</v>
      </c>
      <c r="P1402">
        <f>MATCH(LEFT(A1402,FIND("-",A1402)-1),{"April","May","June","July","August","September","October","November","December","January","February","March"},0)</f>
        <v>8</v>
      </c>
      <c r="Q1402" s="3">
        <f t="shared" si="42"/>
        <v>3.5697399527186764E-2</v>
      </c>
      <c r="R1402" t="str">
        <f t="shared" si="43"/>
        <v>November</v>
      </c>
    </row>
    <row r="1403" spans="1:18" x14ac:dyDescent="0.35">
      <c r="A1403" t="s">
        <v>442</v>
      </c>
      <c r="B1403" t="s">
        <v>339</v>
      </c>
      <c r="C1403" t="s">
        <v>20</v>
      </c>
      <c r="D1403" t="s">
        <v>340</v>
      </c>
      <c r="E1403">
        <v>16630</v>
      </c>
      <c r="F1403">
        <v>0</v>
      </c>
      <c r="G1403">
        <v>6196</v>
      </c>
      <c r="H1403">
        <v>0</v>
      </c>
      <c r="I1403">
        <v>1188</v>
      </c>
      <c r="J1403">
        <v>243</v>
      </c>
      <c r="K1403" s="1">
        <v>45962</v>
      </c>
      <c r="L1403" t="s">
        <v>439</v>
      </c>
      <c r="M1403" t="s">
        <v>435</v>
      </c>
      <c r="N1403" s="2">
        <f>IFERROR(NHS_A_E[[#This Row],[T1_Over4hrs]]/NHS_A_E[[#This Row],[T1_Attendances]], 0)</f>
        <v>0.37257967528562841</v>
      </c>
      <c r="O1403">
        <f>NHS_A_E[[#This Row],[T1_Attendances]]+NHS_A_E[[#This Row],[Other_Attendances]]</f>
        <v>16630</v>
      </c>
      <c r="P1403">
        <f>MATCH(LEFT(A1403,FIND("-",A1403)-1),{"April","May","June","July","August","September","October","November","December","January","February","March"},0)</f>
        <v>8</v>
      </c>
      <c r="Q1403" s="3">
        <f t="shared" si="42"/>
        <v>1.4612146722790138E-2</v>
      </c>
      <c r="R1403" t="str">
        <f t="shared" si="43"/>
        <v>November</v>
      </c>
    </row>
    <row r="1404" spans="1:18" x14ac:dyDescent="0.35">
      <c r="A1404" t="s">
        <v>442</v>
      </c>
      <c r="B1404" t="s">
        <v>251</v>
      </c>
      <c r="C1404" t="s">
        <v>35</v>
      </c>
      <c r="D1404" t="s">
        <v>252</v>
      </c>
      <c r="E1404">
        <v>7192</v>
      </c>
      <c r="F1404">
        <v>8197</v>
      </c>
      <c r="G1404">
        <v>4095</v>
      </c>
      <c r="H1404">
        <v>451</v>
      </c>
      <c r="I1404">
        <v>340</v>
      </c>
      <c r="J1404">
        <v>362</v>
      </c>
      <c r="K1404" s="1">
        <v>45962</v>
      </c>
      <c r="L1404" t="s">
        <v>439</v>
      </c>
      <c r="M1404" t="s">
        <v>435</v>
      </c>
      <c r="N1404" s="2">
        <f>IFERROR(NHS_A_E[[#This Row],[T1_Over4hrs]]/NHS_A_E[[#This Row],[T1_Attendances]], 0)</f>
        <v>0.56938264738598443</v>
      </c>
      <c r="O1404">
        <f>NHS_A_E[[#This Row],[T1_Attendances]]+NHS_A_E[[#This Row],[Other_Attendances]]</f>
        <v>15389</v>
      </c>
      <c r="P1404">
        <f>MATCH(LEFT(A1404,FIND("-",A1404)-1),{"April","May","June","July","August","September","October","November","December","January","February","March"},0)</f>
        <v>8</v>
      </c>
      <c r="Q1404" s="3">
        <f t="shared" si="42"/>
        <v>5.0333704115684094E-2</v>
      </c>
      <c r="R1404" t="str">
        <f t="shared" si="43"/>
        <v>November</v>
      </c>
    </row>
    <row r="1405" spans="1:18" x14ac:dyDescent="0.35">
      <c r="A1405" t="s">
        <v>442</v>
      </c>
      <c r="B1405" t="s">
        <v>19</v>
      </c>
      <c r="C1405" t="s">
        <v>20</v>
      </c>
      <c r="D1405" t="s">
        <v>21</v>
      </c>
      <c r="E1405">
        <v>8866</v>
      </c>
      <c r="F1405">
        <v>0</v>
      </c>
      <c r="G1405">
        <v>3750</v>
      </c>
      <c r="H1405">
        <v>0</v>
      </c>
      <c r="I1405">
        <v>887</v>
      </c>
      <c r="J1405">
        <v>155</v>
      </c>
      <c r="K1405" s="1">
        <v>45962</v>
      </c>
      <c r="L1405" t="s">
        <v>439</v>
      </c>
      <c r="M1405" t="s">
        <v>435</v>
      </c>
      <c r="N1405" s="2">
        <f>IFERROR(NHS_A_E[[#This Row],[T1_Over4hrs]]/NHS_A_E[[#This Row],[T1_Attendances]], 0)</f>
        <v>0.42296413264155197</v>
      </c>
      <c r="O1405">
        <f>NHS_A_E[[#This Row],[T1_Attendances]]+NHS_A_E[[#This Row],[Other_Attendances]]</f>
        <v>8866</v>
      </c>
      <c r="P1405">
        <f>MATCH(LEFT(A1405,FIND("-",A1405)-1),{"April","May","June","July","August","September","October","November","December","January","February","March"},0)</f>
        <v>8</v>
      </c>
      <c r="Q1405" s="3">
        <f t="shared" si="42"/>
        <v>1.7482517482517484E-2</v>
      </c>
      <c r="R1405" t="str">
        <f t="shared" si="43"/>
        <v>November</v>
      </c>
    </row>
    <row r="1406" spans="1:18" x14ac:dyDescent="0.35">
      <c r="A1406" t="s">
        <v>442</v>
      </c>
      <c r="B1406" t="s">
        <v>22</v>
      </c>
      <c r="C1406" t="s">
        <v>23</v>
      </c>
      <c r="D1406" t="s">
        <v>24</v>
      </c>
      <c r="E1406">
        <v>10929</v>
      </c>
      <c r="F1406">
        <v>13304</v>
      </c>
      <c r="G1406">
        <v>5054</v>
      </c>
      <c r="H1406">
        <v>1413</v>
      </c>
      <c r="I1406">
        <v>770</v>
      </c>
      <c r="J1406">
        <v>461</v>
      </c>
      <c r="K1406" s="1">
        <v>45962</v>
      </c>
      <c r="L1406" t="s">
        <v>439</v>
      </c>
      <c r="M1406" t="s">
        <v>435</v>
      </c>
      <c r="N1406" s="2">
        <f>IFERROR(NHS_A_E[[#This Row],[T1_Over4hrs]]/NHS_A_E[[#This Row],[T1_Attendances]], 0)</f>
        <v>0.4624393814621649</v>
      </c>
      <c r="O1406">
        <f>NHS_A_E[[#This Row],[T1_Attendances]]+NHS_A_E[[#This Row],[Other_Attendances]]</f>
        <v>24233</v>
      </c>
      <c r="P1406">
        <f>MATCH(LEFT(A1406,FIND("-",A1406)-1),{"April","May","June","July","August","September","October","November","December","January","February","March"},0)</f>
        <v>8</v>
      </c>
      <c r="Q1406" s="3">
        <f t="shared" si="42"/>
        <v>4.2181352365266725E-2</v>
      </c>
      <c r="R1406" t="str">
        <f t="shared" si="43"/>
        <v>November</v>
      </c>
    </row>
    <row r="1407" spans="1:18" x14ac:dyDescent="0.35">
      <c r="A1407" t="s">
        <v>442</v>
      </c>
      <c r="B1407" t="s">
        <v>25</v>
      </c>
      <c r="C1407" t="s">
        <v>15</v>
      </c>
      <c r="D1407" t="s">
        <v>26</v>
      </c>
      <c r="E1407">
        <v>0</v>
      </c>
      <c r="F1407">
        <v>10995</v>
      </c>
      <c r="G1407">
        <v>0</v>
      </c>
      <c r="H1407">
        <v>168</v>
      </c>
      <c r="I1407">
        <v>0</v>
      </c>
      <c r="J1407">
        <v>0</v>
      </c>
      <c r="K1407" s="1">
        <v>45962</v>
      </c>
      <c r="L1407" t="s">
        <v>439</v>
      </c>
      <c r="M1407" t="s">
        <v>435</v>
      </c>
      <c r="N1407" s="2">
        <f>IFERROR(NHS_A_E[[#This Row],[T1_Over4hrs]]/NHS_A_E[[#This Row],[T1_Attendances]], 0)</f>
        <v>0</v>
      </c>
      <c r="O1407">
        <f>NHS_A_E[[#This Row],[T1_Attendances]]+NHS_A_E[[#This Row],[Other_Attendances]]</f>
        <v>10995</v>
      </c>
      <c r="P1407">
        <f>MATCH(LEFT(A1407,FIND("-",A1407)-1),{"April","May","June","July","August","September","October","November","December","January","February","March"},0)</f>
        <v>8</v>
      </c>
      <c r="Q1407" s="3">
        <f t="shared" si="42"/>
        <v>0</v>
      </c>
      <c r="R1407" t="str">
        <f t="shared" si="43"/>
        <v>November</v>
      </c>
    </row>
    <row r="1408" spans="1:18" x14ac:dyDescent="0.35">
      <c r="A1408" t="s">
        <v>442</v>
      </c>
      <c r="B1408" t="s">
        <v>97</v>
      </c>
      <c r="C1408" t="s">
        <v>15</v>
      </c>
      <c r="D1408" t="s">
        <v>98</v>
      </c>
      <c r="E1408">
        <v>22861</v>
      </c>
      <c r="F1408">
        <v>11293</v>
      </c>
      <c r="G1408">
        <v>9459</v>
      </c>
      <c r="H1408">
        <v>345</v>
      </c>
      <c r="I1408">
        <v>1216</v>
      </c>
      <c r="J1408">
        <v>427</v>
      </c>
      <c r="K1408" s="1">
        <v>45962</v>
      </c>
      <c r="L1408" t="s">
        <v>439</v>
      </c>
      <c r="M1408" t="s">
        <v>435</v>
      </c>
      <c r="N1408" s="2">
        <f>IFERROR(NHS_A_E[[#This Row],[T1_Over4hrs]]/NHS_A_E[[#This Row],[T1_Attendances]], 0)</f>
        <v>0.41376142775906566</v>
      </c>
      <c r="O1408">
        <f>NHS_A_E[[#This Row],[T1_Attendances]]+NHS_A_E[[#This Row],[Other_Attendances]]</f>
        <v>34154</v>
      </c>
      <c r="P1408">
        <f>MATCH(LEFT(A1408,FIND("-",A1408)-1),{"April","May","June","July","August","September","October","November","December","January","February","March"},0)</f>
        <v>8</v>
      </c>
      <c r="Q1408" s="3">
        <f t="shared" si="42"/>
        <v>1.8678098070950527E-2</v>
      </c>
      <c r="R1408" t="str">
        <f t="shared" si="43"/>
        <v>November</v>
      </c>
    </row>
    <row r="1409" spans="1:18" x14ac:dyDescent="0.35">
      <c r="A1409" t="s">
        <v>442</v>
      </c>
      <c r="B1409" t="s">
        <v>29</v>
      </c>
      <c r="C1409" t="s">
        <v>30</v>
      </c>
      <c r="D1409" t="s">
        <v>31</v>
      </c>
      <c r="E1409">
        <v>16331</v>
      </c>
      <c r="F1409">
        <v>8379</v>
      </c>
      <c r="G1409">
        <v>7870</v>
      </c>
      <c r="H1409">
        <v>509</v>
      </c>
      <c r="I1409">
        <v>860</v>
      </c>
      <c r="J1409">
        <v>1040</v>
      </c>
      <c r="K1409" s="1">
        <v>45962</v>
      </c>
      <c r="L1409" t="s">
        <v>439</v>
      </c>
      <c r="M1409" t="s">
        <v>435</v>
      </c>
      <c r="N1409" s="2">
        <f>IFERROR(NHS_A_E[[#This Row],[T1_Over4hrs]]/NHS_A_E[[#This Row],[T1_Attendances]], 0)</f>
        <v>0.48190557834792724</v>
      </c>
      <c r="O1409">
        <f>NHS_A_E[[#This Row],[T1_Attendances]]+NHS_A_E[[#This Row],[Other_Attendances]]</f>
        <v>24710</v>
      </c>
      <c r="P1409">
        <f>MATCH(LEFT(A1409,FIND("-",A1409)-1),{"April","May","June","July","August","September","October","November","December","January","February","March"},0)</f>
        <v>8</v>
      </c>
      <c r="Q1409" s="3">
        <f t="shared" si="42"/>
        <v>6.368256689731186E-2</v>
      </c>
      <c r="R1409" t="str">
        <f t="shared" si="43"/>
        <v>November</v>
      </c>
    </row>
    <row r="1410" spans="1:18" x14ac:dyDescent="0.35">
      <c r="A1410" t="s">
        <v>442</v>
      </c>
      <c r="B1410" t="s">
        <v>149</v>
      </c>
      <c r="C1410" t="s">
        <v>15</v>
      </c>
      <c r="D1410" t="s">
        <v>150</v>
      </c>
      <c r="E1410">
        <v>11135</v>
      </c>
      <c r="F1410">
        <v>3105</v>
      </c>
      <c r="G1410">
        <v>4299</v>
      </c>
      <c r="H1410">
        <v>8</v>
      </c>
      <c r="I1410">
        <v>678</v>
      </c>
      <c r="J1410">
        <v>1284</v>
      </c>
      <c r="K1410" s="1">
        <v>45962</v>
      </c>
      <c r="L1410" t="s">
        <v>439</v>
      </c>
      <c r="M1410" t="s">
        <v>435</v>
      </c>
      <c r="N1410" s="2">
        <f>IFERROR(NHS_A_E[[#This Row],[T1_Over4hrs]]/NHS_A_E[[#This Row],[T1_Attendances]], 0)</f>
        <v>0.3860799281544679</v>
      </c>
      <c r="O1410">
        <f>NHS_A_E[[#This Row],[T1_Attendances]]+NHS_A_E[[#This Row],[Other_Attendances]]</f>
        <v>14240</v>
      </c>
      <c r="P1410">
        <f>MATCH(LEFT(A1410,FIND("-",A1410)-1),{"April","May","June","July","August","September","October","November","December","January","February","March"},0)</f>
        <v>8</v>
      </c>
      <c r="Q1410" s="3">
        <f t="shared" ref="Q1410:Q1473" si="44">IFERROR(J1410/E1410,0)</f>
        <v>0.11531207903008532</v>
      </c>
      <c r="R1410" t="str">
        <f t="shared" ref="R1410:R1473" si="45">TEXT(A1410, "mmmm")</f>
        <v>November</v>
      </c>
    </row>
    <row r="1411" spans="1:18" x14ac:dyDescent="0.35">
      <c r="A1411" t="s">
        <v>442</v>
      </c>
      <c r="B1411" t="s">
        <v>311</v>
      </c>
      <c r="C1411" t="s">
        <v>20</v>
      </c>
      <c r="D1411" t="s">
        <v>312</v>
      </c>
      <c r="E1411">
        <v>0</v>
      </c>
      <c r="F1411">
        <v>992</v>
      </c>
      <c r="G1411">
        <v>0</v>
      </c>
      <c r="H1411">
        <v>2</v>
      </c>
      <c r="I1411">
        <v>0</v>
      </c>
      <c r="J1411">
        <v>0</v>
      </c>
      <c r="K1411" s="1">
        <v>45962</v>
      </c>
      <c r="L1411" t="s">
        <v>439</v>
      </c>
      <c r="M1411" t="s">
        <v>435</v>
      </c>
      <c r="N1411" s="2">
        <f>IFERROR(NHS_A_E[[#This Row],[T1_Over4hrs]]/NHS_A_E[[#This Row],[T1_Attendances]], 0)</f>
        <v>0</v>
      </c>
      <c r="O1411">
        <f>NHS_A_E[[#This Row],[T1_Attendances]]+NHS_A_E[[#This Row],[Other_Attendances]]</f>
        <v>992</v>
      </c>
      <c r="P1411">
        <f>MATCH(LEFT(A1411,FIND("-",A1411)-1),{"April","May","June","July","August","September","October","November","December","January","February","March"},0)</f>
        <v>8</v>
      </c>
      <c r="Q1411" s="3">
        <f t="shared" si="44"/>
        <v>0</v>
      </c>
      <c r="R1411" t="str">
        <f t="shared" si="45"/>
        <v>November</v>
      </c>
    </row>
    <row r="1412" spans="1:18" x14ac:dyDescent="0.35">
      <c r="A1412" t="s">
        <v>442</v>
      </c>
      <c r="B1412" t="s">
        <v>399</v>
      </c>
      <c r="C1412" t="s">
        <v>40</v>
      </c>
      <c r="D1412" t="s">
        <v>400</v>
      </c>
      <c r="E1412">
        <v>8530</v>
      </c>
      <c r="F1412">
        <v>369</v>
      </c>
      <c r="G1412">
        <v>2261</v>
      </c>
      <c r="H1412">
        <v>0</v>
      </c>
      <c r="I1412">
        <v>375</v>
      </c>
      <c r="J1412">
        <v>64</v>
      </c>
      <c r="K1412" s="1">
        <v>45962</v>
      </c>
      <c r="L1412" t="s">
        <v>439</v>
      </c>
      <c r="M1412" t="s">
        <v>435</v>
      </c>
      <c r="N1412" s="2">
        <f>IFERROR(NHS_A_E[[#This Row],[T1_Over4hrs]]/NHS_A_E[[#This Row],[T1_Attendances]], 0)</f>
        <v>0.26506447831184055</v>
      </c>
      <c r="O1412">
        <f>NHS_A_E[[#This Row],[T1_Attendances]]+NHS_A_E[[#This Row],[Other_Attendances]]</f>
        <v>8899</v>
      </c>
      <c r="P1412">
        <f>MATCH(LEFT(A1412,FIND("-",A1412)-1),{"April","May","June","July","August","September","October","November","December","January","February","March"},0)</f>
        <v>8</v>
      </c>
      <c r="Q1412" s="3">
        <f t="shared" si="44"/>
        <v>7.5029308323563892E-3</v>
      </c>
      <c r="R1412" t="str">
        <f t="shared" si="45"/>
        <v>November</v>
      </c>
    </row>
    <row r="1413" spans="1:18" x14ac:dyDescent="0.35">
      <c r="A1413" t="s">
        <v>442</v>
      </c>
      <c r="B1413" t="s">
        <v>217</v>
      </c>
      <c r="C1413" t="s">
        <v>15</v>
      </c>
      <c r="D1413" t="s">
        <v>218</v>
      </c>
      <c r="E1413">
        <v>10970</v>
      </c>
      <c r="F1413">
        <v>3167</v>
      </c>
      <c r="G1413">
        <v>4721</v>
      </c>
      <c r="H1413">
        <v>125</v>
      </c>
      <c r="I1413">
        <v>77</v>
      </c>
      <c r="J1413">
        <v>6</v>
      </c>
      <c r="K1413" s="1">
        <v>45962</v>
      </c>
      <c r="L1413" t="s">
        <v>439</v>
      </c>
      <c r="M1413" t="s">
        <v>435</v>
      </c>
      <c r="N1413" s="2">
        <f>IFERROR(NHS_A_E[[#This Row],[T1_Over4hrs]]/NHS_A_E[[#This Row],[T1_Attendances]], 0)</f>
        <v>0.43035551504102099</v>
      </c>
      <c r="O1413">
        <f>NHS_A_E[[#This Row],[T1_Attendances]]+NHS_A_E[[#This Row],[Other_Attendances]]</f>
        <v>14137</v>
      </c>
      <c r="P1413">
        <f>MATCH(LEFT(A1413,FIND("-",A1413)-1),{"April","May","June","July","August","September","October","November","December","January","February","March"},0)</f>
        <v>8</v>
      </c>
      <c r="Q1413" s="3">
        <f t="shared" si="44"/>
        <v>5.4694621695533269E-4</v>
      </c>
      <c r="R1413" t="str">
        <f t="shared" si="45"/>
        <v>November</v>
      </c>
    </row>
    <row r="1414" spans="1:18" x14ac:dyDescent="0.35">
      <c r="A1414" t="s">
        <v>442</v>
      </c>
      <c r="B1414" t="s">
        <v>50</v>
      </c>
      <c r="C1414" t="s">
        <v>15</v>
      </c>
      <c r="D1414" t="s">
        <v>51</v>
      </c>
      <c r="E1414">
        <v>11842</v>
      </c>
      <c r="F1414">
        <v>3704</v>
      </c>
      <c r="G1414">
        <v>3069</v>
      </c>
      <c r="H1414">
        <v>12</v>
      </c>
      <c r="I1414">
        <v>689</v>
      </c>
      <c r="J1414">
        <v>249</v>
      </c>
      <c r="K1414" s="1">
        <v>45962</v>
      </c>
      <c r="L1414" t="s">
        <v>439</v>
      </c>
      <c r="M1414" t="s">
        <v>435</v>
      </c>
      <c r="N1414" s="2">
        <f>IFERROR(NHS_A_E[[#This Row],[T1_Over4hrs]]/NHS_A_E[[#This Row],[T1_Attendances]], 0)</f>
        <v>0.25916230366492149</v>
      </c>
      <c r="O1414">
        <f>NHS_A_E[[#This Row],[T1_Attendances]]+NHS_A_E[[#This Row],[Other_Attendances]]</f>
        <v>15546</v>
      </c>
      <c r="P1414">
        <f>MATCH(LEFT(A1414,FIND("-",A1414)-1),{"April","May","June","July","August","September","October","November","December","January","February","March"},0)</f>
        <v>8</v>
      </c>
      <c r="Q1414" s="3">
        <f t="shared" si="44"/>
        <v>2.102685357203175E-2</v>
      </c>
      <c r="R1414" t="str">
        <f t="shared" si="45"/>
        <v>November</v>
      </c>
    </row>
    <row r="1415" spans="1:18" x14ac:dyDescent="0.35">
      <c r="A1415" t="s">
        <v>442</v>
      </c>
      <c r="B1415" t="s">
        <v>56</v>
      </c>
      <c r="C1415" t="s">
        <v>20</v>
      </c>
      <c r="D1415" t="s">
        <v>57</v>
      </c>
      <c r="E1415">
        <v>4555</v>
      </c>
      <c r="F1415">
        <v>1798</v>
      </c>
      <c r="G1415">
        <v>1638</v>
      </c>
      <c r="H1415">
        <v>0</v>
      </c>
      <c r="I1415">
        <v>379</v>
      </c>
      <c r="J1415">
        <v>54</v>
      </c>
      <c r="K1415" s="1">
        <v>45962</v>
      </c>
      <c r="L1415" t="s">
        <v>439</v>
      </c>
      <c r="M1415" t="s">
        <v>435</v>
      </c>
      <c r="N1415" s="2">
        <f>IFERROR(NHS_A_E[[#This Row],[T1_Over4hrs]]/NHS_A_E[[#This Row],[T1_Attendances]], 0)</f>
        <v>0.35960482985729969</v>
      </c>
      <c r="O1415">
        <f>NHS_A_E[[#This Row],[T1_Attendances]]+NHS_A_E[[#This Row],[Other_Attendances]]</f>
        <v>6353</v>
      </c>
      <c r="P1415">
        <f>MATCH(LEFT(A1415,FIND("-",A1415)-1),{"April","May","June","July","August","September","October","November","December","January","February","March"},0)</f>
        <v>8</v>
      </c>
      <c r="Q1415" s="3">
        <f t="shared" si="44"/>
        <v>1.1855104281009879E-2</v>
      </c>
      <c r="R1415" t="str">
        <f t="shared" si="45"/>
        <v>November</v>
      </c>
    </row>
    <row r="1416" spans="1:18" x14ac:dyDescent="0.35">
      <c r="A1416" t="s">
        <v>442</v>
      </c>
      <c r="B1416" t="s">
        <v>407</v>
      </c>
      <c r="C1416" t="s">
        <v>35</v>
      </c>
      <c r="D1416" t="s">
        <v>408</v>
      </c>
      <c r="E1416">
        <v>0</v>
      </c>
      <c r="F1416">
        <v>0</v>
      </c>
      <c r="G1416">
        <v>0</v>
      </c>
      <c r="H1416">
        <v>0</v>
      </c>
      <c r="I1416">
        <v>0</v>
      </c>
      <c r="J1416">
        <v>0</v>
      </c>
      <c r="K1416" s="1">
        <v>45962</v>
      </c>
      <c r="L1416" t="s">
        <v>439</v>
      </c>
      <c r="M1416" t="s">
        <v>435</v>
      </c>
      <c r="N1416" s="2">
        <f>IFERROR(NHS_A_E[[#This Row],[T1_Over4hrs]]/NHS_A_E[[#This Row],[T1_Attendances]], 0)</f>
        <v>0</v>
      </c>
      <c r="O1416">
        <f>NHS_A_E[[#This Row],[T1_Attendances]]+NHS_A_E[[#This Row],[Other_Attendances]]</f>
        <v>0</v>
      </c>
      <c r="P1416">
        <f>MATCH(LEFT(A1416,FIND("-",A1416)-1),{"April","May","June","July","August","September","October","November","December","January","February","March"},0)</f>
        <v>8</v>
      </c>
      <c r="Q1416" s="3">
        <f t="shared" si="44"/>
        <v>0</v>
      </c>
      <c r="R1416" t="str">
        <f t="shared" si="45"/>
        <v>November</v>
      </c>
    </row>
    <row r="1417" spans="1:18" x14ac:dyDescent="0.35">
      <c r="A1417" t="s">
        <v>442</v>
      </c>
      <c r="B1417" t="s">
        <v>365</v>
      </c>
      <c r="C1417" t="s">
        <v>35</v>
      </c>
      <c r="D1417" t="s">
        <v>366</v>
      </c>
      <c r="E1417">
        <v>13781</v>
      </c>
      <c r="F1417">
        <v>0</v>
      </c>
      <c r="G1417">
        <v>4221</v>
      </c>
      <c r="H1417">
        <v>0</v>
      </c>
      <c r="I1417">
        <v>504</v>
      </c>
      <c r="J1417">
        <v>292</v>
      </c>
      <c r="K1417" s="1">
        <v>45962</v>
      </c>
      <c r="L1417" t="s">
        <v>439</v>
      </c>
      <c r="M1417" t="s">
        <v>435</v>
      </c>
      <c r="N1417" s="2">
        <f>IFERROR(NHS_A_E[[#This Row],[T1_Over4hrs]]/NHS_A_E[[#This Row],[T1_Attendances]], 0)</f>
        <v>0.30629127058994265</v>
      </c>
      <c r="O1417">
        <f>NHS_A_E[[#This Row],[T1_Attendances]]+NHS_A_E[[#This Row],[Other_Attendances]]</f>
        <v>13781</v>
      </c>
      <c r="P1417">
        <f>MATCH(LEFT(A1417,FIND("-",A1417)-1),{"April","May","June","July","August","September","October","November","December","January","February","March"},0)</f>
        <v>8</v>
      </c>
      <c r="Q1417" s="3">
        <f t="shared" si="44"/>
        <v>2.1188592990349031E-2</v>
      </c>
      <c r="R1417" t="str">
        <f t="shared" si="45"/>
        <v>November</v>
      </c>
    </row>
    <row r="1418" spans="1:18" x14ac:dyDescent="0.35">
      <c r="A1418" t="s">
        <v>442</v>
      </c>
      <c r="B1418" t="s">
        <v>165</v>
      </c>
      <c r="C1418" t="s">
        <v>63</v>
      </c>
      <c r="D1418" t="s">
        <v>166</v>
      </c>
      <c r="E1418">
        <v>13567</v>
      </c>
      <c r="F1418">
        <v>6522</v>
      </c>
      <c r="G1418">
        <v>5561</v>
      </c>
      <c r="H1418">
        <v>12</v>
      </c>
      <c r="I1418">
        <v>586</v>
      </c>
      <c r="J1418">
        <v>48</v>
      </c>
      <c r="K1418" s="1">
        <v>45962</v>
      </c>
      <c r="L1418" t="s">
        <v>439</v>
      </c>
      <c r="M1418" t="s">
        <v>435</v>
      </c>
      <c r="N1418" s="2">
        <f>IFERROR(NHS_A_E[[#This Row],[T1_Over4hrs]]/NHS_A_E[[#This Row],[T1_Attendances]], 0)</f>
        <v>0.4098916488538365</v>
      </c>
      <c r="O1418">
        <f>NHS_A_E[[#This Row],[T1_Attendances]]+NHS_A_E[[#This Row],[Other_Attendances]]</f>
        <v>20089</v>
      </c>
      <c r="P1418">
        <f>MATCH(LEFT(A1418,FIND("-",A1418)-1),{"April","May","June","July","August","September","October","November","December","January","February","March"},0)</f>
        <v>8</v>
      </c>
      <c r="Q1418" s="3">
        <f t="shared" si="44"/>
        <v>3.5379966094199159E-3</v>
      </c>
      <c r="R1418" t="str">
        <f t="shared" si="45"/>
        <v>November</v>
      </c>
    </row>
    <row r="1419" spans="1:18" x14ac:dyDescent="0.35">
      <c r="A1419" t="s">
        <v>442</v>
      </c>
      <c r="B1419" t="s">
        <v>69</v>
      </c>
      <c r="C1419" t="s">
        <v>20</v>
      </c>
      <c r="D1419" t="s">
        <v>70</v>
      </c>
      <c r="E1419">
        <v>13199</v>
      </c>
      <c r="F1419">
        <v>0</v>
      </c>
      <c r="G1419">
        <v>4804</v>
      </c>
      <c r="H1419">
        <v>0</v>
      </c>
      <c r="I1419">
        <v>430</v>
      </c>
      <c r="J1419">
        <v>389</v>
      </c>
      <c r="K1419" s="1">
        <v>45962</v>
      </c>
      <c r="L1419" t="s">
        <v>439</v>
      </c>
      <c r="M1419" t="s">
        <v>435</v>
      </c>
      <c r="N1419" s="2">
        <f>IFERROR(NHS_A_E[[#This Row],[T1_Over4hrs]]/NHS_A_E[[#This Row],[T1_Attendances]], 0)</f>
        <v>0.3639669671944844</v>
      </c>
      <c r="O1419">
        <f>NHS_A_E[[#This Row],[T1_Attendances]]+NHS_A_E[[#This Row],[Other_Attendances]]</f>
        <v>13199</v>
      </c>
      <c r="P1419">
        <f>MATCH(LEFT(A1419,FIND("-",A1419)-1),{"April","May","June","July","August","September","October","November","December","January","February","March"},0)</f>
        <v>8</v>
      </c>
      <c r="Q1419" s="3">
        <f t="shared" si="44"/>
        <v>2.9471929691643306E-2</v>
      </c>
      <c r="R1419" t="str">
        <f t="shared" si="45"/>
        <v>November</v>
      </c>
    </row>
    <row r="1420" spans="1:18" x14ac:dyDescent="0.35">
      <c r="A1420" t="s">
        <v>442</v>
      </c>
      <c r="B1420" t="s">
        <v>221</v>
      </c>
      <c r="C1420" t="s">
        <v>63</v>
      </c>
      <c r="D1420" t="s">
        <v>222</v>
      </c>
      <c r="E1420">
        <v>10619</v>
      </c>
      <c r="F1420">
        <v>12504</v>
      </c>
      <c r="G1420">
        <v>2577</v>
      </c>
      <c r="H1420">
        <v>0</v>
      </c>
      <c r="I1420">
        <v>20</v>
      </c>
      <c r="J1420">
        <v>0</v>
      </c>
      <c r="K1420" s="1">
        <v>45962</v>
      </c>
      <c r="L1420" t="s">
        <v>439</v>
      </c>
      <c r="M1420" t="s">
        <v>435</v>
      </c>
      <c r="N1420" s="2">
        <f>IFERROR(NHS_A_E[[#This Row],[T1_Over4hrs]]/NHS_A_E[[#This Row],[T1_Attendances]], 0)</f>
        <v>0.2426782182879744</v>
      </c>
      <c r="O1420">
        <f>NHS_A_E[[#This Row],[T1_Attendances]]+NHS_A_E[[#This Row],[Other_Attendances]]</f>
        <v>23123</v>
      </c>
      <c r="P1420">
        <f>MATCH(LEFT(A1420,FIND("-",A1420)-1),{"April","May","June","July","August","September","October","November","December","January","February","March"},0)</f>
        <v>8</v>
      </c>
      <c r="Q1420" s="3">
        <f t="shared" si="44"/>
        <v>0</v>
      </c>
      <c r="R1420" t="str">
        <f t="shared" si="45"/>
        <v>November</v>
      </c>
    </row>
    <row r="1421" spans="1:18" x14ac:dyDescent="0.35">
      <c r="A1421" t="s">
        <v>442</v>
      </c>
      <c r="B1421" t="s">
        <v>121</v>
      </c>
      <c r="C1421" t="s">
        <v>15</v>
      </c>
      <c r="D1421" t="s">
        <v>122</v>
      </c>
      <c r="E1421">
        <v>7533</v>
      </c>
      <c r="F1421">
        <v>2830</v>
      </c>
      <c r="G1421">
        <v>3455</v>
      </c>
      <c r="H1421">
        <v>25</v>
      </c>
      <c r="I1421">
        <v>521</v>
      </c>
      <c r="J1421">
        <v>325</v>
      </c>
      <c r="K1421" s="1">
        <v>45962</v>
      </c>
      <c r="L1421" t="s">
        <v>439</v>
      </c>
      <c r="M1421" t="s">
        <v>435</v>
      </c>
      <c r="N1421" s="2">
        <f>IFERROR(NHS_A_E[[#This Row],[T1_Over4hrs]]/NHS_A_E[[#This Row],[T1_Attendances]], 0)</f>
        <v>0.45864861277047658</v>
      </c>
      <c r="O1421">
        <f>NHS_A_E[[#This Row],[T1_Attendances]]+NHS_A_E[[#This Row],[Other_Attendances]]</f>
        <v>10363</v>
      </c>
      <c r="P1421">
        <f>MATCH(LEFT(A1421,FIND("-",A1421)-1),{"April","May","June","July","August","September","October","November","December","January","February","March"},0)</f>
        <v>8</v>
      </c>
      <c r="Q1421" s="3">
        <f t="shared" si="44"/>
        <v>4.3143501924863929E-2</v>
      </c>
      <c r="R1421" t="str">
        <f t="shared" si="45"/>
        <v>November</v>
      </c>
    </row>
    <row r="1422" spans="1:18" x14ac:dyDescent="0.35">
      <c r="A1422" t="s">
        <v>442</v>
      </c>
      <c r="B1422" t="s">
        <v>39</v>
      </c>
      <c r="C1422" t="s">
        <v>40</v>
      </c>
      <c r="D1422" t="s">
        <v>41</v>
      </c>
      <c r="E1422">
        <v>14698</v>
      </c>
      <c r="F1422">
        <v>8611</v>
      </c>
      <c r="G1422">
        <v>8019</v>
      </c>
      <c r="H1422">
        <v>205</v>
      </c>
      <c r="I1422">
        <v>1073</v>
      </c>
      <c r="J1422">
        <v>1093</v>
      </c>
      <c r="K1422" s="1">
        <v>45962</v>
      </c>
      <c r="L1422" t="s">
        <v>439</v>
      </c>
      <c r="M1422" t="s">
        <v>435</v>
      </c>
      <c r="N1422" s="2">
        <f>IFERROR(NHS_A_E[[#This Row],[T1_Over4hrs]]/NHS_A_E[[#This Row],[T1_Attendances]], 0)</f>
        <v>0.5455844332562253</v>
      </c>
      <c r="O1422">
        <f>NHS_A_E[[#This Row],[T1_Attendances]]+NHS_A_E[[#This Row],[Other_Attendances]]</f>
        <v>23309</v>
      </c>
      <c r="P1422">
        <f>MATCH(LEFT(A1422,FIND("-",A1422)-1),{"April","May","June","July","August","September","October","November","December","January","February","March"},0)</f>
        <v>8</v>
      </c>
      <c r="Q1422" s="3">
        <f t="shared" si="44"/>
        <v>7.4363859028439241E-2</v>
      </c>
      <c r="R1422" t="str">
        <f t="shared" si="45"/>
        <v>November</v>
      </c>
    </row>
    <row r="1423" spans="1:18" x14ac:dyDescent="0.35">
      <c r="A1423" t="s">
        <v>442</v>
      </c>
      <c r="B1423" t="s">
        <v>317</v>
      </c>
      <c r="C1423" t="s">
        <v>63</v>
      </c>
      <c r="D1423" t="s">
        <v>318</v>
      </c>
      <c r="E1423">
        <v>7413</v>
      </c>
      <c r="F1423">
        <v>9125</v>
      </c>
      <c r="G1423">
        <v>3761</v>
      </c>
      <c r="H1423">
        <v>361</v>
      </c>
      <c r="I1423">
        <v>372</v>
      </c>
      <c r="J1423">
        <v>24</v>
      </c>
      <c r="K1423" s="1">
        <v>45962</v>
      </c>
      <c r="L1423" t="s">
        <v>439</v>
      </c>
      <c r="M1423" t="s">
        <v>435</v>
      </c>
      <c r="N1423" s="2">
        <f>IFERROR(NHS_A_E[[#This Row],[T1_Over4hrs]]/NHS_A_E[[#This Row],[T1_Attendances]], 0)</f>
        <v>0.50735194927829486</v>
      </c>
      <c r="O1423">
        <f>NHS_A_E[[#This Row],[T1_Attendances]]+NHS_A_E[[#This Row],[Other_Attendances]]</f>
        <v>16538</v>
      </c>
      <c r="P1423">
        <f>MATCH(LEFT(A1423,FIND("-",A1423)-1),{"April","May","June","July","August","September","October","November","December","January","February","March"},0)</f>
        <v>8</v>
      </c>
      <c r="Q1423" s="3">
        <f t="shared" si="44"/>
        <v>3.2375556454876568E-3</v>
      </c>
      <c r="R1423" t="str">
        <f t="shared" si="45"/>
        <v>November</v>
      </c>
    </row>
    <row r="1424" spans="1:18" x14ac:dyDescent="0.35">
      <c r="A1424" t="s">
        <v>442</v>
      </c>
      <c r="B1424" t="s">
        <v>424</v>
      </c>
      <c r="C1424" t="s">
        <v>20</v>
      </c>
      <c r="D1424" t="s">
        <v>425</v>
      </c>
      <c r="E1424">
        <v>0</v>
      </c>
      <c r="F1424">
        <v>1505</v>
      </c>
      <c r="G1424">
        <v>0</v>
      </c>
      <c r="H1424">
        <v>10</v>
      </c>
      <c r="I1424">
        <v>0</v>
      </c>
      <c r="J1424">
        <v>0</v>
      </c>
      <c r="K1424" s="1">
        <v>45962</v>
      </c>
      <c r="L1424" t="s">
        <v>439</v>
      </c>
      <c r="M1424" t="s">
        <v>435</v>
      </c>
      <c r="N1424" s="2">
        <f>IFERROR(NHS_A_E[[#This Row],[T1_Over4hrs]]/NHS_A_E[[#This Row],[T1_Attendances]], 0)</f>
        <v>0</v>
      </c>
      <c r="O1424">
        <f>NHS_A_E[[#This Row],[T1_Attendances]]+NHS_A_E[[#This Row],[Other_Attendances]]</f>
        <v>1505</v>
      </c>
      <c r="P1424">
        <f>MATCH(LEFT(A1424,FIND("-",A1424)-1),{"April","May","June","July","August","September","October","November","December","January","February","March"},0)</f>
        <v>8</v>
      </c>
      <c r="Q1424" s="3">
        <f t="shared" si="44"/>
        <v>0</v>
      </c>
      <c r="R1424" t="str">
        <f t="shared" si="45"/>
        <v>November</v>
      </c>
    </row>
    <row r="1425" spans="1:18" x14ac:dyDescent="0.35">
      <c r="A1425" t="s">
        <v>442</v>
      </c>
      <c r="B1425" t="s">
        <v>79</v>
      </c>
      <c r="C1425" t="s">
        <v>63</v>
      </c>
      <c r="D1425" t="s">
        <v>80</v>
      </c>
      <c r="E1425">
        <v>0</v>
      </c>
      <c r="F1425">
        <v>2511</v>
      </c>
      <c r="G1425">
        <v>0</v>
      </c>
      <c r="H1425">
        <v>83</v>
      </c>
      <c r="I1425">
        <v>0</v>
      </c>
      <c r="J1425">
        <v>0</v>
      </c>
      <c r="K1425" s="1">
        <v>45962</v>
      </c>
      <c r="L1425" t="s">
        <v>439</v>
      </c>
      <c r="M1425" t="s">
        <v>435</v>
      </c>
      <c r="N1425" s="2">
        <f>IFERROR(NHS_A_E[[#This Row],[T1_Over4hrs]]/NHS_A_E[[#This Row],[T1_Attendances]], 0)</f>
        <v>0</v>
      </c>
      <c r="O1425">
        <f>NHS_A_E[[#This Row],[T1_Attendances]]+NHS_A_E[[#This Row],[Other_Attendances]]</f>
        <v>2511</v>
      </c>
      <c r="P1425">
        <f>MATCH(LEFT(A1425,FIND("-",A1425)-1),{"April","May","June","July","August","September","October","November","December","January","February","March"},0)</f>
        <v>8</v>
      </c>
      <c r="Q1425" s="3">
        <f t="shared" si="44"/>
        <v>0</v>
      </c>
      <c r="R1425" t="str">
        <f t="shared" si="45"/>
        <v>November</v>
      </c>
    </row>
    <row r="1426" spans="1:18" x14ac:dyDescent="0.35">
      <c r="A1426" t="s">
        <v>442</v>
      </c>
      <c r="B1426" t="s">
        <v>355</v>
      </c>
      <c r="C1426" t="s">
        <v>30</v>
      </c>
      <c r="D1426" t="s">
        <v>356</v>
      </c>
      <c r="E1426">
        <v>8397</v>
      </c>
      <c r="F1426">
        <v>3181</v>
      </c>
      <c r="G1426">
        <v>4053</v>
      </c>
      <c r="H1426">
        <v>213</v>
      </c>
      <c r="I1426">
        <v>429</v>
      </c>
      <c r="J1426">
        <v>655</v>
      </c>
      <c r="K1426" s="1">
        <v>45962</v>
      </c>
      <c r="L1426" t="s">
        <v>439</v>
      </c>
      <c r="M1426" t="s">
        <v>435</v>
      </c>
      <c r="N1426" s="2">
        <f>IFERROR(NHS_A_E[[#This Row],[T1_Over4hrs]]/NHS_A_E[[#This Row],[T1_Attendances]], 0)</f>
        <v>0.4826723829939264</v>
      </c>
      <c r="O1426">
        <f>NHS_A_E[[#This Row],[T1_Attendances]]+NHS_A_E[[#This Row],[Other_Attendances]]</f>
        <v>11578</v>
      </c>
      <c r="P1426">
        <f>MATCH(LEFT(A1426,FIND("-",A1426)-1),{"April","May","June","July","August","September","October","November","December","January","February","March"},0)</f>
        <v>8</v>
      </c>
      <c r="Q1426" s="3">
        <f t="shared" si="44"/>
        <v>7.8004049065142314E-2</v>
      </c>
      <c r="R1426" t="str">
        <f t="shared" si="45"/>
        <v>November</v>
      </c>
    </row>
    <row r="1427" spans="1:18" x14ac:dyDescent="0.35">
      <c r="A1427" t="s">
        <v>442</v>
      </c>
      <c r="B1427" t="s">
        <v>357</v>
      </c>
      <c r="C1427" t="s">
        <v>20</v>
      </c>
      <c r="D1427" t="s">
        <v>358</v>
      </c>
      <c r="E1427">
        <v>6143</v>
      </c>
      <c r="F1427">
        <v>5510</v>
      </c>
      <c r="G1427">
        <v>2947</v>
      </c>
      <c r="H1427">
        <v>418</v>
      </c>
      <c r="I1427">
        <v>668</v>
      </c>
      <c r="J1427">
        <v>326</v>
      </c>
      <c r="K1427" s="1">
        <v>45962</v>
      </c>
      <c r="L1427" t="s">
        <v>439</v>
      </c>
      <c r="M1427" t="s">
        <v>435</v>
      </c>
      <c r="N1427" s="2">
        <f>IFERROR(NHS_A_E[[#This Row],[T1_Over4hrs]]/NHS_A_E[[#This Row],[T1_Attendances]], 0)</f>
        <v>0.47973302946443108</v>
      </c>
      <c r="O1427">
        <f>NHS_A_E[[#This Row],[T1_Attendances]]+NHS_A_E[[#This Row],[Other_Attendances]]</f>
        <v>11653</v>
      </c>
      <c r="P1427">
        <f>MATCH(LEFT(A1427,FIND("-",A1427)-1),{"April","May","June","July","August","September","October","November","December","January","February","March"},0)</f>
        <v>8</v>
      </c>
      <c r="Q1427" s="3">
        <f t="shared" si="44"/>
        <v>5.3068533289923489E-2</v>
      </c>
      <c r="R1427" t="str">
        <f t="shared" si="45"/>
        <v>November</v>
      </c>
    </row>
    <row r="1428" spans="1:18" x14ac:dyDescent="0.35">
      <c r="A1428" t="s">
        <v>442</v>
      </c>
      <c r="B1428" t="s">
        <v>359</v>
      </c>
      <c r="C1428" t="s">
        <v>40</v>
      </c>
      <c r="D1428" t="s">
        <v>360</v>
      </c>
      <c r="E1428">
        <v>9954</v>
      </c>
      <c r="F1428">
        <v>4454</v>
      </c>
      <c r="G1428">
        <v>3561</v>
      </c>
      <c r="H1428">
        <v>85</v>
      </c>
      <c r="I1428">
        <v>2664</v>
      </c>
      <c r="J1428">
        <v>155</v>
      </c>
      <c r="K1428" s="1">
        <v>45962</v>
      </c>
      <c r="L1428" t="s">
        <v>439</v>
      </c>
      <c r="M1428" t="s">
        <v>435</v>
      </c>
      <c r="N1428" s="2">
        <f>IFERROR(NHS_A_E[[#This Row],[T1_Over4hrs]]/NHS_A_E[[#This Row],[T1_Attendances]], 0)</f>
        <v>0.35774562989752862</v>
      </c>
      <c r="O1428">
        <f>NHS_A_E[[#This Row],[T1_Attendances]]+NHS_A_E[[#This Row],[Other_Attendances]]</f>
        <v>14408</v>
      </c>
      <c r="P1428">
        <f>MATCH(LEFT(A1428,FIND("-",A1428)-1),{"April","May","June","July","August","September","October","November","December","January","February","March"},0)</f>
        <v>8</v>
      </c>
      <c r="Q1428" s="3">
        <f t="shared" si="44"/>
        <v>1.5571629495680129E-2</v>
      </c>
      <c r="R1428" t="str">
        <f t="shared" si="45"/>
        <v>November</v>
      </c>
    </row>
    <row r="1429" spans="1:18" x14ac:dyDescent="0.35">
      <c r="A1429" t="s">
        <v>442</v>
      </c>
      <c r="B1429" t="s">
        <v>417</v>
      </c>
      <c r="C1429" t="s">
        <v>63</v>
      </c>
      <c r="D1429" t="s">
        <v>418</v>
      </c>
      <c r="E1429">
        <v>8819</v>
      </c>
      <c r="F1429">
        <v>1720</v>
      </c>
      <c r="G1429">
        <v>4564</v>
      </c>
      <c r="H1429">
        <v>56</v>
      </c>
      <c r="I1429">
        <v>753</v>
      </c>
      <c r="J1429">
        <v>432</v>
      </c>
      <c r="K1429" s="1">
        <v>45962</v>
      </c>
      <c r="L1429" t="s">
        <v>439</v>
      </c>
      <c r="M1429" t="s">
        <v>435</v>
      </c>
      <c r="N1429" s="2">
        <f>IFERROR(NHS_A_E[[#This Row],[T1_Over4hrs]]/NHS_A_E[[#This Row],[T1_Attendances]], 0)</f>
        <v>0.517518993083116</v>
      </c>
      <c r="O1429">
        <f>NHS_A_E[[#This Row],[T1_Attendances]]+NHS_A_E[[#This Row],[Other_Attendances]]</f>
        <v>10539</v>
      </c>
      <c r="P1429">
        <f>MATCH(LEFT(A1429,FIND("-",A1429)-1),{"April","May","June","July","August","September","October","November","December","January","February","March"},0)</f>
        <v>8</v>
      </c>
      <c r="Q1429" s="3">
        <f t="shared" si="44"/>
        <v>4.8985145708130173E-2</v>
      </c>
      <c r="R1429" t="str">
        <f t="shared" si="45"/>
        <v>November</v>
      </c>
    </row>
    <row r="1430" spans="1:18" x14ac:dyDescent="0.35">
      <c r="A1430" t="s">
        <v>442</v>
      </c>
      <c r="B1430" t="s">
        <v>52</v>
      </c>
      <c r="C1430" t="s">
        <v>40</v>
      </c>
      <c r="D1430" t="s">
        <v>53</v>
      </c>
      <c r="E1430">
        <v>10425</v>
      </c>
      <c r="F1430">
        <v>2058</v>
      </c>
      <c r="G1430">
        <v>4000</v>
      </c>
      <c r="H1430">
        <v>132</v>
      </c>
      <c r="I1430">
        <v>467</v>
      </c>
      <c r="J1430">
        <v>669</v>
      </c>
      <c r="K1430" s="1">
        <v>45962</v>
      </c>
      <c r="L1430" t="s">
        <v>439</v>
      </c>
      <c r="M1430" t="s">
        <v>435</v>
      </c>
      <c r="N1430" s="2">
        <f>IFERROR(NHS_A_E[[#This Row],[T1_Over4hrs]]/NHS_A_E[[#This Row],[T1_Attendances]], 0)</f>
        <v>0.38369304556354916</v>
      </c>
      <c r="O1430">
        <f>NHS_A_E[[#This Row],[T1_Attendances]]+NHS_A_E[[#This Row],[Other_Attendances]]</f>
        <v>12483</v>
      </c>
      <c r="P1430">
        <f>MATCH(LEFT(A1430,FIND("-",A1430)-1),{"April","May","June","July","August","September","October","November","December","January","February","March"},0)</f>
        <v>8</v>
      </c>
      <c r="Q1430" s="3">
        <f t="shared" si="44"/>
        <v>6.4172661870503592E-2</v>
      </c>
      <c r="R1430" t="str">
        <f t="shared" si="45"/>
        <v>November</v>
      </c>
    </row>
    <row r="1431" spans="1:18" x14ac:dyDescent="0.35">
      <c r="A1431" t="s">
        <v>442</v>
      </c>
      <c r="B1431" t="s">
        <v>60</v>
      </c>
      <c r="C1431" t="s">
        <v>35</v>
      </c>
      <c r="D1431" t="s">
        <v>61</v>
      </c>
      <c r="E1431">
        <v>20633</v>
      </c>
      <c r="F1431">
        <v>6228</v>
      </c>
      <c r="G1431">
        <v>5718</v>
      </c>
      <c r="H1431">
        <v>135</v>
      </c>
      <c r="I1431">
        <v>729</v>
      </c>
      <c r="J1431">
        <v>59</v>
      </c>
      <c r="K1431" s="1">
        <v>45962</v>
      </c>
      <c r="L1431" t="s">
        <v>439</v>
      </c>
      <c r="M1431" t="s">
        <v>435</v>
      </c>
      <c r="N1431" s="2">
        <f>IFERROR(NHS_A_E[[#This Row],[T1_Over4hrs]]/NHS_A_E[[#This Row],[T1_Attendances]], 0)</f>
        <v>0.2771288712257064</v>
      </c>
      <c r="O1431">
        <f>NHS_A_E[[#This Row],[T1_Attendances]]+NHS_A_E[[#This Row],[Other_Attendances]]</f>
        <v>26861</v>
      </c>
      <c r="P1431">
        <f>MATCH(LEFT(A1431,FIND("-",A1431)-1),{"April","May","June","July","August","September","October","November","December","January","February","March"},0)</f>
        <v>8</v>
      </c>
      <c r="Q1431" s="3">
        <f t="shared" si="44"/>
        <v>2.8594969224058548E-3</v>
      </c>
      <c r="R1431" t="str">
        <f t="shared" si="45"/>
        <v>November</v>
      </c>
    </row>
    <row r="1432" spans="1:18" x14ac:dyDescent="0.35">
      <c r="A1432" t="s">
        <v>442</v>
      </c>
      <c r="B1432" t="s">
        <v>62</v>
      </c>
      <c r="C1432" t="s">
        <v>63</v>
      </c>
      <c r="D1432" t="s">
        <v>64</v>
      </c>
      <c r="E1432">
        <v>18631</v>
      </c>
      <c r="F1432">
        <v>11615</v>
      </c>
      <c r="G1432">
        <v>7498</v>
      </c>
      <c r="H1432">
        <v>641</v>
      </c>
      <c r="I1432">
        <v>1271</v>
      </c>
      <c r="J1432">
        <v>707</v>
      </c>
      <c r="K1432" s="1">
        <v>45962</v>
      </c>
      <c r="L1432" t="s">
        <v>439</v>
      </c>
      <c r="M1432" t="s">
        <v>435</v>
      </c>
      <c r="N1432" s="2">
        <f>IFERROR(NHS_A_E[[#This Row],[T1_Over4hrs]]/NHS_A_E[[#This Row],[T1_Attendances]], 0)</f>
        <v>0.40244753368042507</v>
      </c>
      <c r="O1432">
        <f>NHS_A_E[[#This Row],[T1_Attendances]]+NHS_A_E[[#This Row],[Other_Attendances]]</f>
        <v>30246</v>
      </c>
      <c r="P1432">
        <f>MATCH(LEFT(A1432,FIND("-",A1432)-1),{"April","May","June","July","August","September","October","November","December","January","February","March"},0)</f>
        <v>8</v>
      </c>
      <c r="Q1432" s="3">
        <f t="shared" si="44"/>
        <v>3.7947506843432989E-2</v>
      </c>
      <c r="R1432" t="str">
        <f t="shared" si="45"/>
        <v>November</v>
      </c>
    </row>
    <row r="1433" spans="1:18" x14ac:dyDescent="0.35">
      <c r="A1433" t="s">
        <v>442</v>
      </c>
      <c r="B1433" t="s">
        <v>219</v>
      </c>
      <c r="C1433" t="s">
        <v>30</v>
      </c>
      <c r="D1433" t="s">
        <v>220</v>
      </c>
      <c r="E1433">
        <v>9070</v>
      </c>
      <c r="F1433">
        <v>2550</v>
      </c>
      <c r="G1433">
        <v>3894</v>
      </c>
      <c r="H1433">
        <v>97</v>
      </c>
      <c r="I1433">
        <v>693</v>
      </c>
      <c r="J1433">
        <v>551</v>
      </c>
      <c r="K1433" s="1">
        <v>45962</v>
      </c>
      <c r="L1433" t="s">
        <v>439</v>
      </c>
      <c r="M1433" t="s">
        <v>435</v>
      </c>
      <c r="N1433" s="2">
        <f>IFERROR(NHS_A_E[[#This Row],[T1_Over4hrs]]/NHS_A_E[[#This Row],[T1_Attendances]], 0)</f>
        <v>0.42932745314222714</v>
      </c>
      <c r="O1433">
        <f>NHS_A_E[[#This Row],[T1_Attendances]]+NHS_A_E[[#This Row],[Other_Attendances]]</f>
        <v>11620</v>
      </c>
      <c r="P1433">
        <f>MATCH(LEFT(A1433,FIND("-",A1433)-1),{"April","May","June","July","August","September","October","November","December","January","February","March"},0)</f>
        <v>8</v>
      </c>
      <c r="Q1433" s="3">
        <f t="shared" si="44"/>
        <v>6.0749724366041896E-2</v>
      </c>
      <c r="R1433" t="str">
        <f t="shared" si="45"/>
        <v>November</v>
      </c>
    </row>
    <row r="1434" spans="1:18" x14ac:dyDescent="0.35">
      <c r="A1434" t="s">
        <v>442</v>
      </c>
      <c r="B1434" t="s">
        <v>175</v>
      </c>
      <c r="C1434" t="s">
        <v>63</v>
      </c>
      <c r="D1434" t="s">
        <v>176</v>
      </c>
      <c r="E1434">
        <v>5042</v>
      </c>
      <c r="F1434">
        <v>11490</v>
      </c>
      <c r="G1434">
        <v>2935</v>
      </c>
      <c r="H1434">
        <v>37</v>
      </c>
      <c r="I1434">
        <v>264</v>
      </c>
      <c r="J1434">
        <v>29</v>
      </c>
      <c r="K1434" s="1">
        <v>45962</v>
      </c>
      <c r="L1434" t="s">
        <v>439</v>
      </c>
      <c r="M1434" t="s">
        <v>435</v>
      </c>
      <c r="N1434" s="2">
        <f>IFERROR(NHS_A_E[[#This Row],[T1_Over4hrs]]/NHS_A_E[[#This Row],[T1_Attendances]], 0)</f>
        <v>0.58211027370091228</v>
      </c>
      <c r="O1434">
        <f>NHS_A_E[[#This Row],[T1_Attendances]]+NHS_A_E[[#This Row],[Other_Attendances]]</f>
        <v>16532</v>
      </c>
      <c r="P1434">
        <f>MATCH(LEFT(A1434,FIND("-",A1434)-1),{"April","May","June","July","August","September","October","November","December","January","February","March"},0)</f>
        <v>8</v>
      </c>
      <c r="Q1434" s="3">
        <f t="shared" si="44"/>
        <v>5.7516858389527964E-3</v>
      </c>
      <c r="R1434" t="str">
        <f t="shared" si="45"/>
        <v>November</v>
      </c>
    </row>
    <row r="1435" spans="1:18" x14ac:dyDescent="0.35">
      <c r="A1435" t="s">
        <v>442</v>
      </c>
      <c r="B1435" t="s">
        <v>81</v>
      </c>
      <c r="C1435" t="s">
        <v>63</v>
      </c>
      <c r="D1435" t="s">
        <v>82</v>
      </c>
      <c r="E1435">
        <v>0</v>
      </c>
      <c r="F1435">
        <v>1567</v>
      </c>
      <c r="G1435">
        <v>0</v>
      </c>
      <c r="H1435">
        <v>41</v>
      </c>
      <c r="I1435">
        <v>0</v>
      </c>
      <c r="J1435">
        <v>0</v>
      </c>
      <c r="K1435" s="1">
        <v>45962</v>
      </c>
      <c r="L1435" t="s">
        <v>439</v>
      </c>
      <c r="M1435" t="s">
        <v>435</v>
      </c>
      <c r="N1435" s="2">
        <f>IFERROR(NHS_A_E[[#This Row],[T1_Over4hrs]]/NHS_A_E[[#This Row],[T1_Attendances]], 0)</f>
        <v>0</v>
      </c>
      <c r="O1435">
        <f>NHS_A_E[[#This Row],[T1_Attendances]]+NHS_A_E[[#This Row],[Other_Attendances]]</f>
        <v>1567</v>
      </c>
      <c r="P1435">
        <f>MATCH(LEFT(A1435,FIND("-",A1435)-1),{"April","May","June","July","August","September","October","November","December","January","February","March"},0)</f>
        <v>8</v>
      </c>
      <c r="Q1435" s="3">
        <f t="shared" si="44"/>
        <v>0</v>
      </c>
      <c r="R1435" t="str">
        <f t="shared" si="45"/>
        <v>November</v>
      </c>
    </row>
    <row r="1436" spans="1:18" x14ac:dyDescent="0.35">
      <c r="A1436" t="s">
        <v>442</v>
      </c>
      <c r="B1436" t="s">
        <v>375</v>
      </c>
      <c r="C1436" t="s">
        <v>40</v>
      </c>
      <c r="D1436" t="s">
        <v>376</v>
      </c>
      <c r="E1436">
        <v>11914</v>
      </c>
      <c r="F1436">
        <v>8726</v>
      </c>
      <c r="G1436">
        <v>5652</v>
      </c>
      <c r="H1436">
        <v>279</v>
      </c>
      <c r="I1436">
        <v>695</v>
      </c>
      <c r="J1436">
        <v>386</v>
      </c>
      <c r="K1436" s="1">
        <v>45962</v>
      </c>
      <c r="L1436" t="s">
        <v>439</v>
      </c>
      <c r="M1436" t="s">
        <v>435</v>
      </c>
      <c r="N1436" s="2">
        <f>IFERROR(NHS_A_E[[#This Row],[T1_Over4hrs]]/NHS_A_E[[#This Row],[T1_Attendances]], 0)</f>
        <v>0.47439986570421355</v>
      </c>
      <c r="O1436">
        <f>NHS_A_E[[#This Row],[T1_Attendances]]+NHS_A_E[[#This Row],[Other_Attendances]]</f>
        <v>20640</v>
      </c>
      <c r="P1436">
        <f>MATCH(LEFT(A1436,FIND("-",A1436)-1),{"April","May","June","July","August","September","October","November","December","January","February","March"},0)</f>
        <v>8</v>
      </c>
      <c r="Q1436" s="3">
        <f t="shared" si="44"/>
        <v>3.2398858485815009E-2</v>
      </c>
      <c r="R1436" t="str">
        <f t="shared" si="45"/>
        <v>November</v>
      </c>
    </row>
    <row r="1437" spans="1:18" x14ac:dyDescent="0.35">
      <c r="A1437" t="s">
        <v>442</v>
      </c>
      <c r="B1437" t="s">
        <v>203</v>
      </c>
      <c r="C1437" t="s">
        <v>40</v>
      </c>
      <c r="D1437" t="s">
        <v>204</v>
      </c>
      <c r="E1437">
        <v>0</v>
      </c>
      <c r="F1437">
        <v>0</v>
      </c>
      <c r="G1437">
        <v>0</v>
      </c>
      <c r="H1437">
        <v>0</v>
      </c>
      <c r="I1437">
        <v>0</v>
      </c>
      <c r="J1437">
        <v>0</v>
      </c>
      <c r="K1437" s="1">
        <v>45962</v>
      </c>
      <c r="L1437" t="s">
        <v>439</v>
      </c>
      <c r="M1437" t="s">
        <v>435</v>
      </c>
      <c r="N1437" s="2">
        <f>IFERROR(NHS_A_E[[#This Row],[T1_Over4hrs]]/NHS_A_E[[#This Row],[T1_Attendances]], 0)</f>
        <v>0</v>
      </c>
      <c r="O1437">
        <f>NHS_A_E[[#This Row],[T1_Attendances]]+NHS_A_E[[#This Row],[Other_Attendances]]</f>
        <v>0</v>
      </c>
      <c r="P1437">
        <f>MATCH(LEFT(A1437,FIND("-",A1437)-1),{"April","May","June","July","August","September","October","November","December","January","February","March"},0)</f>
        <v>8</v>
      </c>
      <c r="Q1437" s="3">
        <f t="shared" si="44"/>
        <v>0</v>
      </c>
      <c r="R1437" t="str">
        <f t="shared" si="45"/>
        <v>November</v>
      </c>
    </row>
    <row r="1438" spans="1:18" x14ac:dyDescent="0.35">
      <c r="A1438" t="s">
        <v>442</v>
      </c>
      <c r="B1438" t="s">
        <v>205</v>
      </c>
      <c r="C1438" t="s">
        <v>35</v>
      </c>
      <c r="D1438" t="s">
        <v>206</v>
      </c>
      <c r="E1438">
        <v>12110</v>
      </c>
      <c r="F1438">
        <v>6975</v>
      </c>
      <c r="G1438">
        <v>4743</v>
      </c>
      <c r="H1438">
        <v>340</v>
      </c>
      <c r="I1438">
        <v>579</v>
      </c>
      <c r="J1438">
        <v>0</v>
      </c>
      <c r="K1438" s="1">
        <v>45962</v>
      </c>
      <c r="L1438" t="s">
        <v>439</v>
      </c>
      <c r="M1438" t="s">
        <v>435</v>
      </c>
      <c r="N1438" s="2">
        <f>IFERROR(NHS_A_E[[#This Row],[T1_Over4hrs]]/NHS_A_E[[#This Row],[T1_Attendances]], 0)</f>
        <v>0.39165978530140377</v>
      </c>
      <c r="O1438">
        <f>NHS_A_E[[#This Row],[T1_Attendances]]+NHS_A_E[[#This Row],[Other_Attendances]]</f>
        <v>19085</v>
      </c>
      <c r="P1438">
        <f>MATCH(LEFT(A1438,FIND("-",A1438)-1),{"April","May","June","July","August","September","October","November","December","January","February","March"},0)</f>
        <v>8</v>
      </c>
      <c r="Q1438" s="3">
        <f t="shared" si="44"/>
        <v>0</v>
      </c>
      <c r="R1438" t="str">
        <f t="shared" si="45"/>
        <v>November</v>
      </c>
    </row>
    <row r="1439" spans="1:18" x14ac:dyDescent="0.35">
      <c r="A1439" t="s">
        <v>442</v>
      </c>
      <c r="B1439" t="s">
        <v>259</v>
      </c>
      <c r="C1439" t="s">
        <v>40</v>
      </c>
      <c r="D1439" t="s">
        <v>260</v>
      </c>
      <c r="E1439">
        <v>0</v>
      </c>
      <c r="F1439">
        <v>0</v>
      </c>
      <c r="G1439">
        <v>0</v>
      </c>
      <c r="H1439">
        <v>0</v>
      </c>
      <c r="I1439">
        <v>0</v>
      </c>
      <c r="J1439">
        <v>0</v>
      </c>
      <c r="K1439" s="1">
        <v>45962</v>
      </c>
      <c r="L1439" t="s">
        <v>439</v>
      </c>
      <c r="M1439" t="s">
        <v>435</v>
      </c>
      <c r="N1439" s="2">
        <f>IFERROR(NHS_A_E[[#This Row],[T1_Over4hrs]]/NHS_A_E[[#This Row],[T1_Attendances]], 0)</f>
        <v>0</v>
      </c>
      <c r="O1439">
        <f>NHS_A_E[[#This Row],[T1_Attendances]]+NHS_A_E[[#This Row],[Other_Attendances]]</f>
        <v>0</v>
      </c>
      <c r="P1439">
        <f>MATCH(LEFT(A1439,FIND("-",A1439)-1),{"April","May","June","July","August","September","October","November","December","January","February","March"},0)</f>
        <v>8</v>
      </c>
      <c r="Q1439" s="3">
        <f t="shared" si="44"/>
        <v>0</v>
      </c>
      <c r="R1439" t="str">
        <f t="shared" si="45"/>
        <v>November</v>
      </c>
    </row>
    <row r="1440" spans="1:18" x14ac:dyDescent="0.35">
      <c r="A1440" t="s">
        <v>442</v>
      </c>
      <c r="B1440" t="s">
        <v>163</v>
      </c>
      <c r="C1440" t="s">
        <v>35</v>
      </c>
      <c r="D1440" t="s">
        <v>164</v>
      </c>
      <c r="E1440">
        <v>0</v>
      </c>
      <c r="F1440">
        <v>3433</v>
      </c>
      <c r="G1440">
        <v>0</v>
      </c>
      <c r="H1440">
        <v>4</v>
      </c>
      <c r="I1440">
        <v>0</v>
      </c>
      <c r="J1440">
        <v>0</v>
      </c>
      <c r="K1440" s="1">
        <v>45962</v>
      </c>
      <c r="L1440" t="s">
        <v>439</v>
      </c>
      <c r="M1440" t="s">
        <v>435</v>
      </c>
      <c r="N1440" s="2">
        <f>IFERROR(NHS_A_E[[#This Row],[T1_Over4hrs]]/NHS_A_E[[#This Row],[T1_Attendances]], 0)</f>
        <v>0</v>
      </c>
      <c r="O1440">
        <f>NHS_A_E[[#This Row],[T1_Attendances]]+NHS_A_E[[#This Row],[Other_Attendances]]</f>
        <v>3433</v>
      </c>
      <c r="P1440">
        <f>MATCH(LEFT(A1440,FIND("-",A1440)-1),{"April","May","June","July","August","September","October","November","December","January","February","March"},0)</f>
        <v>8</v>
      </c>
      <c r="Q1440" s="3">
        <f t="shared" si="44"/>
        <v>0</v>
      </c>
      <c r="R1440" t="str">
        <f t="shared" si="45"/>
        <v>November</v>
      </c>
    </row>
    <row r="1441" spans="1:18" x14ac:dyDescent="0.35">
      <c r="A1441" t="s">
        <v>442</v>
      </c>
      <c r="B1441" t="s">
        <v>263</v>
      </c>
      <c r="C1441" t="s">
        <v>35</v>
      </c>
      <c r="D1441" t="s">
        <v>264</v>
      </c>
      <c r="E1441">
        <v>0</v>
      </c>
      <c r="F1441">
        <v>2802</v>
      </c>
      <c r="G1441">
        <v>0</v>
      </c>
      <c r="H1441">
        <v>14</v>
      </c>
      <c r="I1441">
        <v>0</v>
      </c>
      <c r="J1441">
        <v>0</v>
      </c>
      <c r="K1441" s="1">
        <v>45962</v>
      </c>
      <c r="L1441" t="s">
        <v>439</v>
      </c>
      <c r="M1441" t="s">
        <v>435</v>
      </c>
      <c r="N1441" s="2">
        <f>IFERROR(NHS_A_E[[#This Row],[T1_Over4hrs]]/NHS_A_E[[#This Row],[T1_Attendances]], 0)</f>
        <v>0</v>
      </c>
      <c r="O1441">
        <f>NHS_A_E[[#This Row],[T1_Attendances]]+NHS_A_E[[#This Row],[Other_Attendances]]</f>
        <v>2802</v>
      </c>
      <c r="P1441">
        <f>MATCH(LEFT(A1441,FIND("-",A1441)-1),{"April","May","June","July","August","September","October","November","December","January","February","March"},0)</f>
        <v>8</v>
      </c>
      <c r="Q1441" s="3">
        <f t="shared" si="44"/>
        <v>0</v>
      </c>
      <c r="R1441" t="str">
        <f t="shared" si="45"/>
        <v>November</v>
      </c>
    </row>
    <row r="1442" spans="1:18" x14ac:dyDescent="0.35">
      <c r="A1442" t="s">
        <v>442</v>
      </c>
      <c r="B1442" t="s">
        <v>422</v>
      </c>
      <c r="C1442" t="s">
        <v>20</v>
      </c>
      <c r="D1442" t="s">
        <v>423</v>
      </c>
      <c r="E1442">
        <v>0</v>
      </c>
      <c r="F1442">
        <v>990</v>
      </c>
      <c r="G1442">
        <v>0</v>
      </c>
      <c r="H1442">
        <v>1</v>
      </c>
      <c r="I1442">
        <v>0</v>
      </c>
      <c r="J1442">
        <v>0</v>
      </c>
      <c r="K1442" s="1">
        <v>45962</v>
      </c>
      <c r="L1442" t="s">
        <v>439</v>
      </c>
      <c r="M1442" t="s">
        <v>435</v>
      </c>
      <c r="N1442" s="2">
        <f>IFERROR(NHS_A_E[[#This Row],[T1_Over4hrs]]/NHS_A_E[[#This Row],[T1_Attendances]], 0)</f>
        <v>0</v>
      </c>
      <c r="O1442">
        <f>NHS_A_E[[#This Row],[T1_Attendances]]+NHS_A_E[[#This Row],[Other_Attendances]]</f>
        <v>990</v>
      </c>
      <c r="P1442">
        <f>MATCH(LEFT(A1442,FIND("-",A1442)-1),{"April","May","June","July","August","September","October","November","December","January","February","March"},0)</f>
        <v>8</v>
      </c>
      <c r="Q1442" s="3">
        <f t="shared" si="44"/>
        <v>0</v>
      </c>
      <c r="R1442" t="str">
        <f t="shared" si="45"/>
        <v>November</v>
      </c>
    </row>
    <row r="1443" spans="1:18" x14ac:dyDescent="0.35">
      <c r="A1443" t="s">
        <v>442</v>
      </c>
      <c r="B1443" t="s">
        <v>265</v>
      </c>
      <c r="C1443" t="s">
        <v>35</v>
      </c>
      <c r="D1443" t="s">
        <v>266</v>
      </c>
      <c r="E1443">
        <v>0</v>
      </c>
      <c r="F1443">
        <v>2904</v>
      </c>
      <c r="G1443">
        <v>0</v>
      </c>
      <c r="H1443">
        <v>23</v>
      </c>
      <c r="I1443">
        <v>0</v>
      </c>
      <c r="J1443">
        <v>0</v>
      </c>
      <c r="K1443" s="1">
        <v>45962</v>
      </c>
      <c r="L1443" t="s">
        <v>439</v>
      </c>
      <c r="M1443" t="s">
        <v>435</v>
      </c>
      <c r="N1443" s="2">
        <f>IFERROR(NHS_A_E[[#This Row],[T1_Over4hrs]]/NHS_A_E[[#This Row],[T1_Attendances]], 0)</f>
        <v>0</v>
      </c>
      <c r="O1443">
        <f>NHS_A_E[[#This Row],[T1_Attendances]]+NHS_A_E[[#This Row],[Other_Attendances]]</f>
        <v>2904</v>
      </c>
      <c r="P1443">
        <f>MATCH(LEFT(A1443,FIND("-",A1443)-1),{"April","May","June","July","August","September","October","November","December","January","February","March"},0)</f>
        <v>8</v>
      </c>
      <c r="Q1443" s="3">
        <f t="shared" si="44"/>
        <v>0</v>
      </c>
      <c r="R1443" t="str">
        <f t="shared" si="45"/>
        <v>November</v>
      </c>
    </row>
    <row r="1444" spans="1:18" x14ac:dyDescent="0.35">
      <c r="A1444" t="s">
        <v>442</v>
      </c>
      <c r="B1444" t="s">
        <v>75</v>
      </c>
      <c r="C1444" t="s">
        <v>63</v>
      </c>
      <c r="D1444" t="s">
        <v>76</v>
      </c>
      <c r="E1444">
        <v>0</v>
      </c>
      <c r="F1444">
        <v>3748</v>
      </c>
      <c r="G1444">
        <v>0</v>
      </c>
      <c r="H1444">
        <v>461</v>
      </c>
      <c r="I1444">
        <v>0</v>
      </c>
      <c r="J1444">
        <v>0</v>
      </c>
      <c r="K1444" s="1">
        <v>45962</v>
      </c>
      <c r="L1444" t="s">
        <v>439</v>
      </c>
      <c r="M1444" t="s">
        <v>435</v>
      </c>
      <c r="N1444" s="2">
        <f>IFERROR(NHS_A_E[[#This Row],[T1_Over4hrs]]/NHS_A_E[[#This Row],[T1_Attendances]], 0)</f>
        <v>0</v>
      </c>
      <c r="O1444">
        <f>NHS_A_E[[#This Row],[T1_Attendances]]+NHS_A_E[[#This Row],[Other_Attendances]]</f>
        <v>3748</v>
      </c>
      <c r="P1444">
        <f>MATCH(LEFT(A1444,FIND("-",A1444)-1),{"April","May","June","July","August","September","October","November","December","January","February","March"},0)</f>
        <v>8</v>
      </c>
      <c r="Q1444" s="3">
        <f t="shared" si="44"/>
        <v>0</v>
      </c>
      <c r="R1444" t="str">
        <f t="shared" si="45"/>
        <v>November</v>
      </c>
    </row>
    <row r="1445" spans="1:18" x14ac:dyDescent="0.35">
      <c r="A1445" t="s">
        <v>442</v>
      </c>
      <c r="B1445" t="s">
        <v>77</v>
      </c>
      <c r="C1445" t="s">
        <v>63</v>
      </c>
      <c r="D1445" t="s">
        <v>78</v>
      </c>
      <c r="E1445">
        <v>0</v>
      </c>
      <c r="F1445">
        <v>1320</v>
      </c>
      <c r="G1445">
        <v>0</v>
      </c>
      <c r="H1445">
        <v>57</v>
      </c>
      <c r="I1445">
        <v>0</v>
      </c>
      <c r="J1445">
        <v>0</v>
      </c>
      <c r="K1445" s="1">
        <v>45962</v>
      </c>
      <c r="L1445" t="s">
        <v>439</v>
      </c>
      <c r="M1445" t="s">
        <v>435</v>
      </c>
      <c r="N1445" s="2">
        <f>IFERROR(NHS_A_E[[#This Row],[T1_Over4hrs]]/NHS_A_E[[#This Row],[T1_Attendances]], 0)</f>
        <v>0</v>
      </c>
      <c r="O1445">
        <f>NHS_A_E[[#This Row],[T1_Attendances]]+NHS_A_E[[#This Row],[Other_Attendances]]</f>
        <v>1320</v>
      </c>
      <c r="P1445">
        <f>MATCH(LEFT(A1445,FIND("-",A1445)-1),{"April","May","June","July","August","September","October","November","December","January","February","March"},0)</f>
        <v>8</v>
      </c>
      <c r="Q1445" s="3">
        <f t="shared" si="44"/>
        <v>0</v>
      </c>
      <c r="R1445" t="str">
        <f t="shared" si="45"/>
        <v>November</v>
      </c>
    </row>
    <row r="1446" spans="1:18" x14ac:dyDescent="0.35">
      <c r="A1446" t="s">
        <v>442</v>
      </c>
      <c r="B1446" t="s">
        <v>199</v>
      </c>
      <c r="C1446" t="s">
        <v>40</v>
      </c>
      <c r="D1446" t="s">
        <v>200</v>
      </c>
      <c r="E1446">
        <v>10683</v>
      </c>
      <c r="F1446">
        <v>2678</v>
      </c>
      <c r="G1446">
        <v>5826</v>
      </c>
      <c r="H1446">
        <v>380</v>
      </c>
      <c r="I1446">
        <v>385</v>
      </c>
      <c r="J1446">
        <v>1454</v>
      </c>
      <c r="K1446" s="1">
        <v>45962</v>
      </c>
      <c r="L1446" t="s">
        <v>439</v>
      </c>
      <c r="M1446" t="s">
        <v>435</v>
      </c>
      <c r="N1446" s="2">
        <f>IFERROR(NHS_A_E[[#This Row],[T1_Over4hrs]]/NHS_A_E[[#This Row],[T1_Attendances]], 0)</f>
        <v>0.54535242909295145</v>
      </c>
      <c r="O1446">
        <f>NHS_A_E[[#This Row],[T1_Attendances]]+NHS_A_E[[#This Row],[Other_Attendances]]</f>
        <v>13361</v>
      </c>
      <c r="P1446">
        <f>MATCH(LEFT(A1446,FIND("-",A1446)-1),{"April","May","June","July","August","September","October","November","December","January","February","March"},0)</f>
        <v>8</v>
      </c>
      <c r="Q1446" s="3">
        <f t="shared" si="44"/>
        <v>0.13610409061125153</v>
      </c>
      <c r="R1446" t="str">
        <f t="shared" si="45"/>
        <v>November</v>
      </c>
    </row>
    <row r="1447" spans="1:18" x14ac:dyDescent="0.35">
      <c r="A1447" t="s">
        <v>442</v>
      </c>
      <c r="B1447" t="s">
        <v>169</v>
      </c>
      <c r="C1447" t="s">
        <v>20</v>
      </c>
      <c r="D1447" t="s">
        <v>170</v>
      </c>
      <c r="E1447">
        <v>9172</v>
      </c>
      <c r="F1447">
        <v>0</v>
      </c>
      <c r="G1447">
        <v>3075</v>
      </c>
      <c r="H1447">
        <v>0</v>
      </c>
      <c r="I1447">
        <v>554</v>
      </c>
      <c r="J1447">
        <v>366</v>
      </c>
      <c r="K1447" s="1">
        <v>45962</v>
      </c>
      <c r="L1447" t="s">
        <v>439</v>
      </c>
      <c r="M1447" t="s">
        <v>435</v>
      </c>
      <c r="N1447" s="2">
        <f>IFERROR(NHS_A_E[[#This Row],[T1_Over4hrs]]/NHS_A_E[[#This Row],[T1_Attendances]], 0)</f>
        <v>0.33525948539031836</v>
      </c>
      <c r="O1447">
        <f>NHS_A_E[[#This Row],[T1_Attendances]]+NHS_A_E[[#This Row],[Other_Attendances]]</f>
        <v>9172</v>
      </c>
      <c r="P1447">
        <f>MATCH(LEFT(A1447,FIND("-",A1447)-1),{"April","May","June","July","August","September","October","November","December","January","February","March"},0)</f>
        <v>8</v>
      </c>
      <c r="Q1447" s="3">
        <f t="shared" si="44"/>
        <v>3.9904055822067158E-2</v>
      </c>
      <c r="R1447" t="str">
        <f t="shared" si="45"/>
        <v>November</v>
      </c>
    </row>
    <row r="1448" spans="1:18" x14ac:dyDescent="0.35">
      <c r="A1448" t="s">
        <v>442</v>
      </c>
      <c r="B1448" t="s">
        <v>179</v>
      </c>
      <c r="C1448" t="s">
        <v>40</v>
      </c>
      <c r="D1448" t="s">
        <v>180</v>
      </c>
      <c r="E1448">
        <v>16510</v>
      </c>
      <c r="F1448">
        <v>4055</v>
      </c>
      <c r="G1448">
        <v>6433</v>
      </c>
      <c r="H1448">
        <v>296</v>
      </c>
      <c r="I1448">
        <v>895</v>
      </c>
      <c r="J1448">
        <v>932</v>
      </c>
      <c r="K1448" s="1">
        <v>45962</v>
      </c>
      <c r="L1448" t="s">
        <v>439</v>
      </c>
      <c r="M1448" t="s">
        <v>435</v>
      </c>
      <c r="N1448" s="2">
        <f>IFERROR(NHS_A_E[[#This Row],[T1_Over4hrs]]/NHS_A_E[[#This Row],[T1_Attendances]], 0)</f>
        <v>0.38964264082374317</v>
      </c>
      <c r="O1448">
        <f>NHS_A_E[[#This Row],[T1_Attendances]]+NHS_A_E[[#This Row],[Other_Attendances]]</f>
        <v>20565</v>
      </c>
      <c r="P1448">
        <f>MATCH(LEFT(A1448,FIND("-",A1448)-1),{"April","May","June","July","August","September","October","November","December","January","February","March"},0)</f>
        <v>8</v>
      </c>
      <c r="Q1448" s="3">
        <f t="shared" si="44"/>
        <v>5.6450635978195031E-2</v>
      </c>
      <c r="R1448" t="str">
        <f t="shared" si="45"/>
        <v>November</v>
      </c>
    </row>
    <row r="1449" spans="1:18" x14ac:dyDescent="0.35">
      <c r="A1449" t="s">
        <v>442</v>
      </c>
      <c r="B1449" t="s">
        <v>409</v>
      </c>
      <c r="C1449" t="s">
        <v>15</v>
      </c>
      <c r="D1449" t="s">
        <v>410</v>
      </c>
      <c r="E1449">
        <v>18346</v>
      </c>
      <c r="F1449">
        <v>1739</v>
      </c>
      <c r="G1449">
        <v>3915</v>
      </c>
      <c r="H1449">
        <v>55</v>
      </c>
      <c r="I1449">
        <v>988</v>
      </c>
      <c r="J1449">
        <v>247</v>
      </c>
      <c r="K1449" s="1">
        <v>45962</v>
      </c>
      <c r="L1449" t="s">
        <v>439</v>
      </c>
      <c r="M1449" t="s">
        <v>435</v>
      </c>
      <c r="N1449" s="2">
        <f>IFERROR(NHS_A_E[[#This Row],[T1_Over4hrs]]/NHS_A_E[[#This Row],[T1_Attendances]], 0)</f>
        <v>0.21339801591627602</v>
      </c>
      <c r="O1449">
        <f>NHS_A_E[[#This Row],[T1_Attendances]]+NHS_A_E[[#This Row],[Other_Attendances]]</f>
        <v>20085</v>
      </c>
      <c r="P1449">
        <f>MATCH(LEFT(A1449,FIND("-",A1449)-1),{"April","May","June","July","August","September","October","November","December","January","February","March"},0)</f>
        <v>8</v>
      </c>
      <c r="Q1449" s="3">
        <f t="shared" si="44"/>
        <v>1.3463425269813584E-2</v>
      </c>
      <c r="R1449" t="str">
        <f t="shared" si="45"/>
        <v>November</v>
      </c>
    </row>
    <row r="1450" spans="1:18" x14ac:dyDescent="0.35">
      <c r="A1450" t="s">
        <v>442</v>
      </c>
      <c r="B1450" t="s">
        <v>109</v>
      </c>
      <c r="C1450" t="s">
        <v>35</v>
      </c>
      <c r="D1450" t="s">
        <v>110</v>
      </c>
      <c r="E1450">
        <v>10659</v>
      </c>
      <c r="F1450">
        <v>6868</v>
      </c>
      <c r="G1450">
        <v>3310</v>
      </c>
      <c r="H1450">
        <v>178</v>
      </c>
      <c r="I1450">
        <v>141</v>
      </c>
      <c r="J1450">
        <v>76</v>
      </c>
      <c r="K1450" s="1">
        <v>45962</v>
      </c>
      <c r="L1450" t="s">
        <v>439</v>
      </c>
      <c r="M1450" t="s">
        <v>435</v>
      </c>
      <c r="N1450" s="2">
        <f>IFERROR(NHS_A_E[[#This Row],[T1_Over4hrs]]/NHS_A_E[[#This Row],[T1_Attendances]], 0)</f>
        <v>0.31053569753260157</v>
      </c>
      <c r="O1450">
        <f>NHS_A_E[[#This Row],[T1_Attendances]]+NHS_A_E[[#This Row],[Other_Attendances]]</f>
        <v>17527</v>
      </c>
      <c r="P1450">
        <f>MATCH(LEFT(A1450,FIND("-",A1450)-1),{"April","May","June","July","August","September","October","November","December","January","February","March"},0)</f>
        <v>8</v>
      </c>
      <c r="Q1450" s="3">
        <f t="shared" si="44"/>
        <v>7.1301247771836003E-3</v>
      </c>
      <c r="R1450" t="str">
        <f t="shared" si="45"/>
        <v>November</v>
      </c>
    </row>
    <row r="1451" spans="1:18" x14ac:dyDescent="0.35">
      <c r="A1451" t="s">
        <v>442</v>
      </c>
      <c r="B1451" t="s">
        <v>411</v>
      </c>
      <c r="C1451" t="s">
        <v>35</v>
      </c>
      <c r="D1451" t="s">
        <v>412</v>
      </c>
      <c r="E1451">
        <v>9340</v>
      </c>
      <c r="F1451">
        <v>0</v>
      </c>
      <c r="G1451">
        <v>2580</v>
      </c>
      <c r="H1451">
        <v>0</v>
      </c>
      <c r="I1451">
        <v>265</v>
      </c>
      <c r="J1451">
        <v>317</v>
      </c>
      <c r="K1451" s="1">
        <v>45962</v>
      </c>
      <c r="L1451" t="s">
        <v>439</v>
      </c>
      <c r="M1451" t="s">
        <v>435</v>
      </c>
      <c r="N1451" s="2">
        <f>IFERROR(NHS_A_E[[#This Row],[T1_Over4hrs]]/NHS_A_E[[#This Row],[T1_Attendances]], 0)</f>
        <v>0.27623126338329762</v>
      </c>
      <c r="O1451">
        <f>NHS_A_E[[#This Row],[T1_Attendances]]+NHS_A_E[[#This Row],[Other_Attendances]]</f>
        <v>9340</v>
      </c>
      <c r="P1451">
        <f>MATCH(LEFT(A1451,FIND("-",A1451)-1),{"April","May","June","July","August","September","October","November","December","January","February","March"},0)</f>
        <v>8</v>
      </c>
      <c r="Q1451" s="3">
        <f t="shared" si="44"/>
        <v>3.3940042826552462E-2</v>
      </c>
      <c r="R1451" t="str">
        <f t="shared" si="45"/>
        <v>November</v>
      </c>
    </row>
    <row r="1452" spans="1:18" x14ac:dyDescent="0.35">
      <c r="A1452" t="s">
        <v>442</v>
      </c>
      <c r="B1452" t="s">
        <v>405</v>
      </c>
      <c r="C1452" t="s">
        <v>15</v>
      </c>
      <c r="D1452" t="s">
        <v>406</v>
      </c>
      <c r="E1452">
        <v>9523</v>
      </c>
      <c r="F1452">
        <v>5900</v>
      </c>
      <c r="G1452">
        <v>3391</v>
      </c>
      <c r="H1452">
        <v>853</v>
      </c>
      <c r="I1452">
        <v>379</v>
      </c>
      <c r="J1452">
        <v>591</v>
      </c>
      <c r="K1452" s="1">
        <v>45962</v>
      </c>
      <c r="L1452" t="s">
        <v>439</v>
      </c>
      <c r="M1452" t="s">
        <v>435</v>
      </c>
      <c r="N1452" s="2">
        <f>IFERROR(NHS_A_E[[#This Row],[T1_Over4hrs]]/NHS_A_E[[#This Row],[T1_Attendances]], 0)</f>
        <v>0.35608526724771605</v>
      </c>
      <c r="O1452">
        <f>NHS_A_E[[#This Row],[T1_Attendances]]+NHS_A_E[[#This Row],[Other_Attendances]]</f>
        <v>15423</v>
      </c>
      <c r="P1452">
        <f>MATCH(LEFT(A1452,FIND("-",A1452)-1),{"April","May","June","July","August","September","October","November","December","January","February","March"},0)</f>
        <v>8</v>
      </c>
      <c r="Q1452" s="3">
        <f t="shared" si="44"/>
        <v>6.2060275123385487E-2</v>
      </c>
      <c r="R1452" t="str">
        <f t="shared" si="45"/>
        <v>November</v>
      </c>
    </row>
    <row r="1453" spans="1:18" x14ac:dyDescent="0.35">
      <c r="A1453" t="s">
        <v>442</v>
      </c>
      <c r="B1453" t="s">
        <v>83</v>
      </c>
      <c r="C1453" t="s">
        <v>35</v>
      </c>
      <c r="D1453" t="s">
        <v>84</v>
      </c>
      <c r="E1453">
        <v>13768</v>
      </c>
      <c r="F1453">
        <v>15911</v>
      </c>
      <c r="G1453">
        <v>6911</v>
      </c>
      <c r="H1453">
        <v>896</v>
      </c>
      <c r="I1453">
        <v>754</v>
      </c>
      <c r="J1453">
        <v>667</v>
      </c>
      <c r="K1453" s="1">
        <v>45962</v>
      </c>
      <c r="L1453" t="s">
        <v>439</v>
      </c>
      <c r="M1453" t="s">
        <v>435</v>
      </c>
      <c r="N1453" s="2">
        <f>IFERROR(NHS_A_E[[#This Row],[T1_Over4hrs]]/NHS_A_E[[#This Row],[T1_Attendances]], 0)</f>
        <v>0.50196106914584548</v>
      </c>
      <c r="O1453">
        <f>NHS_A_E[[#This Row],[T1_Attendances]]+NHS_A_E[[#This Row],[Other_Attendances]]</f>
        <v>29679</v>
      </c>
      <c r="P1453">
        <f>MATCH(LEFT(A1453,FIND("-",A1453)-1),{"April","May","June","July","August","September","October","November","December","January","February","March"},0)</f>
        <v>8</v>
      </c>
      <c r="Q1453" s="3">
        <f t="shared" si="44"/>
        <v>4.844567112144102E-2</v>
      </c>
      <c r="R1453" t="str">
        <f t="shared" si="45"/>
        <v>November</v>
      </c>
    </row>
    <row r="1454" spans="1:18" x14ac:dyDescent="0.35">
      <c r="A1454" t="s">
        <v>442</v>
      </c>
      <c r="B1454" t="s">
        <v>91</v>
      </c>
      <c r="C1454" t="s">
        <v>30</v>
      </c>
      <c r="D1454" t="s">
        <v>92</v>
      </c>
      <c r="E1454">
        <v>17705</v>
      </c>
      <c r="F1454">
        <v>7184</v>
      </c>
      <c r="G1454">
        <v>6946</v>
      </c>
      <c r="H1454">
        <v>120</v>
      </c>
      <c r="I1454">
        <v>520</v>
      </c>
      <c r="J1454">
        <v>471</v>
      </c>
      <c r="K1454" s="1">
        <v>45962</v>
      </c>
      <c r="L1454" t="s">
        <v>439</v>
      </c>
      <c r="M1454" t="s">
        <v>435</v>
      </c>
      <c r="N1454" s="2">
        <f>IFERROR(NHS_A_E[[#This Row],[T1_Over4hrs]]/NHS_A_E[[#This Row],[T1_Attendances]], 0)</f>
        <v>0.39231855408076816</v>
      </c>
      <c r="O1454">
        <f>NHS_A_E[[#This Row],[T1_Attendances]]+NHS_A_E[[#This Row],[Other_Attendances]]</f>
        <v>24889</v>
      </c>
      <c r="P1454">
        <f>MATCH(LEFT(A1454,FIND("-",A1454)-1),{"April","May","June","July","August","September","October","November","December","January","February","March"},0)</f>
        <v>8</v>
      </c>
      <c r="Q1454" s="3">
        <f t="shared" si="44"/>
        <v>2.6602654617339735E-2</v>
      </c>
      <c r="R1454" t="str">
        <f t="shared" si="45"/>
        <v>November</v>
      </c>
    </row>
    <row r="1455" spans="1:18" x14ac:dyDescent="0.35">
      <c r="A1455" t="s">
        <v>442</v>
      </c>
      <c r="B1455" t="s">
        <v>93</v>
      </c>
      <c r="C1455" t="s">
        <v>63</v>
      </c>
      <c r="D1455" t="s">
        <v>94</v>
      </c>
      <c r="E1455">
        <v>11171</v>
      </c>
      <c r="F1455">
        <v>7361</v>
      </c>
      <c r="G1455">
        <v>5473</v>
      </c>
      <c r="H1455">
        <v>244</v>
      </c>
      <c r="I1455">
        <v>807</v>
      </c>
      <c r="J1455">
        <v>306</v>
      </c>
      <c r="K1455" s="1">
        <v>45962</v>
      </c>
      <c r="L1455" t="s">
        <v>439</v>
      </c>
      <c r="M1455" t="s">
        <v>435</v>
      </c>
      <c r="N1455" s="2">
        <f>IFERROR(NHS_A_E[[#This Row],[T1_Over4hrs]]/NHS_A_E[[#This Row],[T1_Attendances]], 0)</f>
        <v>0.4899292811744696</v>
      </c>
      <c r="O1455">
        <f>NHS_A_E[[#This Row],[T1_Attendances]]+NHS_A_E[[#This Row],[Other_Attendances]]</f>
        <v>18532</v>
      </c>
      <c r="P1455">
        <f>MATCH(LEFT(A1455,FIND("-",A1455)-1),{"April","May","June","July","August","September","October","November","December","January","February","March"},0)</f>
        <v>8</v>
      </c>
      <c r="Q1455" s="3">
        <f t="shared" si="44"/>
        <v>2.7392355205442663E-2</v>
      </c>
      <c r="R1455" t="str">
        <f t="shared" si="45"/>
        <v>November</v>
      </c>
    </row>
    <row r="1456" spans="1:18" x14ac:dyDescent="0.35">
      <c r="A1456" t="s">
        <v>442</v>
      </c>
      <c r="B1456" t="s">
        <v>151</v>
      </c>
      <c r="C1456" t="s">
        <v>30</v>
      </c>
      <c r="D1456" t="s">
        <v>152</v>
      </c>
      <c r="E1456">
        <v>26810</v>
      </c>
      <c r="F1456">
        <v>9407</v>
      </c>
      <c r="G1456">
        <v>11165</v>
      </c>
      <c r="H1456">
        <v>301</v>
      </c>
      <c r="I1456">
        <v>1290</v>
      </c>
      <c r="J1456">
        <v>1068</v>
      </c>
      <c r="K1456" s="1">
        <v>45962</v>
      </c>
      <c r="L1456" t="s">
        <v>439</v>
      </c>
      <c r="M1456" t="s">
        <v>435</v>
      </c>
      <c r="N1456" s="2">
        <f>IFERROR(NHS_A_E[[#This Row],[T1_Over4hrs]]/NHS_A_E[[#This Row],[T1_Attendances]], 0)</f>
        <v>0.41644908616187992</v>
      </c>
      <c r="O1456">
        <f>NHS_A_E[[#This Row],[T1_Attendances]]+NHS_A_E[[#This Row],[Other_Attendances]]</f>
        <v>36217</v>
      </c>
      <c r="P1456">
        <f>MATCH(LEFT(A1456,FIND("-",A1456)-1),{"April","May","June","July","August","September","October","November","December","January","February","March"},0)</f>
        <v>8</v>
      </c>
      <c r="Q1456" s="3">
        <f t="shared" si="44"/>
        <v>3.9835882133532265E-2</v>
      </c>
      <c r="R1456" t="str">
        <f t="shared" si="45"/>
        <v>November</v>
      </c>
    </row>
    <row r="1457" spans="1:18" x14ac:dyDescent="0.35">
      <c r="A1457" t="s">
        <v>442</v>
      </c>
      <c r="B1457" t="s">
        <v>243</v>
      </c>
      <c r="C1457" t="s">
        <v>23</v>
      </c>
      <c r="D1457" t="s">
        <v>244</v>
      </c>
      <c r="E1457">
        <v>0</v>
      </c>
      <c r="F1457">
        <v>1934</v>
      </c>
      <c r="G1457">
        <v>0</v>
      </c>
      <c r="H1457">
        <v>61</v>
      </c>
      <c r="I1457">
        <v>0</v>
      </c>
      <c r="J1457">
        <v>0</v>
      </c>
      <c r="K1457" s="1">
        <v>45962</v>
      </c>
      <c r="L1457" t="s">
        <v>439</v>
      </c>
      <c r="M1457" t="s">
        <v>435</v>
      </c>
      <c r="N1457" s="2">
        <f>IFERROR(NHS_A_E[[#This Row],[T1_Over4hrs]]/NHS_A_E[[#This Row],[T1_Attendances]], 0)</f>
        <v>0</v>
      </c>
      <c r="O1457">
        <f>NHS_A_E[[#This Row],[T1_Attendances]]+NHS_A_E[[#This Row],[Other_Attendances]]</f>
        <v>1934</v>
      </c>
      <c r="P1457">
        <f>MATCH(LEFT(A1457,FIND("-",A1457)-1),{"April","May","June","July","August","September","October","November","December","January","February","March"},0)</f>
        <v>8</v>
      </c>
      <c r="Q1457" s="3">
        <f t="shared" si="44"/>
        <v>0</v>
      </c>
      <c r="R1457" t="str">
        <f t="shared" si="45"/>
        <v>November</v>
      </c>
    </row>
    <row r="1458" spans="1:18" x14ac:dyDescent="0.35">
      <c r="A1458" t="s">
        <v>442</v>
      </c>
      <c r="B1458" t="s">
        <v>211</v>
      </c>
      <c r="C1458" t="s">
        <v>30</v>
      </c>
      <c r="D1458" t="s">
        <v>212</v>
      </c>
      <c r="E1458">
        <v>8090</v>
      </c>
      <c r="F1458">
        <v>2744</v>
      </c>
      <c r="G1458">
        <v>4050</v>
      </c>
      <c r="H1458">
        <v>114</v>
      </c>
      <c r="I1458">
        <v>452</v>
      </c>
      <c r="J1458">
        <v>875</v>
      </c>
      <c r="K1458" s="1">
        <v>45962</v>
      </c>
      <c r="L1458" t="s">
        <v>439</v>
      </c>
      <c r="M1458" t="s">
        <v>435</v>
      </c>
      <c r="N1458" s="2">
        <f>IFERROR(NHS_A_E[[#This Row],[T1_Over4hrs]]/NHS_A_E[[#This Row],[T1_Attendances]], 0)</f>
        <v>0.50061804697156986</v>
      </c>
      <c r="O1458">
        <f>NHS_A_E[[#This Row],[T1_Attendances]]+NHS_A_E[[#This Row],[Other_Attendances]]</f>
        <v>10834</v>
      </c>
      <c r="P1458">
        <f>MATCH(LEFT(A1458,FIND("-",A1458)-1),{"April","May","June","July","August","September","October","November","December","January","February","March"},0)</f>
        <v>8</v>
      </c>
      <c r="Q1458" s="3">
        <f t="shared" si="44"/>
        <v>0.10815822002472188</v>
      </c>
      <c r="R1458" t="str">
        <f t="shared" si="45"/>
        <v>November</v>
      </c>
    </row>
    <row r="1459" spans="1:18" x14ac:dyDescent="0.35">
      <c r="A1459" t="s">
        <v>442</v>
      </c>
      <c r="B1459" t="s">
        <v>111</v>
      </c>
      <c r="C1459" t="s">
        <v>40</v>
      </c>
      <c r="D1459" t="s">
        <v>112</v>
      </c>
      <c r="E1459">
        <v>0</v>
      </c>
      <c r="F1459">
        <v>591</v>
      </c>
      <c r="G1459">
        <v>0</v>
      </c>
      <c r="H1459">
        <v>0</v>
      </c>
      <c r="I1459">
        <v>0</v>
      </c>
      <c r="J1459">
        <v>0</v>
      </c>
      <c r="K1459" s="1">
        <v>45962</v>
      </c>
      <c r="L1459" t="s">
        <v>439</v>
      </c>
      <c r="M1459" t="s">
        <v>435</v>
      </c>
      <c r="N1459" s="2">
        <f>IFERROR(NHS_A_E[[#This Row],[T1_Over4hrs]]/NHS_A_E[[#This Row],[T1_Attendances]], 0)</f>
        <v>0</v>
      </c>
      <c r="O1459">
        <f>NHS_A_E[[#This Row],[T1_Attendances]]+NHS_A_E[[#This Row],[Other_Attendances]]</f>
        <v>591</v>
      </c>
      <c r="P1459">
        <f>MATCH(LEFT(A1459,FIND("-",A1459)-1),{"April","May","June","July","August","September","October","November","December","January","February","March"},0)</f>
        <v>8</v>
      </c>
      <c r="Q1459" s="3">
        <f t="shared" si="44"/>
        <v>0</v>
      </c>
      <c r="R1459" t="str">
        <f t="shared" si="45"/>
        <v>November</v>
      </c>
    </row>
    <row r="1460" spans="1:18" x14ac:dyDescent="0.35">
      <c r="A1460" t="s">
        <v>442</v>
      </c>
      <c r="B1460" t="s">
        <v>34</v>
      </c>
      <c r="C1460" t="s">
        <v>35</v>
      </c>
      <c r="D1460" t="s">
        <v>36</v>
      </c>
      <c r="E1460">
        <v>13220</v>
      </c>
      <c r="F1460">
        <v>14696</v>
      </c>
      <c r="G1460">
        <v>7908</v>
      </c>
      <c r="H1460">
        <v>219</v>
      </c>
      <c r="I1460">
        <v>583</v>
      </c>
      <c r="J1460">
        <v>829</v>
      </c>
      <c r="K1460" s="1">
        <v>45962</v>
      </c>
      <c r="L1460" t="s">
        <v>439</v>
      </c>
      <c r="M1460" t="s">
        <v>435</v>
      </c>
      <c r="N1460" s="2">
        <f>IFERROR(NHS_A_E[[#This Row],[T1_Over4hrs]]/NHS_A_E[[#This Row],[T1_Attendances]], 0)</f>
        <v>0.5981845688350983</v>
      </c>
      <c r="O1460">
        <f>NHS_A_E[[#This Row],[T1_Attendances]]+NHS_A_E[[#This Row],[Other_Attendances]]</f>
        <v>27916</v>
      </c>
      <c r="P1460">
        <f>MATCH(LEFT(A1460,FIND("-",A1460)-1),{"April","May","June","July","August","September","October","November","December","January","February","March"},0)</f>
        <v>8</v>
      </c>
      <c r="Q1460" s="3">
        <f t="shared" si="44"/>
        <v>6.2708018154311651E-2</v>
      </c>
      <c r="R1460" t="str">
        <f t="shared" si="45"/>
        <v>November</v>
      </c>
    </row>
    <row r="1461" spans="1:18" x14ac:dyDescent="0.35">
      <c r="A1461" t="s">
        <v>442</v>
      </c>
      <c r="B1461" t="s">
        <v>189</v>
      </c>
      <c r="C1461" t="s">
        <v>30</v>
      </c>
      <c r="D1461" t="s">
        <v>190</v>
      </c>
      <c r="E1461">
        <v>6989</v>
      </c>
      <c r="F1461">
        <v>2893</v>
      </c>
      <c r="G1461">
        <v>3444</v>
      </c>
      <c r="H1461">
        <v>70</v>
      </c>
      <c r="I1461">
        <v>615</v>
      </c>
      <c r="J1461">
        <v>922</v>
      </c>
      <c r="K1461" s="1">
        <v>45962</v>
      </c>
      <c r="L1461" t="s">
        <v>439</v>
      </c>
      <c r="M1461" t="s">
        <v>435</v>
      </c>
      <c r="N1461" s="2">
        <f>IFERROR(NHS_A_E[[#This Row],[T1_Over4hrs]]/NHS_A_E[[#This Row],[T1_Attendances]], 0)</f>
        <v>0.49277435970811273</v>
      </c>
      <c r="O1461">
        <f>NHS_A_E[[#This Row],[T1_Attendances]]+NHS_A_E[[#This Row],[Other_Attendances]]</f>
        <v>9882</v>
      </c>
      <c r="P1461">
        <f>MATCH(LEFT(A1461,FIND("-",A1461)-1),{"April","May","June","July","August","September","October","November","December","January","February","March"},0)</f>
        <v>8</v>
      </c>
      <c r="Q1461" s="3">
        <f t="shared" si="44"/>
        <v>0.13192159107168408</v>
      </c>
      <c r="R1461" t="str">
        <f t="shared" si="45"/>
        <v>November</v>
      </c>
    </row>
    <row r="1462" spans="1:18" x14ac:dyDescent="0.35">
      <c r="A1462" t="s">
        <v>442</v>
      </c>
      <c r="B1462" t="s">
        <v>373</v>
      </c>
      <c r="C1462" t="s">
        <v>40</v>
      </c>
      <c r="D1462" t="s">
        <v>374</v>
      </c>
      <c r="E1462">
        <v>13016</v>
      </c>
      <c r="F1462">
        <v>8899</v>
      </c>
      <c r="G1462">
        <v>7451</v>
      </c>
      <c r="H1462">
        <v>1048</v>
      </c>
      <c r="I1462">
        <v>157</v>
      </c>
      <c r="J1462">
        <v>495</v>
      </c>
      <c r="K1462" s="1">
        <v>45962</v>
      </c>
      <c r="L1462" t="s">
        <v>439</v>
      </c>
      <c r="M1462" t="s">
        <v>435</v>
      </c>
      <c r="N1462" s="2">
        <f>IFERROR(NHS_A_E[[#This Row],[T1_Over4hrs]]/NHS_A_E[[#This Row],[T1_Attendances]], 0)</f>
        <v>0.57244929317762749</v>
      </c>
      <c r="O1462">
        <f>NHS_A_E[[#This Row],[T1_Attendances]]+NHS_A_E[[#This Row],[Other_Attendances]]</f>
        <v>21915</v>
      </c>
      <c r="P1462">
        <f>MATCH(LEFT(A1462,FIND("-",A1462)-1),{"April","May","June","July","August","September","October","November","December","January","February","March"},0)</f>
        <v>8</v>
      </c>
      <c r="Q1462" s="3">
        <f t="shared" si="44"/>
        <v>3.8030116779348491E-2</v>
      </c>
      <c r="R1462" t="str">
        <f t="shared" si="45"/>
        <v>November</v>
      </c>
    </row>
    <row r="1463" spans="1:18" x14ac:dyDescent="0.35">
      <c r="A1463" t="s">
        <v>442</v>
      </c>
      <c r="B1463" t="s">
        <v>197</v>
      </c>
      <c r="C1463" t="s">
        <v>63</v>
      </c>
      <c r="D1463" t="s">
        <v>198</v>
      </c>
      <c r="E1463">
        <v>13118</v>
      </c>
      <c r="F1463">
        <v>3921</v>
      </c>
      <c r="G1463">
        <v>5639</v>
      </c>
      <c r="H1463">
        <v>0</v>
      </c>
      <c r="I1463">
        <v>1980</v>
      </c>
      <c r="J1463">
        <v>46</v>
      </c>
      <c r="K1463" s="1">
        <v>45962</v>
      </c>
      <c r="L1463" t="s">
        <v>439</v>
      </c>
      <c r="M1463" t="s">
        <v>435</v>
      </c>
      <c r="N1463" s="2">
        <f>IFERROR(NHS_A_E[[#This Row],[T1_Over4hrs]]/NHS_A_E[[#This Row],[T1_Attendances]], 0)</f>
        <v>0.42986735782893731</v>
      </c>
      <c r="O1463">
        <f>NHS_A_E[[#This Row],[T1_Attendances]]+NHS_A_E[[#This Row],[Other_Attendances]]</f>
        <v>17039</v>
      </c>
      <c r="P1463">
        <f>MATCH(LEFT(A1463,FIND("-",A1463)-1),{"April","May","June","July","August","September","October","November","December","January","February","March"},0)</f>
        <v>8</v>
      </c>
      <c r="Q1463" s="3">
        <f t="shared" si="44"/>
        <v>3.506632108553133E-3</v>
      </c>
      <c r="R1463" t="str">
        <f t="shared" si="45"/>
        <v>November</v>
      </c>
    </row>
    <row r="1464" spans="1:18" x14ac:dyDescent="0.35">
      <c r="A1464" t="s">
        <v>442</v>
      </c>
      <c r="B1464" t="s">
        <v>387</v>
      </c>
      <c r="C1464" t="s">
        <v>35</v>
      </c>
      <c r="D1464" t="s">
        <v>388</v>
      </c>
      <c r="E1464">
        <v>0</v>
      </c>
      <c r="F1464">
        <v>1466</v>
      </c>
      <c r="G1464">
        <v>0</v>
      </c>
      <c r="H1464">
        <v>46</v>
      </c>
      <c r="I1464">
        <v>0</v>
      </c>
      <c r="J1464">
        <v>0</v>
      </c>
      <c r="K1464" s="1">
        <v>45962</v>
      </c>
      <c r="L1464" t="s">
        <v>439</v>
      </c>
      <c r="M1464" t="s">
        <v>435</v>
      </c>
      <c r="N1464" s="2">
        <f>IFERROR(NHS_A_E[[#This Row],[T1_Over4hrs]]/NHS_A_E[[#This Row],[T1_Attendances]], 0)</f>
        <v>0</v>
      </c>
      <c r="O1464">
        <f>NHS_A_E[[#This Row],[T1_Attendances]]+NHS_A_E[[#This Row],[Other_Attendances]]</f>
        <v>1466</v>
      </c>
      <c r="P1464">
        <f>MATCH(LEFT(A1464,FIND("-",A1464)-1),{"April","May","June","July","August","September","October","November","December","January","February","March"},0)</f>
        <v>8</v>
      </c>
      <c r="Q1464" s="3">
        <f t="shared" si="44"/>
        <v>0</v>
      </c>
      <c r="R1464" t="str">
        <f t="shared" si="45"/>
        <v>November</v>
      </c>
    </row>
    <row r="1465" spans="1:18" x14ac:dyDescent="0.35">
      <c r="A1465" t="s">
        <v>442</v>
      </c>
      <c r="B1465" t="s">
        <v>135</v>
      </c>
      <c r="C1465" t="s">
        <v>40</v>
      </c>
      <c r="D1465" t="s">
        <v>136</v>
      </c>
      <c r="E1465">
        <v>0</v>
      </c>
      <c r="F1465">
        <v>5474</v>
      </c>
      <c r="G1465">
        <v>0</v>
      </c>
      <c r="H1465">
        <v>74</v>
      </c>
      <c r="I1465">
        <v>0</v>
      </c>
      <c r="J1465">
        <v>0</v>
      </c>
      <c r="K1465" s="1">
        <v>45962</v>
      </c>
      <c r="L1465" t="s">
        <v>439</v>
      </c>
      <c r="M1465" t="s">
        <v>435</v>
      </c>
      <c r="N1465" s="2">
        <f>IFERROR(NHS_A_E[[#This Row],[T1_Over4hrs]]/NHS_A_E[[#This Row],[T1_Attendances]], 0)</f>
        <v>0</v>
      </c>
      <c r="O1465">
        <f>NHS_A_E[[#This Row],[T1_Attendances]]+NHS_A_E[[#This Row],[Other_Attendances]]</f>
        <v>5474</v>
      </c>
      <c r="P1465">
        <f>MATCH(LEFT(A1465,FIND("-",A1465)-1),{"April","May","June","July","August","September","October","November","December","January","February","March"},0)</f>
        <v>8</v>
      </c>
      <c r="Q1465" s="3">
        <f t="shared" si="44"/>
        <v>0</v>
      </c>
      <c r="R1465" t="str">
        <f t="shared" si="45"/>
        <v>November</v>
      </c>
    </row>
    <row r="1466" spans="1:18" x14ac:dyDescent="0.35">
      <c r="A1466" t="s">
        <v>442</v>
      </c>
      <c r="B1466" t="s">
        <v>137</v>
      </c>
      <c r="C1466" t="s">
        <v>40</v>
      </c>
      <c r="D1466" t="s">
        <v>138</v>
      </c>
      <c r="E1466">
        <v>0</v>
      </c>
      <c r="F1466">
        <v>219</v>
      </c>
      <c r="G1466">
        <v>0</v>
      </c>
      <c r="H1466">
        <v>0</v>
      </c>
      <c r="I1466">
        <v>0</v>
      </c>
      <c r="J1466">
        <v>0</v>
      </c>
      <c r="K1466" s="1">
        <v>45962</v>
      </c>
      <c r="L1466" t="s">
        <v>439</v>
      </c>
      <c r="M1466" t="s">
        <v>435</v>
      </c>
      <c r="N1466" s="2">
        <f>IFERROR(NHS_A_E[[#This Row],[T1_Over4hrs]]/NHS_A_E[[#This Row],[T1_Attendances]], 0)</f>
        <v>0</v>
      </c>
      <c r="O1466">
        <f>NHS_A_E[[#This Row],[T1_Attendances]]+NHS_A_E[[#This Row],[Other_Attendances]]</f>
        <v>219</v>
      </c>
      <c r="P1466">
        <f>MATCH(LEFT(A1466,FIND("-",A1466)-1),{"April","May","June","July","August","September","October","November","December","January","February","March"},0)</f>
        <v>8</v>
      </c>
      <c r="Q1466" s="3">
        <f t="shared" si="44"/>
        <v>0</v>
      </c>
      <c r="R1466" t="str">
        <f t="shared" si="45"/>
        <v>November</v>
      </c>
    </row>
    <row r="1467" spans="1:18" x14ac:dyDescent="0.35">
      <c r="A1467" t="s">
        <v>442</v>
      </c>
      <c r="B1467" t="s">
        <v>139</v>
      </c>
      <c r="C1467" t="s">
        <v>40</v>
      </c>
      <c r="D1467" t="s">
        <v>140</v>
      </c>
      <c r="E1467">
        <v>0</v>
      </c>
      <c r="F1467">
        <v>107</v>
      </c>
      <c r="G1467">
        <v>0</v>
      </c>
      <c r="H1467">
        <v>0</v>
      </c>
      <c r="I1467">
        <v>0</v>
      </c>
      <c r="J1467">
        <v>0</v>
      </c>
      <c r="K1467" s="1">
        <v>45962</v>
      </c>
      <c r="L1467" t="s">
        <v>439</v>
      </c>
      <c r="M1467" t="s">
        <v>435</v>
      </c>
      <c r="N1467" s="2">
        <f>IFERROR(NHS_A_E[[#This Row],[T1_Over4hrs]]/NHS_A_E[[#This Row],[T1_Attendances]], 0)</f>
        <v>0</v>
      </c>
      <c r="O1467">
        <f>NHS_A_E[[#This Row],[T1_Attendances]]+NHS_A_E[[#This Row],[Other_Attendances]]</f>
        <v>107</v>
      </c>
      <c r="P1467">
        <f>MATCH(LEFT(A1467,FIND("-",A1467)-1),{"April","May","June","July","August","September","October","November","December","January","February","March"},0)</f>
        <v>8</v>
      </c>
      <c r="Q1467" s="3">
        <f t="shared" si="44"/>
        <v>0</v>
      </c>
      <c r="R1467" t="str">
        <f t="shared" si="45"/>
        <v>November</v>
      </c>
    </row>
    <row r="1468" spans="1:18" x14ac:dyDescent="0.35">
      <c r="A1468" t="s">
        <v>442</v>
      </c>
      <c r="B1468" t="s">
        <v>141</v>
      </c>
      <c r="C1468" t="s">
        <v>40</v>
      </c>
      <c r="D1468" t="s">
        <v>142</v>
      </c>
      <c r="E1468">
        <v>0</v>
      </c>
      <c r="F1468">
        <v>62</v>
      </c>
      <c r="G1468">
        <v>0</v>
      </c>
      <c r="H1468">
        <v>0</v>
      </c>
      <c r="I1468">
        <v>0</v>
      </c>
      <c r="J1468">
        <v>0</v>
      </c>
      <c r="K1468" s="1">
        <v>45962</v>
      </c>
      <c r="L1468" t="s">
        <v>439</v>
      </c>
      <c r="M1468" t="s">
        <v>435</v>
      </c>
      <c r="N1468" s="2">
        <f>IFERROR(NHS_A_E[[#This Row],[T1_Over4hrs]]/NHS_A_E[[#This Row],[T1_Attendances]], 0)</f>
        <v>0</v>
      </c>
      <c r="O1468">
        <f>NHS_A_E[[#This Row],[T1_Attendances]]+NHS_A_E[[#This Row],[Other_Attendances]]</f>
        <v>62</v>
      </c>
      <c r="P1468">
        <f>MATCH(LEFT(A1468,FIND("-",A1468)-1),{"April","May","June","July","August","September","October","November","December","January","February","March"},0)</f>
        <v>8</v>
      </c>
      <c r="Q1468" s="3">
        <f t="shared" si="44"/>
        <v>0</v>
      </c>
      <c r="R1468" t="str">
        <f t="shared" si="45"/>
        <v>November</v>
      </c>
    </row>
    <row r="1469" spans="1:18" x14ac:dyDescent="0.35">
      <c r="A1469" t="s">
        <v>442</v>
      </c>
      <c r="B1469" t="s">
        <v>143</v>
      </c>
      <c r="C1469" t="s">
        <v>40</v>
      </c>
      <c r="D1469" t="s">
        <v>144</v>
      </c>
      <c r="E1469">
        <v>0</v>
      </c>
      <c r="F1469">
        <v>550</v>
      </c>
      <c r="G1469">
        <v>0</v>
      </c>
      <c r="H1469">
        <v>3</v>
      </c>
      <c r="I1469">
        <v>0</v>
      </c>
      <c r="J1469">
        <v>0</v>
      </c>
      <c r="K1469" s="1">
        <v>45962</v>
      </c>
      <c r="L1469" t="s">
        <v>439</v>
      </c>
      <c r="M1469" t="s">
        <v>435</v>
      </c>
      <c r="N1469" s="2">
        <f>IFERROR(NHS_A_E[[#This Row],[T1_Over4hrs]]/NHS_A_E[[#This Row],[T1_Attendances]], 0)</f>
        <v>0</v>
      </c>
      <c r="O1469">
        <f>NHS_A_E[[#This Row],[T1_Attendances]]+NHS_A_E[[#This Row],[Other_Attendances]]</f>
        <v>550</v>
      </c>
      <c r="P1469">
        <f>MATCH(LEFT(A1469,FIND("-",A1469)-1),{"April","May","June","July","August","September","October","November","December","January","February","March"},0)</f>
        <v>8</v>
      </c>
      <c r="Q1469" s="3">
        <f t="shared" si="44"/>
        <v>0</v>
      </c>
      <c r="R1469" t="str">
        <f t="shared" si="45"/>
        <v>November</v>
      </c>
    </row>
    <row r="1470" spans="1:18" x14ac:dyDescent="0.35">
      <c r="A1470" t="s">
        <v>442</v>
      </c>
      <c r="B1470" t="s">
        <v>223</v>
      </c>
      <c r="C1470" t="s">
        <v>15</v>
      </c>
      <c r="D1470" t="s">
        <v>224</v>
      </c>
      <c r="E1470">
        <v>12395</v>
      </c>
      <c r="F1470">
        <v>3522</v>
      </c>
      <c r="G1470">
        <v>4092</v>
      </c>
      <c r="H1470">
        <v>110</v>
      </c>
      <c r="I1470">
        <v>436</v>
      </c>
      <c r="J1470">
        <v>1</v>
      </c>
      <c r="K1470" s="1">
        <v>45962</v>
      </c>
      <c r="L1470" t="s">
        <v>439</v>
      </c>
      <c r="M1470" t="s">
        <v>435</v>
      </c>
      <c r="N1470" s="2">
        <f>IFERROR(NHS_A_E[[#This Row],[T1_Over4hrs]]/NHS_A_E[[#This Row],[T1_Attendances]], 0)</f>
        <v>0.33013311819281971</v>
      </c>
      <c r="O1470">
        <f>NHS_A_E[[#This Row],[T1_Attendances]]+NHS_A_E[[#This Row],[Other_Attendances]]</f>
        <v>15917</v>
      </c>
      <c r="P1470">
        <f>MATCH(LEFT(A1470,FIND("-",A1470)-1),{"April","May","June","July","August","September","October","November","December","January","February","March"},0)</f>
        <v>8</v>
      </c>
      <c r="Q1470" s="3">
        <f t="shared" si="44"/>
        <v>8.0677692617991132E-5</v>
      </c>
      <c r="R1470" t="str">
        <f t="shared" si="45"/>
        <v>November</v>
      </c>
    </row>
    <row r="1471" spans="1:18" x14ac:dyDescent="0.35">
      <c r="A1471" t="s">
        <v>442</v>
      </c>
      <c r="B1471" t="s">
        <v>157</v>
      </c>
      <c r="C1471" t="s">
        <v>40</v>
      </c>
      <c r="D1471" t="s">
        <v>158</v>
      </c>
      <c r="E1471">
        <v>35573</v>
      </c>
      <c r="F1471">
        <v>3244</v>
      </c>
      <c r="G1471">
        <v>14391</v>
      </c>
      <c r="H1471">
        <v>70</v>
      </c>
      <c r="I1471">
        <v>2895</v>
      </c>
      <c r="J1471">
        <v>1702</v>
      </c>
      <c r="K1471" s="1">
        <v>45962</v>
      </c>
      <c r="L1471" t="s">
        <v>439</v>
      </c>
      <c r="M1471" t="s">
        <v>435</v>
      </c>
      <c r="N1471" s="2">
        <f>IFERROR(NHS_A_E[[#This Row],[T1_Over4hrs]]/NHS_A_E[[#This Row],[T1_Attendances]], 0)</f>
        <v>0.4045483934444663</v>
      </c>
      <c r="O1471">
        <f>NHS_A_E[[#This Row],[T1_Attendances]]+NHS_A_E[[#This Row],[Other_Attendances]]</f>
        <v>38817</v>
      </c>
      <c r="P1471">
        <f>MATCH(LEFT(A1471,FIND("-",A1471)-1),{"April","May","June","July","August","September","October","November","December","January","February","March"},0)</f>
        <v>8</v>
      </c>
      <c r="Q1471" s="3">
        <f t="shared" si="44"/>
        <v>4.7845275911505919E-2</v>
      </c>
      <c r="R1471" t="str">
        <f t="shared" si="45"/>
        <v>November</v>
      </c>
    </row>
    <row r="1472" spans="1:18" x14ac:dyDescent="0.35">
      <c r="A1472" t="s">
        <v>442</v>
      </c>
      <c r="B1472" t="s">
        <v>65</v>
      </c>
      <c r="C1472" t="s">
        <v>30</v>
      </c>
      <c r="D1472" t="s">
        <v>66</v>
      </c>
      <c r="E1472">
        <v>8206</v>
      </c>
      <c r="F1472">
        <v>4673</v>
      </c>
      <c r="G1472">
        <v>3681</v>
      </c>
      <c r="H1472">
        <v>79</v>
      </c>
      <c r="I1472">
        <v>649</v>
      </c>
      <c r="J1472">
        <v>466</v>
      </c>
      <c r="K1472" s="1">
        <v>45962</v>
      </c>
      <c r="L1472" t="s">
        <v>439</v>
      </c>
      <c r="M1472" t="s">
        <v>435</v>
      </c>
      <c r="N1472" s="2">
        <f>IFERROR(NHS_A_E[[#This Row],[T1_Over4hrs]]/NHS_A_E[[#This Row],[T1_Attendances]], 0)</f>
        <v>0.4485742139897636</v>
      </c>
      <c r="O1472">
        <f>NHS_A_E[[#This Row],[T1_Attendances]]+NHS_A_E[[#This Row],[Other_Attendances]]</f>
        <v>12879</v>
      </c>
      <c r="P1472">
        <f>MATCH(LEFT(A1472,FIND("-",A1472)-1),{"April","May","June","July","August","September","October","November","December","January","February","March"},0)</f>
        <v>8</v>
      </c>
      <c r="Q1472" s="3">
        <f t="shared" si="44"/>
        <v>5.678771630514258E-2</v>
      </c>
      <c r="R1472" t="str">
        <f t="shared" si="45"/>
        <v>November</v>
      </c>
    </row>
    <row r="1473" spans="1:18" x14ac:dyDescent="0.35">
      <c r="A1473" t="s">
        <v>442</v>
      </c>
      <c r="B1473" t="s">
        <v>44</v>
      </c>
      <c r="C1473" t="s">
        <v>40</v>
      </c>
      <c r="D1473" t="s">
        <v>45</v>
      </c>
      <c r="E1473">
        <v>12703</v>
      </c>
      <c r="F1473">
        <v>5892</v>
      </c>
      <c r="G1473">
        <v>5588</v>
      </c>
      <c r="H1473">
        <v>159</v>
      </c>
      <c r="I1473">
        <v>48</v>
      </c>
      <c r="J1473">
        <v>17</v>
      </c>
      <c r="K1473" s="1">
        <v>45962</v>
      </c>
      <c r="L1473" t="s">
        <v>439</v>
      </c>
      <c r="M1473" t="s">
        <v>435</v>
      </c>
      <c r="N1473" s="2">
        <f>IFERROR(NHS_A_E[[#This Row],[T1_Over4hrs]]/NHS_A_E[[#This Row],[T1_Attendances]], 0)</f>
        <v>0.43989608753837678</v>
      </c>
      <c r="O1473">
        <f>NHS_A_E[[#This Row],[T1_Attendances]]+NHS_A_E[[#This Row],[Other_Attendances]]</f>
        <v>18595</v>
      </c>
      <c r="P1473">
        <f>MATCH(LEFT(A1473,FIND("-",A1473)-1),{"April","May","June","July","August","September","October","November","December","January","February","March"},0)</f>
        <v>8</v>
      </c>
      <c r="Q1473" s="3">
        <f t="shared" si="44"/>
        <v>1.3382665512083759E-3</v>
      </c>
      <c r="R1473" t="str">
        <f t="shared" si="45"/>
        <v>November</v>
      </c>
    </row>
    <row r="1474" spans="1:18" x14ac:dyDescent="0.35">
      <c r="A1474" t="s">
        <v>442</v>
      </c>
      <c r="B1474" t="s">
        <v>183</v>
      </c>
      <c r="C1474" t="s">
        <v>23</v>
      </c>
      <c r="D1474" t="s">
        <v>184</v>
      </c>
      <c r="E1474">
        <v>8802</v>
      </c>
      <c r="F1474">
        <v>7278</v>
      </c>
      <c r="G1474">
        <v>2661</v>
      </c>
      <c r="H1474">
        <v>110</v>
      </c>
      <c r="I1474">
        <v>807</v>
      </c>
      <c r="J1474">
        <v>18</v>
      </c>
      <c r="K1474" s="1">
        <v>45962</v>
      </c>
      <c r="L1474" t="s">
        <v>439</v>
      </c>
      <c r="M1474" t="s">
        <v>435</v>
      </c>
      <c r="N1474" s="2">
        <f>IFERROR(NHS_A_E[[#This Row],[T1_Over4hrs]]/NHS_A_E[[#This Row],[T1_Attendances]], 0)</f>
        <v>0.30231765507839126</v>
      </c>
      <c r="O1474">
        <f>NHS_A_E[[#This Row],[T1_Attendances]]+NHS_A_E[[#This Row],[Other_Attendances]]</f>
        <v>16080</v>
      </c>
      <c r="P1474">
        <f>MATCH(LEFT(A1474,FIND("-",A1474)-1),{"April","May","June","July","August","September","October","November","December","January","February","March"},0)</f>
        <v>8</v>
      </c>
      <c r="Q1474" s="3">
        <f t="shared" ref="Q1474:Q1537" si="46">IFERROR(J1474/E1474,0)</f>
        <v>2.0449897750511249E-3</v>
      </c>
      <c r="R1474" t="str">
        <f t="shared" ref="R1474:R1537" si="47">TEXT(A1474, "mmmm")</f>
        <v>November</v>
      </c>
    </row>
    <row r="1475" spans="1:18" x14ac:dyDescent="0.35">
      <c r="A1475" t="s">
        <v>442</v>
      </c>
      <c r="B1475" t="s">
        <v>185</v>
      </c>
      <c r="C1475" t="s">
        <v>23</v>
      </c>
      <c r="D1475" t="s">
        <v>437</v>
      </c>
      <c r="E1475">
        <v>9292</v>
      </c>
      <c r="F1475">
        <v>8274</v>
      </c>
      <c r="G1475">
        <v>4538</v>
      </c>
      <c r="H1475">
        <v>40</v>
      </c>
      <c r="I1475">
        <v>474</v>
      </c>
      <c r="J1475">
        <v>185</v>
      </c>
      <c r="K1475" s="1">
        <v>45962</v>
      </c>
      <c r="L1475" t="s">
        <v>439</v>
      </c>
      <c r="M1475" t="s">
        <v>435</v>
      </c>
      <c r="N1475" s="2">
        <f>IFERROR(NHS_A_E[[#This Row],[T1_Over4hrs]]/NHS_A_E[[#This Row],[T1_Attendances]], 0)</f>
        <v>0.48837709857942319</v>
      </c>
      <c r="O1475">
        <f>NHS_A_E[[#This Row],[T1_Attendances]]+NHS_A_E[[#This Row],[Other_Attendances]]</f>
        <v>17566</v>
      </c>
      <c r="P1475">
        <f>MATCH(LEFT(A1475,FIND("-",A1475)-1),{"April","May","June","July","August","September","October","November","December","January","February","March"},0)</f>
        <v>8</v>
      </c>
      <c r="Q1475" s="3">
        <f t="shared" si="46"/>
        <v>1.9909599655617737E-2</v>
      </c>
      <c r="R1475" t="str">
        <f t="shared" si="47"/>
        <v>November</v>
      </c>
    </row>
    <row r="1476" spans="1:18" x14ac:dyDescent="0.35">
      <c r="A1476" t="s">
        <v>442</v>
      </c>
      <c r="B1476" t="s">
        <v>187</v>
      </c>
      <c r="C1476" t="s">
        <v>30</v>
      </c>
      <c r="D1476" t="s">
        <v>188</v>
      </c>
      <c r="E1476">
        <v>8127</v>
      </c>
      <c r="F1476">
        <v>1071</v>
      </c>
      <c r="G1476">
        <v>3187</v>
      </c>
      <c r="H1476">
        <v>57</v>
      </c>
      <c r="I1476">
        <v>644</v>
      </c>
      <c r="J1476">
        <v>445</v>
      </c>
      <c r="K1476" s="1">
        <v>45962</v>
      </c>
      <c r="L1476" t="s">
        <v>439</v>
      </c>
      <c r="M1476" t="s">
        <v>435</v>
      </c>
      <c r="N1476" s="2">
        <f>IFERROR(NHS_A_E[[#This Row],[T1_Over4hrs]]/NHS_A_E[[#This Row],[T1_Attendances]], 0)</f>
        <v>0.39214962470776427</v>
      </c>
      <c r="O1476">
        <f>NHS_A_E[[#This Row],[T1_Attendances]]+NHS_A_E[[#This Row],[Other_Attendances]]</f>
        <v>9198</v>
      </c>
      <c r="P1476">
        <f>MATCH(LEFT(A1476,FIND("-",A1476)-1),{"April","May","June","July","August","September","October","November","December","January","February","March"},0)</f>
        <v>8</v>
      </c>
      <c r="Q1476" s="3">
        <f t="shared" si="46"/>
        <v>5.4755752430171035E-2</v>
      </c>
      <c r="R1476" t="str">
        <f t="shared" si="47"/>
        <v>November</v>
      </c>
    </row>
    <row r="1477" spans="1:18" x14ac:dyDescent="0.35">
      <c r="A1477" t="s">
        <v>442</v>
      </c>
      <c r="B1477" t="s">
        <v>133</v>
      </c>
      <c r="C1477" t="s">
        <v>15</v>
      </c>
      <c r="D1477" t="s">
        <v>134</v>
      </c>
      <c r="E1477">
        <v>0</v>
      </c>
      <c r="F1477">
        <v>1168</v>
      </c>
      <c r="G1477">
        <v>0</v>
      </c>
      <c r="H1477">
        <v>5</v>
      </c>
      <c r="I1477">
        <v>0</v>
      </c>
      <c r="J1477">
        <v>0</v>
      </c>
      <c r="K1477" s="1">
        <v>45962</v>
      </c>
      <c r="L1477" t="s">
        <v>439</v>
      </c>
      <c r="M1477" t="s">
        <v>435</v>
      </c>
      <c r="N1477" s="2">
        <f>IFERROR(NHS_A_E[[#This Row],[T1_Over4hrs]]/NHS_A_E[[#This Row],[T1_Attendances]], 0)</f>
        <v>0</v>
      </c>
      <c r="O1477">
        <f>NHS_A_E[[#This Row],[T1_Attendances]]+NHS_A_E[[#This Row],[Other_Attendances]]</f>
        <v>1168</v>
      </c>
      <c r="P1477">
        <f>MATCH(LEFT(A1477,FIND("-",A1477)-1),{"April","May","June","July","August","September","October","November","December","January","February","March"},0)</f>
        <v>8</v>
      </c>
      <c r="Q1477" s="3">
        <f t="shared" si="46"/>
        <v>0</v>
      </c>
      <c r="R1477" t="str">
        <f t="shared" si="47"/>
        <v>November</v>
      </c>
    </row>
    <row r="1478" spans="1:18" x14ac:dyDescent="0.35">
      <c r="A1478" t="s">
        <v>442</v>
      </c>
      <c r="B1478" t="s">
        <v>191</v>
      </c>
      <c r="C1478" t="s">
        <v>15</v>
      </c>
      <c r="D1478" t="s">
        <v>192</v>
      </c>
      <c r="E1478">
        <v>8986</v>
      </c>
      <c r="F1478">
        <v>2348</v>
      </c>
      <c r="G1478">
        <v>4166</v>
      </c>
      <c r="H1478">
        <v>32</v>
      </c>
      <c r="I1478">
        <v>278</v>
      </c>
      <c r="J1478">
        <v>101</v>
      </c>
      <c r="K1478" s="1">
        <v>45962</v>
      </c>
      <c r="L1478" t="s">
        <v>439</v>
      </c>
      <c r="M1478" t="s">
        <v>435</v>
      </c>
      <c r="N1478" s="2">
        <f>IFERROR(NHS_A_E[[#This Row],[T1_Over4hrs]]/NHS_A_E[[#This Row],[T1_Attendances]], 0)</f>
        <v>0.46361006009347877</v>
      </c>
      <c r="O1478">
        <f>NHS_A_E[[#This Row],[T1_Attendances]]+NHS_A_E[[#This Row],[Other_Attendances]]</f>
        <v>11334</v>
      </c>
      <c r="P1478">
        <f>MATCH(LEFT(A1478,FIND("-",A1478)-1),{"April","May","June","July","August","September","October","November","December","January","February","March"},0)</f>
        <v>8</v>
      </c>
      <c r="Q1478" s="3">
        <f t="shared" si="46"/>
        <v>1.1239706209659471E-2</v>
      </c>
      <c r="R1478" t="str">
        <f t="shared" si="47"/>
        <v>November</v>
      </c>
    </row>
    <row r="1479" spans="1:18" x14ac:dyDescent="0.35">
      <c r="A1479" t="s">
        <v>442</v>
      </c>
      <c r="B1479" t="s">
        <v>377</v>
      </c>
      <c r="C1479" t="s">
        <v>63</v>
      </c>
      <c r="D1479" t="s">
        <v>378</v>
      </c>
      <c r="E1479">
        <v>16746</v>
      </c>
      <c r="F1479">
        <v>6306</v>
      </c>
      <c r="G1479">
        <v>6446</v>
      </c>
      <c r="H1479">
        <v>370</v>
      </c>
      <c r="I1479">
        <v>2112</v>
      </c>
      <c r="J1479">
        <v>332</v>
      </c>
      <c r="K1479" s="1">
        <v>45962</v>
      </c>
      <c r="L1479" t="s">
        <v>439</v>
      </c>
      <c r="M1479" t="s">
        <v>435</v>
      </c>
      <c r="N1479" s="2">
        <f>IFERROR(NHS_A_E[[#This Row],[T1_Over4hrs]]/NHS_A_E[[#This Row],[T1_Attendances]], 0)</f>
        <v>0.38492774393885104</v>
      </c>
      <c r="O1479">
        <f>NHS_A_E[[#This Row],[T1_Attendances]]+NHS_A_E[[#This Row],[Other_Attendances]]</f>
        <v>23052</v>
      </c>
      <c r="P1479">
        <f>MATCH(LEFT(A1479,FIND("-",A1479)-1),{"April","May","June","July","August","September","October","November","December","January","February","March"},0)</f>
        <v>8</v>
      </c>
      <c r="Q1479" s="3">
        <f t="shared" si="46"/>
        <v>1.9825630001194316E-2</v>
      </c>
      <c r="R1479" t="str">
        <f t="shared" si="47"/>
        <v>November</v>
      </c>
    </row>
    <row r="1480" spans="1:18" x14ac:dyDescent="0.35">
      <c r="A1480" t="s">
        <v>442</v>
      </c>
      <c r="B1480" t="s">
        <v>153</v>
      </c>
      <c r="C1480" t="s">
        <v>30</v>
      </c>
      <c r="D1480" t="s">
        <v>154</v>
      </c>
      <c r="E1480">
        <v>12364</v>
      </c>
      <c r="F1480">
        <v>3304</v>
      </c>
      <c r="G1480">
        <v>4551</v>
      </c>
      <c r="H1480">
        <v>212</v>
      </c>
      <c r="I1480">
        <v>960</v>
      </c>
      <c r="J1480">
        <v>471</v>
      </c>
      <c r="K1480" s="1">
        <v>45962</v>
      </c>
      <c r="L1480" t="s">
        <v>439</v>
      </c>
      <c r="M1480" t="s">
        <v>435</v>
      </c>
      <c r="N1480" s="2">
        <f>IFERROR(NHS_A_E[[#This Row],[T1_Over4hrs]]/NHS_A_E[[#This Row],[T1_Attendances]], 0)</f>
        <v>0.36808476221287612</v>
      </c>
      <c r="O1480">
        <f>NHS_A_E[[#This Row],[T1_Attendances]]+NHS_A_E[[#This Row],[Other_Attendances]]</f>
        <v>15668</v>
      </c>
      <c r="P1480">
        <f>MATCH(LEFT(A1480,FIND("-",A1480)-1),{"April","May","June","July","August","September","October","November","December","January","February","March"},0)</f>
        <v>8</v>
      </c>
      <c r="Q1480" s="3">
        <f t="shared" si="46"/>
        <v>3.8094467809770299E-2</v>
      </c>
      <c r="R1480" t="str">
        <f t="shared" si="47"/>
        <v>November</v>
      </c>
    </row>
    <row r="1481" spans="1:18" x14ac:dyDescent="0.35">
      <c r="A1481" t="s">
        <v>442</v>
      </c>
      <c r="B1481" t="s">
        <v>369</v>
      </c>
      <c r="C1481" t="s">
        <v>30</v>
      </c>
      <c r="D1481" t="s">
        <v>370</v>
      </c>
      <c r="E1481">
        <v>0</v>
      </c>
      <c r="F1481">
        <v>2910</v>
      </c>
      <c r="G1481">
        <v>0</v>
      </c>
      <c r="H1481">
        <v>120</v>
      </c>
      <c r="I1481">
        <v>0</v>
      </c>
      <c r="J1481">
        <v>0</v>
      </c>
      <c r="K1481" s="1">
        <v>45962</v>
      </c>
      <c r="L1481" t="s">
        <v>439</v>
      </c>
      <c r="M1481" t="s">
        <v>435</v>
      </c>
      <c r="N1481" s="2">
        <f>IFERROR(NHS_A_E[[#This Row],[T1_Over4hrs]]/NHS_A_E[[#This Row],[T1_Attendances]], 0)</f>
        <v>0</v>
      </c>
      <c r="O1481">
        <f>NHS_A_E[[#This Row],[T1_Attendances]]+NHS_A_E[[#This Row],[Other_Attendances]]</f>
        <v>2910</v>
      </c>
      <c r="P1481">
        <f>MATCH(LEFT(A1481,FIND("-",A1481)-1),{"April","May","June","July","August","September","October","November","December","January","February","March"},0)</f>
        <v>8</v>
      </c>
      <c r="Q1481" s="3">
        <f t="shared" si="46"/>
        <v>0</v>
      </c>
      <c r="R1481" t="str">
        <f t="shared" si="47"/>
        <v>November</v>
      </c>
    </row>
    <row r="1482" spans="1:18" x14ac:dyDescent="0.35">
      <c r="A1482" t="s">
        <v>442</v>
      </c>
      <c r="B1482" t="s">
        <v>367</v>
      </c>
      <c r="C1482" t="s">
        <v>23</v>
      </c>
      <c r="D1482" t="s">
        <v>368</v>
      </c>
      <c r="E1482">
        <v>0</v>
      </c>
      <c r="F1482">
        <v>1062</v>
      </c>
      <c r="G1482">
        <v>0</v>
      </c>
      <c r="H1482">
        <v>25</v>
      </c>
      <c r="I1482">
        <v>0</v>
      </c>
      <c r="J1482">
        <v>0</v>
      </c>
      <c r="K1482" s="1">
        <v>45962</v>
      </c>
      <c r="L1482" t="s">
        <v>439</v>
      </c>
      <c r="M1482" t="s">
        <v>435</v>
      </c>
      <c r="N1482" s="2">
        <f>IFERROR(NHS_A_E[[#This Row],[T1_Over4hrs]]/NHS_A_E[[#This Row],[T1_Attendances]], 0)</f>
        <v>0</v>
      </c>
      <c r="O1482">
        <f>NHS_A_E[[#This Row],[T1_Attendances]]+NHS_A_E[[#This Row],[Other_Attendances]]</f>
        <v>1062</v>
      </c>
      <c r="P1482">
        <f>MATCH(LEFT(A1482,FIND("-",A1482)-1),{"April","May","June","July","August","September","October","November","December","January","February","March"},0)</f>
        <v>8</v>
      </c>
      <c r="Q1482" s="3">
        <f t="shared" si="46"/>
        <v>0</v>
      </c>
      <c r="R1482" t="str">
        <f t="shared" si="47"/>
        <v>November</v>
      </c>
    </row>
    <row r="1483" spans="1:18" x14ac:dyDescent="0.35">
      <c r="A1483" t="s">
        <v>442</v>
      </c>
      <c r="B1483" t="s">
        <v>325</v>
      </c>
      <c r="C1483" t="s">
        <v>40</v>
      </c>
      <c r="D1483" t="s">
        <v>326</v>
      </c>
      <c r="E1483">
        <v>0</v>
      </c>
      <c r="F1483">
        <v>7788</v>
      </c>
      <c r="G1483">
        <v>0</v>
      </c>
      <c r="H1483">
        <v>128</v>
      </c>
      <c r="I1483">
        <v>0</v>
      </c>
      <c r="J1483">
        <v>0</v>
      </c>
      <c r="K1483" s="1">
        <v>45962</v>
      </c>
      <c r="L1483" t="s">
        <v>439</v>
      </c>
      <c r="M1483" t="s">
        <v>435</v>
      </c>
      <c r="N1483" s="2">
        <f>IFERROR(NHS_A_E[[#This Row],[T1_Over4hrs]]/NHS_A_E[[#This Row],[T1_Attendances]], 0)</f>
        <v>0</v>
      </c>
      <c r="O1483">
        <f>NHS_A_E[[#This Row],[T1_Attendances]]+NHS_A_E[[#This Row],[Other_Attendances]]</f>
        <v>7788</v>
      </c>
      <c r="P1483">
        <f>MATCH(LEFT(A1483,FIND("-",A1483)-1),{"April","May","June","July","August","September","October","November","December","January","February","March"},0)</f>
        <v>8</v>
      </c>
      <c r="Q1483" s="3">
        <f t="shared" si="46"/>
        <v>0</v>
      </c>
      <c r="R1483" t="str">
        <f t="shared" si="47"/>
        <v>November</v>
      </c>
    </row>
    <row r="1484" spans="1:18" x14ac:dyDescent="0.35">
      <c r="A1484" t="s">
        <v>442</v>
      </c>
      <c r="B1484" t="s">
        <v>379</v>
      </c>
      <c r="C1484" t="s">
        <v>63</v>
      </c>
      <c r="D1484" t="s">
        <v>380</v>
      </c>
      <c r="E1484">
        <v>0</v>
      </c>
      <c r="F1484">
        <v>2555</v>
      </c>
      <c r="G1484">
        <v>0</v>
      </c>
      <c r="H1484">
        <v>9</v>
      </c>
      <c r="I1484">
        <v>0</v>
      </c>
      <c r="J1484">
        <v>0</v>
      </c>
      <c r="K1484" s="1">
        <v>45962</v>
      </c>
      <c r="L1484" t="s">
        <v>439</v>
      </c>
      <c r="M1484" t="s">
        <v>435</v>
      </c>
      <c r="N1484" s="2">
        <f>IFERROR(NHS_A_E[[#This Row],[T1_Over4hrs]]/NHS_A_E[[#This Row],[T1_Attendances]], 0)</f>
        <v>0</v>
      </c>
      <c r="O1484">
        <f>NHS_A_E[[#This Row],[T1_Attendances]]+NHS_A_E[[#This Row],[Other_Attendances]]</f>
        <v>2555</v>
      </c>
      <c r="P1484">
        <f>MATCH(LEFT(A1484,FIND("-",A1484)-1),{"April","May","June","July","August","September","October","November","December","January","February","March"},0)</f>
        <v>8</v>
      </c>
      <c r="Q1484" s="3">
        <f t="shared" si="46"/>
        <v>0</v>
      </c>
      <c r="R1484" t="str">
        <f t="shared" si="47"/>
        <v>November</v>
      </c>
    </row>
    <row r="1485" spans="1:18" x14ac:dyDescent="0.35">
      <c r="A1485" t="s">
        <v>442</v>
      </c>
      <c r="B1485" t="s">
        <v>209</v>
      </c>
      <c r="C1485" t="s">
        <v>35</v>
      </c>
      <c r="D1485" t="s">
        <v>210</v>
      </c>
      <c r="E1485">
        <v>26111</v>
      </c>
      <c r="F1485">
        <v>18363</v>
      </c>
      <c r="G1485">
        <v>11748</v>
      </c>
      <c r="H1485">
        <v>2257</v>
      </c>
      <c r="I1485">
        <v>906</v>
      </c>
      <c r="J1485">
        <v>1000</v>
      </c>
      <c r="K1485" s="1">
        <v>45962</v>
      </c>
      <c r="L1485" t="s">
        <v>439</v>
      </c>
      <c r="M1485" t="s">
        <v>435</v>
      </c>
      <c r="N1485" s="2">
        <f>IFERROR(NHS_A_E[[#This Row],[T1_Over4hrs]]/NHS_A_E[[#This Row],[T1_Attendances]], 0)</f>
        <v>0.44992531883114395</v>
      </c>
      <c r="O1485">
        <f>NHS_A_E[[#This Row],[T1_Attendances]]+NHS_A_E[[#This Row],[Other_Attendances]]</f>
        <v>44474</v>
      </c>
      <c r="P1485">
        <f>MATCH(LEFT(A1485,FIND("-",A1485)-1),{"April","May","June","July","August","September","October","November","December","January","February","March"},0)</f>
        <v>8</v>
      </c>
      <c r="Q1485" s="3">
        <f t="shared" si="46"/>
        <v>3.8298035310788556E-2</v>
      </c>
      <c r="R1485" t="str">
        <f t="shared" si="47"/>
        <v>November</v>
      </c>
    </row>
    <row r="1486" spans="1:18" x14ac:dyDescent="0.35">
      <c r="A1486" t="s">
        <v>442</v>
      </c>
      <c r="B1486" t="s">
        <v>213</v>
      </c>
      <c r="C1486" t="s">
        <v>23</v>
      </c>
      <c r="D1486" t="s">
        <v>214</v>
      </c>
      <c r="E1486">
        <v>11116</v>
      </c>
      <c r="F1486">
        <v>4946</v>
      </c>
      <c r="G1486">
        <v>4544</v>
      </c>
      <c r="H1486">
        <v>62</v>
      </c>
      <c r="I1486">
        <v>546</v>
      </c>
      <c r="J1486">
        <v>491</v>
      </c>
      <c r="K1486" s="1">
        <v>45962</v>
      </c>
      <c r="L1486" t="s">
        <v>439</v>
      </c>
      <c r="M1486" t="s">
        <v>435</v>
      </c>
      <c r="N1486" s="2">
        <f>IFERROR(NHS_A_E[[#This Row],[T1_Over4hrs]]/NHS_A_E[[#This Row],[T1_Attendances]], 0)</f>
        <v>0.40878013673983449</v>
      </c>
      <c r="O1486">
        <f>NHS_A_E[[#This Row],[T1_Attendances]]+NHS_A_E[[#This Row],[Other_Attendances]]</f>
        <v>16062</v>
      </c>
      <c r="P1486">
        <f>MATCH(LEFT(A1486,FIND("-",A1486)-1),{"April","May","June","July","August","September","October","November","December","January","February","March"},0)</f>
        <v>8</v>
      </c>
      <c r="Q1486" s="3">
        <f t="shared" si="46"/>
        <v>4.4170564951421375E-2</v>
      </c>
      <c r="R1486" t="str">
        <f t="shared" si="47"/>
        <v>November</v>
      </c>
    </row>
    <row r="1487" spans="1:18" x14ac:dyDescent="0.35">
      <c r="A1487" t="s">
        <v>442</v>
      </c>
      <c r="B1487" t="s">
        <v>103</v>
      </c>
      <c r="C1487" t="s">
        <v>20</v>
      </c>
      <c r="D1487" t="s">
        <v>104</v>
      </c>
      <c r="E1487">
        <v>11913</v>
      </c>
      <c r="F1487">
        <v>8719</v>
      </c>
      <c r="G1487">
        <v>5991</v>
      </c>
      <c r="H1487">
        <v>206</v>
      </c>
      <c r="I1487">
        <v>364</v>
      </c>
      <c r="J1487">
        <v>87</v>
      </c>
      <c r="K1487" s="1">
        <v>45962</v>
      </c>
      <c r="L1487" t="s">
        <v>439</v>
      </c>
      <c r="M1487" t="s">
        <v>435</v>
      </c>
      <c r="N1487" s="2">
        <f>IFERROR(NHS_A_E[[#This Row],[T1_Over4hrs]]/NHS_A_E[[#This Row],[T1_Attendances]], 0)</f>
        <v>0.50289599597078827</v>
      </c>
      <c r="O1487">
        <f>NHS_A_E[[#This Row],[T1_Attendances]]+NHS_A_E[[#This Row],[Other_Attendances]]</f>
        <v>20632</v>
      </c>
      <c r="P1487">
        <f>MATCH(LEFT(A1487,FIND("-",A1487)-1),{"April","May","June","July","August","September","October","November","December","January","February","March"},0)</f>
        <v>8</v>
      </c>
      <c r="Q1487" s="3">
        <f t="shared" si="46"/>
        <v>7.3029463611181062E-3</v>
      </c>
      <c r="R1487" t="str">
        <f t="shared" si="47"/>
        <v>November</v>
      </c>
    </row>
    <row r="1488" spans="1:18" x14ac:dyDescent="0.35">
      <c r="A1488" t="s">
        <v>442</v>
      </c>
      <c r="B1488" t="s">
        <v>215</v>
      </c>
      <c r="C1488" t="s">
        <v>35</v>
      </c>
      <c r="D1488" t="s">
        <v>216</v>
      </c>
      <c r="E1488">
        <v>8963</v>
      </c>
      <c r="F1488">
        <v>3807</v>
      </c>
      <c r="G1488">
        <v>2493</v>
      </c>
      <c r="H1488">
        <v>65</v>
      </c>
      <c r="I1488">
        <v>395</v>
      </c>
      <c r="J1488">
        <v>625</v>
      </c>
      <c r="K1488" s="1">
        <v>45962</v>
      </c>
      <c r="L1488" t="s">
        <v>439</v>
      </c>
      <c r="M1488" t="s">
        <v>435</v>
      </c>
      <c r="N1488" s="2">
        <f>IFERROR(NHS_A_E[[#This Row],[T1_Over4hrs]]/NHS_A_E[[#This Row],[T1_Attendances]], 0)</f>
        <v>0.27814347874595557</v>
      </c>
      <c r="O1488">
        <f>NHS_A_E[[#This Row],[T1_Attendances]]+NHS_A_E[[#This Row],[Other_Attendances]]</f>
        <v>12770</v>
      </c>
      <c r="P1488">
        <f>MATCH(LEFT(A1488,FIND("-",A1488)-1),{"April","May","June","July","August","September","October","November","December","January","February","March"},0)</f>
        <v>8</v>
      </c>
      <c r="Q1488" s="3">
        <f t="shared" si="46"/>
        <v>6.973111681356689E-2</v>
      </c>
      <c r="R1488" t="str">
        <f t="shared" si="47"/>
        <v>November</v>
      </c>
    </row>
    <row r="1489" spans="1:18" x14ac:dyDescent="0.35">
      <c r="A1489" t="s">
        <v>442</v>
      </c>
      <c r="B1489" t="s">
        <v>173</v>
      </c>
      <c r="C1489" t="s">
        <v>23</v>
      </c>
      <c r="D1489" t="s">
        <v>174</v>
      </c>
      <c r="E1489">
        <v>12411</v>
      </c>
      <c r="F1489">
        <v>7276</v>
      </c>
      <c r="G1489">
        <v>3845</v>
      </c>
      <c r="H1489">
        <v>2</v>
      </c>
      <c r="I1489">
        <v>696</v>
      </c>
      <c r="J1489">
        <v>236</v>
      </c>
      <c r="K1489" s="1">
        <v>45962</v>
      </c>
      <c r="L1489" t="s">
        <v>439</v>
      </c>
      <c r="M1489" t="s">
        <v>435</v>
      </c>
      <c r="N1489" s="2">
        <f>IFERROR(NHS_A_E[[#This Row],[T1_Over4hrs]]/NHS_A_E[[#This Row],[T1_Attendances]], 0)</f>
        <v>0.3098058174200306</v>
      </c>
      <c r="O1489">
        <f>NHS_A_E[[#This Row],[T1_Attendances]]+NHS_A_E[[#This Row],[Other_Attendances]]</f>
        <v>19687</v>
      </c>
      <c r="P1489">
        <f>MATCH(LEFT(A1489,FIND("-",A1489)-1),{"April","May","June","July","August","September","October","November","December","January","February","March"},0)</f>
        <v>8</v>
      </c>
      <c r="Q1489" s="3">
        <f t="shared" si="46"/>
        <v>1.901538957376521E-2</v>
      </c>
      <c r="R1489" t="str">
        <f t="shared" si="47"/>
        <v>November</v>
      </c>
    </row>
    <row r="1490" spans="1:18" x14ac:dyDescent="0.35">
      <c r="A1490" t="s">
        <v>442</v>
      </c>
      <c r="B1490" t="s">
        <v>129</v>
      </c>
      <c r="C1490" t="s">
        <v>63</v>
      </c>
      <c r="D1490" t="s">
        <v>130</v>
      </c>
      <c r="E1490">
        <v>13650</v>
      </c>
      <c r="F1490">
        <v>3999</v>
      </c>
      <c r="G1490">
        <v>5155</v>
      </c>
      <c r="H1490">
        <v>5</v>
      </c>
      <c r="I1490">
        <v>1179</v>
      </c>
      <c r="J1490">
        <v>197</v>
      </c>
      <c r="K1490" s="1">
        <v>45962</v>
      </c>
      <c r="L1490" t="s">
        <v>439</v>
      </c>
      <c r="M1490" t="s">
        <v>435</v>
      </c>
      <c r="N1490" s="2">
        <f>IFERROR(NHS_A_E[[#This Row],[T1_Over4hrs]]/NHS_A_E[[#This Row],[T1_Attendances]], 0)</f>
        <v>0.37765567765567765</v>
      </c>
      <c r="O1490">
        <f>NHS_A_E[[#This Row],[T1_Attendances]]+NHS_A_E[[#This Row],[Other_Attendances]]</f>
        <v>17649</v>
      </c>
      <c r="P1490">
        <f>MATCH(LEFT(A1490,FIND("-",A1490)-1),{"April","May","June","July","August","September","October","November","December","January","February","March"},0)</f>
        <v>8</v>
      </c>
      <c r="Q1490" s="3">
        <f t="shared" si="46"/>
        <v>1.4432234432234433E-2</v>
      </c>
      <c r="R1490" t="str">
        <f t="shared" si="47"/>
        <v>November</v>
      </c>
    </row>
    <row r="1491" spans="1:18" x14ac:dyDescent="0.35">
      <c r="A1491" t="s">
        <v>442</v>
      </c>
      <c r="B1491" t="s">
        <v>171</v>
      </c>
      <c r="C1491" t="s">
        <v>35</v>
      </c>
      <c r="D1491" t="s">
        <v>172</v>
      </c>
      <c r="E1491">
        <v>11357</v>
      </c>
      <c r="F1491">
        <v>2179</v>
      </c>
      <c r="G1491">
        <v>3613</v>
      </c>
      <c r="H1491">
        <v>206</v>
      </c>
      <c r="I1491">
        <v>952</v>
      </c>
      <c r="J1491">
        <v>712</v>
      </c>
      <c r="K1491" s="1">
        <v>45962</v>
      </c>
      <c r="L1491" t="s">
        <v>439</v>
      </c>
      <c r="M1491" t="s">
        <v>435</v>
      </c>
      <c r="N1491" s="2">
        <f>IFERROR(NHS_A_E[[#This Row],[T1_Over4hrs]]/NHS_A_E[[#This Row],[T1_Attendances]], 0)</f>
        <v>0.31812978779607293</v>
      </c>
      <c r="O1491">
        <f>NHS_A_E[[#This Row],[T1_Attendances]]+NHS_A_E[[#This Row],[Other_Attendances]]</f>
        <v>13536</v>
      </c>
      <c r="P1491">
        <f>MATCH(LEFT(A1491,FIND("-",A1491)-1),{"April","May","June","July","August","September","October","November","December","January","February","March"},0)</f>
        <v>8</v>
      </c>
      <c r="Q1491" s="3">
        <f t="shared" si="46"/>
        <v>6.2692612485691648E-2</v>
      </c>
      <c r="R1491" t="str">
        <f t="shared" si="47"/>
        <v>November</v>
      </c>
    </row>
    <row r="1492" spans="1:18" x14ac:dyDescent="0.35">
      <c r="A1492" t="s">
        <v>442</v>
      </c>
      <c r="B1492" t="s">
        <v>177</v>
      </c>
      <c r="C1492" t="s">
        <v>63</v>
      </c>
      <c r="D1492" t="s">
        <v>178</v>
      </c>
      <c r="E1492">
        <v>9961</v>
      </c>
      <c r="F1492">
        <v>4693</v>
      </c>
      <c r="G1492">
        <v>5722</v>
      </c>
      <c r="H1492">
        <v>552</v>
      </c>
      <c r="I1492">
        <v>936</v>
      </c>
      <c r="J1492">
        <v>534</v>
      </c>
      <c r="K1492" s="1">
        <v>45962</v>
      </c>
      <c r="L1492" t="s">
        <v>439</v>
      </c>
      <c r="M1492" t="s">
        <v>435</v>
      </c>
      <c r="N1492" s="2">
        <f>IFERROR(NHS_A_E[[#This Row],[T1_Over4hrs]]/NHS_A_E[[#This Row],[T1_Attendances]], 0)</f>
        <v>0.57444031723722522</v>
      </c>
      <c r="O1492">
        <f>NHS_A_E[[#This Row],[T1_Attendances]]+NHS_A_E[[#This Row],[Other_Attendances]]</f>
        <v>14654</v>
      </c>
      <c r="P1492">
        <f>MATCH(LEFT(A1492,FIND("-",A1492)-1),{"April","May","June","July","August","September","October","November","December","January","February","March"},0)</f>
        <v>8</v>
      </c>
      <c r="Q1492" s="3">
        <f t="shared" si="46"/>
        <v>5.3609075394036747E-2</v>
      </c>
      <c r="R1492" t="str">
        <f t="shared" si="47"/>
        <v>November</v>
      </c>
    </row>
    <row r="1493" spans="1:18" x14ac:dyDescent="0.35">
      <c r="A1493" t="s">
        <v>442</v>
      </c>
      <c r="B1493" t="s">
        <v>195</v>
      </c>
      <c r="C1493" t="s">
        <v>30</v>
      </c>
      <c r="D1493" t="s">
        <v>196</v>
      </c>
      <c r="E1493">
        <v>8917</v>
      </c>
      <c r="F1493">
        <v>10017</v>
      </c>
      <c r="G1493">
        <v>4390</v>
      </c>
      <c r="H1493">
        <v>75</v>
      </c>
      <c r="I1493">
        <v>574</v>
      </c>
      <c r="J1493">
        <v>404</v>
      </c>
      <c r="K1493" s="1">
        <v>45962</v>
      </c>
      <c r="L1493" t="s">
        <v>439</v>
      </c>
      <c r="M1493" t="s">
        <v>435</v>
      </c>
      <c r="N1493" s="2">
        <f>IFERROR(NHS_A_E[[#This Row],[T1_Over4hrs]]/NHS_A_E[[#This Row],[T1_Attendances]], 0)</f>
        <v>0.49231804418526409</v>
      </c>
      <c r="O1493">
        <f>NHS_A_E[[#This Row],[T1_Attendances]]+NHS_A_E[[#This Row],[Other_Attendances]]</f>
        <v>18934</v>
      </c>
      <c r="P1493">
        <f>MATCH(LEFT(A1493,FIND("-",A1493)-1),{"April","May","June","July","August","September","October","November","December","January","February","March"},0)</f>
        <v>8</v>
      </c>
      <c r="Q1493" s="3">
        <f t="shared" si="46"/>
        <v>4.5306717505887634E-2</v>
      </c>
      <c r="R1493" t="str">
        <f t="shared" si="47"/>
        <v>November</v>
      </c>
    </row>
    <row r="1494" spans="1:18" x14ac:dyDescent="0.35">
      <c r="A1494" t="s">
        <v>442</v>
      </c>
      <c r="B1494" t="s">
        <v>32</v>
      </c>
      <c r="C1494" t="s">
        <v>30</v>
      </c>
      <c r="D1494" t="s">
        <v>33</v>
      </c>
      <c r="E1494">
        <v>0</v>
      </c>
      <c r="F1494">
        <v>0</v>
      </c>
      <c r="G1494">
        <v>0</v>
      </c>
      <c r="H1494">
        <v>0</v>
      </c>
      <c r="I1494">
        <v>0</v>
      </c>
      <c r="J1494">
        <v>0</v>
      </c>
      <c r="K1494" s="1">
        <v>45962</v>
      </c>
      <c r="L1494" t="s">
        <v>439</v>
      </c>
      <c r="M1494" t="s">
        <v>435</v>
      </c>
      <c r="N1494" s="2">
        <f>IFERROR(NHS_A_E[[#This Row],[T1_Over4hrs]]/NHS_A_E[[#This Row],[T1_Attendances]], 0)</f>
        <v>0</v>
      </c>
      <c r="O1494">
        <f>NHS_A_E[[#This Row],[T1_Attendances]]+NHS_A_E[[#This Row],[Other_Attendances]]</f>
        <v>0</v>
      </c>
      <c r="P1494">
        <f>MATCH(LEFT(A1494,FIND("-",A1494)-1),{"April","May","June","July","August","September","October","November","December","January","February","March"},0)</f>
        <v>8</v>
      </c>
      <c r="Q1494" s="3">
        <f t="shared" si="46"/>
        <v>0</v>
      </c>
      <c r="R1494" t="str">
        <f t="shared" si="47"/>
        <v>November</v>
      </c>
    </row>
    <row r="1495" spans="1:18" x14ac:dyDescent="0.35">
      <c r="A1495" t="s">
        <v>442</v>
      </c>
      <c r="B1495" t="s">
        <v>48</v>
      </c>
      <c r="C1495" t="s">
        <v>40</v>
      </c>
      <c r="D1495" t="s">
        <v>49</v>
      </c>
      <c r="E1495">
        <v>7200</v>
      </c>
      <c r="F1495">
        <v>1649</v>
      </c>
      <c r="G1495">
        <v>1863</v>
      </c>
      <c r="H1495">
        <v>1</v>
      </c>
      <c r="I1495">
        <v>329</v>
      </c>
      <c r="J1495">
        <v>417</v>
      </c>
      <c r="K1495" s="1">
        <v>45962</v>
      </c>
      <c r="L1495" t="s">
        <v>439</v>
      </c>
      <c r="M1495" t="s">
        <v>435</v>
      </c>
      <c r="N1495" s="2">
        <f>IFERROR(NHS_A_E[[#This Row],[T1_Over4hrs]]/NHS_A_E[[#This Row],[T1_Attendances]], 0)</f>
        <v>0.25874999999999998</v>
      </c>
      <c r="O1495">
        <f>NHS_A_E[[#This Row],[T1_Attendances]]+NHS_A_E[[#This Row],[Other_Attendances]]</f>
        <v>8849</v>
      </c>
      <c r="P1495">
        <f>MATCH(LEFT(A1495,FIND("-",A1495)-1),{"April","May","June","July","August","September","October","November","December","January","February","March"},0)</f>
        <v>8</v>
      </c>
      <c r="Q1495" s="3">
        <f t="shared" si="46"/>
        <v>5.7916666666666665E-2</v>
      </c>
      <c r="R1495" t="str">
        <f t="shared" si="47"/>
        <v>November</v>
      </c>
    </row>
    <row r="1496" spans="1:18" x14ac:dyDescent="0.35">
      <c r="A1496" t="s">
        <v>442</v>
      </c>
      <c r="B1496" t="s">
        <v>353</v>
      </c>
      <c r="C1496" t="s">
        <v>40</v>
      </c>
      <c r="D1496" t="s">
        <v>354</v>
      </c>
      <c r="E1496">
        <v>11537</v>
      </c>
      <c r="F1496">
        <v>7238</v>
      </c>
      <c r="G1496">
        <v>4325</v>
      </c>
      <c r="H1496">
        <v>268</v>
      </c>
      <c r="I1496">
        <v>759</v>
      </c>
      <c r="J1496">
        <v>620</v>
      </c>
      <c r="K1496" s="1">
        <v>45962</v>
      </c>
      <c r="L1496" t="s">
        <v>439</v>
      </c>
      <c r="M1496" t="s">
        <v>435</v>
      </c>
      <c r="N1496" s="2">
        <f>IFERROR(NHS_A_E[[#This Row],[T1_Over4hrs]]/NHS_A_E[[#This Row],[T1_Attendances]], 0)</f>
        <v>0.37488081823697667</v>
      </c>
      <c r="O1496">
        <f>NHS_A_E[[#This Row],[T1_Attendances]]+NHS_A_E[[#This Row],[Other_Attendances]]</f>
        <v>18775</v>
      </c>
      <c r="P1496">
        <f>MATCH(LEFT(A1496,FIND("-",A1496)-1),{"April","May","June","July","August","September","October","November","December","January","February","March"},0)</f>
        <v>8</v>
      </c>
      <c r="Q1496" s="3">
        <f t="shared" si="46"/>
        <v>5.3740140417786256E-2</v>
      </c>
      <c r="R1496" t="str">
        <f t="shared" si="47"/>
        <v>November</v>
      </c>
    </row>
    <row r="1497" spans="1:18" x14ac:dyDescent="0.35">
      <c r="A1497" t="s">
        <v>442</v>
      </c>
      <c r="B1497" t="s">
        <v>42</v>
      </c>
      <c r="C1497" t="s">
        <v>40</v>
      </c>
      <c r="D1497" t="s">
        <v>43</v>
      </c>
      <c r="E1497">
        <v>10617</v>
      </c>
      <c r="F1497">
        <v>5700</v>
      </c>
      <c r="G1497">
        <v>4758</v>
      </c>
      <c r="H1497">
        <v>549</v>
      </c>
      <c r="I1497">
        <v>814</v>
      </c>
      <c r="J1497">
        <v>484</v>
      </c>
      <c r="K1497" s="1">
        <v>45962</v>
      </c>
      <c r="L1497" t="s">
        <v>439</v>
      </c>
      <c r="M1497" t="s">
        <v>435</v>
      </c>
      <c r="N1497" s="2">
        <f>IFERROR(NHS_A_E[[#This Row],[T1_Over4hrs]]/NHS_A_E[[#This Row],[T1_Attendances]], 0)</f>
        <v>0.44814919468776493</v>
      </c>
      <c r="O1497">
        <f>NHS_A_E[[#This Row],[T1_Attendances]]+NHS_A_E[[#This Row],[Other_Attendances]]</f>
        <v>16317</v>
      </c>
      <c r="P1497">
        <f>MATCH(LEFT(A1497,FIND("-",A1497)-1),{"April","May","June","July","August","September","October","November","December","January","February","March"},0)</f>
        <v>8</v>
      </c>
      <c r="Q1497" s="3">
        <f t="shared" si="46"/>
        <v>4.5587265705943299E-2</v>
      </c>
      <c r="R1497" t="str">
        <f t="shared" si="47"/>
        <v>November</v>
      </c>
    </row>
    <row r="1498" spans="1:18" x14ac:dyDescent="0.35">
      <c r="A1498" t="s">
        <v>442</v>
      </c>
      <c r="B1498" t="s">
        <v>415</v>
      </c>
      <c r="C1498" t="s">
        <v>35</v>
      </c>
      <c r="D1498" t="s">
        <v>416</v>
      </c>
      <c r="E1498">
        <v>16021</v>
      </c>
      <c r="F1498">
        <v>8885</v>
      </c>
      <c r="G1498">
        <v>6752</v>
      </c>
      <c r="H1498">
        <v>959</v>
      </c>
      <c r="I1498">
        <v>1426</v>
      </c>
      <c r="J1498">
        <v>811</v>
      </c>
      <c r="K1498" s="1">
        <v>45962</v>
      </c>
      <c r="L1498" t="s">
        <v>439</v>
      </c>
      <c r="M1498" t="s">
        <v>435</v>
      </c>
      <c r="N1498" s="2">
        <f>IFERROR(NHS_A_E[[#This Row],[T1_Over4hrs]]/NHS_A_E[[#This Row],[T1_Attendances]], 0)</f>
        <v>0.42144685100805196</v>
      </c>
      <c r="O1498">
        <f>NHS_A_E[[#This Row],[T1_Attendances]]+NHS_A_E[[#This Row],[Other_Attendances]]</f>
        <v>24906</v>
      </c>
      <c r="P1498">
        <f>MATCH(LEFT(A1498,FIND("-",A1498)-1),{"April","May","June","July","August","September","October","November","December","January","February","March"},0)</f>
        <v>8</v>
      </c>
      <c r="Q1498" s="3">
        <f t="shared" si="46"/>
        <v>5.0621059858935148E-2</v>
      </c>
      <c r="R1498" t="str">
        <f t="shared" si="47"/>
        <v>November</v>
      </c>
    </row>
    <row r="1499" spans="1:18" x14ac:dyDescent="0.35">
      <c r="A1499" t="s">
        <v>442</v>
      </c>
      <c r="B1499" t="s">
        <v>285</v>
      </c>
      <c r="C1499" t="s">
        <v>40</v>
      </c>
      <c r="D1499" t="s">
        <v>286</v>
      </c>
      <c r="E1499">
        <v>0</v>
      </c>
      <c r="F1499">
        <v>299</v>
      </c>
      <c r="G1499">
        <v>0</v>
      </c>
      <c r="H1499">
        <v>0</v>
      </c>
      <c r="I1499">
        <v>0</v>
      </c>
      <c r="J1499">
        <v>0</v>
      </c>
      <c r="K1499" s="1">
        <v>45962</v>
      </c>
      <c r="L1499" t="s">
        <v>439</v>
      </c>
      <c r="M1499" t="s">
        <v>435</v>
      </c>
      <c r="N1499" s="2">
        <f>IFERROR(NHS_A_E[[#This Row],[T1_Over4hrs]]/NHS_A_E[[#This Row],[T1_Attendances]], 0)</f>
        <v>0</v>
      </c>
      <c r="O1499">
        <f>NHS_A_E[[#This Row],[T1_Attendances]]+NHS_A_E[[#This Row],[Other_Attendances]]</f>
        <v>299</v>
      </c>
      <c r="P1499">
        <f>MATCH(LEFT(A1499,FIND("-",A1499)-1),{"April","May","June","July","August","September","October","November","December","January","February","March"},0)</f>
        <v>8</v>
      </c>
      <c r="Q1499" s="3">
        <f t="shared" si="46"/>
        <v>0</v>
      </c>
      <c r="R1499" t="str">
        <f t="shared" si="47"/>
        <v>November</v>
      </c>
    </row>
    <row r="1500" spans="1:18" x14ac:dyDescent="0.35">
      <c r="A1500" t="s">
        <v>442</v>
      </c>
      <c r="B1500" t="s">
        <v>383</v>
      </c>
      <c r="C1500" t="s">
        <v>20</v>
      </c>
      <c r="D1500" t="s">
        <v>384</v>
      </c>
      <c r="E1500">
        <v>0</v>
      </c>
      <c r="F1500">
        <v>82</v>
      </c>
      <c r="G1500">
        <v>0</v>
      </c>
      <c r="H1500">
        <v>0</v>
      </c>
      <c r="I1500">
        <v>0</v>
      </c>
      <c r="J1500">
        <v>0</v>
      </c>
      <c r="K1500" s="1">
        <v>45962</v>
      </c>
      <c r="L1500" t="s">
        <v>439</v>
      </c>
      <c r="M1500" t="s">
        <v>435</v>
      </c>
      <c r="N1500" s="2">
        <f>IFERROR(NHS_A_E[[#This Row],[T1_Over4hrs]]/NHS_A_E[[#This Row],[T1_Attendances]], 0)</f>
        <v>0</v>
      </c>
      <c r="O1500">
        <f>NHS_A_E[[#This Row],[T1_Attendances]]+NHS_A_E[[#This Row],[Other_Attendances]]</f>
        <v>82</v>
      </c>
      <c r="P1500">
        <f>MATCH(LEFT(A1500,FIND("-",A1500)-1),{"April","May","June","July","August","September","October","November","December","January","February","March"},0)</f>
        <v>8</v>
      </c>
      <c r="Q1500" s="3">
        <f t="shared" si="46"/>
        <v>0</v>
      </c>
      <c r="R1500" t="str">
        <f t="shared" si="47"/>
        <v>November</v>
      </c>
    </row>
    <row r="1501" spans="1:18" x14ac:dyDescent="0.35">
      <c r="A1501" t="s">
        <v>442</v>
      </c>
      <c r="B1501" t="s">
        <v>71</v>
      </c>
      <c r="C1501" t="s">
        <v>35</v>
      </c>
      <c r="D1501" t="s">
        <v>72</v>
      </c>
      <c r="E1501">
        <v>0</v>
      </c>
      <c r="F1501">
        <v>0</v>
      </c>
      <c r="G1501">
        <v>0</v>
      </c>
      <c r="H1501">
        <v>0</v>
      </c>
      <c r="I1501">
        <v>0</v>
      </c>
      <c r="J1501">
        <v>0</v>
      </c>
      <c r="K1501" s="1">
        <v>45962</v>
      </c>
      <c r="L1501" t="s">
        <v>439</v>
      </c>
      <c r="M1501" t="s">
        <v>435</v>
      </c>
      <c r="N1501" s="2">
        <f>IFERROR(NHS_A_E[[#This Row],[T1_Over4hrs]]/NHS_A_E[[#This Row],[T1_Attendances]], 0)</f>
        <v>0</v>
      </c>
      <c r="O1501">
        <f>NHS_A_E[[#This Row],[T1_Attendances]]+NHS_A_E[[#This Row],[Other_Attendances]]</f>
        <v>0</v>
      </c>
      <c r="P1501">
        <f>MATCH(LEFT(A1501,FIND("-",A1501)-1),{"April","May","June","July","August","September","October","November","December","January","February","March"},0)</f>
        <v>8</v>
      </c>
      <c r="Q1501" s="3">
        <f t="shared" si="46"/>
        <v>0</v>
      </c>
      <c r="R1501" t="str">
        <f t="shared" si="47"/>
        <v>November</v>
      </c>
    </row>
    <row r="1502" spans="1:18" x14ac:dyDescent="0.35">
      <c r="A1502" t="s">
        <v>442</v>
      </c>
      <c r="B1502" t="s">
        <v>231</v>
      </c>
      <c r="C1502" t="s">
        <v>63</v>
      </c>
      <c r="D1502" t="s">
        <v>232</v>
      </c>
      <c r="E1502">
        <v>9445</v>
      </c>
      <c r="F1502">
        <v>0</v>
      </c>
      <c r="G1502">
        <v>2600</v>
      </c>
      <c r="H1502">
        <v>0</v>
      </c>
      <c r="I1502">
        <v>490</v>
      </c>
      <c r="J1502">
        <v>4</v>
      </c>
      <c r="K1502" s="1">
        <v>45962</v>
      </c>
      <c r="L1502" t="s">
        <v>439</v>
      </c>
      <c r="M1502" t="s">
        <v>435</v>
      </c>
      <c r="N1502" s="2">
        <f>IFERROR(NHS_A_E[[#This Row],[T1_Over4hrs]]/NHS_A_E[[#This Row],[T1_Attendances]], 0)</f>
        <v>0.27527792482795127</v>
      </c>
      <c r="O1502">
        <f>NHS_A_E[[#This Row],[T1_Attendances]]+NHS_A_E[[#This Row],[Other_Attendances]]</f>
        <v>9445</v>
      </c>
      <c r="P1502">
        <f>MATCH(LEFT(A1502,FIND("-",A1502)-1),{"April","May","June","July","August","September","October","November","December","January","February","March"},0)</f>
        <v>8</v>
      </c>
      <c r="Q1502" s="3">
        <f t="shared" si="46"/>
        <v>4.2350449973530967E-4</v>
      </c>
      <c r="R1502" t="str">
        <f t="shared" si="47"/>
        <v>November</v>
      </c>
    </row>
    <row r="1503" spans="1:18" x14ac:dyDescent="0.35">
      <c r="A1503" t="s">
        <v>442</v>
      </c>
      <c r="B1503" t="s">
        <v>315</v>
      </c>
      <c r="C1503" t="s">
        <v>23</v>
      </c>
      <c r="D1503" t="s">
        <v>316</v>
      </c>
      <c r="E1503">
        <v>6933</v>
      </c>
      <c r="F1503">
        <v>1223</v>
      </c>
      <c r="G1503">
        <v>2144</v>
      </c>
      <c r="H1503">
        <v>0</v>
      </c>
      <c r="I1503">
        <v>425</v>
      </c>
      <c r="J1503">
        <v>342</v>
      </c>
      <c r="K1503" s="1">
        <v>45962</v>
      </c>
      <c r="L1503" t="s">
        <v>439</v>
      </c>
      <c r="M1503" t="s">
        <v>435</v>
      </c>
      <c r="N1503" s="2">
        <f>IFERROR(NHS_A_E[[#This Row],[T1_Over4hrs]]/NHS_A_E[[#This Row],[T1_Attendances]], 0)</f>
        <v>0.30924563680946199</v>
      </c>
      <c r="O1503">
        <f>NHS_A_E[[#This Row],[T1_Attendances]]+NHS_A_E[[#This Row],[Other_Attendances]]</f>
        <v>8156</v>
      </c>
      <c r="P1503">
        <f>MATCH(LEFT(A1503,FIND("-",A1503)-1),{"April","May","June","July","August","September","October","November","December","January","February","March"},0)</f>
        <v>8</v>
      </c>
      <c r="Q1503" s="3">
        <f t="shared" si="46"/>
        <v>4.9329294677628734E-2</v>
      </c>
      <c r="R1503" t="str">
        <f t="shared" si="47"/>
        <v>November</v>
      </c>
    </row>
    <row r="1504" spans="1:18" x14ac:dyDescent="0.35">
      <c r="A1504" t="s">
        <v>442</v>
      </c>
      <c r="B1504" t="s">
        <v>235</v>
      </c>
      <c r="C1504" t="s">
        <v>35</v>
      </c>
      <c r="D1504" t="s">
        <v>236</v>
      </c>
      <c r="E1504">
        <v>11300</v>
      </c>
      <c r="F1504">
        <v>0</v>
      </c>
      <c r="G1504">
        <v>1890</v>
      </c>
      <c r="H1504">
        <v>0</v>
      </c>
      <c r="I1504">
        <v>189</v>
      </c>
      <c r="J1504">
        <v>25</v>
      </c>
      <c r="K1504" s="1">
        <v>45962</v>
      </c>
      <c r="L1504" t="s">
        <v>439</v>
      </c>
      <c r="M1504" t="s">
        <v>435</v>
      </c>
      <c r="N1504" s="2">
        <f>IFERROR(NHS_A_E[[#This Row],[T1_Over4hrs]]/NHS_A_E[[#This Row],[T1_Attendances]], 0)</f>
        <v>0.1672566371681416</v>
      </c>
      <c r="O1504">
        <f>NHS_A_E[[#This Row],[T1_Attendances]]+NHS_A_E[[#This Row],[Other_Attendances]]</f>
        <v>11300</v>
      </c>
      <c r="P1504">
        <f>MATCH(LEFT(A1504,FIND("-",A1504)-1),{"April","May","June","July","August","September","October","November","December","January","February","March"},0)</f>
        <v>8</v>
      </c>
      <c r="Q1504" s="3">
        <f t="shared" si="46"/>
        <v>2.2123893805309734E-3</v>
      </c>
      <c r="R1504" t="str">
        <f t="shared" si="47"/>
        <v>November</v>
      </c>
    </row>
    <row r="1505" spans="1:18" x14ac:dyDescent="0.35">
      <c r="A1505" t="s">
        <v>442</v>
      </c>
      <c r="B1505" t="s">
        <v>253</v>
      </c>
      <c r="C1505" t="s">
        <v>63</v>
      </c>
      <c r="D1505" t="s">
        <v>254</v>
      </c>
      <c r="E1505">
        <v>6112</v>
      </c>
      <c r="F1505">
        <v>4334</v>
      </c>
      <c r="G1505">
        <v>2313</v>
      </c>
      <c r="H1505">
        <v>25</v>
      </c>
      <c r="I1505">
        <v>577</v>
      </c>
      <c r="J1505">
        <v>6</v>
      </c>
      <c r="K1505" s="1">
        <v>45962</v>
      </c>
      <c r="L1505" t="s">
        <v>439</v>
      </c>
      <c r="M1505" t="s">
        <v>435</v>
      </c>
      <c r="N1505" s="2">
        <f>IFERROR(NHS_A_E[[#This Row],[T1_Over4hrs]]/NHS_A_E[[#This Row],[T1_Attendances]], 0)</f>
        <v>0.37843586387434552</v>
      </c>
      <c r="O1505">
        <f>NHS_A_E[[#This Row],[T1_Attendances]]+NHS_A_E[[#This Row],[Other_Attendances]]</f>
        <v>10446</v>
      </c>
      <c r="P1505">
        <f>MATCH(LEFT(A1505,FIND("-",A1505)-1),{"April","May","June","July","August","September","October","November","December","January","February","March"},0)</f>
        <v>8</v>
      </c>
      <c r="Q1505" s="3">
        <f t="shared" si="46"/>
        <v>9.8167539267015702E-4</v>
      </c>
      <c r="R1505" t="str">
        <f t="shared" si="47"/>
        <v>November</v>
      </c>
    </row>
    <row r="1506" spans="1:18" x14ac:dyDescent="0.35">
      <c r="A1506" t="s">
        <v>442</v>
      </c>
      <c r="B1506" t="s">
        <v>391</v>
      </c>
      <c r="C1506" t="s">
        <v>63</v>
      </c>
      <c r="D1506" t="s">
        <v>392</v>
      </c>
      <c r="E1506">
        <v>4998</v>
      </c>
      <c r="F1506">
        <v>721</v>
      </c>
      <c r="G1506">
        <v>686</v>
      </c>
      <c r="H1506">
        <v>5</v>
      </c>
      <c r="I1506">
        <v>24</v>
      </c>
      <c r="J1506">
        <v>0</v>
      </c>
      <c r="K1506" s="1">
        <v>45962</v>
      </c>
      <c r="L1506" t="s">
        <v>439</v>
      </c>
      <c r="M1506" t="s">
        <v>435</v>
      </c>
      <c r="N1506" s="2">
        <f>IFERROR(NHS_A_E[[#This Row],[T1_Over4hrs]]/NHS_A_E[[#This Row],[T1_Attendances]], 0)</f>
        <v>0.13725490196078433</v>
      </c>
      <c r="O1506">
        <f>NHS_A_E[[#This Row],[T1_Attendances]]+NHS_A_E[[#This Row],[Other_Attendances]]</f>
        <v>5719</v>
      </c>
      <c r="P1506">
        <f>MATCH(LEFT(A1506,FIND("-",A1506)-1),{"April","May","June","July","August","September","October","November","December","January","February","March"},0)</f>
        <v>8</v>
      </c>
      <c r="Q1506" s="3">
        <f t="shared" si="46"/>
        <v>0</v>
      </c>
      <c r="R1506" t="str">
        <f t="shared" si="47"/>
        <v>November</v>
      </c>
    </row>
    <row r="1507" spans="1:18" x14ac:dyDescent="0.35">
      <c r="A1507" t="s">
        <v>442</v>
      </c>
      <c r="B1507" t="s">
        <v>101</v>
      </c>
      <c r="C1507" t="s">
        <v>63</v>
      </c>
      <c r="D1507" t="s">
        <v>102</v>
      </c>
      <c r="E1507">
        <v>9394</v>
      </c>
      <c r="F1507">
        <v>0</v>
      </c>
      <c r="G1507">
        <v>2778</v>
      </c>
      <c r="H1507">
        <v>0</v>
      </c>
      <c r="I1507">
        <v>408</v>
      </c>
      <c r="J1507">
        <v>0</v>
      </c>
      <c r="K1507" s="1">
        <v>45962</v>
      </c>
      <c r="L1507" t="s">
        <v>439</v>
      </c>
      <c r="M1507" t="s">
        <v>435</v>
      </c>
      <c r="N1507" s="2">
        <f>IFERROR(NHS_A_E[[#This Row],[T1_Over4hrs]]/NHS_A_E[[#This Row],[T1_Attendances]], 0)</f>
        <v>0.29572067276985309</v>
      </c>
      <c r="O1507">
        <f>NHS_A_E[[#This Row],[T1_Attendances]]+NHS_A_E[[#This Row],[Other_Attendances]]</f>
        <v>9394</v>
      </c>
      <c r="P1507">
        <f>MATCH(LEFT(A1507,FIND("-",A1507)-1),{"April","May","June","July","August","September","October","November","December","January","February","March"},0)</f>
        <v>8</v>
      </c>
      <c r="Q1507" s="3">
        <f t="shared" si="46"/>
        <v>0</v>
      </c>
      <c r="R1507" t="str">
        <f t="shared" si="47"/>
        <v>November</v>
      </c>
    </row>
    <row r="1508" spans="1:18" x14ac:dyDescent="0.35">
      <c r="A1508" t="s">
        <v>442</v>
      </c>
      <c r="B1508" t="s">
        <v>261</v>
      </c>
      <c r="C1508" t="s">
        <v>15</v>
      </c>
      <c r="D1508" t="s">
        <v>262</v>
      </c>
      <c r="E1508">
        <v>0</v>
      </c>
      <c r="F1508">
        <v>4747</v>
      </c>
      <c r="G1508">
        <v>0</v>
      </c>
      <c r="H1508">
        <v>0</v>
      </c>
      <c r="I1508">
        <v>0</v>
      </c>
      <c r="J1508">
        <v>0</v>
      </c>
      <c r="K1508" s="1">
        <v>45962</v>
      </c>
      <c r="L1508" t="s">
        <v>439</v>
      </c>
      <c r="M1508" t="s">
        <v>435</v>
      </c>
      <c r="N1508" s="2">
        <f>IFERROR(NHS_A_E[[#This Row],[T1_Over4hrs]]/NHS_A_E[[#This Row],[T1_Attendances]], 0)</f>
        <v>0</v>
      </c>
      <c r="O1508">
        <f>NHS_A_E[[#This Row],[T1_Attendances]]+NHS_A_E[[#This Row],[Other_Attendances]]</f>
        <v>4747</v>
      </c>
      <c r="P1508">
        <f>MATCH(LEFT(A1508,FIND("-",A1508)-1),{"April","May","June","July","August","September","October","November","December","January","February","March"},0)</f>
        <v>8</v>
      </c>
      <c r="Q1508" s="3">
        <f t="shared" si="46"/>
        <v>0</v>
      </c>
      <c r="R1508" t="str">
        <f t="shared" si="47"/>
        <v>November</v>
      </c>
    </row>
    <row r="1509" spans="1:18" x14ac:dyDescent="0.35">
      <c r="A1509" t="s">
        <v>442</v>
      </c>
      <c r="B1509" t="s">
        <v>273</v>
      </c>
      <c r="C1509" t="s">
        <v>30</v>
      </c>
      <c r="D1509" t="s">
        <v>274</v>
      </c>
      <c r="E1509">
        <v>4516</v>
      </c>
      <c r="F1509">
        <v>0</v>
      </c>
      <c r="G1509">
        <v>2301</v>
      </c>
      <c r="H1509">
        <v>0</v>
      </c>
      <c r="I1509">
        <v>172</v>
      </c>
      <c r="J1509">
        <v>549</v>
      </c>
      <c r="K1509" s="1">
        <v>45962</v>
      </c>
      <c r="L1509" t="s">
        <v>439</v>
      </c>
      <c r="M1509" t="s">
        <v>435</v>
      </c>
      <c r="N1509" s="2">
        <f>IFERROR(NHS_A_E[[#This Row],[T1_Over4hrs]]/NHS_A_E[[#This Row],[T1_Attendances]], 0)</f>
        <v>0.50952170062001767</v>
      </c>
      <c r="O1509">
        <f>NHS_A_E[[#This Row],[T1_Attendances]]+NHS_A_E[[#This Row],[Other_Attendances]]</f>
        <v>4516</v>
      </c>
      <c r="P1509">
        <f>MATCH(LEFT(A1509,FIND("-",A1509)-1),{"April","May","June","July","August","September","October","November","December","January","February","March"},0)</f>
        <v>8</v>
      </c>
      <c r="Q1509" s="3">
        <f t="shared" si="46"/>
        <v>0.12156775907883083</v>
      </c>
      <c r="R1509" t="str">
        <f t="shared" si="47"/>
        <v>November</v>
      </c>
    </row>
    <row r="1510" spans="1:18" x14ac:dyDescent="0.35">
      <c r="A1510" t="s">
        <v>442</v>
      </c>
      <c r="B1510" t="s">
        <v>403</v>
      </c>
      <c r="C1510" t="s">
        <v>15</v>
      </c>
      <c r="D1510" t="s">
        <v>404</v>
      </c>
      <c r="E1510">
        <v>0</v>
      </c>
      <c r="F1510">
        <v>1200</v>
      </c>
      <c r="G1510">
        <v>0</v>
      </c>
      <c r="H1510">
        <v>12</v>
      </c>
      <c r="I1510">
        <v>0</v>
      </c>
      <c r="J1510">
        <v>0</v>
      </c>
      <c r="K1510" s="1">
        <v>45962</v>
      </c>
      <c r="L1510" t="s">
        <v>439</v>
      </c>
      <c r="M1510" t="s">
        <v>435</v>
      </c>
      <c r="N1510" s="2">
        <f>IFERROR(NHS_A_E[[#This Row],[T1_Over4hrs]]/NHS_A_E[[#This Row],[T1_Attendances]], 0)</f>
        <v>0</v>
      </c>
      <c r="O1510">
        <f>NHS_A_E[[#This Row],[T1_Attendances]]+NHS_A_E[[#This Row],[Other_Attendances]]</f>
        <v>1200</v>
      </c>
      <c r="P1510">
        <f>MATCH(LEFT(A1510,FIND("-",A1510)-1),{"April","May","June","July","August","September","October","November","December","January","February","March"},0)</f>
        <v>8</v>
      </c>
      <c r="Q1510" s="3">
        <f t="shared" si="46"/>
        <v>0</v>
      </c>
      <c r="R1510" t="str">
        <f t="shared" si="47"/>
        <v>November</v>
      </c>
    </row>
    <row r="1511" spans="1:18" x14ac:dyDescent="0.35">
      <c r="A1511" t="s">
        <v>442</v>
      </c>
      <c r="B1511" t="s">
        <v>58</v>
      </c>
      <c r="C1511" t="s">
        <v>40</v>
      </c>
      <c r="D1511" t="s">
        <v>59</v>
      </c>
      <c r="E1511">
        <v>5568</v>
      </c>
      <c r="F1511">
        <v>0</v>
      </c>
      <c r="G1511">
        <v>1464</v>
      </c>
      <c r="H1511">
        <v>0</v>
      </c>
      <c r="I1511">
        <v>23</v>
      </c>
      <c r="J1511">
        <v>0</v>
      </c>
      <c r="K1511" s="1">
        <v>45962</v>
      </c>
      <c r="L1511" t="s">
        <v>439</v>
      </c>
      <c r="M1511" t="s">
        <v>435</v>
      </c>
      <c r="N1511" s="2">
        <f>IFERROR(NHS_A_E[[#This Row],[T1_Over4hrs]]/NHS_A_E[[#This Row],[T1_Attendances]], 0)</f>
        <v>0.26293103448275862</v>
      </c>
      <c r="O1511">
        <f>NHS_A_E[[#This Row],[T1_Attendances]]+NHS_A_E[[#This Row],[Other_Attendances]]</f>
        <v>5568</v>
      </c>
      <c r="P1511">
        <f>MATCH(LEFT(A1511,FIND("-",A1511)-1),{"April","May","June","July","August","September","October","November","December","January","February","March"},0)</f>
        <v>8</v>
      </c>
      <c r="Q1511" s="3">
        <f t="shared" si="46"/>
        <v>0</v>
      </c>
      <c r="R1511" t="str">
        <f t="shared" si="47"/>
        <v>November</v>
      </c>
    </row>
    <row r="1512" spans="1:18" x14ac:dyDescent="0.35">
      <c r="A1512" t="s">
        <v>442</v>
      </c>
      <c r="B1512" t="s">
        <v>363</v>
      </c>
      <c r="C1512" t="s">
        <v>40</v>
      </c>
      <c r="D1512" t="s">
        <v>364</v>
      </c>
      <c r="E1512">
        <v>13836</v>
      </c>
      <c r="F1512">
        <v>5212</v>
      </c>
      <c r="G1512">
        <v>7046</v>
      </c>
      <c r="H1512">
        <v>64</v>
      </c>
      <c r="I1512">
        <v>989</v>
      </c>
      <c r="J1512">
        <v>1083</v>
      </c>
      <c r="K1512" s="1">
        <v>45962</v>
      </c>
      <c r="L1512" t="s">
        <v>439</v>
      </c>
      <c r="M1512" t="s">
        <v>435</v>
      </c>
      <c r="N1512" s="2">
        <f>IFERROR(NHS_A_E[[#This Row],[T1_Over4hrs]]/NHS_A_E[[#This Row],[T1_Attendances]], 0)</f>
        <v>0.5092512286788089</v>
      </c>
      <c r="O1512">
        <f>NHS_A_E[[#This Row],[T1_Attendances]]+NHS_A_E[[#This Row],[Other_Attendances]]</f>
        <v>19048</v>
      </c>
      <c r="P1512">
        <f>MATCH(LEFT(A1512,FIND("-",A1512)-1),{"April","May","June","July","August","September","October","November","December","January","February","March"},0)</f>
        <v>8</v>
      </c>
      <c r="Q1512" s="3">
        <f t="shared" si="46"/>
        <v>7.8274067649609716E-2</v>
      </c>
      <c r="R1512" t="str">
        <f t="shared" si="47"/>
        <v>November</v>
      </c>
    </row>
    <row r="1513" spans="1:18" x14ac:dyDescent="0.35">
      <c r="A1513" t="s">
        <v>442</v>
      </c>
      <c r="B1513" t="s">
        <v>119</v>
      </c>
      <c r="C1513" t="s">
        <v>15</v>
      </c>
      <c r="D1513" t="s">
        <v>120</v>
      </c>
      <c r="E1513">
        <v>9743</v>
      </c>
      <c r="F1513">
        <v>2989</v>
      </c>
      <c r="G1513">
        <v>4327</v>
      </c>
      <c r="H1513">
        <v>60</v>
      </c>
      <c r="I1513">
        <v>235</v>
      </c>
      <c r="J1513">
        <v>268</v>
      </c>
      <c r="K1513" s="1">
        <v>45962</v>
      </c>
      <c r="L1513" t="s">
        <v>439</v>
      </c>
      <c r="M1513" t="s">
        <v>435</v>
      </c>
      <c r="N1513" s="2">
        <f>IFERROR(NHS_A_E[[#This Row],[T1_Over4hrs]]/NHS_A_E[[#This Row],[T1_Attendances]], 0)</f>
        <v>0.44411372267268806</v>
      </c>
      <c r="O1513">
        <f>NHS_A_E[[#This Row],[T1_Attendances]]+NHS_A_E[[#This Row],[Other_Attendances]]</f>
        <v>12732</v>
      </c>
      <c r="P1513">
        <f>MATCH(LEFT(A1513,FIND("-",A1513)-1),{"April","May","June","July","August","September","October","November","December","January","February","March"},0)</f>
        <v>8</v>
      </c>
      <c r="Q1513" s="3">
        <f t="shared" si="46"/>
        <v>2.7506928050908343E-2</v>
      </c>
      <c r="R1513" t="str">
        <f t="shared" si="47"/>
        <v>November</v>
      </c>
    </row>
    <row r="1514" spans="1:18" x14ac:dyDescent="0.35">
      <c r="A1514" t="s">
        <v>442</v>
      </c>
      <c r="B1514" t="s">
        <v>331</v>
      </c>
      <c r="C1514" t="s">
        <v>15</v>
      </c>
      <c r="D1514" t="s">
        <v>332</v>
      </c>
      <c r="E1514">
        <v>0</v>
      </c>
      <c r="F1514">
        <v>5388</v>
      </c>
      <c r="G1514">
        <v>0</v>
      </c>
      <c r="H1514">
        <v>125</v>
      </c>
      <c r="I1514">
        <v>0</v>
      </c>
      <c r="J1514">
        <v>0</v>
      </c>
      <c r="K1514" s="1">
        <v>45962</v>
      </c>
      <c r="L1514" t="s">
        <v>439</v>
      </c>
      <c r="M1514" t="s">
        <v>435</v>
      </c>
      <c r="N1514" s="2">
        <f>IFERROR(NHS_A_E[[#This Row],[T1_Over4hrs]]/NHS_A_E[[#This Row],[T1_Attendances]], 0)</f>
        <v>0</v>
      </c>
      <c r="O1514">
        <f>NHS_A_E[[#This Row],[T1_Attendances]]+NHS_A_E[[#This Row],[Other_Attendances]]</f>
        <v>5388</v>
      </c>
      <c r="P1514">
        <f>MATCH(LEFT(A1514,FIND("-",A1514)-1),{"April","May","June","July","August","September","October","November","December","January","February","March"},0)</f>
        <v>8</v>
      </c>
      <c r="Q1514" s="3">
        <f t="shared" si="46"/>
        <v>0</v>
      </c>
      <c r="R1514" t="str">
        <f t="shared" si="47"/>
        <v>November</v>
      </c>
    </row>
    <row r="1515" spans="1:18" x14ac:dyDescent="0.35">
      <c r="A1515" t="s">
        <v>442</v>
      </c>
      <c r="B1515" t="s">
        <v>117</v>
      </c>
      <c r="C1515" t="s">
        <v>15</v>
      </c>
      <c r="D1515" t="s">
        <v>436</v>
      </c>
      <c r="E1515">
        <v>6753</v>
      </c>
      <c r="F1515">
        <v>1819</v>
      </c>
      <c r="G1515">
        <v>2110</v>
      </c>
      <c r="H1515">
        <v>0</v>
      </c>
      <c r="I1515">
        <v>374</v>
      </c>
      <c r="J1515">
        <v>20</v>
      </c>
      <c r="K1515" s="1">
        <v>45962</v>
      </c>
      <c r="L1515" t="s">
        <v>439</v>
      </c>
      <c r="M1515" t="s">
        <v>435</v>
      </c>
      <c r="N1515" s="2">
        <f>IFERROR(NHS_A_E[[#This Row],[T1_Over4hrs]]/NHS_A_E[[#This Row],[T1_Attendances]], 0)</f>
        <v>0.31245372427069451</v>
      </c>
      <c r="O1515">
        <f>NHS_A_E[[#This Row],[T1_Attendances]]+NHS_A_E[[#This Row],[Other_Attendances]]</f>
        <v>8572</v>
      </c>
      <c r="P1515">
        <f>MATCH(LEFT(A1515,FIND("-",A1515)-1),{"April","May","June","July","August","September","October","November","December","January","February","March"},0)</f>
        <v>8</v>
      </c>
      <c r="Q1515" s="3">
        <f t="shared" si="46"/>
        <v>2.9616466755516065E-3</v>
      </c>
      <c r="R1515" t="str">
        <f t="shared" si="47"/>
        <v>November</v>
      </c>
    </row>
    <row r="1516" spans="1:18" x14ac:dyDescent="0.35">
      <c r="A1516" t="s">
        <v>442</v>
      </c>
      <c r="B1516" t="s">
        <v>389</v>
      </c>
      <c r="C1516" t="s">
        <v>20</v>
      </c>
      <c r="D1516" t="s">
        <v>390</v>
      </c>
      <c r="E1516">
        <v>4321</v>
      </c>
      <c r="F1516">
        <v>0</v>
      </c>
      <c r="G1516">
        <v>1540</v>
      </c>
      <c r="H1516">
        <v>0</v>
      </c>
      <c r="I1516">
        <v>169</v>
      </c>
      <c r="J1516">
        <v>61</v>
      </c>
      <c r="K1516" s="1">
        <v>45962</v>
      </c>
      <c r="L1516" t="s">
        <v>439</v>
      </c>
      <c r="M1516" t="s">
        <v>435</v>
      </c>
      <c r="N1516" s="2">
        <f>IFERROR(NHS_A_E[[#This Row],[T1_Over4hrs]]/NHS_A_E[[#This Row],[T1_Attendances]], 0)</f>
        <v>0.35639898171719508</v>
      </c>
      <c r="O1516">
        <f>NHS_A_E[[#This Row],[T1_Attendances]]+NHS_A_E[[#This Row],[Other_Attendances]]</f>
        <v>4321</v>
      </c>
      <c r="P1516">
        <f>MATCH(LEFT(A1516,FIND("-",A1516)-1),{"April","May","June","July","August","September","October","November","December","January","February","March"},0)</f>
        <v>8</v>
      </c>
      <c r="Q1516" s="3">
        <f t="shared" si="46"/>
        <v>1.411710252256422E-2</v>
      </c>
      <c r="R1516" t="str">
        <f t="shared" si="47"/>
        <v>November</v>
      </c>
    </row>
    <row r="1517" spans="1:18" x14ac:dyDescent="0.35">
      <c r="A1517" t="s">
        <v>442</v>
      </c>
      <c r="B1517" t="s">
        <v>343</v>
      </c>
      <c r="C1517" t="s">
        <v>30</v>
      </c>
      <c r="D1517" t="s">
        <v>344</v>
      </c>
      <c r="E1517">
        <v>6725</v>
      </c>
      <c r="F1517">
        <v>0</v>
      </c>
      <c r="G1517">
        <v>1081</v>
      </c>
      <c r="H1517">
        <v>0</v>
      </c>
      <c r="I1517">
        <v>0</v>
      </c>
      <c r="J1517">
        <v>0</v>
      </c>
      <c r="K1517" s="1">
        <v>45962</v>
      </c>
      <c r="L1517" t="s">
        <v>439</v>
      </c>
      <c r="M1517" t="s">
        <v>435</v>
      </c>
      <c r="N1517" s="2">
        <f>IFERROR(NHS_A_E[[#This Row],[T1_Over4hrs]]/NHS_A_E[[#This Row],[T1_Attendances]], 0)</f>
        <v>0.16074349442379182</v>
      </c>
      <c r="O1517">
        <f>NHS_A_E[[#This Row],[T1_Attendances]]+NHS_A_E[[#This Row],[Other_Attendances]]</f>
        <v>6725</v>
      </c>
      <c r="P1517">
        <f>MATCH(LEFT(A1517,FIND("-",A1517)-1),{"April","May","June","July","August","September","October","November","December","January","February","March"},0)</f>
        <v>8</v>
      </c>
      <c r="Q1517" s="3">
        <f t="shared" si="46"/>
        <v>0</v>
      </c>
      <c r="R1517" t="str">
        <f t="shared" si="47"/>
        <v>November</v>
      </c>
    </row>
    <row r="1518" spans="1:18" x14ac:dyDescent="0.35">
      <c r="A1518" t="s">
        <v>442</v>
      </c>
      <c r="B1518" t="s">
        <v>313</v>
      </c>
      <c r="C1518" t="s">
        <v>20</v>
      </c>
      <c r="D1518" t="s">
        <v>314</v>
      </c>
      <c r="E1518">
        <v>0</v>
      </c>
      <c r="F1518">
        <v>0</v>
      </c>
      <c r="G1518">
        <v>0</v>
      </c>
      <c r="H1518">
        <v>0</v>
      </c>
      <c r="I1518">
        <v>0</v>
      </c>
      <c r="J1518">
        <v>0</v>
      </c>
      <c r="K1518" s="1">
        <v>45962</v>
      </c>
      <c r="L1518" t="s">
        <v>439</v>
      </c>
      <c r="M1518" t="s">
        <v>435</v>
      </c>
      <c r="N1518" s="2">
        <f>IFERROR(NHS_A_E[[#This Row],[T1_Over4hrs]]/NHS_A_E[[#This Row],[T1_Attendances]], 0)</f>
        <v>0</v>
      </c>
      <c r="O1518">
        <f>NHS_A_E[[#This Row],[T1_Attendances]]+NHS_A_E[[#This Row],[Other_Attendances]]</f>
        <v>0</v>
      </c>
      <c r="P1518">
        <f>MATCH(LEFT(A1518,FIND("-",A1518)-1),{"April","May","June","July","August","September","October","November","December","January","February","March"},0)</f>
        <v>8</v>
      </c>
      <c r="Q1518" s="3">
        <f t="shared" si="46"/>
        <v>0</v>
      </c>
      <c r="R1518" t="str">
        <f t="shared" si="47"/>
        <v>November</v>
      </c>
    </row>
    <row r="1519" spans="1:18" x14ac:dyDescent="0.35">
      <c r="A1519" t="s">
        <v>442</v>
      </c>
      <c r="B1519" t="s">
        <v>269</v>
      </c>
      <c r="C1519" t="s">
        <v>40</v>
      </c>
      <c r="D1519" t="s">
        <v>270</v>
      </c>
      <c r="E1519">
        <v>5849</v>
      </c>
      <c r="F1519">
        <v>126</v>
      </c>
      <c r="G1519">
        <v>2188</v>
      </c>
      <c r="H1519">
        <v>0</v>
      </c>
      <c r="I1519">
        <v>374</v>
      </c>
      <c r="J1519">
        <v>178</v>
      </c>
      <c r="K1519" s="1">
        <v>45962</v>
      </c>
      <c r="L1519" t="s">
        <v>439</v>
      </c>
      <c r="M1519" t="s">
        <v>435</v>
      </c>
      <c r="N1519" s="2">
        <f>IFERROR(NHS_A_E[[#This Row],[T1_Over4hrs]]/NHS_A_E[[#This Row],[T1_Attendances]], 0)</f>
        <v>0.37408103949393057</v>
      </c>
      <c r="O1519">
        <f>NHS_A_E[[#This Row],[T1_Attendances]]+NHS_A_E[[#This Row],[Other_Attendances]]</f>
        <v>5975</v>
      </c>
      <c r="P1519">
        <f>MATCH(LEFT(A1519,FIND("-",A1519)-1),{"April","May","June","July","August","September","October","November","December","January","February","March"},0)</f>
        <v>8</v>
      </c>
      <c r="Q1519" s="3">
        <f t="shared" si="46"/>
        <v>3.0432552573089418E-2</v>
      </c>
      <c r="R1519" t="str">
        <f t="shared" si="47"/>
        <v>November</v>
      </c>
    </row>
    <row r="1520" spans="1:18" x14ac:dyDescent="0.35">
      <c r="A1520" t="s">
        <v>442</v>
      </c>
      <c r="B1520" t="s">
        <v>305</v>
      </c>
      <c r="C1520" t="s">
        <v>30</v>
      </c>
      <c r="D1520" t="s">
        <v>306</v>
      </c>
      <c r="E1520">
        <v>0</v>
      </c>
      <c r="F1520">
        <v>1650</v>
      </c>
      <c r="G1520">
        <v>0</v>
      </c>
      <c r="H1520">
        <v>0</v>
      </c>
      <c r="I1520">
        <v>0</v>
      </c>
      <c r="J1520">
        <v>0</v>
      </c>
      <c r="K1520" s="1">
        <v>45962</v>
      </c>
      <c r="L1520" t="s">
        <v>439</v>
      </c>
      <c r="M1520" t="s">
        <v>435</v>
      </c>
      <c r="N1520" s="2">
        <f>IFERROR(NHS_A_E[[#This Row],[T1_Over4hrs]]/NHS_A_E[[#This Row],[T1_Attendances]], 0)</f>
        <v>0</v>
      </c>
      <c r="O1520">
        <f>NHS_A_E[[#This Row],[T1_Attendances]]+NHS_A_E[[#This Row],[Other_Attendances]]</f>
        <v>1650</v>
      </c>
      <c r="P1520">
        <f>MATCH(LEFT(A1520,FIND("-",A1520)-1),{"April","May","June","July","August","September","October","November","December","January","February","March"},0)</f>
        <v>8</v>
      </c>
      <c r="Q1520" s="3">
        <f t="shared" si="46"/>
        <v>0</v>
      </c>
      <c r="R1520" t="str">
        <f t="shared" si="47"/>
        <v>November</v>
      </c>
    </row>
    <row r="1521" spans="1:18" x14ac:dyDescent="0.35">
      <c r="A1521" t="s">
        <v>442</v>
      </c>
      <c r="B1521" t="s">
        <v>207</v>
      </c>
      <c r="C1521" t="s">
        <v>15</v>
      </c>
      <c r="D1521" t="s">
        <v>208</v>
      </c>
      <c r="E1521">
        <v>27121</v>
      </c>
      <c r="F1521">
        <v>1687</v>
      </c>
      <c r="G1521">
        <v>10224</v>
      </c>
      <c r="H1521">
        <v>176</v>
      </c>
      <c r="I1521">
        <v>769</v>
      </c>
      <c r="J1521">
        <v>804</v>
      </c>
      <c r="K1521" s="1">
        <v>45962</v>
      </c>
      <c r="L1521" t="s">
        <v>439</v>
      </c>
      <c r="M1521" t="s">
        <v>435</v>
      </c>
      <c r="N1521" s="2">
        <f>IFERROR(NHS_A_E[[#This Row],[T1_Over4hrs]]/NHS_A_E[[#This Row],[T1_Attendances]], 0)</f>
        <v>0.37697725010139743</v>
      </c>
      <c r="O1521">
        <f>NHS_A_E[[#This Row],[T1_Attendances]]+NHS_A_E[[#This Row],[Other_Attendances]]</f>
        <v>28808</v>
      </c>
      <c r="P1521">
        <f>MATCH(LEFT(A1521,FIND("-",A1521)-1),{"April","May","June","July","August","September","October","November","December","January","February","March"},0)</f>
        <v>8</v>
      </c>
      <c r="Q1521" s="3">
        <f t="shared" si="46"/>
        <v>2.9644924597175621E-2</v>
      </c>
      <c r="R1521" t="str">
        <f t="shared" si="47"/>
        <v>November</v>
      </c>
    </row>
    <row r="1522" spans="1:18" x14ac:dyDescent="0.35">
      <c r="A1522" t="s">
        <v>442</v>
      </c>
      <c r="B1522" t="s">
        <v>327</v>
      </c>
      <c r="C1522" t="s">
        <v>40</v>
      </c>
      <c r="D1522" t="s">
        <v>328</v>
      </c>
      <c r="E1522">
        <v>0</v>
      </c>
      <c r="F1522">
        <v>6956</v>
      </c>
      <c r="G1522">
        <v>0</v>
      </c>
      <c r="H1522">
        <v>404</v>
      </c>
      <c r="I1522">
        <v>0</v>
      </c>
      <c r="J1522">
        <v>0</v>
      </c>
      <c r="K1522" s="1">
        <v>45962</v>
      </c>
      <c r="L1522" t="s">
        <v>439</v>
      </c>
      <c r="M1522" t="s">
        <v>435</v>
      </c>
      <c r="N1522" s="2">
        <f>IFERROR(NHS_A_E[[#This Row],[T1_Over4hrs]]/NHS_A_E[[#This Row],[T1_Attendances]], 0)</f>
        <v>0</v>
      </c>
      <c r="O1522">
        <f>NHS_A_E[[#This Row],[T1_Attendances]]+NHS_A_E[[#This Row],[Other_Attendances]]</f>
        <v>6956</v>
      </c>
      <c r="P1522">
        <f>MATCH(LEFT(A1522,FIND("-",A1522)-1),{"April","May","June","July","August","September","October","November","December","January","February","March"},0)</f>
        <v>8</v>
      </c>
      <c r="Q1522" s="3">
        <f t="shared" si="46"/>
        <v>0</v>
      </c>
      <c r="R1522" t="str">
        <f t="shared" si="47"/>
        <v>November</v>
      </c>
    </row>
    <row r="1523" spans="1:18" x14ac:dyDescent="0.35">
      <c r="A1523" t="s">
        <v>442</v>
      </c>
      <c r="B1523" t="s">
        <v>267</v>
      </c>
      <c r="C1523" t="s">
        <v>15</v>
      </c>
      <c r="D1523" t="s">
        <v>268</v>
      </c>
      <c r="E1523">
        <v>0</v>
      </c>
      <c r="F1523">
        <v>6044</v>
      </c>
      <c r="G1523">
        <v>0</v>
      </c>
      <c r="H1523">
        <v>27</v>
      </c>
      <c r="I1523">
        <v>0</v>
      </c>
      <c r="J1523">
        <v>0</v>
      </c>
      <c r="K1523" s="1">
        <v>45962</v>
      </c>
      <c r="L1523" t="s">
        <v>439</v>
      </c>
      <c r="M1523" t="s">
        <v>435</v>
      </c>
      <c r="N1523" s="2">
        <f>IFERROR(NHS_A_E[[#This Row],[T1_Over4hrs]]/NHS_A_E[[#This Row],[T1_Attendances]], 0)</f>
        <v>0</v>
      </c>
      <c r="O1523">
        <f>NHS_A_E[[#This Row],[T1_Attendances]]+NHS_A_E[[#This Row],[Other_Attendances]]</f>
        <v>6044</v>
      </c>
      <c r="P1523">
        <f>MATCH(LEFT(A1523,FIND("-",A1523)-1),{"April","May","June","July","August","September","October","November","December","January","February","March"},0)</f>
        <v>8</v>
      </c>
      <c r="Q1523" s="3">
        <f t="shared" si="46"/>
        <v>0</v>
      </c>
      <c r="R1523" t="str">
        <f t="shared" si="47"/>
        <v>November</v>
      </c>
    </row>
    <row r="1524" spans="1:18" x14ac:dyDescent="0.35">
      <c r="A1524" t="s">
        <v>442</v>
      </c>
      <c r="B1524" t="s">
        <v>321</v>
      </c>
      <c r="C1524" t="s">
        <v>20</v>
      </c>
      <c r="D1524" t="s">
        <v>322</v>
      </c>
      <c r="E1524">
        <v>0</v>
      </c>
      <c r="F1524">
        <v>503</v>
      </c>
      <c r="G1524">
        <v>0</v>
      </c>
      <c r="H1524">
        <v>0</v>
      </c>
      <c r="I1524">
        <v>0</v>
      </c>
      <c r="J1524">
        <v>0</v>
      </c>
      <c r="K1524" s="1">
        <v>45962</v>
      </c>
      <c r="L1524" t="s">
        <v>439</v>
      </c>
      <c r="M1524" t="s">
        <v>435</v>
      </c>
      <c r="N1524" s="2">
        <f>IFERROR(NHS_A_E[[#This Row],[T1_Over4hrs]]/NHS_A_E[[#This Row],[T1_Attendances]], 0)</f>
        <v>0</v>
      </c>
      <c r="O1524">
        <f>NHS_A_E[[#This Row],[T1_Attendances]]+NHS_A_E[[#This Row],[Other_Attendances]]</f>
        <v>503</v>
      </c>
      <c r="P1524">
        <f>MATCH(LEFT(A1524,FIND("-",A1524)-1),{"April","May","June","July","August","September","October","November","December","January","February","March"},0)</f>
        <v>8</v>
      </c>
      <c r="Q1524" s="3">
        <f t="shared" si="46"/>
        <v>0</v>
      </c>
      <c r="R1524" t="str">
        <f t="shared" si="47"/>
        <v>November</v>
      </c>
    </row>
    <row r="1525" spans="1:18" x14ac:dyDescent="0.35">
      <c r="A1525" t="s">
        <v>442</v>
      </c>
      <c r="B1525" t="s">
        <v>381</v>
      </c>
      <c r="C1525" t="s">
        <v>40</v>
      </c>
      <c r="D1525" t="s">
        <v>382</v>
      </c>
      <c r="E1525">
        <v>0</v>
      </c>
      <c r="F1525">
        <v>311</v>
      </c>
      <c r="G1525">
        <v>0</v>
      </c>
      <c r="H1525">
        <v>0</v>
      </c>
      <c r="I1525">
        <v>0</v>
      </c>
      <c r="J1525">
        <v>0</v>
      </c>
      <c r="K1525" s="1">
        <v>45962</v>
      </c>
      <c r="L1525" t="s">
        <v>439</v>
      </c>
      <c r="M1525" t="s">
        <v>435</v>
      </c>
      <c r="N1525" s="2">
        <f>IFERROR(NHS_A_E[[#This Row],[T1_Over4hrs]]/NHS_A_E[[#This Row],[T1_Attendances]], 0)</f>
        <v>0</v>
      </c>
      <c r="O1525">
        <f>NHS_A_E[[#This Row],[T1_Attendances]]+NHS_A_E[[#This Row],[Other_Attendances]]</f>
        <v>311</v>
      </c>
      <c r="P1525">
        <f>MATCH(LEFT(A1525,FIND("-",A1525)-1),{"April","May","June","July","August","September","October","November","December","January","February","March"},0)</f>
        <v>8</v>
      </c>
      <c r="Q1525" s="3">
        <f t="shared" si="46"/>
        <v>0</v>
      </c>
      <c r="R1525" t="str">
        <f t="shared" si="47"/>
        <v>November</v>
      </c>
    </row>
    <row r="1526" spans="1:18" x14ac:dyDescent="0.35">
      <c r="A1526" t="s">
        <v>442</v>
      </c>
      <c r="B1526" t="s">
        <v>14</v>
      </c>
      <c r="C1526" t="s">
        <v>15</v>
      </c>
      <c r="D1526" t="s">
        <v>16</v>
      </c>
      <c r="E1526">
        <v>0</v>
      </c>
      <c r="F1526">
        <v>2144</v>
      </c>
      <c r="G1526">
        <v>0</v>
      </c>
      <c r="H1526">
        <v>8</v>
      </c>
      <c r="I1526">
        <v>0</v>
      </c>
      <c r="J1526">
        <v>0</v>
      </c>
      <c r="K1526" s="1">
        <v>45962</v>
      </c>
      <c r="L1526" t="s">
        <v>439</v>
      </c>
      <c r="M1526" t="s">
        <v>435</v>
      </c>
      <c r="N1526" s="2">
        <f>IFERROR(NHS_A_E[[#This Row],[T1_Over4hrs]]/NHS_A_E[[#This Row],[T1_Attendances]], 0)</f>
        <v>0</v>
      </c>
      <c r="O1526">
        <f>NHS_A_E[[#This Row],[T1_Attendances]]+NHS_A_E[[#This Row],[Other_Attendances]]</f>
        <v>2144</v>
      </c>
      <c r="P1526">
        <f>MATCH(LEFT(A1526,FIND("-",A1526)-1),{"April","May","June","July","August","September","October","November","December","January","February","March"},0)</f>
        <v>8</v>
      </c>
      <c r="Q1526" s="3">
        <f t="shared" si="46"/>
        <v>0</v>
      </c>
      <c r="R1526" t="str">
        <f t="shared" si="47"/>
        <v>November</v>
      </c>
    </row>
    <row r="1527" spans="1:18" x14ac:dyDescent="0.35">
      <c r="A1527" t="s">
        <v>442</v>
      </c>
      <c r="B1527" t="s">
        <v>277</v>
      </c>
      <c r="C1527" t="s">
        <v>15</v>
      </c>
      <c r="D1527" t="s">
        <v>278</v>
      </c>
      <c r="E1527">
        <v>0</v>
      </c>
      <c r="F1527">
        <v>2312</v>
      </c>
      <c r="G1527">
        <v>0</v>
      </c>
      <c r="H1527">
        <v>63</v>
      </c>
      <c r="I1527">
        <v>0</v>
      </c>
      <c r="J1527">
        <v>0</v>
      </c>
      <c r="K1527" s="1">
        <v>45962</v>
      </c>
      <c r="L1527" t="s">
        <v>439</v>
      </c>
      <c r="M1527" t="s">
        <v>435</v>
      </c>
      <c r="N1527" s="2">
        <f>IFERROR(NHS_A_E[[#This Row],[T1_Over4hrs]]/NHS_A_E[[#This Row],[T1_Attendances]], 0)</f>
        <v>0</v>
      </c>
      <c r="O1527">
        <f>NHS_A_E[[#This Row],[T1_Attendances]]+NHS_A_E[[#This Row],[Other_Attendances]]</f>
        <v>2312</v>
      </c>
      <c r="P1527">
        <f>MATCH(LEFT(A1527,FIND("-",A1527)-1),{"April","May","June","July","August","September","October","November","December","January","February","March"},0)</f>
        <v>8</v>
      </c>
      <c r="Q1527" s="3">
        <f t="shared" si="46"/>
        <v>0</v>
      </c>
      <c r="R1527" t="str">
        <f t="shared" si="47"/>
        <v>November</v>
      </c>
    </row>
    <row r="1528" spans="1:18" x14ac:dyDescent="0.35">
      <c r="A1528" t="s">
        <v>442</v>
      </c>
      <c r="B1528" t="s">
        <v>279</v>
      </c>
      <c r="C1528" t="s">
        <v>15</v>
      </c>
      <c r="D1528" t="s">
        <v>280</v>
      </c>
      <c r="E1528">
        <v>0</v>
      </c>
      <c r="F1528">
        <v>2487</v>
      </c>
      <c r="G1528">
        <v>0</v>
      </c>
      <c r="H1528">
        <v>67</v>
      </c>
      <c r="I1528">
        <v>0</v>
      </c>
      <c r="J1528">
        <v>0</v>
      </c>
      <c r="K1528" s="1">
        <v>45962</v>
      </c>
      <c r="L1528" t="s">
        <v>439</v>
      </c>
      <c r="M1528" t="s">
        <v>435</v>
      </c>
      <c r="N1528" s="2">
        <f>IFERROR(NHS_A_E[[#This Row],[T1_Over4hrs]]/NHS_A_E[[#This Row],[T1_Attendances]], 0)</f>
        <v>0</v>
      </c>
      <c r="O1528">
        <f>NHS_A_E[[#This Row],[T1_Attendances]]+NHS_A_E[[#This Row],[Other_Attendances]]</f>
        <v>2487</v>
      </c>
      <c r="P1528">
        <f>MATCH(LEFT(A1528,FIND("-",A1528)-1),{"April","May","June","July","August","September","October","November","December","January","February","March"},0)</f>
        <v>8</v>
      </c>
      <c r="Q1528" s="3">
        <f t="shared" si="46"/>
        <v>0</v>
      </c>
      <c r="R1528" t="str">
        <f t="shared" si="47"/>
        <v>November</v>
      </c>
    </row>
    <row r="1529" spans="1:18" x14ac:dyDescent="0.35">
      <c r="A1529" t="s">
        <v>442</v>
      </c>
      <c r="B1529" t="s">
        <v>289</v>
      </c>
      <c r="C1529" t="s">
        <v>30</v>
      </c>
      <c r="D1529" t="s">
        <v>290</v>
      </c>
      <c r="E1529">
        <v>0</v>
      </c>
      <c r="F1529">
        <v>0</v>
      </c>
      <c r="G1529">
        <v>0</v>
      </c>
      <c r="H1529">
        <v>0</v>
      </c>
      <c r="I1529">
        <v>0</v>
      </c>
      <c r="J1529">
        <v>0</v>
      </c>
      <c r="K1529" s="1">
        <v>45962</v>
      </c>
      <c r="L1529" t="s">
        <v>439</v>
      </c>
      <c r="M1529" t="s">
        <v>435</v>
      </c>
      <c r="N1529" s="2">
        <f>IFERROR(NHS_A_E[[#This Row],[T1_Over4hrs]]/NHS_A_E[[#This Row],[T1_Attendances]], 0)</f>
        <v>0</v>
      </c>
      <c r="O1529">
        <f>NHS_A_E[[#This Row],[T1_Attendances]]+NHS_A_E[[#This Row],[Other_Attendances]]</f>
        <v>0</v>
      </c>
      <c r="P1529">
        <f>MATCH(LEFT(A1529,FIND("-",A1529)-1),{"April","May","June","July","August","September","October","November","December","January","February","March"},0)</f>
        <v>8</v>
      </c>
      <c r="Q1529" s="3">
        <f t="shared" si="46"/>
        <v>0</v>
      </c>
      <c r="R1529" t="str">
        <f t="shared" si="47"/>
        <v>November</v>
      </c>
    </row>
    <row r="1530" spans="1:18" x14ac:dyDescent="0.35">
      <c r="A1530" t="s">
        <v>442</v>
      </c>
      <c r="B1530" t="s">
        <v>293</v>
      </c>
      <c r="C1530" t="s">
        <v>20</v>
      </c>
      <c r="D1530" t="s">
        <v>294</v>
      </c>
      <c r="E1530">
        <v>0</v>
      </c>
      <c r="F1530">
        <v>0</v>
      </c>
      <c r="G1530">
        <v>0</v>
      </c>
      <c r="H1530">
        <v>0</v>
      </c>
      <c r="I1530">
        <v>0</v>
      </c>
      <c r="J1530">
        <v>0</v>
      </c>
      <c r="K1530" s="1">
        <v>45962</v>
      </c>
      <c r="L1530" t="s">
        <v>439</v>
      </c>
      <c r="M1530" t="s">
        <v>435</v>
      </c>
      <c r="N1530" s="2">
        <f>IFERROR(NHS_A_E[[#This Row],[T1_Over4hrs]]/NHS_A_E[[#This Row],[T1_Attendances]], 0)</f>
        <v>0</v>
      </c>
      <c r="O1530">
        <f>NHS_A_E[[#This Row],[T1_Attendances]]+NHS_A_E[[#This Row],[Other_Attendances]]</f>
        <v>0</v>
      </c>
      <c r="P1530">
        <f>MATCH(LEFT(A1530,FIND("-",A1530)-1),{"April","May","June","July","August","September","October","November","December","January","February","March"},0)</f>
        <v>8</v>
      </c>
      <c r="Q1530" s="3">
        <f t="shared" si="46"/>
        <v>0</v>
      </c>
      <c r="R1530" t="str">
        <f t="shared" si="47"/>
        <v>November</v>
      </c>
    </row>
    <row r="1531" spans="1:18" x14ac:dyDescent="0.35">
      <c r="A1531" t="s">
        <v>442</v>
      </c>
      <c r="B1531" t="s">
        <v>299</v>
      </c>
      <c r="C1531" t="s">
        <v>63</v>
      </c>
      <c r="D1531" t="s">
        <v>300</v>
      </c>
      <c r="E1531">
        <v>16724</v>
      </c>
      <c r="F1531">
        <v>0</v>
      </c>
      <c r="G1531">
        <v>3083</v>
      </c>
      <c r="H1531">
        <v>0</v>
      </c>
      <c r="I1531">
        <v>1074</v>
      </c>
      <c r="J1531">
        <v>20</v>
      </c>
      <c r="K1531" s="1">
        <v>45962</v>
      </c>
      <c r="L1531" t="s">
        <v>439</v>
      </c>
      <c r="M1531" t="s">
        <v>435</v>
      </c>
      <c r="N1531" s="2">
        <f>IFERROR(NHS_A_E[[#This Row],[T1_Over4hrs]]/NHS_A_E[[#This Row],[T1_Attendances]], 0)</f>
        <v>0.18434585027505382</v>
      </c>
      <c r="O1531">
        <f>NHS_A_E[[#This Row],[T1_Attendances]]+NHS_A_E[[#This Row],[Other_Attendances]]</f>
        <v>16724</v>
      </c>
      <c r="P1531">
        <f>MATCH(LEFT(A1531,FIND("-",A1531)-1),{"April","May","June","July","August","September","October","November","December","January","February","March"},0)</f>
        <v>8</v>
      </c>
      <c r="Q1531" s="3">
        <f t="shared" si="46"/>
        <v>1.1958861516383639E-3</v>
      </c>
      <c r="R1531" t="str">
        <f t="shared" si="47"/>
        <v>November</v>
      </c>
    </row>
    <row r="1532" spans="1:18" x14ac:dyDescent="0.35">
      <c r="A1532" t="s">
        <v>442</v>
      </c>
      <c r="B1532" t="s">
        <v>281</v>
      </c>
      <c r="C1532" t="s">
        <v>40</v>
      </c>
      <c r="D1532" t="s">
        <v>282</v>
      </c>
      <c r="E1532">
        <v>0</v>
      </c>
      <c r="F1532">
        <v>4290</v>
      </c>
      <c r="G1532">
        <v>0</v>
      </c>
      <c r="H1532">
        <v>0</v>
      </c>
      <c r="I1532">
        <v>0</v>
      </c>
      <c r="J1532">
        <v>0</v>
      </c>
      <c r="K1532" s="1">
        <v>45962</v>
      </c>
      <c r="L1532" t="s">
        <v>439</v>
      </c>
      <c r="M1532" t="s">
        <v>435</v>
      </c>
      <c r="N1532" s="2">
        <f>IFERROR(NHS_A_E[[#This Row],[T1_Over4hrs]]/NHS_A_E[[#This Row],[T1_Attendances]], 0)</f>
        <v>0</v>
      </c>
      <c r="O1532">
        <f>NHS_A_E[[#This Row],[T1_Attendances]]+NHS_A_E[[#This Row],[Other_Attendances]]</f>
        <v>4290</v>
      </c>
      <c r="P1532">
        <f>MATCH(LEFT(A1532,FIND("-",A1532)-1),{"April","May","June","July","August","September","October","November","December","January","February","March"},0)</f>
        <v>8</v>
      </c>
      <c r="Q1532" s="3">
        <f t="shared" si="46"/>
        <v>0</v>
      </c>
      <c r="R1532" t="str">
        <f t="shared" si="47"/>
        <v>November</v>
      </c>
    </row>
    <row r="1533" spans="1:18" x14ac:dyDescent="0.35">
      <c r="A1533" t="s">
        <v>442</v>
      </c>
      <c r="B1533" t="s">
        <v>127</v>
      </c>
      <c r="C1533" t="s">
        <v>15</v>
      </c>
      <c r="D1533" t="s">
        <v>128</v>
      </c>
      <c r="E1533">
        <v>0</v>
      </c>
      <c r="F1533">
        <v>1946</v>
      </c>
      <c r="G1533">
        <v>0</v>
      </c>
      <c r="H1533">
        <v>0</v>
      </c>
      <c r="I1533">
        <v>0</v>
      </c>
      <c r="J1533">
        <v>0</v>
      </c>
      <c r="K1533" s="1">
        <v>45962</v>
      </c>
      <c r="L1533" t="s">
        <v>439</v>
      </c>
      <c r="M1533" t="s">
        <v>435</v>
      </c>
      <c r="N1533" s="2">
        <f>IFERROR(NHS_A_E[[#This Row],[T1_Over4hrs]]/NHS_A_E[[#This Row],[T1_Attendances]], 0)</f>
        <v>0</v>
      </c>
      <c r="O1533">
        <f>NHS_A_E[[#This Row],[T1_Attendances]]+NHS_A_E[[#This Row],[Other_Attendances]]</f>
        <v>1946</v>
      </c>
      <c r="P1533">
        <f>MATCH(LEFT(A1533,FIND("-",A1533)-1),{"April","May","June","July","August","September","October","November","December","January","February","March"},0)</f>
        <v>8</v>
      </c>
      <c r="Q1533" s="3">
        <f t="shared" si="46"/>
        <v>0</v>
      </c>
      <c r="R1533" t="str">
        <f t="shared" si="47"/>
        <v>November</v>
      </c>
    </row>
    <row r="1534" spans="1:18" x14ac:dyDescent="0.35">
      <c r="A1534" t="s">
        <v>442</v>
      </c>
      <c r="B1534" t="s">
        <v>431</v>
      </c>
      <c r="C1534" t="s">
        <v>15</v>
      </c>
      <c r="D1534" t="s">
        <v>432</v>
      </c>
      <c r="E1534">
        <v>0</v>
      </c>
      <c r="F1534">
        <v>2536</v>
      </c>
      <c r="G1534">
        <v>0</v>
      </c>
      <c r="H1534">
        <v>0</v>
      </c>
      <c r="I1534">
        <v>0</v>
      </c>
      <c r="J1534">
        <v>0</v>
      </c>
      <c r="K1534" s="1">
        <v>45962</v>
      </c>
      <c r="L1534" t="s">
        <v>439</v>
      </c>
      <c r="M1534" t="s">
        <v>435</v>
      </c>
      <c r="N1534" s="2">
        <f>IFERROR(NHS_A_E[[#This Row],[T1_Over4hrs]]/NHS_A_E[[#This Row],[T1_Attendances]], 0)</f>
        <v>0</v>
      </c>
      <c r="O1534">
        <f>NHS_A_E[[#This Row],[T1_Attendances]]+NHS_A_E[[#This Row],[Other_Attendances]]</f>
        <v>2536</v>
      </c>
      <c r="P1534">
        <f>MATCH(LEFT(A1534,FIND("-",A1534)-1),{"April","May","June","July","August","September","October","November","December","January","February","March"},0)</f>
        <v>8</v>
      </c>
      <c r="Q1534" s="3">
        <f t="shared" si="46"/>
        <v>0</v>
      </c>
      <c r="R1534" t="str">
        <f t="shared" si="47"/>
        <v>November</v>
      </c>
    </row>
    <row r="1535" spans="1:18" x14ac:dyDescent="0.35">
      <c r="A1535" t="s">
        <v>442</v>
      </c>
      <c r="B1535" t="s">
        <v>307</v>
      </c>
      <c r="C1535" t="s">
        <v>40</v>
      </c>
      <c r="D1535" t="s">
        <v>308</v>
      </c>
      <c r="E1535">
        <v>0</v>
      </c>
      <c r="F1535">
        <v>3460</v>
      </c>
      <c r="G1535">
        <v>0</v>
      </c>
      <c r="H1535">
        <v>0</v>
      </c>
      <c r="I1535">
        <v>0</v>
      </c>
      <c r="J1535">
        <v>0</v>
      </c>
      <c r="K1535" s="1">
        <v>45962</v>
      </c>
      <c r="L1535" t="s">
        <v>439</v>
      </c>
      <c r="M1535" t="s">
        <v>435</v>
      </c>
      <c r="N1535" s="2">
        <f>IFERROR(NHS_A_E[[#This Row],[T1_Over4hrs]]/NHS_A_E[[#This Row],[T1_Attendances]], 0)</f>
        <v>0</v>
      </c>
      <c r="O1535">
        <f>NHS_A_E[[#This Row],[T1_Attendances]]+NHS_A_E[[#This Row],[Other_Attendances]]</f>
        <v>3460</v>
      </c>
      <c r="P1535">
        <f>MATCH(LEFT(A1535,FIND("-",A1535)-1),{"April","May","June","July","August","September","October","November","December","January","February","March"},0)</f>
        <v>8</v>
      </c>
      <c r="Q1535" s="3">
        <f t="shared" si="46"/>
        <v>0</v>
      </c>
      <c r="R1535" t="str">
        <f t="shared" si="47"/>
        <v>November</v>
      </c>
    </row>
    <row r="1536" spans="1:18" x14ac:dyDescent="0.35">
      <c r="A1536" t="s">
        <v>442</v>
      </c>
      <c r="B1536" t="s">
        <v>309</v>
      </c>
      <c r="C1536" t="s">
        <v>30</v>
      </c>
      <c r="D1536" t="s">
        <v>310</v>
      </c>
      <c r="E1536">
        <v>0</v>
      </c>
      <c r="F1536">
        <v>1681</v>
      </c>
      <c r="G1536">
        <v>0</v>
      </c>
      <c r="H1536">
        <v>5</v>
      </c>
      <c r="I1536">
        <v>0</v>
      </c>
      <c r="J1536">
        <v>0</v>
      </c>
      <c r="K1536" s="1">
        <v>45962</v>
      </c>
      <c r="L1536" t="s">
        <v>439</v>
      </c>
      <c r="M1536" t="s">
        <v>435</v>
      </c>
      <c r="N1536" s="2">
        <f>IFERROR(NHS_A_E[[#This Row],[T1_Over4hrs]]/NHS_A_E[[#This Row],[T1_Attendances]], 0)</f>
        <v>0</v>
      </c>
      <c r="O1536">
        <f>NHS_A_E[[#This Row],[T1_Attendances]]+NHS_A_E[[#This Row],[Other_Attendances]]</f>
        <v>1681</v>
      </c>
      <c r="P1536">
        <f>MATCH(LEFT(A1536,FIND("-",A1536)-1),{"April","May","June","July","August","September","October","November","December","January","February","March"},0)</f>
        <v>8</v>
      </c>
      <c r="Q1536" s="3">
        <f t="shared" si="46"/>
        <v>0</v>
      </c>
      <c r="R1536" t="str">
        <f t="shared" si="47"/>
        <v>November</v>
      </c>
    </row>
    <row r="1537" spans="1:18" x14ac:dyDescent="0.35">
      <c r="A1537" t="s">
        <v>442</v>
      </c>
      <c r="B1537" t="s">
        <v>287</v>
      </c>
      <c r="C1537" t="s">
        <v>40</v>
      </c>
      <c r="D1537" t="s">
        <v>288</v>
      </c>
      <c r="E1537">
        <v>0</v>
      </c>
      <c r="F1537">
        <v>2981</v>
      </c>
      <c r="G1537">
        <v>0</v>
      </c>
      <c r="H1537">
        <v>0</v>
      </c>
      <c r="I1537">
        <v>0</v>
      </c>
      <c r="J1537">
        <v>0</v>
      </c>
      <c r="K1537" s="1">
        <v>45962</v>
      </c>
      <c r="L1537" t="s">
        <v>439</v>
      </c>
      <c r="M1537" t="s">
        <v>435</v>
      </c>
      <c r="N1537" s="2">
        <f>IFERROR(NHS_A_E[[#This Row],[T1_Over4hrs]]/NHS_A_E[[#This Row],[T1_Attendances]], 0)</f>
        <v>0</v>
      </c>
      <c r="O1537">
        <f>NHS_A_E[[#This Row],[T1_Attendances]]+NHS_A_E[[#This Row],[Other_Attendances]]</f>
        <v>2981</v>
      </c>
      <c r="P1537">
        <f>MATCH(LEFT(A1537,FIND("-",A1537)-1),{"April","May","June","July","August","September","October","November","December","January","February","March"},0)</f>
        <v>8</v>
      </c>
      <c r="Q1537" s="3">
        <f t="shared" si="46"/>
        <v>0</v>
      </c>
      <c r="R1537" t="str">
        <f t="shared" si="47"/>
        <v>November</v>
      </c>
    </row>
    <row r="1538" spans="1:18" x14ac:dyDescent="0.35">
      <c r="A1538" t="s">
        <v>442</v>
      </c>
      <c r="B1538" t="s">
        <v>440</v>
      </c>
      <c r="C1538" t="s">
        <v>15</v>
      </c>
      <c r="D1538" t="s">
        <v>441</v>
      </c>
      <c r="E1538">
        <v>0</v>
      </c>
      <c r="F1538">
        <v>993</v>
      </c>
      <c r="G1538">
        <v>0</v>
      </c>
      <c r="H1538">
        <v>0</v>
      </c>
      <c r="I1538">
        <v>0</v>
      </c>
      <c r="J1538">
        <v>0</v>
      </c>
      <c r="K1538" s="1">
        <v>45962</v>
      </c>
      <c r="L1538" t="s">
        <v>439</v>
      </c>
      <c r="M1538" t="s">
        <v>435</v>
      </c>
      <c r="N1538" s="2">
        <f>IFERROR(NHS_A_E[[#This Row],[T1_Over4hrs]]/NHS_A_E[[#This Row],[T1_Attendances]], 0)</f>
        <v>0</v>
      </c>
      <c r="O1538">
        <f>NHS_A_E[[#This Row],[T1_Attendances]]+NHS_A_E[[#This Row],[Other_Attendances]]</f>
        <v>993</v>
      </c>
      <c r="P1538">
        <f>MATCH(LEFT(A1538,FIND("-",A1538)-1),{"April","May","June","July","August","September","October","November","December","January","February","March"},0)</f>
        <v>8</v>
      </c>
      <c r="Q1538" s="3">
        <f t="shared" ref="Q1538:Q1601" si="48">IFERROR(J1538/E1538,0)</f>
        <v>0</v>
      </c>
      <c r="R1538" t="str">
        <f t="shared" ref="R1538:R1601" si="49">TEXT(A1538, "mmmm")</f>
        <v>November</v>
      </c>
    </row>
    <row r="1539" spans="1:18" x14ac:dyDescent="0.35">
      <c r="A1539" t="s">
        <v>442</v>
      </c>
      <c r="B1539" t="s">
        <v>233</v>
      </c>
      <c r="C1539" t="s">
        <v>30</v>
      </c>
      <c r="D1539" t="s">
        <v>234</v>
      </c>
      <c r="E1539">
        <v>5805</v>
      </c>
      <c r="F1539">
        <v>2238</v>
      </c>
      <c r="G1539">
        <v>2829</v>
      </c>
      <c r="H1539">
        <v>352</v>
      </c>
      <c r="I1539">
        <v>418</v>
      </c>
      <c r="J1539">
        <v>613</v>
      </c>
      <c r="K1539" s="1">
        <v>45962</v>
      </c>
      <c r="L1539" t="s">
        <v>439</v>
      </c>
      <c r="M1539" t="s">
        <v>435</v>
      </c>
      <c r="N1539" s="2">
        <f>IFERROR(NHS_A_E[[#This Row],[T1_Over4hrs]]/NHS_A_E[[#This Row],[T1_Attendances]], 0)</f>
        <v>0.48733850129198969</v>
      </c>
      <c r="O1539">
        <f>NHS_A_E[[#This Row],[T1_Attendances]]+NHS_A_E[[#This Row],[Other_Attendances]]</f>
        <v>8043</v>
      </c>
      <c r="P1539">
        <f>MATCH(LEFT(A1539,FIND("-",A1539)-1),{"April","May","June","July","August","September","October","November","December","January","February","March"},0)</f>
        <v>8</v>
      </c>
      <c r="Q1539" s="3">
        <f t="shared" si="48"/>
        <v>0.10559862187769165</v>
      </c>
      <c r="R1539" t="str">
        <f t="shared" si="49"/>
        <v>November</v>
      </c>
    </row>
    <row r="1540" spans="1:18" x14ac:dyDescent="0.35">
      <c r="A1540" t="s">
        <v>442</v>
      </c>
      <c r="B1540" t="s">
        <v>54</v>
      </c>
      <c r="C1540" t="s">
        <v>15</v>
      </c>
      <c r="D1540" t="s">
        <v>55</v>
      </c>
      <c r="E1540">
        <v>0</v>
      </c>
      <c r="F1540">
        <v>3576</v>
      </c>
      <c r="G1540">
        <v>0</v>
      </c>
      <c r="H1540">
        <v>110</v>
      </c>
      <c r="I1540">
        <v>0</v>
      </c>
      <c r="J1540">
        <v>0</v>
      </c>
      <c r="K1540" s="1">
        <v>45962</v>
      </c>
      <c r="L1540" t="s">
        <v>439</v>
      </c>
      <c r="M1540" t="s">
        <v>435</v>
      </c>
      <c r="N1540" s="2">
        <f>IFERROR(NHS_A_E[[#This Row],[T1_Over4hrs]]/NHS_A_E[[#This Row],[T1_Attendances]], 0)</f>
        <v>0</v>
      </c>
      <c r="O1540">
        <f>NHS_A_E[[#This Row],[T1_Attendances]]+NHS_A_E[[#This Row],[Other_Attendances]]</f>
        <v>3576</v>
      </c>
      <c r="P1540">
        <f>MATCH(LEFT(A1540,FIND("-",A1540)-1),{"April","May","June","July","August","September","October","November","December","January","February","March"},0)</f>
        <v>8</v>
      </c>
      <c r="Q1540" s="3">
        <f t="shared" si="48"/>
        <v>0</v>
      </c>
      <c r="R1540" t="str">
        <f t="shared" si="49"/>
        <v>November</v>
      </c>
    </row>
    <row r="1541" spans="1:18" x14ac:dyDescent="0.35">
      <c r="A1541" t="s">
        <v>442</v>
      </c>
      <c r="B1541" t="s">
        <v>295</v>
      </c>
      <c r="C1541" t="s">
        <v>15</v>
      </c>
      <c r="D1541" t="s">
        <v>296</v>
      </c>
      <c r="E1541">
        <v>10560</v>
      </c>
      <c r="F1541">
        <v>0</v>
      </c>
      <c r="G1541">
        <v>4468</v>
      </c>
      <c r="H1541">
        <v>0</v>
      </c>
      <c r="I1541">
        <v>528</v>
      </c>
      <c r="J1541">
        <v>702</v>
      </c>
      <c r="K1541" s="1">
        <v>45962</v>
      </c>
      <c r="L1541" t="s">
        <v>439</v>
      </c>
      <c r="M1541" t="s">
        <v>435</v>
      </c>
      <c r="N1541" s="2">
        <f>IFERROR(NHS_A_E[[#This Row],[T1_Over4hrs]]/NHS_A_E[[#This Row],[T1_Attendances]], 0)</f>
        <v>0.4231060606060606</v>
      </c>
      <c r="O1541">
        <f>NHS_A_E[[#This Row],[T1_Attendances]]+NHS_A_E[[#This Row],[Other_Attendances]]</f>
        <v>10560</v>
      </c>
      <c r="P1541">
        <f>MATCH(LEFT(A1541,FIND("-",A1541)-1),{"April","May","June","July","August","September","October","November","December","January","February","March"},0)</f>
        <v>8</v>
      </c>
      <c r="Q1541" s="3">
        <f t="shared" si="48"/>
        <v>6.6477272727272732E-2</v>
      </c>
      <c r="R1541" t="str">
        <f t="shared" si="49"/>
        <v>November</v>
      </c>
    </row>
    <row r="1542" spans="1:18" x14ac:dyDescent="0.35">
      <c r="A1542" t="s">
        <v>442</v>
      </c>
      <c r="B1542" t="s">
        <v>239</v>
      </c>
      <c r="C1542" t="s">
        <v>35</v>
      </c>
      <c r="D1542" t="s">
        <v>240</v>
      </c>
      <c r="E1542">
        <v>0</v>
      </c>
      <c r="F1542">
        <v>918</v>
      </c>
      <c r="G1542">
        <v>0</v>
      </c>
      <c r="H1542">
        <v>0</v>
      </c>
      <c r="I1542">
        <v>0</v>
      </c>
      <c r="J1542">
        <v>0</v>
      </c>
      <c r="K1542" s="1">
        <v>45962</v>
      </c>
      <c r="L1542" t="s">
        <v>439</v>
      </c>
      <c r="M1542" t="s">
        <v>435</v>
      </c>
      <c r="N1542" s="2">
        <f>IFERROR(NHS_A_E[[#This Row],[T1_Over4hrs]]/NHS_A_E[[#This Row],[T1_Attendances]], 0)</f>
        <v>0</v>
      </c>
      <c r="O1542">
        <f>NHS_A_E[[#This Row],[T1_Attendances]]+NHS_A_E[[#This Row],[Other_Attendances]]</f>
        <v>918</v>
      </c>
      <c r="P1542">
        <f>MATCH(LEFT(A1542,FIND("-",A1542)-1),{"April","May","June","July","August","September","October","November","December","January","February","March"},0)</f>
        <v>8</v>
      </c>
      <c r="Q1542" s="3">
        <f t="shared" si="48"/>
        <v>0</v>
      </c>
      <c r="R1542" t="str">
        <f t="shared" si="49"/>
        <v>November</v>
      </c>
    </row>
    <row r="1543" spans="1:18" x14ac:dyDescent="0.35">
      <c r="A1543" t="s">
        <v>442</v>
      </c>
      <c r="B1543" t="s">
        <v>335</v>
      </c>
      <c r="C1543" t="s">
        <v>63</v>
      </c>
      <c r="D1543" t="s">
        <v>336</v>
      </c>
      <c r="E1543">
        <v>11736</v>
      </c>
      <c r="F1543">
        <v>5716</v>
      </c>
      <c r="G1543">
        <v>5715</v>
      </c>
      <c r="H1543">
        <v>251</v>
      </c>
      <c r="I1543">
        <v>919</v>
      </c>
      <c r="J1543">
        <v>2</v>
      </c>
      <c r="K1543" s="1">
        <v>45962</v>
      </c>
      <c r="L1543" t="s">
        <v>439</v>
      </c>
      <c r="M1543" t="s">
        <v>435</v>
      </c>
      <c r="N1543" s="2">
        <f>IFERROR(NHS_A_E[[#This Row],[T1_Over4hrs]]/NHS_A_E[[#This Row],[T1_Attendances]], 0)</f>
        <v>0.4869631901840491</v>
      </c>
      <c r="O1543">
        <f>NHS_A_E[[#This Row],[T1_Attendances]]+NHS_A_E[[#This Row],[Other_Attendances]]</f>
        <v>17452</v>
      </c>
      <c r="P1543">
        <f>MATCH(LEFT(A1543,FIND("-",A1543)-1),{"April","May","June","July","August","September","October","November","December","January","February","March"},0)</f>
        <v>8</v>
      </c>
      <c r="Q1543" s="3">
        <f t="shared" si="48"/>
        <v>1.7041581458759374E-4</v>
      </c>
      <c r="R1543" t="str">
        <f t="shared" si="49"/>
        <v>November</v>
      </c>
    </row>
    <row r="1544" spans="1:18" x14ac:dyDescent="0.35">
      <c r="A1544" t="s">
        <v>442</v>
      </c>
      <c r="B1544" t="s">
        <v>27</v>
      </c>
      <c r="C1544" t="s">
        <v>20</v>
      </c>
      <c r="D1544" t="s">
        <v>28</v>
      </c>
      <c r="E1544">
        <v>6339</v>
      </c>
      <c r="F1544">
        <v>10401</v>
      </c>
      <c r="G1544">
        <v>2792</v>
      </c>
      <c r="H1544">
        <v>477</v>
      </c>
      <c r="I1544">
        <v>399</v>
      </c>
      <c r="J1544">
        <v>599</v>
      </c>
      <c r="K1544" s="1">
        <v>45962</v>
      </c>
      <c r="L1544" t="s">
        <v>439</v>
      </c>
      <c r="M1544" t="s">
        <v>435</v>
      </c>
      <c r="N1544" s="2">
        <f>IFERROR(NHS_A_E[[#This Row],[T1_Over4hrs]]/NHS_A_E[[#This Row],[T1_Attendances]], 0)</f>
        <v>0.44044802019245938</v>
      </c>
      <c r="O1544">
        <f>NHS_A_E[[#This Row],[T1_Attendances]]+NHS_A_E[[#This Row],[Other_Attendances]]</f>
        <v>16740</v>
      </c>
      <c r="P1544">
        <f>MATCH(LEFT(A1544,FIND("-",A1544)-1),{"April","May","June","July","August","September","October","November","December","January","February","March"},0)</f>
        <v>8</v>
      </c>
      <c r="Q1544" s="3">
        <f t="shared" si="48"/>
        <v>9.4494399747594257E-2</v>
      </c>
      <c r="R1544" t="str">
        <f t="shared" si="49"/>
        <v>November</v>
      </c>
    </row>
    <row r="1545" spans="1:18" x14ac:dyDescent="0.35">
      <c r="A1545" t="s">
        <v>442</v>
      </c>
      <c r="B1545" t="s">
        <v>145</v>
      </c>
      <c r="C1545" t="s">
        <v>40</v>
      </c>
      <c r="D1545" t="s">
        <v>146</v>
      </c>
      <c r="E1545">
        <v>0</v>
      </c>
      <c r="F1545">
        <v>302</v>
      </c>
      <c r="G1545">
        <v>0</v>
      </c>
      <c r="H1545">
        <v>0</v>
      </c>
      <c r="I1545">
        <v>0</v>
      </c>
      <c r="J1545">
        <v>0</v>
      </c>
      <c r="K1545" s="1">
        <v>45962</v>
      </c>
      <c r="L1545" t="s">
        <v>439</v>
      </c>
      <c r="M1545" t="s">
        <v>435</v>
      </c>
      <c r="N1545" s="2">
        <f>IFERROR(NHS_A_E[[#This Row],[T1_Over4hrs]]/NHS_A_E[[#This Row],[T1_Attendances]], 0)</f>
        <v>0</v>
      </c>
      <c r="O1545">
        <f>NHS_A_E[[#This Row],[T1_Attendances]]+NHS_A_E[[#This Row],[Other_Attendances]]</f>
        <v>302</v>
      </c>
      <c r="P1545">
        <f>MATCH(LEFT(A1545,FIND("-",A1545)-1),{"April","May","June","July","August","September","October","November","December","January","February","March"},0)</f>
        <v>8</v>
      </c>
      <c r="Q1545" s="3">
        <f t="shared" si="48"/>
        <v>0</v>
      </c>
      <c r="R1545" t="str">
        <f t="shared" si="49"/>
        <v>November</v>
      </c>
    </row>
    <row r="1546" spans="1:18" x14ac:dyDescent="0.35">
      <c r="A1546" t="s">
        <v>442</v>
      </c>
      <c r="B1546" t="s">
        <v>395</v>
      </c>
      <c r="C1546" t="s">
        <v>23</v>
      </c>
      <c r="D1546" t="s">
        <v>396</v>
      </c>
      <c r="E1546">
        <v>7786</v>
      </c>
      <c r="F1546">
        <v>703</v>
      </c>
      <c r="G1546">
        <v>2133</v>
      </c>
      <c r="H1546">
        <v>0</v>
      </c>
      <c r="I1546">
        <v>368</v>
      </c>
      <c r="J1546">
        <v>229</v>
      </c>
      <c r="K1546" s="1">
        <v>45962</v>
      </c>
      <c r="L1546" t="s">
        <v>439</v>
      </c>
      <c r="M1546" t="s">
        <v>435</v>
      </c>
      <c r="N1546" s="2">
        <f>IFERROR(NHS_A_E[[#This Row],[T1_Over4hrs]]/NHS_A_E[[#This Row],[T1_Attendances]], 0)</f>
        <v>0.27395324942203958</v>
      </c>
      <c r="O1546">
        <f>NHS_A_E[[#This Row],[T1_Attendances]]+NHS_A_E[[#This Row],[Other_Attendances]]</f>
        <v>8489</v>
      </c>
      <c r="P1546">
        <f>MATCH(LEFT(A1546,FIND("-",A1546)-1),{"April","May","June","July","August","September","October","November","December","January","February","March"},0)</f>
        <v>8</v>
      </c>
      <c r="Q1546" s="3">
        <f t="shared" si="48"/>
        <v>2.9411764705882353E-2</v>
      </c>
      <c r="R1546" t="str">
        <f t="shared" si="49"/>
        <v>November</v>
      </c>
    </row>
    <row r="1547" spans="1:18" x14ac:dyDescent="0.35">
      <c r="A1547" t="s">
        <v>442</v>
      </c>
      <c r="B1547" t="s">
        <v>323</v>
      </c>
      <c r="C1547" t="s">
        <v>23</v>
      </c>
      <c r="D1547" t="s">
        <v>324</v>
      </c>
      <c r="E1547">
        <v>7743</v>
      </c>
      <c r="F1547">
        <v>2630</v>
      </c>
      <c r="G1547">
        <v>2165</v>
      </c>
      <c r="H1547">
        <v>0</v>
      </c>
      <c r="I1547">
        <v>429</v>
      </c>
      <c r="J1547">
        <v>314</v>
      </c>
      <c r="K1547" s="1">
        <v>45962</v>
      </c>
      <c r="L1547" t="s">
        <v>439</v>
      </c>
      <c r="M1547" t="s">
        <v>435</v>
      </c>
      <c r="N1547" s="2">
        <f>IFERROR(NHS_A_E[[#This Row],[T1_Over4hrs]]/NHS_A_E[[#This Row],[T1_Attendances]], 0)</f>
        <v>0.27960738731757717</v>
      </c>
      <c r="O1547">
        <f>NHS_A_E[[#This Row],[T1_Attendances]]+NHS_A_E[[#This Row],[Other_Attendances]]</f>
        <v>10373</v>
      </c>
      <c r="P1547">
        <f>MATCH(LEFT(A1547,FIND("-",A1547)-1),{"April","May","June","July","August","September","October","November","December","January","February","March"},0)</f>
        <v>8</v>
      </c>
      <c r="Q1547" s="3">
        <f t="shared" si="48"/>
        <v>4.0552757329200571E-2</v>
      </c>
      <c r="R1547" t="str">
        <f t="shared" si="49"/>
        <v>November</v>
      </c>
    </row>
    <row r="1548" spans="1:18" x14ac:dyDescent="0.35">
      <c r="A1548" t="s">
        <v>442</v>
      </c>
      <c r="B1548" t="s">
        <v>271</v>
      </c>
      <c r="C1548" t="s">
        <v>30</v>
      </c>
      <c r="D1548" t="s">
        <v>272</v>
      </c>
      <c r="E1548">
        <v>0</v>
      </c>
      <c r="F1548">
        <v>14116</v>
      </c>
      <c r="G1548">
        <v>0</v>
      </c>
      <c r="H1548">
        <v>574</v>
      </c>
      <c r="I1548">
        <v>0</v>
      </c>
      <c r="J1548">
        <v>0</v>
      </c>
      <c r="K1548" s="1">
        <v>45962</v>
      </c>
      <c r="L1548" t="s">
        <v>439</v>
      </c>
      <c r="M1548" t="s">
        <v>435</v>
      </c>
      <c r="N1548" s="2">
        <f>IFERROR(NHS_A_E[[#This Row],[T1_Over4hrs]]/NHS_A_E[[#This Row],[T1_Attendances]], 0)</f>
        <v>0</v>
      </c>
      <c r="O1548">
        <f>NHS_A_E[[#This Row],[T1_Attendances]]+NHS_A_E[[#This Row],[Other_Attendances]]</f>
        <v>14116</v>
      </c>
      <c r="P1548">
        <f>MATCH(LEFT(A1548,FIND("-",A1548)-1),{"April","May","June","July","August","September","October","November","December","January","February","March"},0)</f>
        <v>8</v>
      </c>
      <c r="Q1548" s="3">
        <f t="shared" si="48"/>
        <v>0</v>
      </c>
      <c r="R1548" t="str">
        <f t="shared" si="49"/>
        <v>November</v>
      </c>
    </row>
    <row r="1549" spans="1:18" x14ac:dyDescent="0.35">
      <c r="A1549" t="s">
        <v>442</v>
      </c>
      <c r="B1549" t="s">
        <v>181</v>
      </c>
      <c r="C1549" t="s">
        <v>40</v>
      </c>
      <c r="D1549" t="s">
        <v>182</v>
      </c>
      <c r="E1549">
        <v>22973</v>
      </c>
      <c r="F1549">
        <v>0</v>
      </c>
      <c r="G1549">
        <v>9337</v>
      </c>
      <c r="H1549">
        <v>0</v>
      </c>
      <c r="I1549">
        <v>1283</v>
      </c>
      <c r="J1549">
        <v>716</v>
      </c>
      <c r="K1549" s="1">
        <v>45962</v>
      </c>
      <c r="L1549" t="s">
        <v>439</v>
      </c>
      <c r="M1549" t="s">
        <v>435</v>
      </c>
      <c r="N1549" s="2">
        <f>IFERROR(NHS_A_E[[#This Row],[T1_Over4hrs]]/NHS_A_E[[#This Row],[T1_Attendances]], 0)</f>
        <v>0.40643363948983591</v>
      </c>
      <c r="O1549">
        <f>NHS_A_E[[#This Row],[T1_Attendances]]+NHS_A_E[[#This Row],[Other_Attendances]]</f>
        <v>22973</v>
      </c>
      <c r="P1549">
        <f>MATCH(LEFT(A1549,FIND("-",A1549)-1),{"April","May","June","July","August","September","October","November","December","January","February","March"},0)</f>
        <v>8</v>
      </c>
      <c r="Q1549" s="3">
        <f t="shared" si="48"/>
        <v>3.1167022156444523E-2</v>
      </c>
      <c r="R1549" t="str">
        <f t="shared" si="49"/>
        <v>November</v>
      </c>
    </row>
    <row r="1550" spans="1:18" x14ac:dyDescent="0.35">
      <c r="A1550" t="s">
        <v>442</v>
      </c>
      <c r="B1550" t="s">
        <v>237</v>
      </c>
      <c r="C1550" t="s">
        <v>30</v>
      </c>
      <c r="D1550" t="s">
        <v>238</v>
      </c>
      <c r="E1550">
        <v>14006</v>
      </c>
      <c r="F1550">
        <v>10880</v>
      </c>
      <c r="G1550">
        <v>4649</v>
      </c>
      <c r="H1550">
        <v>698</v>
      </c>
      <c r="I1550">
        <v>292</v>
      </c>
      <c r="J1550">
        <v>1284</v>
      </c>
      <c r="K1550" s="1">
        <v>45962</v>
      </c>
      <c r="L1550" t="s">
        <v>439</v>
      </c>
      <c r="M1550" t="s">
        <v>435</v>
      </c>
      <c r="N1550" s="2">
        <f>IFERROR(NHS_A_E[[#This Row],[T1_Over4hrs]]/NHS_A_E[[#This Row],[T1_Attendances]], 0)</f>
        <v>0.3319291732114808</v>
      </c>
      <c r="O1550">
        <f>NHS_A_E[[#This Row],[T1_Attendances]]+NHS_A_E[[#This Row],[Other_Attendances]]</f>
        <v>24886</v>
      </c>
      <c r="P1550">
        <f>MATCH(LEFT(A1550,FIND("-",A1550)-1),{"April","May","June","July","August","September","October","November","December","January","February","March"},0)</f>
        <v>8</v>
      </c>
      <c r="Q1550" s="3">
        <f t="shared" si="48"/>
        <v>9.167499643010138E-2</v>
      </c>
      <c r="R1550" t="str">
        <f t="shared" si="49"/>
        <v>November</v>
      </c>
    </row>
    <row r="1551" spans="1:18" x14ac:dyDescent="0.35">
      <c r="A1551" t="s">
        <v>442</v>
      </c>
      <c r="B1551" t="s">
        <v>301</v>
      </c>
      <c r="C1551" t="s">
        <v>30</v>
      </c>
      <c r="D1551" t="s">
        <v>302</v>
      </c>
      <c r="E1551">
        <v>0</v>
      </c>
      <c r="F1551">
        <v>4139</v>
      </c>
      <c r="G1551">
        <v>0</v>
      </c>
      <c r="H1551">
        <v>393</v>
      </c>
      <c r="I1551">
        <v>0</v>
      </c>
      <c r="J1551">
        <v>0</v>
      </c>
      <c r="K1551" s="1">
        <v>45962</v>
      </c>
      <c r="L1551" t="s">
        <v>439</v>
      </c>
      <c r="M1551" t="s">
        <v>435</v>
      </c>
      <c r="N1551" s="2">
        <f>IFERROR(NHS_A_E[[#This Row],[T1_Over4hrs]]/NHS_A_E[[#This Row],[T1_Attendances]], 0)</f>
        <v>0</v>
      </c>
      <c r="O1551">
        <f>NHS_A_E[[#This Row],[T1_Attendances]]+NHS_A_E[[#This Row],[Other_Attendances]]</f>
        <v>4139</v>
      </c>
      <c r="P1551">
        <f>MATCH(LEFT(A1551,FIND("-",A1551)-1),{"April","May","June","July","August","September","October","November","December","January","February","March"},0)</f>
        <v>8</v>
      </c>
      <c r="Q1551" s="3">
        <f t="shared" si="48"/>
        <v>0</v>
      </c>
      <c r="R1551" t="str">
        <f t="shared" si="49"/>
        <v>November</v>
      </c>
    </row>
    <row r="1552" spans="1:18" x14ac:dyDescent="0.35">
      <c r="A1552" t="s">
        <v>442</v>
      </c>
      <c r="B1552" t="s">
        <v>241</v>
      </c>
      <c r="C1552" t="s">
        <v>40</v>
      </c>
      <c r="D1552" t="s">
        <v>242</v>
      </c>
      <c r="E1552">
        <v>0</v>
      </c>
      <c r="F1552">
        <v>0</v>
      </c>
      <c r="G1552">
        <v>0</v>
      </c>
      <c r="H1552">
        <v>0</v>
      </c>
      <c r="I1552">
        <v>0</v>
      </c>
      <c r="J1552">
        <v>0</v>
      </c>
      <c r="K1552" s="1">
        <v>45962</v>
      </c>
      <c r="L1552" t="s">
        <v>439</v>
      </c>
      <c r="M1552" t="s">
        <v>435</v>
      </c>
      <c r="N1552" s="2">
        <f>IFERROR(NHS_A_E[[#This Row],[T1_Over4hrs]]/NHS_A_E[[#This Row],[T1_Attendances]], 0)</f>
        <v>0</v>
      </c>
      <c r="O1552">
        <f>NHS_A_E[[#This Row],[T1_Attendances]]+NHS_A_E[[#This Row],[Other_Attendances]]</f>
        <v>0</v>
      </c>
      <c r="P1552">
        <f>MATCH(LEFT(A1552,FIND("-",A1552)-1),{"April","May","June","July","August","September","October","November","December","January","February","March"},0)</f>
        <v>8</v>
      </c>
      <c r="Q1552" s="3">
        <f t="shared" si="48"/>
        <v>0</v>
      </c>
      <c r="R1552" t="str">
        <f t="shared" si="49"/>
        <v>November</v>
      </c>
    </row>
    <row r="1553" spans="1:18" x14ac:dyDescent="0.35">
      <c r="A1553" t="s">
        <v>442</v>
      </c>
      <c r="B1553" t="s">
        <v>397</v>
      </c>
      <c r="C1553" t="s">
        <v>63</v>
      </c>
      <c r="D1553" t="s">
        <v>398</v>
      </c>
      <c r="E1553">
        <v>0</v>
      </c>
      <c r="F1553">
        <v>337</v>
      </c>
      <c r="G1553">
        <v>0</v>
      </c>
      <c r="H1553">
        <v>0</v>
      </c>
      <c r="I1553">
        <v>0</v>
      </c>
      <c r="J1553">
        <v>0</v>
      </c>
      <c r="K1553" s="1">
        <v>45962</v>
      </c>
      <c r="L1553" t="s">
        <v>439</v>
      </c>
      <c r="M1553" t="s">
        <v>435</v>
      </c>
      <c r="N1553" s="2">
        <f>IFERROR(NHS_A_E[[#This Row],[T1_Over4hrs]]/NHS_A_E[[#This Row],[T1_Attendances]], 0)</f>
        <v>0</v>
      </c>
      <c r="O1553">
        <f>NHS_A_E[[#This Row],[T1_Attendances]]+NHS_A_E[[#This Row],[Other_Attendances]]</f>
        <v>337</v>
      </c>
      <c r="P1553">
        <f>MATCH(LEFT(A1553,FIND("-",A1553)-1),{"April","May","June","July","August","September","October","November","December","January","February","March"},0)</f>
        <v>8</v>
      </c>
      <c r="Q1553" s="3">
        <f t="shared" si="48"/>
        <v>0</v>
      </c>
      <c r="R1553" t="str">
        <f t="shared" si="49"/>
        <v>November</v>
      </c>
    </row>
    <row r="1554" spans="1:18" x14ac:dyDescent="0.35">
      <c r="A1554" t="s">
        <v>442</v>
      </c>
      <c r="B1554" t="s">
        <v>420</v>
      </c>
      <c r="C1554" t="s">
        <v>15</v>
      </c>
      <c r="D1554" t="s">
        <v>421</v>
      </c>
      <c r="E1554">
        <v>0</v>
      </c>
      <c r="F1554">
        <v>2962</v>
      </c>
      <c r="G1554">
        <v>0</v>
      </c>
      <c r="H1554">
        <v>0</v>
      </c>
      <c r="I1554">
        <v>0</v>
      </c>
      <c r="J1554">
        <v>0</v>
      </c>
      <c r="K1554" s="1">
        <v>45962</v>
      </c>
      <c r="L1554" t="s">
        <v>439</v>
      </c>
      <c r="M1554" t="s">
        <v>435</v>
      </c>
      <c r="N1554" s="2">
        <f>IFERROR(NHS_A_E[[#This Row],[T1_Over4hrs]]/NHS_A_E[[#This Row],[T1_Attendances]], 0)</f>
        <v>0</v>
      </c>
      <c r="O1554">
        <f>NHS_A_E[[#This Row],[T1_Attendances]]+NHS_A_E[[#This Row],[Other_Attendances]]</f>
        <v>2962</v>
      </c>
      <c r="P1554">
        <f>MATCH(LEFT(A1554,FIND("-",A1554)-1),{"April","May","June","July","August","September","October","November","December","January","February","March"},0)</f>
        <v>8</v>
      </c>
      <c r="Q1554" s="3">
        <f t="shared" si="48"/>
        <v>0</v>
      </c>
      <c r="R1554" t="str">
        <f t="shared" si="49"/>
        <v>November</v>
      </c>
    </row>
    <row r="1555" spans="1:18" x14ac:dyDescent="0.35">
      <c r="A1555" t="s">
        <v>442</v>
      </c>
      <c r="B1555" t="s">
        <v>333</v>
      </c>
      <c r="C1555" t="s">
        <v>30</v>
      </c>
      <c r="D1555" t="s">
        <v>334</v>
      </c>
      <c r="E1555">
        <v>27251</v>
      </c>
      <c r="F1555">
        <v>10841</v>
      </c>
      <c r="G1555">
        <v>10687</v>
      </c>
      <c r="H1555">
        <v>354</v>
      </c>
      <c r="I1555">
        <v>3326</v>
      </c>
      <c r="J1555">
        <v>101</v>
      </c>
      <c r="K1555" s="1">
        <v>45962</v>
      </c>
      <c r="L1555" t="s">
        <v>439</v>
      </c>
      <c r="M1555" t="s">
        <v>435</v>
      </c>
      <c r="N1555" s="2">
        <f>IFERROR(NHS_A_E[[#This Row],[T1_Over4hrs]]/NHS_A_E[[#This Row],[T1_Attendances]], 0)</f>
        <v>0.39216909471212064</v>
      </c>
      <c r="O1555">
        <f>NHS_A_E[[#This Row],[T1_Attendances]]+NHS_A_E[[#This Row],[Other_Attendances]]</f>
        <v>38092</v>
      </c>
      <c r="P1555">
        <f>MATCH(LEFT(A1555,FIND("-",A1555)-1),{"April","May","June","July","August","September","October","November","December","January","February","March"},0)</f>
        <v>8</v>
      </c>
      <c r="Q1555" s="3">
        <f t="shared" si="48"/>
        <v>3.7062860078529228E-3</v>
      </c>
      <c r="R1555" t="str">
        <f t="shared" si="49"/>
        <v>November</v>
      </c>
    </row>
    <row r="1556" spans="1:18" x14ac:dyDescent="0.35">
      <c r="A1556" t="s">
        <v>442</v>
      </c>
      <c r="B1556" t="s">
        <v>337</v>
      </c>
      <c r="C1556" t="s">
        <v>20</v>
      </c>
      <c r="D1556" t="s">
        <v>338</v>
      </c>
      <c r="E1556">
        <v>14479</v>
      </c>
      <c r="F1556">
        <v>4764</v>
      </c>
      <c r="G1556">
        <v>6290</v>
      </c>
      <c r="H1556">
        <v>0</v>
      </c>
      <c r="I1556">
        <v>1066</v>
      </c>
      <c r="J1556">
        <v>324</v>
      </c>
      <c r="K1556" s="1">
        <v>45962</v>
      </c>
      <c r="L1556" t="s">
        <v>439</v>
      </c>
      <c r="M1556" t="s">
        <v>435</v>
      </c>
      <c r="N1556" s="2">
        <f>IFERROR(NHS_A_E[[#This Row],[T1_Over4hrs]]/NHS_A_E[[#This Row],[T1_Attendances]], 0)</f>
        <v>0.43442226673112783</v>
      </c>
      <c r="O1556">
        <f>NHS_A_E[[#This Row],[T1_Attendances]]+NHS_A_E[[#This Row],[Other_Attendances]]</f>
        <v>19243</v>
      </c>
      <c r="P1556">
        <f>MATCH(LEFT(A1556,FIND("-",A1556)-1),{"April","May","June","July","August","September","October","November","December","January","February","March"},0)</f>
        <v>8</v>
      </c>
      <c r="Q1556" s="3">
        <f t="shared" si="48"/>
        <v>2.2377235996961117E-2</v>
      </c>
      <c r="R1556" t="str">
        <f t="shared" si="49"/>
        <v>November</v>
      </c>
    </row>
    <row r="1557" spans="1:18" x14ac:dyDescent="0.35">
      <c r="A1557" t="s">
        <v>442</v>
      </c>
      <c r="B1557" t="s">
        <v>123</v>
      </c>
      <c r="C1557" t="s">
        <v>15</v>
      </c>
      <c r="D1557" t="s">
        <v>124</v>
      </c>
      <c r="E1557">
        <v>13224</v>
      </c>
      <c r="F1557">
        <v>12472</v>
      </c>
      <c r="G1557">
        <v>5570</v>
      </c>
      <c r="H1557">
        <v>294</v>
      </c>
      <c r="I1557">
        <v>496</v>
      </c>
      <c r="J1557">
        <v>1105</v>
      </c>
      <c r="K1557" s="1">
        <v>45962</v>
      </c>
      <c r="L1557" t="s">
        <v>439</v>
      </c>
      <c r="M1557" t="s">
        <v>435</v>
      </c>
      <c r="N1557" s="2">
        <f>IFERROR(NHS_A_E[[#This Row],[T1_Over4hrs]]/NHS_A_E[[#This Row],[T1_Attendances]], 0)</f>
        <v>0.42120387174833634</v>
      </c>
      <c r="O1557">
        <f>NHS_A_E[[#This Row],[T1_Attendances]]+NHS_A_E[[#This Row],[Other_Attendances]]</f>
        <v>25696</v>
      </c>
      <c r="P1557">
        <f>MATCH(LEFT(A1557,FIND("-",A1557)-1),{"April","May","June","July","August","September","October","November","December","January","February","March"},0)</f>
        <v>8</v>
      </c>
      <c r="Q1557" s="3">
        <f t="shared" si="48"/>
        <v>8.3560193587416814E-2</v>
      </c>
      <c r="R1557" t="str">
        <f t="shared" si="49"/>
        <v>November</v>
      </c>
    </row>
    <row r="1558" spans="1:18" x14ac:dyDescent="0.35">
      <c r="A1558" t="s">
        <v>442</v>
      </c>
      <c r="B1558" t="s">
        <v>85</v>
      </c>
      <c r="C1558" t="s">
        <v>63</v>
      </c>
      <c r="D1558" t="s">
        <v>86</v>
      </c>
      <c r="E1558">
        <v>9942</v>
      </c>
      <c r="F1558">
        <v>3330</v>
      </c>
      <c r="G1558">
        <v>2582</v>
      </c>
      <c r="H1558">
        <v>0</v>
      </c>
      <c r="I1558">
        <v>659</v>
      </c>
      <c r="J1558">
        <v>70</v>
      </c>
      <c r="K1558" s="1">
        <v>45962</v>
      </c>
      <c r="L1558" t="s">
        <v>439</v>
      </c>
      <c r="M1558" t="s">
        <v>435</v>
      </c>
      <c r="N1558" s="2">
        <f>IFERROR(NHS_A_E[[#This Row],[T1_Over4hrs]]/NHS_A_E[[#This Row],[T1_Attendances]], 0)</f>
        <v>0.25970629651981492</v>
      </c>
      <c r="O1558">
        <f>NHS_A_E[[#This Row],[T1_Attendances]]+NHS_A_E[[#This Row],[Other_Attendances]]</f>
        <v>13272</v>
      </c>
      <c r="P1558">
        <f>MATCH(LEFT(A1558,FIND("-",A1558)-1),{"April","May","June","July","August","September","October","November","December","January","February","March"},0)</f>
        <v>8</v>
      </c>
      <c r="Q1558" s="3">
        <f t="shared" si="48"/>
        <v>7.0408368537517602E-3</v>
      </c>
      <c r="R1558" t="str">
        <f t="shared" si="49"/>
        <v>November</v>
      </c>
    </row>
    <row r="1559" spans="1:18" x14ac:dyDescent="0.35">
      <c r="A1559" t="s">
        <v>442</v>
      </c>
      <c r="B1559" t="s">
        <v>341</v>
      </c>
      <c r="C1559" t="s">
        <v>40</v>
      </c>
      <c r="D1559" t="s">
        <v>342</v>
      </c>
      <c r="E1559">
        <v>9935</v>
      </c>
      <c r="F1559">
        <v>4109</v>
      </c>
      <c r="G1559">
        <v>3723</v>
      </c>
      <c r="H1559">
        <v>228</v>
      </c>
      <c r="I1559">
        <v>1031</v>
      </c>
      <c r="J1559">
        <v>545</v>
      </c>
      <c r="K1559" s="1">
        <v>45962</v>
      </c>
      <c r="L1559" t="s">
        <v>439</v>
      </c>
      <c r="M1559" t="s">
        <v>435</v>
      </c>
      <c r="N1559" s="2">
        <f>IFERROR(NHS_A_E[[#This Row],[T1_Over4hrs]]/NHS_A_E[[#This Row],[T1_Attendances]], 0)</f>
        <v>0.37473578258681428</v>
      </c>
      <c r="O1559">
        <f>NHS_A_E[[#This Row],[T1_Attendances]]+NHS_A_E[[#This Row],[Other_Attendances]]</f>
        <v>14044</v>
      </c>
      <c r="P1559">
        <f>MATCH(LEFT(A1559,FIND("-",A1559)-1),{"April","May","June","July","August","September","October","November","December","January","February","March"},0)</f>
        <v>8</v>
      </c>
      <c r="Q1559" s="3">
        <f t="shared" si="48"/>
        <v>5.4856567689984904E-2</v>
      </c>
      <c r="R1559" t="str">
        <f t="shared" si="49"/>
        <v>November</v>
      </c>
    </row>
    <row r="1560" spans="1:18" x14ac:dyDescent="0.35">
      <c r="A1560" t="s">
        <v>442</v>
      </c>
      <c r="B1560" t="s">
        <v>161</v>
      </c>
      <c r="C1560" t="s">
        <v>30</v>
      </c>
      <c r="D1560" t="s">
        <v>162</v>
      </c>
      <c r="E1560">
        <v>7319</v>
      </c>
      <c r="F1560">
        <v>2991</v>
      </c>
      <c r="G1560">
        <v>3761</v>
      </c>
      <c r="H1560">
        <v>0</v>
      </c>
      <c r="I1560">
        <v>476</v>
      </c>
      <c r="J1560">
        <v>569</v>
      </c>
      <c r="K1560" s="1">
        <v>45962</v>
      </c>
      <c r="L1560" t="s">
        <v>439</v>
      </c>
      <c r="M1560" t="s">
        <v>435</v>
      </c>
      <c r="N1560" s="2">
        <f>IFERROR(NHS_A_E[[#This Row],[T1_Over4hrs]]/NHS_A_E[[#This Row],[T1_Attendances]], 0)</f>
        <v>0.51386801475611421</v>
      </c>
      <c r="O1560">
        <f>NHS_A_E[[#This Row],[T1_Attendances]]+NHS_A_E[[#This Row],[Other_Attendances]]</f>
        <v>10310</v>
      </c>
      <c r="P1560">
        <f>MATCH(LEFT(A1560,FIND("-",A1560)-1),{"April","May","June","July","August","September","October","November","December","January","February","March"},0)</f>
        <v>8</v>
      </c>
      <c r="Q1560" s="3">
        <f t="shared" si="48"/>
        <v>7.7742861046591061E-2</v>
      </c>
      <c r="R1560" t="str">
        <f t="shared" si="49"/>
        <v>November</v>
      </c>
    </row>
    <row r="1561" spans="1:18" x14ac:dyDescent="0.35">
      <c r="A1561" t="s">
        <v>442</v>
      </c>
      <c r="B1561" t="s">
        <v>67</v>
      </c>
      <c r="C1561" t="s">
        <v>30</v>
      </c>
      <c r="D1561" t="s">
        <v>68</v>
      </c>
      <c r="E1561">
        <v>0</v>
      </c>
      <c r="F1561">
        <v>0</v>
      </c>
      <c r="G1561">
        <v>0</v>
      </c>
      <c r="H1561">
        <v>0</v>
      </c>
      <c r="I1561">
        <v>0</v>
      </c>
      <c r="J1561">
        <v>0</v>
      </c>
      <c r="K1561" s="1">
        <v>45962</v>
      </c>
      <c r="L1561" t="s">
        <v>439</v>
      </c>
      <c r="M1561" t="s">
        <v>435</v>
      </c>
      <c r="N1561" s="2">
        <f>IFERROR(NHS_A_E[[#This Row],[T1_Over4hrs]]/NHS_A_E[[#This Row],[T1_Attendances]], 0)</f>
        <v>0</v>
      </c>
      <c r="O1561">
        <f>NHS_A_E[[#This Row],[T1_Attendances]]+NHS_A_E[[#This Row],[Other_Attendances]]</f>
        <v>0</v>
      </c>
      <c r="P1561">
        <f>MATCH(LEFT(A1561,FIND("-",A1561)-1),{"April","May","June","July","August","September","October","November","December","January","February","March"},0)</f>
        <v>8</v>
      </c>
      <c r="Q1561" s="3">
        <f t="shared" si="48"/>
        <v>0</v>
      </c>
      <c r="R1561" t="str">
        <f t="shared" si="49"/>
        <v>November</v>
      </c>
    </row>
    <row r="1562" spans="1:18" x14ac:dyDescent="0.35">
      <c r="A1562" t="s">
        <v>442</v>
      </c>
      <c r="B1562" t="s">
        <v>345</v>
      </c>
      <c r="C1562" t="s">
        <v>23</v>
      </c>
      <c r="D1562" t="s">
        <v>346</v>
      </c>
      <c r="E1562">
        <v>17038</v>
      </c>
      <c r="F1562">
        <v>8942</v>
      </c>
      <c r="G1562">
        <v>6555</v>
      </c>
      <c r="H1562">
        <v>0</v>
      </c>
      <c r="I1562">
        <v>80</v>
      </c>
      <c r="J1562">
        <v>13</v>
      </c>
      <c r="K1562" s="1">
        <v>45962</v>
      </c>
      <c r="L1562" t="s">
        <v>439</v>
      </c>
      <c r="M1562" t="s">
        <v>435</v>
      </c>
      <c r="N1562" s="2">
        <f>IFERROR(NHS_A_E[[#This Row],[T1_Over4hrs]]/NHS_A_E[[#This Row],[T1_Attendances]], 0)</f>
        <v>0.38472825448996362</v>
      </c>
      <c r="O1562">
        <f>NHS_A_E[[#This Row],[T1_Attendances]]+NHS_A_E[[#This Row],[Other_Attendances]]</f>
        <v>25980</v>
      </c>
      <c r="P1562">
        <f>MATCH(LEFT(A1562,FIND("-",A1562)-1),{"April","May","June","July","August","September","October","November","December","January","February","March"},0)</f>
        <v>8</v>
      </c>
      <c r="Q1562" s="3">
        <f t="shared" si="48"/>
        <v>7.6300035215400865E-4</v>
      </c>
      <c r="R1562" t="str">
        <f t="shared" si="49"/>
        <v>November</v>
      </c>
    </row>
    <row r="1563" spans="1:18" x14ac:dyDescent="0.35">
      <c r="A1563" t="s">
        <v>442</v>
      </c>
      <c r="B1563" t="s">
        <v>291</v>
      </c>
      <c r="C1563" t="s">
        <v>63</v>
      </c>
      <c r="D1563" t="s">
        <v>292</v>
      </c>
      <c r="E1563">
        <v>5283</v>
      </c>
      <c r="F1563">
        <v>1441</v>
      </c>
      <c r="G1563">
        <v>1894</v>
      </c>
      <c r="H1563">
        <v>0</v>
      </c>
      <c r="I1563">
        <v>145</v>
      </c>
      <c r="J1563">
        <v>4</v>
      </c>
      <c r="K1563" s="1">
        <v>45962</v>
      </c>
      <c r="L1563" t="s">
        <v>439</v>
      </c>
      <c r="M1563" t="s">
        <v>435</v>
      </c>
      <c r="N1563" s="2">
        <f>IFERROR(NHS_A_E[[#This Row],[T1_Over4hrs]]/NHS_A_E[[#This Row],[T1_Attendances]], 0)</f>
        <v>0.35850842324436871</v>
      </c>
      <c r="O1563">
        <f>NHS_A_E[[#This Row],[T1_Attendances]]+NHS_A_E[[#This Row],[Other_Attendances]]</f>
        <v>6724</v>
      </c>
      <c r="P1563">
        <f>MATCH(LEFT(A1563,FIND("-",A1563)-1),{"April","May","June","July","August","September","October","November","December","January","February","March"},0)</f>
        <v>8</v>
      </c>
      <c r="Q1563" s="3">
        <f t="shared" si="48"/>
        <v>7.5714556123414724E-4</v>
      </c>
      <c r="R1563" t="str">
        <f t="shared" si="49"/>
        <v>November</v>
      </c>
    </row>
    <row r="1564" spans="1:18" x14ac:dyDescent="0.35">
      <c r="A1564" t="s">
        <v>442</v>
      </c>
      <c r="B1564" t="s">
        <v>99</v>
      </c>
      <c r="C1564" t="s">
        <v>30</v>
      </c>
      <c r="D1564" t="s">
        <v>100</v>
      </c>
      <c r="E1564">
        <v>0</v>
      </c>
      <c r="F1564">
        <v>0</v>
      </c>
      <c r="G1564">
        <v>0</v>
      </c>
      <c r="H1564">
        <v>0</v>
      </c>
      <c r="I1564">
        <v>0</v>
      </c>
      <c r="J1564">
        <v>0</v>
      </c>
      <c r="K1564" s="1">
        <v>45962</v>
      </c>
      <c r="L1564" t="s">
        <v>439</v>
      </c>
      <c r="M1564" t="s">
        <v>435</v>
      </c>
      <c r="N1564" s="2">
        <f>IFERROR(NHS_A_E[[#This Row],[T1_Over4hrs]]/NHS_A_E[[#This Row],[T1_Attendances]], 0)</f>
        <v>0</v>
      </c>
      <c r="O1564">
        <f>NHS_A_E[[#This Row],[T1_Attendances]]+NHS_A_E[[#This Row],[Other_Attendances]]</f>
        <v>0</v>
      </c>
      <c r="P1564">
        <f>MATCH(LEFT(A1564,FIND("-",A1564)-1),{"April","May","June","July","August","September","October","November","December","January","February","March"},0)</f>
        <v>8</v>
      </c>
      <c r="Q1564" s="3">
        <f t="shared" si="48"/>
        <v>0</v>
      </c>
      <c r="R1564" t="str">
        <f t="shared" si="49"/>
        <v>November</v>
      </c>
    </row>
    <row r="1565" spans="1:18" x14ac:dyDescent="0.35">
      <c r="A1565" t="s">
        <v>442</v>
      </c>
      <c r="B1565" t="s">
        <v>159</v>
      </c>
      <c r="C1565" t="s">
        <v>40</v>
      </c>
      <c r="D1565" t="s">
        <v>160</v>
      </c>
      <c r="E1565">
        <v>6370</v>
      </c>
      <c r="F1565">
        <v>5889</v>
      </c>
      <c r="G1565">
        <v>3404</v>
      </c>
      <c r="H1565">
        <v>166</v>
      </c>
      <c r="I1565">
        <v>686</v>
      </c>
      <c r="J1565">
        <v>325</v>
      </c>
      <c r="K1565" s="1">
        <v>45962</v>
      </c>
      <c r="L1565" t="s">
        <v>439</v>
      </c>
      <c r="M1565" t="s">
        <v>435</v>
      </c>
      <c r="N1565" s="2">
        <f>IFERROR(NHS_A_E[[#This Row],[T1_Over4hrs]]/NHS_A_E[[#This Row],[T1_Attendances]], 0)</f>
        <v>0.53437990580847727</v>
      </c>
      <c r="O1565">
        <f>NHS_A_E[[#This Row],[T1_Attendances]]+NHS_A_E[[#This Row],[Other_Attendances]]</f>
        <v>12259</v>
      </c>
      <c r="P1565">
        <f>MATCH(LEFT(A1565,FIND("-",A1565)-1),{"April","May","June","July","August","September","October","November","December","January","February","March"},0)</f>
        <v>8</v>
      </c>
      <c r="Q1565" s="3">
        <f t="shared" si="48"/>
        <v>5.1020408163265307E-2</v>
      </c>
      <c r="R1565" t="str">
        <f t="shared" si="49"/>
        <v>November</v>
      </c>
    </row>
    <row r="1566" spans="1:18" x14ac:dyDescent="0.35">
      <c r="A1566" t="s">
        <v>442</v>
      </c>
      <c r="B1566" t="s">
        <v>393</v>
      </c>
      <c r="C1566" t="s">
        <v>23</v>
      </c>
      <c r="D1566" t="s">
        <v>394</v>
      </c>
      <c r="E1566">
        <v>14820</v>
      </c>
      <c r="F1566">
        <v>4638</v>
      </c>
      <c r="G1566">
        <v>5796</v>
      </c>
      <c r="H1566">
        <v>134</v>
      </c>
      <c r="I1566">
        <v>487</v>
      </c>
      <c r="J1566">
        <v>862</v>
      </c>
      <c r="K1566" s="1">
        <v>45962</v>
      </c>
      <c r="L1566" t="s">
        <v>439</v>
      </c>
      <c r="M1566" t="s">
        <v>435</v>
      </c>
      <c r="N1566" s="2">
        <f>IFERROR(NHS_A_E[[#This Row],[T1_Over4hrs]]/NHS_A_E[[#This Row],[T1_Attendances]], 0)</f>
        <v>0.3910931174089069</v>
      </c>
      <c r="O1566">
        <f>NHS_A_E[[#This Row],[T1_Attendances]]+NHS_A_E[[#This Row],[Other_Attendances]]</f>
        <v>19458</v>
      </c>
      <c r="P1566">
        <f>MATCH(LEFT(A1566,FIND("-",A1566)-1),{"April","May","June","July","August","September","October","November","December","January","February","March"},0)</f>
        <v>8</v>
      </c>
      <c r="Q1566" s="3">
        <f t="shared" si="48"/>
        <v>5.816464237516869E-2</v>
      </c>
      <c r="R1566" t="str">
        <f t="shared" si="49"/>
        <v>November</v>
      </c>
    </row>
    <row r="1567" spans="1:18" x14ac:dyDescent="0.35">
      <c r="A1567" t="s">
        <v>442</v>
      </c>
      <c r="B1567" t="s">
        <v>37</v>
      </c>
      <c r="C1567" t="s">
        <v>35</v>
      </c>
      <c r="D1567" t="s">
        <v>38</v>
      </c>
      <c r="E1567">
        <v>16440</v>
      </c>
      <c r="F1567">
        <v>16392</v>
      </c>
      <c r="G1567">
        <v>7469</v>
      </c>
      <c r="H1567">
        <v>398</v>
      </c>
      <c r="I1567">
        <v>1025</v>
      </c>
      <c r="J1567">
        <v>506</v>
      </c>
      <c r="K1567" s="1">
        <v>45962</v>
      </c>
      <c r="L1567" t="s">
        <v>439</v>
      </c>
      <c r="M1567" t="s">
        <v>435</v>
      </c>
      <c r="N1567" s="2">
        <f>IFERROR(NHS_A_E[[#This Row],[T1_Over4hrs]]/NHS_A_E[[#This Row],[T1_Attendances]], 0)</f>
        <v>0.45431873479318735</v>
      </c>
      <c r="O1567">
        <f>NHS_A_E[[#This Row],[T1_Attendances]]+NHS_A_E[[#This Row],[Other_Attendances]]</f>
        <v>32832</v>
      </c>
      <c r="P1567">
        <f>MATCH(LEFT(A1567,FIND("-",A1567)-1),{"April","May","June","July","August","September","October","November","December","January","February","March"},0)</f>
        <v>8</v>
      </c>
      <c r="Q1567" s="3">
        <f t="shared" si="48"/>
        <v>3.0778588807785889E-2</v>
      </c>
      <c r="R1567" t="str">
        <f t="shared" si="49"/>
        <v>November</v>
      </c>
    </row>
    <row r="1568" spans="1:18" x14ac:dyDescent="0.35">
      <c r="A1568" t="s">
        <v>442</v>
      </c>
      <c r="B1568" t="s">
        <v>89</v>
      </c>
      <c r="C1568" t="s">
        <v>35</v>
      </c>
      <c r="D1568" t="s">
        <v>90</v>
      </c>
      <c r="E1568">
        <v>27198</v>
      </c>
      <c r="F1568">
        <v>15690</v>
      </c>
      <c r="G1568">
        <v>9231</v>
      </c>
      <c r="H1568">
        <v>837</v>
      </c>
      <c r="I1568">
        <v>945</v>
      </c>
      <c r="J1568">
        <v>2065</v>
      </c>
      <c r="K1568" s="1">
        <v>45962</v>
      </c>
      <c r="L1568" t="s">
        <v>439</v>
      </c>
      <c r="M1568" t="s">
        <v>435</v>
      </c>
      <c r="N1568" s="2">
        <f>IFERROR(NHS_A_E[[#This Row],[T1_Over4hrs]]/NHS_A_E[[#This Row],[T1_Attendances]], 0)</f>
        <v>0.33939995587910876</v>
      </c>
      <c r="O1568">
        <f>NHS_A_E[[#This Row],[T1_Attendances]]+NHS_A_E[[#This Row],[Other_Attendances]]</f>
        <v>42888</v>
      </c>
      <c r="P1568">
        <f>MATCH(LEFT(A1568,FIND("-",A1568)-1),{"April","May","June","July","August","September","October","November","December","January","February","March"},0)</f>
        <v>8</v>
      </c>
      <c r="Q1568" s="3">
        <f t="shared" si="48"/>
        <v>7.5924700345613647E-2</v>
      </c>
      <c r="R1568" t="str">
        <f t="shared" si="49"/>
        <v>November</v>
      </c>
    </row>
    <row r="1569" spans="1:18" x14ac:dyDescent="0.35">
      <c r="A1569" t="s">
        <v>442</v>
      </c>
      <c r="B1569" t="s">
        <v>131</v>
      </c>
      <c r="C1569" t="s">
        <v>40</v>
      </c>
      <c r="D1569" t="s">
        <v>132</v>
      </c>
      <c r="E1569">
        <v>19733</v>
      </c>
      <c r="F1569">
        <v>9373</v>
      </c>
      <c r="G1569">
        <v>9366</v>
      </c>
      <c r="H1569">
        <v>3</v>
      </c>
      <c r="I1569">
        <v>943</v>
      </c>
      <c r="J1569">
        <v>1160</v>
      </c>
      <c r="K1569" s="1">
        <v>45962</v>
      </c>
      <c r="L1569" t="s">
        <v>439</v>
      </c>
      <c r="M1569" t="s">
        <v>435</v>
      </c>
      <c r="N1569" s="2">
        <f>IFERROR(NHS_A_E[[#This Row],[T1_Over4hrs]]/NHS_A_E[[#This Row],[T1_Attendances]], 0)</f>
        <v>0.47463639588506562</v>
      </c>
      <c r="O1569">
        <f>NHS_A_E[[#This Row],[T1_Attendances]]+NHS_A_E[[#This Row],[Other_Attendances]]</f>
        <v>29106</v>
      </c>
      <c r="P1569">
        <f>MATCH(LEFT(A1569,FIND("-",A1569)-1),{"April","May","June","July","August","September","October","November","December","January","February","March"},0)</f>
        <v>8</v>
      </c>
      <c r="Q1569" s="3">
        <f t="shared" si="48"/>
        <v>5.8784776769877867E-2</v>
      </c>
      <c r="R1569" t="str">
        <f t="shared" si="49"/>
        <v>November</v>
      </c>
    </row>
    <row r="1570" spans="1:18" x14ac:dyDescent="0.35">
      <c r="A1570" t="s">
        <v>442</v>
      </c>
      <c r="B1570" t="s">
        <v>361</v>
      </c>
      <c r="C1570" t="s">
        <v>40</v>
      </c>
      <c r="D1570" t="s">
        <v>362</v>
      </c>
      <c r="E1570">
        <v>10226</v>
      </c>
      <c r="F1570">
        <v>8645</v>
      </c>
      <c r="G1570">
        <v>3683</v>
      </c>
      <c r="H1570">
        <v>40</v>
      </c>
      <c r="I1570">
        <v>535</v>
      </c>
      <c r="J1570">
        <v>553</v>
      </c>
      <c r="K1570" s="1">
        <v>45962</v>
      </c>
      <c r="L1570" t="s">
        <v>439</v>
      </c>
      <c r="M1570" t="s">
        <v>435</v>
      </c>
      <c r="N1570" s="2">
        <f>IFERROR(NHS_A_E[[#This Row],[T1_Over4hrs]]/NHS_A_E[[#This Row],[T1_Attendances]], 0)</f>
        <v>0.36016037551339725</v>
      </c>
      <c r="O1570">
        <f>NHS_A_E[[#This Row],[T1_Attendances]]+NHS_A_E[[#This Row],[Other_Attendances]]</f>
        <v>18871</v>
      </c>
      <c r="P1570">
        <f>MATCH(LEFT(A1570,FIND("-",A1570)-1),{"April","May","June","July","August","September","October","November","December","January","February","March"},0)</f>
        <v>8</v>
      </c>
      <c r="Q1570" s="3">
        <f t="shared" si="48"/>
        <v>5.4077840797965966E-2</v>
      </c>
      <c r="R1570" t="str">
        <f t="shared" si="49"/>
        <v>November</v>
      </c>
    </row>
    <row r="1571" spans="1:18" x14ac:dyDescent="0.35">
      <c r="A1571" t="s">
        <v>442</v>
      </c>
      <c r="B1571" t="s">
        <v>46</v>
      </c>
      <c r="C1571" t="s">
        <v>40</v>
      </c>
      <c r="D1571" t="s">
        <v>47</v>
      </c>
      <c r="E1571">
        <v>0</v>
      </c>
      <c r="F1571">
        <v>0</v>
      </c>
      <c r="G1571">
        <v>0</v>
      </c>
      <c r="H1571">
        <v>0</v>
      </c>
      <c r="I1571">
        <v>0</v>
      </c>
      <c r="J1571">
        <v>0</v>
      </c>
      <c r="K1571" s="1">
        <v>45962</v>
      </c>
      <c r="L1571" t="s">
        <v>439</v>
      </c>
      <c r="M1571" t="s">
        <v>435</v>
      </c>
      <c r="N1571" s="2">
        <f>IFERROR(NHS_A_E[[#This Row],[T1_Over4hrs]]/NHS_A_E[[#This Row],[T1_Attendances]], 0)</f>
        <v>0</v>
      </c>
      <c r="O1571">
        <f>NHS_A_E[[#This Row],[T1_Attendances]]+NHS_A_E[[#This Row],[Other_Attendances]]</f>
        <v>0</v>
      </c>
      <c r="P1571">
        <f>MATCH(LEFT(A1571,FIND("-",A1571)-1),{"April","May","June","July","August","September","October","November","December","January","February","March"},0)</f>
        <v>8</v>
      </c>
      <c r="Q1571" s="3">
        <f t="shared" si="48"/>
        <v>0</v>
      </c>
      <c r="R1571" t="str">
        <f t="shared" si="49"/>
        <v>November</v>
      </c>
    </row>
    <row r="1572" spans="1:18" x14ac:dyDescent="0.35">
      <c r="A1572" t="s">
        <v>442</v>
      </c>
      <c r="B1572" t="s">
        <v>275</v>
      </c>
      <c r="C1572" t="s">
        <v>20</v>
      </c>
      <c r="D1572" t="s">
        <v>276</v>
      </c>
      <c r="E1572">
        <v>0</v>
      </c>
      <c r="F1572">
        <v>7517</v>
      </c>
      <c r="G1572">
        <v>0</v>
      </c>
      <c r="H1572">
        <v>129</v>
      </c>
      <c r="I1572">
        <v>0</v>
      </c>
      <c r="J1572">
        <v>0</v>
      </c>
      <c r="K1572" s="1">
        <v>45962</v>
      </c>
      <c r="L1572" t="s">
        <v>439</v>
      </c>
      <c r="M1572" t="s">
        <v>435</v>
      </c>
      <c r="N1572" s="2">
        <f>IFERROR(NHS_A_E[[#This Row],[T1_Over4hrs]]/NHS_A_E[[#This Row],[T1_Attendances]], 0)</f>
        <v>0</v>
      </c>
      <c r="O1572">
        <f>NHS_A_E[[#This Row],[T1_Attendances]]+NHS_A_E[[#This Row],[Other_Attendances]]</f>
        <v>7517</v>
      </c>
      <c r="P1572">
        <f>MATCH(LEFT(A1572,FIND("-",A1572)-1),{"April","May","June","July","August","September","October","November","December","January","February","March"},0)</f>
        <v>8</v>
      </c>
      <c r="Q1572" s="3">
        <f t="shared" si="48"/>
        <v>0</v>
      </c>
      <c r="R1572" t="str">
        <f t="shared" si="49"/>
        <v>November</v>
      </c>
    </row>
    <row r="1573" spans="1:18" x14ac:dyDescent="0.35">
      <c r="A1573" t="s">
        <v>442</v>
      </c>
      <c r="B1573" t="s">
        <v>319</v>
      </c>
      <c r="C1573" t="s">
        <v>63</v>
      </c>
      <c r="D1573" t="s">
        <v>320</v>
      </c>
      <c r="E1573">
        <v>0</v>
      </c>
      <c r="F1573">
        <v>966</v>
      </c>
      <c r="G1573">
        <v>0</v>
      </c>
      <c r="H1573">
        <v>0</v>
      </c>
      <c r="I1573">
        <v>0</v>
      </c>
      <c r="J1573">
        <v>0</v>
      </c>
      <c r="K1573" s="1">
        <v>45962</v>
      </c>
      <c r="L1573" t="s">
        <v>439</v>
      </c>
      <c r="M1573" t="s">
        <v>435</v>
      </c>
      <c r="N1573" s="2">
        <f>IFERROR(NHS_A_E[[#This Row],[T1_Over4hrs]]/NHS_A_E[[#This Row],[T1_Attendances]], 0)</f>
        <v>0</v>
      </c>
      <c r="O1573">
        <f>NHS_A_E[[#This Row],[T1_Attendances]]+NHS_A_E[[#This Row],[Other_Attendances]]</f>
        <v>966</v>
      </c>
      <c r="P1573">
        <f>MATCH(LEFT(A1573,FIND("-",A1573)-1),{"April","May","June","July","August","September","October","November","December","January","February","March"},0)</f>
        <v>8</v>
      </c>
      <c r="Q1573" s="3">
        <f t="shared" si="48"/>
        <v>0</v>
      </c>
      <c r="R1573" t="str">
        <f t="shared" si="49"/>
        <v>November</v>
      </c>
    </row>
    <row r="1574" spans="1:18" x14ac:dyDescent="0.35">
      <c r="A1574" t="s">
        <v>442</v>
      </c>
      <c r="B1574" t="s">
        <v>193</v>
      </c>
      <c r="C1574" t="s">
        <v>63</v>
      </c>
      <c r="D1574" t="s">
        <v>194</v>
      </c>
      <c r="E1574">
        <v>0</v>
      </c>
      <c r="F1574">
        <v>0</v>
      </c>
      <c r="G1574">
        <v>0</v>
      </c>
      <c r="H1574">
        <v>0</v>
      </c>
      <c r="I1574">
        <v>0</v>
      </c>
      <c r="J1574">
        <v>0</v>
      </c>
      <c r="K1574" s="1">
        <v>45962</v>
      </c>
      <c r="L1574" t="s">
        <v>439</v>
      </c>
      <c r="M1574" t="s">
        <v>435</v>
      </c>
      <c r="N1574" s="2">
        <f>IFERROR(NHS_A_E[[#This Row],[T1_Over4hrs]]/NHS_A_E[[#This Row],[T1_Attendances]], 0)</f>
        <v>0</v>
      </c>
      <c r="O1574">
        <f>NHS_A_E[[#This Row],[T1_Attendances]]+NHS_A_E[[#This Row],[Other_Attendances]]</f>
        <v>0</v>
      </c>
      <c r="P1574">
        <f>MATCH(LEFT(A1574,FIND("-",A1574)-1),{"April","May","June","July","August","September","October","November","December","January","February","March"},0)</f>
        <v>8</v>
      </c>
      <c r="Q1574" s="3">
        <f t="shared" si="48"/>
        <v>0</v>
      </c>
      <c r="R1574" t="str">
        <f t="shared" si="49"/>
        <v>November</v>
      </c>
    </row>
    <row r="1575" spans="1:18" x14ac:dyDescent="0.35">
      <c r="A1575" t="s">
        <v>442</v>
      </c>
      <c r="B1575" t="s">
        <v>201</v>
      </c>
      <c r="C1575" t="s">
        <v>20</v>
      </c>
      <c r="D1575" t="s">
        <v>202</v>
      </c>
      <c r="E1575">
        <v>0</v>
      </c>
      <c r="F1575">
        <v>1883</v>
      </c>
      <c r="G1575">
        <v>0</v>
      </c>
      <c r="H1575">
        <v>17</v>
      </c>
      <c r="I1575">
        <v>0</v>
      </c>
      <c r="J1575">
        <v>0</v>
      </c>
      <c r="K1575" s="1">
        <v>45962</v>
      </c>
      <c r="L1575" t="s">
        <v>439</v>
      </c>
      <c r="M1575" t="s">
        <v>435</v>
      </c>
      <c r="N1575" s="2">
        <f>IFERROR(NHS_A_E[[#This Row],[T1_Over4hrs]]/NHS_A_E[[#This Row],[T1_Attendances]], 0)</f>
        <v>0</v>
      </c>
      <c r="O1575">
        <f>NHS_A_E[[#This Row],[T1_Attendances]]+NHS_A_E[[#This Row],[Other_Attendances]]</f>
        <v>1883</v>
      </c>
      <c r="P1575">
        <f>MATCH(LEFT(A1575,FIND("-",A1575)-1),{"April","May","June","July","August","September","October","November","December","January","February","March"},0)</f>
        <v>8</v>
      </c>
      <c r="Q1575" s="3">
        <f t="shared" si="48"/>
        <v>0</v>
      </c>
      <c r="R1575" t="str">
        <f t="shared" si="49"/>
        <v>November</v>
      </c>
    </row>
    <row r="1576" spans="1:18" x14ac:dyDescent="0.35">
      <c r="A1576" t="s">
        <v>442</v>
      </c>
      <c r="B1576" t="s">
        <v>125</v>
      </c>
      <c r="C1576" t="s">
        <v>35</v>
      </c>
      <c r="D1576" t="s">
        <v>126</v>
      </c>
      <c r="E1576">
        <v>0</v>
      </c>
      <c r="F1576">
        <v>11752</v>
      </c>
      <c r="G1576">
        <v>0</v>
      </c>
      <c r="H1576">
        <v>125</v>
      </c>
      <c r="I1576">
        <v>0</v>
      </c>
      <c r="J1576">
        <v>0</v>
      </c>
      <c r="K1576" s="1">
        <v>45962</v>
      </c>
      <c r="L1576" t="s">
        <v>439</v>
      </c>
      <c r="M1576" t="s">
        <v>435</v>
      </c>
      <c r="N1576" s="2">
        <f>IFERROR(NHS_A_E[[#This Row],[T1_Over4hrs]]/NHS_A_E[[#This Row],[T1_Attendances]], 0)</f>
        <v>0</v>
      </c>
      <c r="O1576">
        <f>NHS_A_E[[#This Row],[T1_Attendances]]+NHS_A_E[[#This Row],[Other_Attendances]]</f>
        <v>11752</v>
      </c>
      <c r="P1576">
        <f>MATCH(LEFT(A1576,FIND("-",A1576)-1),{"April","May","June","July","August","September","October","November","December","January","February","March"},0)</f>
        <v>8</v>
      </c>
      <c r="Q1576" s="3">
        <f t="shared" si="48"/>
        <v>0</v>
      </c>
      <c r="R1576" t="str">
        <f t="shared" si="49"/>
        <v>November</v>
      </c>
    </row>
    <row r="1577" spans="1:18" x14ac:dyDescent="0.35">
      <c r="A1577" t="s">
        <v>442</v>
      </c>
      <c r="B1577" t="s">
        <v>303</v>
      </c>
      <c r="C1577" t="s">
        <v>23</v>
      </c>
      <c r="D1577" t="s">
        <v>304</v>
      </c>
      <c r="E1577">
        <v>0</v>
      </c>
      <c r="F1577">
        <v>3023</v>
      </c>
      <c r="G1577">
        <v>0</v>
      </c>
      <c r="H1577">
        <v>0</v>
      </c>
      <c r="I1577">
        <v>0</v>
      </c>
      <c r="J1577">
        <v>0</v>
      </c>
      <c r="K1577" s="1">
        <v>45962</v>
      </c>
      <c r="L1577" t="s">
        <v>439</v>
      </c>
      <c r="M1577" t="s">
        <v>435</v>
      </c>
      <c r="N1577" s="2">
        <f>IFERROR(NHS_A_E[[#This Row],[T1_Over4hrs]]/NHS_A_E[[#This Row],[T1_Attendances]], 0)</f>
        <v>0</v>
      </c>
      <c r="O1577">
        <f>NHS_A_E[[#This Row],[T1_Attendances]]+NHS_A_E[[#This Row],[Other_Attendances]]</f>
        <v>3023</v>
      </c>
      <c r="P1577">
        <f>MATCH(LEFT(A1577,FIND("-",A1577)-1),{"April","May","June","July","August","September","October","November","December","January","February","March"},0)</f>
        <v>8</v>
      </c>
      <c r="Q1577" s="3">
        <f t="shared" si="48"/>
        <v>0</v>
      </c>
      <c r="R1577" t="str">
        <f t="shared" si="49"/>
        <v>November</v>
      </c>
    </row>
    <row r="1578" spans="1:18" x14ac:dyDescent="0.35">
      <c r="A1578" t="s">
        <v>442</v>
      </c>
      <c r="B1578" t="s">
        <v>385</v>
      </c>
      <c r="C1578" t="s">
        <v>20</v>
      </c>
      <c r="D1578" t="s">
        <v>386</v>
      </c>
      <c r="E1578">
        <v>0</v>
      </c>
      <c r="F1578">
        <v>7581</v>
      </c>
      <c r="G1578">
        <v>0</v>
      </c>
      <c r="H1578">
        <v>160</v>
      </c>
      <c r="I1578">
        <v>0</v>
      </c>
      <c r="J1578">
        <v>0</v>
      </c>
      <c r="K1578" s="1">
        <v>45962</v>
      </c>
      <c r="L1578" t="s">
        <v>439</v>
      </c>
      <c r="M1578" t="s">
        <v>435</v>
      </c>
      <c r="N1578" s="2">
        <f>IFERROR(NHS_A_E[[#This Row],[T1_Over4hrs]]/NHS_A_E[[#This Row],[T1_Attendances]], 0)</f>
        <v>0</v>
      </c>
      <c r="O1578">
        <f>NHS_A_E[[#This Row],[T1_Attendances]]+NHS_A_E[[#This Row],[Other_Attendances]]</f>
        <v>7581</v>
      </c>
      <c r="P1578">
        <f>MATCH(LEFT(A1578,FIND("-",A1578)-1),{"April","May","June","July","August","September","October","November","December","January","February","March"},0)</f>
        <v>8</v>
      </c>
      <c r="Q1578" s="3">
        <f t="shared" si="48"/>
        <v>0</v>
      </c>
      <c r="R1578" t="str">
        <f t="shared" si="49"/>
        <v>November</v>
      </c>
    </row>
    <row r="1579" spans="1:18" x14ac:dyDescent="0.35">
      <c r="A1579" t="s">
        <v>442</v>
      </c>
      <c r="B1579" t="s">
        <v>247</v>
      </c>
      <c r="C1579" t="s">
        <v>15</v>
      </c>
      <c r="D1579" t="s">
        <v>248</v>
      </c>
      <c r="E1579">
        <v>0</v>
      </c>
      <c r="F1579">
        <v>4955</v>
      </c>
      <c r="G1579">
        <v>0</v>
      </c>
      <c r="H1579">
        <v>370</v>
      </c>
      <c r="I1579">
        <v>0</v>
      </c>
      <c r="J1579">
        <v>0</v>
      </c>
      <c r="K1579" s="1">
        <v>45962</v>
      </c>
      <c r="L1579" t="s">
        <v>439</v>
      </c>
      <c r="M1579" t="s">
        <v>435</v>
      </c>
      <c r="N1579" s="2">
        <f>IFERROR(NHS_A_E[[#This Row],[T1_Over4hrs]]/NHS_A_E[[#This Row],[T1_Attendances]], 0)</f>
        <v>0</v>
      </c>
      <c r="O1579">
        <f>NHS_A_E[[#This Row],[T1_Attendances]]+NHS_A_E[[#This Row],[Other_Attendances]]</f>
        <v>4955</v>
      </c>
      <c r="P1579">
        <f>MATCH(LEFT(A1579,FIND("-",A1579)-1),{"April","May","June","July","August","September","October","November","December","January","February","March"},0)</f>
        <v>8</v>
      </c>
      <c r="Q1579" s="3">
        <f t="shared" si="48"/>
        <v>0</v>
      </c>
      <c r="R1579" t="str">
        <f t="shared" si="49"/>
        <v>November</v>
      </c>
    </row>
    <row r="1580" spans="1:18" x14ac:dyDescent="0.35">
      <c r="A1580" t="s">
        <v>442</v>
      </c>
      <c r="B1580" t="s">
        <v>227</v>
      </c>
      <c r="C1580" t="s">
        <v>30</v>
      </c>
      <c r="D1580" t="s">
        <v>228</v>
      </c>
      <c r="E1580">
        <v>0</v>
      </c>
      <c r="F1580">
        <v>889</v>
      </c>
      <c r="G1580">
        <v>0</v>
      </c>
      <c r="H1580">
        <v>0</v>
      </c>
      <c r="I1580">
        <v>0</v>
      </c>
      <c r="J1580">
        <v>0</v>
      </c>
      <c r="K1580" s="1">
        <v>45962</v>
      </c>
      <c r="L1580" t="s">
        <v>439</v>
      </c>
      <c r="M1580" t="s">
        <v>435</v>
      </c>
      <c r="N1580" s="2">
        <f>IFERROR(NHS_A_E[[#This Row],[T1_Over4hrs]]/NHS_A_E[[#This Row],[T1_Attendances]], 0)</f>
        <v>0</v>
      </c>
      <c r="O1580">
        <f>NHS_A_E[[#This Row],[T1_Attendances]]+NHS_A_E[[#This Row],[Other_Attendances]]</f>
        <v>889</v>
      </c>
      <c r="P1580">
        <f>MATCH(LEFT(A1580,FIND("-",A1580)-1),{"April","May","June","July","August","September","October","November","December","January","February","March"},0)</f>
        <v>8</v>
      </c>
      <c r="Q1580" s="3">
        <f t="shared" si="48"/>
        <v>0</v>
      </c>
      <c r="R1580" t="str">
        <f t="shared" si="49"/>
        <v>November</v>
      </c>
    </row>
    <row r="1581" spans="1:18" x14ac:dyDescent="0.35">
      <c r="A1581" t="s">
        <v>442</v>
      </c>
      <c r="B1581" t="s">
        <v>115</v>
      </c>
      <c r="C1581" t="s">
        <v>40</v>
      </c>
      <c r="D1581" t="s">
        <v>116</v>
      </c>
      <c r="E1581">
        <v>0</v>
      </c>
      <c r="F1581">
        <v>2838</v>
      </c>
      <c r="G1581">
        <v>0</v>
      </c>
      <c r="H1581">
        <v>15</v>
      </c>
      <c r="I1581">
        <v>0</v>
      </c>
      <c r="J1581">
        <v>0</v>
      </c>
      <c r="K1581" s="1">
        <v>45962</v>
      </c>
      <c r="L1581" t="s">
        <v>439</v>
      </c>
      <c r="M1581" t="s">
        <v>435</v>
      </c>
      <c r="N1581" s="2">
        <f>IFERROR(NHS_A_E[[#This Row],[T1_Over4hrs]]/NHS_A_E[[#This Row],[T1_Attendances]], 0)</f>
        <v>0</v>
      </c>
      <c r="O1581">
        <f>NHS_A_E[[#This Row],[T1_Attendances]]+NHS_A_E[[#This Row],[Other_Attendances]]</f>
        <v>2838</v>
      </c>
      <c r="P1581">
        <f>MATCH(LEFT(A1581,FIND("-",A1581)-1),{"April","May","June","July","August","September","October","November","December","January","February","March"},0)</f>
        <v>8</v>
      </c>
      <c r="Q1581" s="3">
        <f t="shared" si="48"/>
        <v>0</v>
      </c>
      <c r="R1581" t="str">
        <f t="shared" si="49"/>
        <v>November</v>
      </c>
    </row>
    <row r="1582" spans="1:18" x14ac:dyDescent="0.35">
      <c r="A1582" t="s">
        <v>442</v>
      </c>
      <c r="B1582" t="s">
        <v>249</v>
      </c>
      <c r="C1582" t="s">
        <v>20</v>
      </c>
      <c r="D1582" t="s">
        <v>250</v>
      </c>
      <c r="E1582">
        <v>6663</v>
      </c>
      <c r="F1582">
        <v>2857</v>
      </c>
      <c r="G1582">
        <v>3039</v>
      </c>
      <c r="H1582">
        <v>14</v>
      </c>
      <c r="I1582">
        <v>155</v>
      </c>
      <c r="J1582">
        <v>42</v>
      </c>
      <c r="K1582" s="1">
        <v>45962</v>
      </c>
      <c r="L1582" t="s">
        <v>439</v>
      </c>
      <c r="M1582" t="s">
        <v>435</v>
      </c>
      <c r="N1582" s="2">
        <f>IFERROR(NHS_A_E[[#This Row],[T1_Over4hrs]]/NHS_A_E[[#This Row],[T1_Attendances]], 0)</f>
        <v>0.45610085547050877</v>
      </c>
      <c r="O1582">
        <f>NHS_A_E[[#This Row],[T1_Attendances]]+NHS_A_E[[#This Row],[Other_Attendances]]</f>
        <v>9520</v>
      </c>
      <c r="P1582">
        <f>MATCH(LEFT(A1582,FIND("-",A1582)-1),{"April","May","June","July","August","September","October","November","December","January","February","March"},0)</f>
        <v>8</v>
      </c>
      <c r="Q1582" s="3">
        <f t="shared" si="48"/>
        <v>6.3034669067987392E-3</v>
      </c>
      <c r="R1582" t="str">
        <f t="shared" si="49"/>
        <v>November</v>
      </c>
    </row>
    <row r="1583" spans="1:18" x14ac:dyDescent="0.35">
      <c r="A1583" t="s">
        <v>442</v>
      </c>
      <c r="B1583" t="s">
        <v>87</v>
      </c>
      <c r="C1583" t="s">
        <v>23</v>
      </c>
      <c r="D1583" t="s">
        <v>88</v>
      </c>
      <c r="E1583">
        <v>27777</v>
      </c>
      <c r="F1583">
        <v>7663</v>
      </c>
      <c r="G1583">
        <v>10517</v>
      </c>
      <c r="H1583">
        <v>335</v>
      </c>
      <c r="I1583">
        <v>2305</v>
      </c>
      <c r="J1583">
        <v>869</v>
      </c>
      <c r="K1583" s="1">
        <v>45962</v>
      </c>
      <c r="L1583" t="s">
        <v>439</v>
      </c>
      <c r="M1583" t="s">
        <v>435</v>
      </c>
      <c r="N1583" s="2">
        <f>IFERROR(NHS_A_E[[#This Row],[T1_Over4hrs]]/NHS_A_E[[#This Row],[T1_Attendances]], 0)</f>
        <v>0.3786226014328401</v>
      </c>
      <c r="O1583">
        <f>NHS_A_E[[#This Row],[T1_Attendances]]+NHS_A_E[[#This Row],[Other_Attendances]]</f>
        <v>35440</v>
      </c>
      <c r="P1583">
        <f>MATCH(LEFT(A1583,FIND("-",A1583)-1),{"April","May","June","July","August","September","October","November","December","January","February","March"},0)</f>
        <v>8</v>
      </c>
      <c r="Q1583" s="3">
        <f t="shared" si="48"/>
        <v>3.1284875976527342E-2</v>
      </c>
      <c r="R1583" t="str">
        <f t="shared" si="49"/>
        <v>November</v>
      </c>
    </row>
    <row r="1584" spans="1:18" x14ac:dyDescent="0.35">
      <c r="A1584" t="s">
        <v>442</v>
      </c>
      <c r="B1584" t="s">
        <v>371</v>
      </c>
      <c r="C1584" t="s">
        <v>35</v>
      </c>
      <c r="D1584" t="s">
        <v>372</v>
      </c>
      <c r="E1584">
        <v>5129</v>
      </c>
      <c r="F1584">
        <v>6657</v>
      </c>
      <c r="G1584">
        <v>2459</v>
      </c>
      <c r="H1584">
        <v>14</v>
      </c>
      <c r="I1584">
        <v>625</v>
      </c>
      <c r="J1584">
        <v>37</v>
      </c>
      <c r="K1584" s="1">
        <v>45962</v>
      </c>
      <c r="L1584" t="s">
        <v>439</v>
      </c>
      <c r="M1584" t="s">
        <v>435</v>
      </c>
      <c r="N1584" s="2">
        <f>IFERROR(NHS_A_E[[#This Row],[T1_Over4hrs]]/NHS_A_E[[#This Row],[T1_Attendances]], 0)</f>
        <v>0.4794306882433223</v>
      </c>
      <c r="O1584">
        <f>NHS_A_E[[#This Row],[T1_Attendances]]+NHS_A_E[[#This Row],[Other_Attendances]]</f>
        <v>11786</v>
      </c>
      <c r="P1584">
        <f>MATCH(LEFT(A1584,FIND("-",A1584)-1),{"April","May","June","July","August","September","October","November","December","January","February","March"},0)</f>
        <v>8</v>
      </c>
      <c r="Q1584" s="3">
        <f t="shared" si="48"/>
        <v>7.2138818483135116E-3</v>
      </c>
      <c r="R1584" t="str">
        <f t="shared" si="49"/>
        <v>November</v>
      </c>
    </row>
    <row r="1585" spans="1:18" x14ac:dyDescent="0.35">
      <c r="A1585" t="s">
        <v>442</v>
      </c>
      <c r="B1585" t="s">
        <v>347</v>
      </c>
      <c r="C1585" t="s">
        <v>63</v>
      </c>
      <c r="D1585" t="s">
        <v>348</v>
      </c>
      <c r="E1585">
        <v>6085</v>
      </c>
      <c r="F1585">
        <v>0</v>
      </c>
      <c r="G1585">
        <v>2480</v>
      </c>
      <c r="H1585">
        <v>0</v>
      </c>
      <c r="I1585">
        <v>499</v>
      </c>
      <c r="J1585">
        <v>223</v>
      </c>
      <c r="K1585" s="1">
        <v>45962</v>
      </c>
      <c r="L1585" t="s">
        <v>439</v>
      </c>
      <c r="M1585" t="s">
        <v>435</v>
      </c>
      <c r="N1585" s="2">
        <f>IFERROR(NHS_A_E[[#This Row],[T1_Over4hrs]]/NHS_A_E[[#This Row],[T1_Attendances]], 0)</f>
        <v>0.40755957271980281</v>
      </c>
      <c r="O1585">
        <f>NHS_A_E[[#This Row],[T1_Attendances]]+NHS_A_E[[#This Row],[Other_Attendances]]</f>
        <v>6085</v>
      </c>
      <c r="P1585">
        <f>MATCH(LEFT(A1585,FIND("-",A1585)-1),{"April","May","June","July","August","September","October","November","December","January","February","March"},0)</f>
        <v>8</v>
      </c>
      <c r="Q1585" s="3">
        <f t="shared" si="48"/>
        <v>3.6647493837304847E-2</v>
      </c>
      <c r="R1585" t="str">
        <f t="shared" si="49"/>
        <v>November</v>
      </c>
    </row>
    <row r="1586" spans="1:18" x14ac:dyDescent="0.35">
      <c r="A1586" t="s">
        <v>442</v>
      </c>
      <c r="B1586" t="s">
        <v>229</v>
      </c>
      <c r="C1586" t="s">
        <v>23</v>
      </c>
      <c r="D1586" t="s">
        <v>230</v>
      </c>
      <c r="E1586">
        <v>6395</v>
      </c>
      <c r="F1586">
        <v>1272</v>
      </c>
      <c r="G1586">
        <v>2681</v>
      </c>
      <c r="H1586">
        <v>0</v>
      </c>
      <c r="I1586">
        <v>558</v>
      </c>
      <c r="J1586">
        <v>229</v>
      </c>
      <c r="K1586" s="1">
        <v>45962</v>
      </c>
      <c r="L1586" t="s">
        <v>439</v>
      </c>
      <c r="M1586" t="s">
        <v>435</v>
      </c>
      <c r="N1586" s="2">
        <f>IFERROR(NHS_A_E[[#This Row],[T1_Over4hrs]]/NHS_A_E[[#This Row],[T1_Attendances]], 0)</f>
        <v>0.41923377638780296</v>
      </c>
      <c r="O1586">
        <f>NHS_A_E[[#This Row],[T1_Attendances]]+NHS_A_E[[#This Row],[Other_Attendances]]</f>
        <v>7667</v>
      </c>
      <c r="P1586">
        <f>MATCH(LEFT(A1586,FIND("-",A1586)-1),{"April","May","June","July","August","September","October","November","December","January","February","March"},0)</f>
        <v>8</v>
      </c>
      <c r="Q1586" s="3">
        <f t="shared" si="48"/>
        <v>3.5809225957779516E-2</v>
      </c>
      <c r="R1586" t="str">
        <f t="shared" si="49"/>
        <v>November</v>
      </c>
    </row>
    <row r="1587" spans="1:18" x14ac:dyDescent="0.35">
      <c r="A1587" t="s">
        <v>442</v>
      </c>
      <c r="B1587" t="s">
        <v>95</v>
      </c>
      <c r="C1587" t="s">
        <v>23</v>
      </c>
      <c r="D1587" t="s">
        <v>96</v>
      </c>
      <c r="E1587">
        <v>8182</v>
      </c>
      <c r="F1587">
        <v>5518</v>
      </c>
      <c r="G1587">
        <v>3670</v>
      </c>
      <c r="H1587">
        <v>102</v>
      </c>
      <c r="I1587">
        <v>859</v>
      </c>
      <c r="J1587">
        <v>0</v>
      </c>
      <c r="K1587" s="1">
        <v>45962</v>
      </c>
      <c r="L1587" t="s">
        <v>439</v>
      </c>
      <c r="M1587" t="s">
        <v>435</v>
      </c>
      <c r="N1587" s="2">
        <f>IFERROR(NHS_A_E[[#This Row],[T1_Over4hrs]]/NHS_A_E[[#This Row],[T1_Attendances]], 0)</f>
        <v>0.44854558787582499</v>
      </c>
      <c r="O1587">
        <f>NHS_A_E[[#This Row],[T1_Attendances]]+NHS_A_E[[#This Row],[Other_Attendances]]</f>
        <v>13700</v>
      </c>
      <c r="P1587">
        <f>MATCH(LEFT(A1587,FIND("-",A1587)-1),{"April","May","June","July","August","September","October","November","December","January","February","March"},0)</f>
        <v>8</v>
      </c>
      <c r="Q1587" s="3">
        <f t="shared" si="48"/>
        <v>0</v>
      </c>
      <c r="R1587" t="str">
        <f t="shared" si="49"/>
        <v>November</v>
      </c>
    </row>
    <row r="1588" spans="1:18" x14ac:dyDescent="0.35">
      <c r="A1588" t="s">
        <v>442</v>
      </c>
      <c r="B1588" t="s">
        <v>349</v>
      </c>
      <c r="C1588" t="s">
        <v>20</v>
      </c>
      <c r="D1588" t="s">
        <v>350</v>
      </c>
      <c r="E1588">
        <v>12523</v>
      </c>
      <c r="F1588">
        <v>4015</v>
      </c>
      <c r="G1588">
        <v>5374</v>
      </c>
      <c r="H1588">
        <v>2</v>
      </c>
      <c r="I1588">
        <v>875</v>
      </c>
      <c r="J1588">
        <v>207</v>
      </c>
      <c r="K1588" s="1">
        <v>45962</v>
      </c>
      <c r="L1588" t="s">
        <v>439</v>
      </c>
      <c r="M1588" t="s">
        <v>435</v>
      </c>
      <c r="N1588" s="2">
        <f>IFERROR(NHS_A_E[[#This Row],[T1_Over4hrs]]/NHS_A_E[[#This Row],[T1_Attendances]], 0)</f>
        <v>0.42913040006388248</v>
      </c>
      <c r="O1588">
        <f>NHS_A_E[[#This Row],[T1_Attendances]]+NHS_A_E[[#This Row],[Other_Attendances]]</f>
        <v>16538</v>
      </c>
      <c r="P1588">
        <f>MATCH(LEFT(A1588,FIND("-",A1588)-1),{"April","May","June","July","August","September","October","November","December","January","February","March"},0)</f>
        <v>8</v>
      </c>
      <c r="Q1588" s="3">
        <f t="shared" si="48"/>
        <v>1.652958556256488E-2</v>
      </c>
      <c r="R1588" t="str">
        <f t="shared" si="49"/>
        <v>November</v>
      </c>
    </row>
    <row r="1589" spans="1:18" x14ac:dyDescent="0.35">
      <c r="A1589" t="s">
        <v>442</v>
      </c>
      <c r="B1589" t="s">
        <v>107</v>
      </c>
      <c r="C1589" t="s">
        <v>63</v>
      </c>
      <c r="D1589" t="s">
        <v>108</v>
      </c>
      <c r="E1589">
        <v>8870</v>
      </c>
      <c r="F1589">
        <v>7250</v>
      </c>
      <c r="G1589">
        <v>4425</v>
      </c>
      <c r="H1589">
        <v>395</v>
      </c>
      <c r="I1589">
        <v>983</v>
      </c>
      <c r="J1589">
        <v>9</v>
      </c>
      <c r="K1589" s="1">
        <v>45962</v>
      </c>
      <c r="L1589" t="s">
        <v>439</v>
      </c>
      <c r="M1589" t="s">
        <v>435</v>
      </c>
      <c r="N1589" s="2">
        <f>IFERROR(NHS_A_E[[#This Row],[T1_Over4hrs]]/NHS_A_E[[#This Row],[T1_Attendances]], 0)</f>
        <v>0.49887260428410374</v>
      </c>
      <c r="O1589">
        <f>NHS_A_E[[#This Row],[T1_Attendances]]+NHS_A_E[[#This Row],[Other_Attendances]]</f>
        <v>16120</v>
      </c>
      <c r="P1589">
        <f>MATCH(LEFT(A1589,FIND("-",A1589)-1),{"April","May","June","July","August","September","October","November","December","January","February","March"},0)</f>
        <v>8</v>
      </c>
      <c r="Q1589" s="3">
        <f t="shared" si="48"/>
        <v>1.0146561443066515E-3</v>
      </c>
      <c r="R1589" t="str">
        <f t="shared" si="49"/>
        <v>November</v>
      </c>
    </row>
    <row r="1590" spans="1:18" x14ac:dyDescent="0.35">
      <c r="A1590" t="s">
        <v>442</v>
      </c>
      <c r="B1590" t="s">
        <v>401</v>
      </c>
      <c r="C1590" t="s">
        <v>35</v>
      </c>
      <c r="D1590" t="s">
        <v>402</v>
      </c>
      <c r="E1590">
        <v>13347</v>
      </c>
      <c r="F1590">
        <v>5396</v>
      </c>
      <c r="G1590">
        <v>4730</v>
      </c>
      <c r="H1590">
        <v>0</v>
      </c>
      <c r="I1590">
        <v>218</v>
      </c>
      <c r="J1590">
        <v>713</v>
      </c>
      <c r="K1590" s="1">
        <v>45962</v>
      </c>
      <c r="L1590" t="s">
        <v>439</v>
      </c>
      <c r="M1590" t="s">
        <v>435</v>
      </c>
      <c r="N1590" s="2">
        <f>IFERROR(NHS_A_E[[#This Row],[T1_Over4hrs]]/NHS_A_E[[#This Row],[T1_Attendances]], 0)</f>
        <v>0.35438675357758298</v>
      </c>
      <c r="O1590">
        <f>NHS_A_E[[#This Row],[T1_Attendances]]+NHS_A_E[[#This Row],[Other_Attendances]]</f>
        <v>18743</v>
      </c>
      <c r="P1590">
        <f>MATCH(LEFT(A1590,FIND("-",A1590)-1),{"April","May","June","July","August","September","October","November","December","January","February","March"},0)</f>
        <v>8</v>
      </c>
      <c r="Q1590" s="3">
        <f t="shared" si="48"/>
        <v>5.3420244249644117E-2</v>
      </c>
      <c r="R1590" t="str">
        <f t="shared" si="49"/>
        <v>November</v>
      </c>
    </row>
    <row r="1591" spans="1:18" x14ac:dyDescent="0.35">
      <c r="A1591" t="s">
        <v>442</v>
      </c>
      <c r="B1591" t="s">
        <v>351</v>
      </c>
      <c r="C1591" t="s">
        <v>63</v>
      </c>
      <c r="D1591" t="s">
        <v>352</v>
      </c>
      <c r="E1591">
        <v>9695</v>
      </c>
      <c r="F1591">
        <v>7118</v>
      </c>
      <c r="G1591">
        <v>5501</v>
      </c>
      <c r="H1591">
        <v>75</v>
      </c>
      <c r="I1591">
        <v>698</v>
      </c>
      <c r="J1591">
        <v>857</v>
      </c>
      <c r="K1591" s="1">
        <v>45962</v>
      </c>
      <c r="L1591" t="s">
        <v>439</v>
      </c>
      <c r="M1591" t="s">
        <v>435</v>
      </c>
      <c r="N1591" s="2">
        <f>IFERROR(NHS_A_E[[#This Row],[T1_Over4hrs]]/NHS_A_E[[#This Row],[T1_Attendances]], 0)</f>
        <v>0.56740587931923669</v>
      </c>
      <c r="O1591">
        <f>NHS_A_E[[#This Row],[T1_Attendances]]+NHS_A_E[[#This Row],[Other_Attendances]]</f>
        <v>16813</v>
      </c>
      <c r="P1591">
        <f>MATCH(LEFT(A1591,FIND("-",A1591)-1),{"April","May","June","July","August","September","October","November","December","January","February","March"},0)</f>
        <v>8</v>
      </c>
      <c r="Q1591" s="3">
        <f t="shared" si="48"/>
        <v>8.8396080453842188E-2</v>
      </c>
      <c r="R1591" t="str">
        <f t="shared" si="49"/>
        <v>November</v>
      </c>
    </row>
    <row r="1592" spans="1:18" x14ac:dyDescent="0.35">
      <c r="A1592" t="s">
        <v>442</v>
      </c>
      <c r="B1592" t="s">
        <v>413</v>
      </c>
      <c r="C1592" t="s">
        <v>20</v>
      </c>
      <c r="D1592" t="s">
        <v>414</v>
      </c>
      <c r="E1592">
        <v>8763</v>
      </c>
      <c r="F1592">
        <v>7292</v>
      </c>
      <c r="G1592">
        <v>4690</v>
      </c>
      <c r="H1592">
        <v>73</v>
      </c>
      <c r="I1592">
        <v>687</v>
      </c>
      <c r="J1592">
        <v>373</v>
      </c>
      <c r="K1592" s="1">
        <v>45962</v>
      </c>
      <c r="L1592" t="s">
        <v>439</v>
      </c>
      <c r="M1592" t="s">
        <v>435</v>
      </c>
      <c r="N1592" s="2">
        <f>IFERROR(NHS_A_E[[#This Row],[T1_Over4hrs]]/NHS_A_E[[#This Row],[T1_Attendances]], 0)</f>
        <v>0.53520483852561906</v>
      </c>
      <c r="O1592">
        <f>NHS_A_E[[#This Row],[T1_Attendances]]+NHS_A_E[[#This Row],[Other_Attendances]]</f>
        <v>16055</v>
      </c>
      <c r="P1592">
        <f>MATCH(LEFT(A1592,FIND("-",A1592)-1),{"April","May","June","July","August","September","October","November","December","January","February","March"},0)</f>
        <v>8</v>
      </c>
      <c r="Q1592" s="3">
        <f t="shared" si="48"/>
        <v>4.2565331507474609E-2</v>
      </c>
      <c r="R1592" t="str">
        <f t="shared" si="49"/>
        <v>November</v>
      </c>
    </row>
    <row r="1593" spans="1:18" x14ac:dyDescent="0.35">
      <c r="A1593" t="s">
        <v>442</v>
      </c>
      <c r="B1593" t="s">
        <v>167</v>
      </c>
      <c r="C1593" t="s">
        <v>30</v>
      </c>
      <c r="D1593" t="s">
        <v>168</v>
      </c>
      <c r="E1593">
        <v>8768</v>
      </c>
      <c r="F1593">
        <v>3788</v>
      </c>
      <c r="G1593">
        <v>4635</v>
      </c>
      <c r="H1593">
        <v>268</v>
      </c>
      <c r="I1593">
        <v>467</v>
      </c>
      <c r="J1593">
        <v>395</v>
      </c>
      <c r="K1593" s="1">
        <v>45962</v>
      </c>
      <c r="L1593" t="s">
        <v>439</v>
      </c>
      <c r="M1593" t="s">
        <v>435</v>
      </c>
      <c r="N1593" s="2">
        <f>IFERROR(NHS_A_E[[#This Row],[T1_Over4hrs]]/NHS_A_E[[#This Row],[T1_Attendances]], 0)</f>
        <v>0.52862682481751821</v>
      </c>
      <c r="O1593">
        <f>NHS_A_E[[#This Row],[T1_Attendances]]+NHS_A_E[[#This Row],[Other_Attendances]]</f>
        <v>12556</v>
      </c>
      <c r="P1593">
        <f>MATCH(LEFT(A1593,FIND("-",A1593)-1),{"April","May","June","July","August","September","October","November","December","January","February","March"},0)</f>
        <v>8</v>
      </c>
      <c r="Q1593" s="3">
        <f t="shared" si="48"/>
        <v>4.5050182481751827E-2</v>
      </c>
      <c r="R1593" t="str">
        <f t="shared" si="49"/>
        <v>November</v>
      </c>
    </row>
    <row r="1594" spans="1:18" x14ac:dyDescent="0.35">
      <c r="A1594" t="s">
        <v>442</v>
      </c>
      <c r="B1594" t="s">
        <v>147</v>
      </c>
      <c r="C1594" t="s">
        <v>40</v>
      </c>
      <c r="D1594" t="s">
        <v>148</v>
      </c>
      <c r="E1594">
        <v>0</v>
      </c>
      <c r="F1594">
        <v>2137</v>
      </c>
      <c r="G1594">
        <v>0</v>
      </c>
      <c r="H1594">
        <v>2</v>
      </c>
      <c r="I1594">
        <v>0</v>
      </c>
      <c r="J1594">
        <v>0</v>
      </c>
      <c r="K1594" s="1">
        <v>45962</v>
      </c>
      <c r="L1594" t="s">
        <v>439</v>
      </c>
      <c r="M1594" t="s">
        <v>435</v>
      </c>
      <c r="N1594" s="2">
        <f>IFERROR(NHS_A_E[[#This Row],[T1_Over4hrs]]/NHS_A_E[[#This Row],[T1_Attendances]], 0)</f>
        <v>0</v>
      </c>
      <c r="O1594">
        <f>NHS_A_E[[#This Row],[T1_Attendances]]+NHS_A_E[[#This Row],[Other_Attendances]]</f>
        <v>2137</v>
      </c>
      <c r="P1594">
        <f>MATCH(LEFT(A1594,FIND("-",A1594)-1),{"April","May","June","July","August","September","October","November","December","January","February","March"},0)</f>
        <v>8</v>
      </c>
      <c r="Q1594" s="3">
        <f t="shared" si="48"/>
        <v>0</v>
      </c>
      <c r="R1594" t="str">
        <f t="shared" si="49"/>
        <v>November</v>
      </c>
    </row>
    <row r="1595" spans="1:18" x14ac:dyDescent="0.35">
      <c r="A1595" t="s">
        <v>442</v>
      </c>
      <c r="B1595" t="s">
        <v>155</v>
      </c>
      <c r="C1595" t="s">
        <v>15</v>
      </c>
      <c r="D1595" t="s">
        <v>156</v>
      </c>
      <c r="E1595">
        <v>11173</v>
      </c>
      <c r="F1595">
        <v>2674</v>
      </c>
      <c r="G1595">
        <v>3497</v>
      </c>
      <c r="H1595">
        <v>0</v>
      </c>
      <c r="I1595">
        <v>494</v>
      </c>
      <c r="J1595">
        <v>7</v>
      </c>
      <c r="K1595" s="1">
        <v>45962</v>
      </c>
      <c r="L1595" t="s">
        <v>439</v>
      </c>
      <c r="M1595" t="s">
        <v>435</v>
      </c>
      <c r="N1595" s="2">
        <f>IFERROR(NHS_A_E[[#This Row],[T1_Over4hrs]]/NHS_A_E[[#This Row],[T1_Attendances]], 0)</f>
        <v>0.31298666427996064</v>
      </c>
      <c r="O1595">
        <f>NHS_A_E[[#This Row],[T1_Attendances]]+NHS_A_E[[#This Row],[Other_Attendances]]</f>
        <v>13847</v>
      </c>
      <c r="P1595">
        <f>MATCH(LEFT(A1595,FIND("-",A1595)-1),{"April","May","June","July","August","September","October","November","December","January","February","March"},0)</f>
        <v>8</v>
      </c>
      <c r="Q1595" s="3">
        <f t="shared" si="48"/>
        <v>6.2651033742056744E-4</v>
      </c>
      <c r="R1595" t="str">
        <f t="shared" si="49"/>
        <v>November</v>
      </c>
    </row>
    <row r="1596" spans="1:18" x14ac:dyDescent="0.35">
      <c r="A1596" t="s">
        <v>442</v>
      </c>
      <c r="B1596" t="s">
        <v>105</v>
      </c>
      <c r="C1596" t="s">
        <v>15</v>
      </c>
      <c r="D1596" t="s">
        <v>106</v>
      </c>
      <c r="E1596">
        <v>12376</v>
      </c>
      <c r="F1596">
        <v>0</v>
      </c>
      <c r="G1596">
        <v>4907</v>
      </c>
      <c r="H1596">
        <v>0</v>
      </c>
      <c r="I1596">
        <v>548</v>
      </c>
      <c r="J1596">
        <v>12</v>
      </c>
      <c r="K1596" s="1">
        <v>45962</v>
      </c>
      <c r="L1596" t="s">
        <v>439</v>
      </c>
      <c r="M1596" t="s">
        <v>435</v>
      </c>
      <c r="N1596" s="2">
        <f>IFERROR(NHS_A_E[[#This Row],[T1_Over4hrs]]/NHS_A_E[[#This Row],[T1_Attendances]], 0)</f>
        <v>0.39649321266968324</v>
      </c>
      <c r="O1596">
        <f>NHS_A_E[[#This Row],[T1_Attendances]]+NHS_A_E[[#This Row],[Other_Attendances]]</f>
        <v>12376</v>
      </c>
      <c r="P1596">
        <f>MATCH(LEFT(A1596,FIND("-",A1596)-1),{"April","May","June","July","August","September","October","November","December","January","February","March"},0)</f>
        <v>8</v>
      </c>
      <c r="Q1596" s="3">
        <f t="shared" si="48"/>
        <v>9.6961861667744023E-4</v>
      </c>
      <c r="R1596" t="str">
        <f t="shared" si="49"/>
        <v>November</v>
      </c>
    </row>
    <row r="1597" spans="1:18" x14ac:dyDescent="0.35">
      <c r="A1597" t="s">
        <v>443</v>
      </c>
      <c r="B1597" t="s">
        <v>185</v>
      </c>
      <c r="C1597" t="s">
        <v>23</v>
      </c>
      <c r="D1597" t="s">
        <v>437</v>
      </c>
      <c r="E1597">
        <v>9346</v>
      </c>
      <c r="F1597">
        <v>8313</v>
      </c>
      <c r="G1597">
        <v>4818</v>
      </c>
      <c r="H1597">
        <v>107</v>
      </c>
      <c r="I1597">
        <v>527</v>
      </c>
      <c r="J1597">
        <v>225</v>
      </c>
      <c r="K1597" s="1">
        <v>45992</v>
      </c>
      <c r="L1597" t="s">
        <v>439</v>
      </c>
      <c r="M1597" t="s">
        <v>444</v>
      </c>
      <c r="N1597" s="2">
        <f>IFERROR(NHS_A_E[[#This Row],[T1_Over4hrs]]/NHS_A_E[[#This Row],[T1_Attendances]], 0)</f>
        <v>0.51551465867750912</v>
      </c>
      <c r="O1597">
        <f>NHS_A_E[[#This Row],[T1_Attendances]]+NHS_A_E[[#This Row],[Other_Attendances]]</f>
        <v>17659</v>
      </c>
      <c r="P1597">
        <f>MATCH(LEFT(A1597,FIND("-",A1597)-1),{"April","May","June","July","August","September","October","November","December","January","February","March"},0)</f>
        <v>9</v>
      </c>
      <c r="Q1597" s="3">
        <f t="shared" si="48"/>
        <v>2.4074470361652042E-2</v>
      </c>
      <c r="R1597" t="str">
        <f t="shared" si="49"/>
        <v>December</v>
      </c>
    </row>
    <row r="1598" spans="1:18" x14ac:dyDescent="0.35">
      <c r="A1598" t="s">
        <v>443</v>
      </c>
      <c r="B1598" t="s">
        <v>187</v>
      </c>
      <c r="C1598" t="s">
        <v>30</v>
      </c>
      <c r="D1598" t="s">
        <v>188</v>
      </c>
      <c r="E1598">
        <v>8034</v>
      </c>
      <c r="F1598">
        <v>1084</v>
      </c>
      <c r="G1598">
        <v>3226</v>
      </c>
      <c r="H1598">
        <v>34</v>
      </c>
      <c r="I1598">
        <v>596</v>
      </c>
      <c r="J1598">
        <v>438</v>
      </c>
      <c r="K1598" s="1">
        <v>45992</v>
      </c>
      <c r="L1598" t="s">
        <v>439</v>
      </c>
      <c r="M1598" t="s">
        <v>444</v>
      </c>
      <c r="N1598" s="2">
        <f>IFERROR(NHS_A_E[[#This Row],[T1_Over4hrs]]/NHS_A_E[[#This Row],[T1_Attendances]], 0)</f>
        <v>0.40154344037839185</v>
      </c>
      <c r="O1598">
        <f>NHS_A_E[[#This Row],[T1_Attendances]]+NHS_A_E[[#This Row],[Other_Attendances]]</f>
        <v>9118</v>
      </c>
      <c r="P1598">
        <f>MATCH(LEFT(A1598,FIND("-",A1598)-1),{"April","May","June","July","August","September","October","November","December","January","February","March"},0)</f>
        <v>9</v>
      </c>
      <c r="Q1598" s="3">
        <f t="shared" si="48"/>
        <v>5.451829723674384E-2</v>
      </c>
      <c r="R1598" t="str">
        <f t="shared" si="49"/>
        <v>December</v>
      </c>
    </row>
    <row r="1599" spans="1:18" x14ac:dyDescent="0.35">
      <c r="A1599" t="s">
        <v>443</v>
      </c>
      <c r="B1599" t="s">
        <v>373</v>
      </c>
      <c r="C1599" t="s">
        <v>40</v>
      </c>
      <c r="D1599" t="s">
        <v>374</v>
      </c>
      <c r="E1599">
        <v>12838</v>
      </c>
      <c r="F1599">
        <v>8866</v>
      </c>
      <c r="G1599">
        <v>7926</v>
      </c>
      <c r="H1599">
        <v>1309</v>
      </c>
      <c r="I1599">
        <v>196</v>
      </c>
      <c r="J1599">
        <v>578</v>
      </c>
      <c r="K1599" s="1">
        <v>45992</v>
      </c>
      <c r="L1599" t="s">
        <v>439</v>
      </c>
      <c r="M1599" t="s">
        <v>444</v>
      </c>
      <c r="N1599" s="2">
        <f>IFERROR(NHS_A_E[[#This Row],[T1_Over4hrs]]/NHS_A_E[[#This Row],[T1_Attendances]], 0)</f>
        <v>0.61738588565197072</v>
      </c>
      <c r="O1599">
        <f>NHS_A_E[[#This Row],[T1_Attendances]]+NHS_A_E[[#This Row],[Other_Attendances]]</f>
        <v>21704</v>
      </c>
      <c r="P1599">
        <f>MATCH(LEFT(A1599,FIND("-",A1599)-1),{"April","May","June","July","August","September","October","November","December","January","February","March"},0)</f>
        <v>9</v>
      </c>
      <c r="Q1599" s="3">
        <f t="shared" si="48"/>
        <v>4.5022589188347097E-2</v>
      </c>
      <c r="R1599" t="str">
        <f t="shared" si="49"/>
        <v>December</v>
      </c>
    </row>
    <row r="1600" spans="1:18" x14ac:dyDescent="0.35">
      <c r="A1600" t="s">
        <v>443</v>
      </c>
      <c r="B1600" t="s">
        <v>237</v>
      </c>
      <c r="C1600" t="s">
        <v>30</v>
      </c>
      <c r="D1600" t="s">
        <v>238</v>
      </c>
      <c r="E1600">
        <v>13823</v>
      </c>
      <c r="F1600">
        <v>10496</v>
      </c>
      <c r="G1600">
        <v>4863</v>
      </c>
      <c r="H1600">
        <v>524</v>
      </c>
      <c r="I1600">
        <v>412</v>
      </c>
      <c r="J1600">
        <v>1139</v>
      </c>
      <c r="K1600" s="1">
        <v>45992</v>
      </c>
      <c r="L1600" t="s">
        <v>439</v>
      </c>
      <c r="M1600" t="s">
        <v>444</v>
      </c>
      <c r="N1600" s="2">
        <f>IFERROR(NHS_A_E[[#This Row],[T1_Over4hrs]]/NHS_A_E[[#This Row],[T1_Attendances]], 0)</f>
        <v>0.35180496274325401</v>
      </c>
      <c r="O1600">
        <f>NHS_A_E[[#This Row],[T1_Attendances]]+NHS_A_E[[#This Row],[Other_Attendances]]</f>
        <v>24319</v>
      </c>
      <c r="P1600">
        <f>MATCH(LEFT(A1600,FIND("-",A1600)-1),{"April","May","June","July","August","September","October","November","December","January","February","March"},0)</f>
        <v>9</v>
      </c>
      <c r="Q1600" s="3">
        <f t="shared" si="48"/>
        <v>8.2398900383418933E-2</v>
      </c>
      <c r="R1600" t="str">
        <f t="shared" si="49"/>
        <v>December</v>
      </c>
    </row>
    <row r="1601" spans="1:18" x14ac:dyDescent="0.35">
      <c r="A1601" t="s">
        <v>443</v>
      </c>
      <c r="B1601" t="s">
        <v>203</v>
      </c>
      <c r="C1601" t="s">
        <v>40</v>
      </c>
      <c r="D1601" t="s">
        <v>204</v>
      </c>
      <c r="E1601">
        <v>0</v>
      </c>
      <c r="F1601">
        <v>0</v>
      </c>
      <c r="G1601">
        <v>0</v>
      </c>
      <c r="H1601">
        <v>0</v>
      </c>
      <c r="I1601">
        <v>0</v>
      </c>
      <c r="J1601">
        <v>0</v>
      </c>
      <c r="K1601" s="1">
        <v>45992</v>
      </c>
      <c r="L1601" t="s">
        <v>439</v>
      </c>
      <c r="M1601" t="s">
        <v>444</v>
      </c>
      <c r="N1601" s="2">
        <f>IFERROR(NHS_A_E[[#This Row],[T1_Over4hrs]]/NHS_A_E[[#This Row],[T1_Attendances]], 0)</f>
        <v>0</v>
      </c>
      <c r="O1601">
        <f>NHS_A_E[[#This Row],[T1_Attendances]]+NHS_A_E[[#This Row],[Other_Attendances]]</f>
        <v>0</v>
      </c>
      <c r="P1601">
        <f>MATCH(LEFT(A1601,FIND("-",A1601)-1),{"April","May","June","July","August","September","October","November","December","January","February","March"},0)</f>
        <v>9</v>
      </c>
      <c r="Q1601" s="3">
        <f t="shared" si="48"/>
        <v>0</v>
      </c>
      <c r="R1601" t="str">
        <f t="shared" si="49"/>
        <v>December</v>
      </c>
    </row>
    <row r="1602" spans="1:18" x14ac:dyDescent="0.35">
      <c r="A1602" t="s">
        <v>443</v>
      </c>
      <c r="B1602" t="s">
        <v>205</v>
      </c>
      <c r="C1602" t="s">
        <v>35</v>
      </c>
      <c r="D1602" t="s">
        <v>206</v>
      </c>
      <c r="E1602">
        <v>12169</v>
      </c>
      <c r="F1602">
        <v>6681</v>
      </c>
      <c r="G1602">
        <v>5058</v>
      </c>
      <c r="H1602">
        <v>302</v>
      </c>
      <c r="I1602">
        <v>621</v>
      </c>
      <c r="J1602">
        <v>0</v>
      </c>
      <c r="K1602" s="1">
        <v>45992</v>
      </c>
      <c r="L1602" t="s">
        <v>439</v>
      </c>
      <c r="M1602" t="s">
        <v>444</v>
      </c>
      <c r="N1602" s="2">
        <f>IFERROR(NHS_A_E[[#This Row],[T1_Over4hrs]]/NHS_A_E[[#This Row],[T1_Attendances]], 0)</f>
        <v>0.41564631440545646</v>
      </c>
      <c r="O1602">
        <f>NHS_A_E[[#This Row],[T1_Attendances]]+NHS_A_E[[#This Row],[Other_Attendances]]</f>
        <v>18850</v>
      </c>
      <c r="P1602">
        <f>MATCH(LEFT(A1602,FIND("-",A1602)-1),{"April","May","June","July","August","September","October","November","December","January","February","March"},0)</f>
        <v>9</v>
      </c>
      <c r="Q1602" s="3">
        <f t="shared" ref="Q1602:Q1665" si="50">IFERROR(J1602/E1602,0)</f>
        <v>0</v>
      </c>
      <c r="R1602" t="str">
        <f t="shared" ref="R1602:R1665" si="51">TEXT(A1602, "mmmm")</f>
        <v>December</v>
      </c>
    </row>
    <row r="1603" spans="1:18" x14ac:dyDescent="0.35">
      <c r="A1603" t="s">
        <v>443</v>
      </c>
      <c r="B1603" t="s">
        <v>259</v>
      </c>
      <c r="C1603" t="s">
        <v>40</v>
      </c>
      <c r="D1603" t="s">
        <v>260</v>
      </c>
      <c r="E1603">
        <v>0</v>
      </c>
      <c r="F1603">
        <v>0</v>
      </c>
      <c r="G1603">
        <v>0</v>
      </c>
      <c r="H1603">
        <v>0</v>
      </c>
      <c r="I1603">
        <v>0</v>
      </c>
      <c r="J1603">
        <v>0</v>
      </c>
      <c r="K1603" s="1">
        <v>45992</v>
      </c>
      <c r="L1603" t="s">
        <v>439</v>
      </c>
      <c r="M1603" t="s">
        <v>444</v>
      </c>
      <c r="N1603" s="2">
        <f>IFERROR(NHS_A_E[[#This Row],[T1_Over4hrs]]/NHS_A_E[[#This Row],[T1_Attendances]], 0)</f>
        <v>0</v>
      </c>
      <c r="O1603">
        <f>NHS_A_E[[#This Row],[T1_Attendances]]+NHS_A_E[[#This Row],[Other_Attendances]]</f>
        <v>0</v>
      </c>
      <c r="P1603">
        <f>MATCH(LEFT(A1603,FIND("-",A1603)-1),{"April","May","June","July","August","September","October","November","December","January","February","March"},0)</f>
        <v>9</v>
      </c>
      <c r="Q1603" s="3">
        <f t="shared" si="50"/>
        <v>0</v>
      </c>
      <c r="R1603" t="str">
        <f t="shared" si="51"/>
        <v>December</v>
      </c>
    </row>
    <row r="1604" spans="1:18" x14ac:dyDescent="0.35">
      <c r="A1604" t="s">
        <v>443</v>
      </c>
      <c r="B1604" t="s">
        <v>163</v>
      </c>
      <c r="C1604" t="s">
        <v>35</v>
      </c>
      <c r="D1604" t="s">
        <v>164</v>
      </c>
      <c r="E1604">
        <v>0</v>
      </c>
      <c r="F1604">
        <v>3330</v>
      </c>
      <c r="G1604">
        <v>0</v>
      </c>
      <c r="H1604">
        <v>31</v>
      </c>
      <c r="I1604">
        <v>0</v>
      </c>
      <c r="J1604">
        <v>0</v>
      </c>
      <c r="K1604" s="1">
        <v>45992</v>
      </c>
      <c r="L1604" t="s">
        <v>439</v>
      </c>
      <c r="M1604" t="s">
        <v>444</v>
      </c>
      <c r="N1604" s="2">
        <f>IFERROR(NHS_A_E[[#This Row],[T1_Over4hrs]]/NHS_A_E[[#This Row],[T1_Attendances]], 0)</f>
        <v>0</v>
      </c>
      <c r="O1604">
        <f>NHS_A_E[[#This Row],[T1_Attendances]]+NHS_A_E[[#This Row],[Other_Attendances]]</f>
        <v>3330</v>
      </c>
      <c r="P1604">
        <f>MATCH(LEFT(A1604,FIND("-",A1604)-1),{"April","May","June","July","August","September","October","November","December","January","February","March"},0)</f>
        <v>9</v>
      </c>
      <c r="Q1604" s="3">
        <f t="shared" si="50"/>
        <v>0</v>
      </c>
      <c r="R1604" t="str">
        <f t="shared" si="51"/>
        <v>December</v>
      </c>
    </row>
    <row r="1605" spans="1:18" x14ac:dyDescent="0.35">
      <c r="A1605" t="s">
        <v>443</v>
      </c>
      <c r="B1605" t="s">
        <v>420</v>
      </c>
      <c r="C1605" t="s">
        <v>15</v>
      </c>
      <c r="D1605" t="s">
        <v>421</v>
      </c>
      <c r="E1605">
        <v>0</v>
      </c>
      <c r="F1605">
        <v>3186</v>
      </c>
      <c r="G1605">
        <v>0</v>
      </c>
      <c r="H1605">
        <v>0</v>
      </c>
      <c r="I1605">
        <v>0</v>
      </c>
      <c r="J1605">
        <v>0</v>
      </c>
      <c r="K1605" s="1">
        <v>45992</v>
      </c>
      <c r="L1605" t="s">
        <v>439</v>
      </c>
      <c r="M1605" t="s">
        <v>444</v>
      </c>
      <c r="N1605" s="2">
        <f>IFERROR(NHS_A_E[[#This Row],[T1_Over4hrs]]/NHS_A_E[[#This Row],[T1_Attendances]], 0)</f>
        <v>0</v>
      </c>
      <c r="O1605">
        <f>NHS_A_E[[#This Row],[T1_Attendances]]+NHS_A_E[[#This Row],[Other_Attendances]]</f>
        <v>3186</v>
      </c>
      <c r="P1605">
        <f>MATCH(LEFT(A1605,FIND("-",A1605)-1),{"April","May","June","July","August","September","October","November","December","January","February","March"},0)</f>
        <v>9</v>
      </c>
      <c r="Q1605" s="3">
        <f t="shared" si="50"/>
        <v>0</v>
      </c>
      <c r="R1605" t="str">
        <f t="shared" si="51"/>
        <v>December</v>
      </c>
    </row>
    <row r="1606" spans="1:18" x14ac:dyDescent="0.35">
      <c r="A1606" t="s">
        <v>443</v>
      </c>
      <c r="B1606" t="s">
        <v>135</v>
      </c>
      <c r="C1606" t="s">
        <v>40</v>
      </c>
      <c r="D1606" t="s">
        <v>136</v>
      </c>
      <c r="E1606">
        <v>0</v>
      </c>
      <c r="F1606">
        <v>5189</v>
      </c>
      <c r="G1606">
        <v>0</v>
      </c>
      <c r="H1606">
        <v>23</v>
      </c>
      <c r="I1606">
        <v>0</v>
      </c>
      <c r="J1606">
        <v>0</v>
      </c>
      <c r="K1606" s="1">
        <v>45992</v>
      </c>
      <c r="L1606" t="s">
        <v>439</v>
      </c>
      <c r="M1606" t="s">
        <v>444</v>
      </c>
      <c r="N1606" s="2">
        <f>IFERROR(NHS_A_E[[#This Row],[T1_Over4hrs]]/NHS_A_E[[#This Row],[T1_Attendances]], 0)</f>
        <v>0</v>
      </c>
      <c r="O1606">
        <f>NHS_A_E[[#This Row],[T1_Attendances]]+NHS_A_E[[#This Row],[Other_Attendances]]</f>
        <v>5189</v>
      </c>
      <c r="P1606">
        <f>MATCH(LEFT(A1606,FIND("-",A1606)-1),{"April","May","June","July","August","September","October","November","December","January","February","March"},0)</f>
        <v>9</v>
      </c>
      <c r="Q1606" s="3">
        <f t="shared" si="50"/>
        <v>0</v>
      </c>
      <c r="R1606" t="str">
        <f t="shared" si="51"/>
        <v>December</v>
      </c>
    </row>
    <row r="1607" spans="1:18" x14ac:dyDescent="0.35">
      <c r="A1607" t="s">
        <v>443</v>
      </c>
      <c r="B1607" t="s">
        <v>137</v>
      </c>
      <c r="C1607" t="s">
        <v>40</v>
      </c>
      <c r="D1607" t="s">
        <v>138</v>
      </c>
      <c r="E1607">
        <v>0</v>
      </c>
      <c r="F1607">
        <v>217</v>
      </c>
      <c r="G1607">
        <v>0</v>
      </c>
      <c r="H1607">
        <v>0</v>
      </c>
      <c r="I1607">
        <v>0</v>
      </c>
      <c r="J1607">
        <v>0</v>
      </c>
      <c r="K1607" s="1">
        <v>45992</v>
      </c>
      <c r="L1607" t="s">
        <v>439</v>
      </c>
      <c r="M1607" t="s">
        <v>444</v>
      </c>
      <c r="N1607" s="2">
        <f>IFERROR(NHS_A_E[[#This Row],[T1_Over4hrs]]/NHS_A_E[[#This Row],[T1_Attendances]], 0)</f>
        <v>0</v>
      </c>
      <c r="O1607">
        <f>NHS_A_E[[#This Row],[T1_Attendances]]+NHS_A_E[[#This Row],[Other_Attendances]]</f>
        <v>217</v>
      </c>
      <c r="P1607">
        <f>MATCH(LEFT(A1607,FIND("-",A1607)-1),{"April","May","June","July","August","September","October","November","December","January","February","March"},0)</f>
        <v>9</v>
      </c>
      <c r="Q1607" s="3">
        <f t="shared" si="50"/>
        <v>0</v>
      </c>
      <c r="R1607" t="str">
        <f t="shared" si="51"/>
        <v>December</v>
      </c>
    </row>
    <row r="1608" spans="1:18" x14ac:dyDescent="0.35">
      <c r="A1608" t="s">
        <v>443</v>
      </c>
      <c r="B1608" t="s">
        <v>139</v>
      </c>
      <c r="C1608" t="s">
        <v>40</v>
      </c>
      <c r="D1608" t="s">
        <v>140</v>
      </c>
      <c r="E1608">
        <v>0</v>
      </c>
      <c r="F1608">
        <v>97</v>
      </c>
      <c r="G1608">
        <v>0</v>
      </c>
      <c r="H1608">
        <v>0</v>
      </c>
      <c r="I1608">
        <v>0</v>
      </c>
      <c r="J1608">
        <v>0</v>
      </c>
      <c r="K1608" s="1">
        <v>45992</v>
      </c>
      <c r="L1608" t="s">
        <v>439</v>
      </c>
      <c r="M1608" t="s">
        <v>444</v>
      </c>
      <c r="N1608" s="2">
        <f>IFERROR(NHS_A_E[[#This Row],[T1_Over4hrs]]/NHS_A_E[[#This Row],[T1_Attendances]], 0)</f>
        <v>0</v>
      </c>
      <c r="O1608">
        <f>NHS_A_E[[#This Row],[T1_Attendances]]+NHS_A_E[[#This Row],[Other_Attendances]]</f>
        <v>97</v>
      </c>
      <c r="P1608">
        <f>MATCH(LEFT(A1608,FIND("-",A1608)-1),{"April","May","June","July","August","September","October","November","December","January","February","March"},0)</f>
        <v>9</v>
      </c>
      <c r="Q1608" s="3">
        <f t="shared" si="50"/>
        <v>0</v>
      </c>
      <c r="R1608" t="str">
        <f t="shared" si="51"/>
        <v>December</v>
      </c>
    </row>
    <row r="1609" spans="1:18" x14ac:dyDescent="0.35">
      <c r="A1609" t="s">
        <v>443</v>
      </c>
      <c r="B1609" t="s">
        <v>141</v>
      </c>
      <c r="C1609" t="s">
        <v>40</v>
      </c>
      <c r="D1609" t="s">
        <v>142</v>
      </c>
      <c r="E1609">
        <v>0</v>
      </c>
      <c r="F1609">
        <v>55</v>
      </c>
      <c r="G1609">
        <v>0</v>
      </c>
      <c r="H1609">
        <v>0</v>
      </c>
      <c r="I1609">
        <v>0</v>
      </c>
      <c r="J1609">
        <v>0</v>
      </c>
      <c r="K1609" s="1">
        <v>45992</v>
      </c>
      <c r="L1609" t="s">
        <v>439</v>
      </c>
      <c r="M1609" t="s">
        <v>444</v>
      </c>
      <c r="N1609" s="2">
        <f>IFERROR(NHS_A_E[[#This Row],[T1_Over4hrs]]/NHS_A_E[[#This Row],[T1_Attendances]], 0)</f>
        <v>0</v>
      </c>
      <c r="O1609">
        <f>NHS_A_E[[#This Row],[T1_Attendances]]+NHS_A_E[[#This Row],[Other_Attendances]]</f>
        <v>55</v>
      </c>
      <c r="P1609">
        <f>MATCH(LEFT(A1609,FIND("-",A1609)-1),{"April","May","June","July","August","September","October","November","December","January","February","March"},0)</f>
        <v>9</v>
      </c>
      <c r="Q1609" s="3">
        <f t="shared" si="50"/>
        <v>0</v>
      </c>
      <c r="R1609" t="str">
        <f t="shared" si="51"/>
        <v>December</v>
      </c>
    </row>
    <row r="1610" spans="1:18" x14ac:dyDescent="0.35">
      <c r="A1610" t="s">
        <v>443</v>
      </c>
      <c r="B1610" t="s">
        <v>143</v>
      </c>
      <c r="C1610" t="s">
        <v>40</v>
      </c>
      <c r="D1610" t="s">
        <v>144</v>
      </c>
      <c r="E1610">
        <v>0</v>
      </c>
      <c r="F1610">
        <v>546</v>
      </c>
      <c r="G1610">
        <v>0</v>
      </c>
      <c r="H1610">
        <v>1</v>
      </c>
      <c r="I1610">
        <v>0</v>
      </c>
      <c r="J1610">
        <v>0</v>
      </c>
      <c r="K1610" s="1">
        <v>45992</v>
      </c>
      <c r="L1610" t="s">
        <v>439</v>
      </c>
      <c r="M1610" t="s">
        <v>444</v>
      </c>
      <c r="N1610" s="2">
        <f>IFERROR(NHS_A_E[[#This Row],[T1_Over4hrs]]/NHS_A_E[[#This Row],[T1_Attendances]], 0)</f>
        <v>0</v>
      </c>
      <c r="O1610">
        <f>NHS_A_E[[#This Row],[T1_Attendances]]+NHS_A_E[[#This Row],[Other_Attendances]]</f>
        <v>546</v>
      </c>
      <c r="P1610">
        <f>MATCH(LEFT(A1610,FIND("-",A1610)-1),{"April","May","June","July","August","September","October","November","December","January","February","March"},0)</f>
        <v>9</v>
      </c>
      <c r="Q1610" s="3">
        <f t="shared" si="50"/>
        <v>0</v>
      </c>
      <c r="R1610" t="str">
        <f t="shared" si="51"/>
        <v>December</v>
      </c>
    </row>
    <row r="1611" spans="1:18" x14ac:dyDescent="0.35">
      <c r="A1611" t="s">
        <v>443</v>
      </c>
      <c r="B1611" t="s">
        <v>145</v>
      </c>
      <c r="C1611" t="s">
        <v>40</v>
      </c>
      <c r="D1611" t="s">
        <v>146</v>
      </c>
      <c r="E1611">
        <v>0</v>
      </c>
      <c r="F1611">
        <v>55</v>
      </c>
      <c r="G1611">
        <v>0</v>
      </c>
      <c r="H1611">
        <v>0</v>
      </c>
      <c r="I1611">
        <v>0</v>
      </c>
      <c r="J1611">
        <v>0</v>
      </c>
      <c r="K1611" s="1">
        <v>45992</v>
      </c>
      <c r="L1611" t="s">
        <v>439</v>
      </c>
      <c r="M1611" t="s">
        <v>444</v>
      </c>
      <c r="N1611" s="2">
        <f>IFERROR(NHS_A_E[[#This Row],[T1_Over4hrs]]/NHS_A_E[[#This Row],[T1_Attendances]], 0)</f>
        <v>0</v>
      </c>
      <c r="O1611">
        <f>NHS_A_E[[#This Row],[T1_Attendances]]+NHS_A_E[[#This Row],[Other_Attendances]]</f>
        <v>55</v>
      </c>
      <c r="P1611">
        <f>MATCH(LEFT(A1611,FIND("-",A1611)-1),{"April","May","June","July","August","September","October","November","December","January","February","March"},0)</f>
        <v>9</v>
      </c>
      <c r="Q1611" s="3">
        <f t="shared" si="50"/>
        <v>0</v>
      </c>
      <c r="R1611" t="str">
        <f t="shared" si="51"/>
        <v>December</v>
      </c>
    </row>
    <row r="1612" spans="1:18" x14ac:dyDescent="0.35">
      <c r="A1612" t="s">
        <v>443</v>
      </c>
      <c r="B1612" t="s">
        <v>73</v>
      </c>
      <c r="C1612" t="s">
        <v>15</v>
      </c>
      <c r="D1612" t="s">
        <v>74</v>
      </c>
      <c r="E1612">
        <v>4274</v>
      </c>
      <c r="F1612">
        <v>1461</v>
      </c>
      <c r="G1612">
        <v>1637</v>
      </c>
      <c r="H1612">
        <v>113</v>
      </c>
      <c r="I1612">
        <v>296</v>
      </c>
      <c r="J1612">
        <v>162</v>
      </c>
      <c r="K1612" s="1">
        <v>45992</v>
      </c>
      <c r="L1612" t="s">
        <v>439</v>
      </c>
      <c r="M1612" t="s">
        <v>444</v>
      </c>
      <c r="N1612" s="2">
        <f>IFERROR(NHS_A_E[[#This Row],[T1_Over4hrs]]/NHS_A_E[[#This Row],[T1_Attendances]], 0)</f>
        <v>0.38301357042583062</v>
      </c>
      <c r="O1612">
        <f>NHS_A_E[[#This Row],[T1_Attendances]]+NHS_A_E[[#This Row],[Other_Attendances]]</f>
        <v>5735</v>
      </c>
      <c r="P1612">
        <f>MATCH(LEFT(A1612,FIND("-",A1612)-1),{"April","May","June","July","August","September","October","November","December","January","February","March"},0)</f>
        <v>9</v>
      </c>
      <c r="Q1612" s="3">
        <f t="shared" si="50"/>
        <v>3.7903603182030884E-2</v>
      </c>
      <c r="R1612" t="str">
        <f t="shared" si="51"/>
        <v>December</v>
      </c>
    </row>
    <row r="1613" spans="1:18" x14ac:dyDescent="0.35">
      <c r="A1613" t="s">
        <v>443</v>
      </c>
      <c r="B1613" t="s">
        <v>87</v>
      </c>
      <c r="C1613" t="s">
        <v>23</v>
      </c>
      <c r="D1613" t="s">
        <v>88</v>
      </c>
      <c r="E1613">
        <v>27713</v>
      </c>
      <c r="F1613">
        <v>7575</v>
      </c>
      <c r="G1613">
        <v>10824</v>
      </c>
      <c r="H1613">
        <v>190</v>
      </c>
      <c r="I1613">
        <v>2261</v>
      </c>
      <c r="J1613">
        <v>869</v>
      </c>
      <c r="K1613" s="1">
        <v>45992</v>
      </c>
      <c r="L1613" t="s">
        <v>439</v>
      </c>
      <c r="M1613" t="s">
        <v>444</v>
      </c>
      <c r="N1613" s="2">
        <f>IFERROR(NHS_A_E[[#This Row],[T1_Over4hrs]]/NHS_A_E[[#This Row],[T1_Attendances]], 0)</f>
        <v>0.39057482048136255</v>
      </c>
      <c r="O1613">
        <f>NHS_A_E[[#This Row],[T1_Attendances]]+NHS_A_E[[#This Row],[Other_Attendances]]</f>
        <v>35288</v>
      </c>
      <c r="P1613">
        <f>MATCH(LEFT(A1613,FIND("-",A1613)-1),{"April","May","June","July","August","September","October","November","December","January","February","March"},0)</f>
        <v>9</v>
      </c>
      <c r="Q1613" s="3">
        <f t="shared" si="50"/>
        <v>3.1357124815068742E-2</v>
      </c>
      <c r="R1613" t="str">
        <f t="shared" si="51"/>
        <v>December</v>
      </c>
    </row>
    <row r="1614" spans="1:18" x14ac:dyDescent="0.35">
      <c r="A1614" t="s">
        <v>443</v>
      </c>
      <c r="B1614" t="s">
        <v>67</v>
      </c>
      <c r="C1614" t="s">
        <v>30</v>
      </c>
      <c r="D1614" t="s">
        <v>68</v>
      </c>
      <c r="E1614">
        <v>0</v>
      </c>
      <c r="F1614">
        <v>0</v>
      </c>
      <c r="G1614">
        <v>0</v>
      </c>
      <c r="H1614">
        <v>0</v>
      </c>
      <c r="I1614">
        <v>0</v>
      </c>
      <c r="J1614">
        <v>0</v>
      </c>
      <c r="K1614" s="1">
        <v>45992</v>
      </c>
      <c r="L1614" t="s">
        <v>439</v>
      </c>
      <c r="M1614" t="s">
        <v>444</v>
      </c>
      <c r="N1614" s="2">
        <f>IFERROR(NHS_A_E[[#This Row],[T1_Over4hrs]]/NHS_A_E[[#This Row],[T1_Attendances]], 0)</f>
        <v>0</v>
      </c>
      <c r="O1614">
        <f>NHS_A_E[[#This Row],[T1_Attendances]]+NHS_A_E[[#This Row],[Other_Attendances]]</f>
        <v>0</v>
      </c>
      <c r="P1614">
        <f>MATCH(LEFT(A1614,FIND("-",A1614)-1),{"April","May","June","July","August","September","October","November","December","January","February","March"},0)</f>
        <v>9</v>
      </c>
      <c r="Q1614" s="3">
        <f t="shared" si="50"/>
        <v>0</v>
      </c>
      <c r="R1614" t="str">
        <f t="shared" si="51"/>
        <v>December</v>
      </c>
    </row>
    <row r="1615" spans="1:18" x14ac:dyDescent="0.35">
      <c r="A1615" t="s">
        <v>443</v>
      </c>
      <c r="B1615" t="s">
        <v>291</v>
      </c>
      <c r="C1615" t="s">
        <v>63</v>
      </c>
      <c r="D1615" t="s">
        <v>292</v>
      </c>
      <c r="E1615">
        <v>5262</v>
      </c>
      <c r="F1615">
        <v>1353</v>
      </c>
      <c r="G1615">
        <v>1825</v>
      </c>
      <c r="H1615">
        <v>0</v>
      </c>
      <c r="I1615">
        <v>159</v>
      </c>
      <c r="J1615">
        <v>6</v>
      </c>
      <c r="K1615" s="1">
        <v>45992</v>
      </c>
      <c r="L1615" t="s">
        <v>439</v>
      </c>
      <c r="M1615" t="s">
        <v>444</v>
      </c>
      <c r="N1615" s="2">
        <f>IFERROR(NHS_A_E[[#This Row],[T1_Over4hrs]]/NHS_A_E[[#This Row],[T1_Attendances]], 0)</f>
        <v>0.34682630178639301</v>
      </c>
      <c r="O1615">
        <f>NHS_A_E[[#This Row],[T1_Attendances]]+NHS_A_E[[#This Row],[Other_Attendances]]</f>
        <v>6615</v>
      </c>
      <c r="P1615">
        <f>MATCH(LEFT(A1615,FIND("-",A1615)-1),{"April","May","June","July","August","September","October","November","December","January","February","March"},0)</f>
        <v>9</v>
      </c>
      <c r="Q1615" s="3">
        <f t="shared" si="50"/>
        <v>1.1402508551881414E-3</v>
      </c>
      <c r="R1615" t="str">
        <f t="shared" si="51"/>
        <v>December</v>
      </c>
    </row>
    <row r="1616" spans="1:18" x14ac:dyDescent="0.35">
      <c r="A1616" t="s">
        <v>443</v>
      </c>
      <c r="B1616" t="s">
        <v>95</v>
      </c>
      <c r="C1616" t="s">
        <v>23</v>
      </c>
      <c r="D1616" t="s">
        <v>96</v>
      </c>
      <c r="E1616">
        <v>7749</v>
      </c>
      <c r="F1616">
        <v>5682</v>
      </c>
      <c r="G1616">
        <v>3066</v>
      </c>
      <c r="H1616">
        <v>162</v>
      </c>
      <c r="I1616">
        <v>604</v>
      </c>
      <c r="J1616">
        <v>0</v>
      </c>
      <c r="K1616" s="1">
        <v>45992</v>
      </c>
      <c r="L1616" t="s">
        <v>439</v>
      </c>
      <c r="M1616" t="s">
        <v>444</v>
      </c>
      <c r="N1616" s="2">
        <f>IFERROR(NHS_A_E[[#This Row],[T1_Over4hrs]]/NHS_A_E[[#This Row],[T1_Attendances]], 0)</f>
        <v>0.39566395663956638</v>
      </c>
      <c r="O1616">
        <f>NHS_A_E[[#This Row],[T1_Attendances]]+NHS_A_E[[#This Row],[Other_Attendances]]</f>
        <v>13431</v>
      </c>
      <c r="P1616">
        <f>MATCH(LEFT(A1616,FIND("-",A1616)-1),{"April","May","June","July","August","September","October","November","December","January","February","March"},0)</f>
        <v>9</v>
      </c>
      <c r="Q1616" s="3">
        <f t="shared" si="50"/>
        <v>0</v>
      </c>
      <c r="R1616" t="str">
        <f t="shared" si="51"/>
        <v>December</v>
      </c>
    </row>
    <row r="1617" spans="1:18" x14ac:dyDescent="0.35">
      <c r="A1617" t="s">
        <v>443</v>
      </c>
      <c r="B1617" t="s">
        <v>22</v>
      </c>
      <c r="C1617" t="s">
        <v>23</v>
      </c>
      <c r="D1617" t="s">
        <v>24</v>
      </c>
      <c r="E1617">
        <v>11399</v>
      </c>
      <c r="F1617">
        <v>13004</v>
      </c>
      <c r="G1617">
        <v>5265</v>
      </c>
      <c r="H1617">
        <v>849</v>
      </c>
      <c r="I1617">
        <v>810</v>
      </c>
      <c r="J1617">
        <v>433</v>
      </c>
      <c r="K1617" s="1">
        <v>45992</v>
      </c>
      <c r="L1617" t="s">
        <v>439</v>
      </c>
      <c r="M1617" t="s">
        <v>444</v>
      </c>
      <c r="N1617" s="2">
        <f>IFERROR(NHS_A_E[[#This Row],[T1_Over4hrs]]/NHS_A_E[[#This Row],[T1_Attendances]], 0)</f>
        <v>0.46188262128256863</v>
      </c>
      <c r="O1617">
        <f>NHS_A_E[[#This Row],[T1_Attendances]]+NHS_A_E[[#This Row],[Other_Attendances]]</f>
        <v>24403</v>
      </c>
      <c r="P1617">
        <f>MATCH(LEFT(A1617,FIND("-",A1617)-1),{"April","May","June","July","August","September","October","November","December","January","February","March"},0)</f>
        <v>9</v>
      </c>
      <c r="Q1617" s="3">
        <f t="shared" si="50"/>
        <v>3.7985788227037458E-2</v>
      </c>
      <c r="R1617" t="str">
        <f t="shared" si="51"/>
        <v>December</v>
      </c>
    </row>
    <row r="1618" spans="1:18" x14ac:dyDescent="0.35">
      <c r="A1618" t="s">
        <v>443</v>
      </c>
      <c r="B1618" t="s">
        <v>409</v>
      </c>
      <c r="C1618" t="s">
        <v>15</v>
      </c>
      <c r="D1618" t="s">
        <v>410</v>
      </c>
      <c r="E1618">
        <v>18605</v>
      </c>
      <c r="F1618">
        <v>1332</v>
      </c>
      <c r="G1618">
        <v>4846</v>
      </c>
      <c r="H1618">
        <v>15</v>
      </c>
      <c r="I1618">
        <v>1010</v>
      </c>
      <c r="J1618">
        <v>383</v>
      </c>
      <c r="K1618" s="1">
        <v>45992</v>
      </c>
      <c r="L1618" t="s">
        <v>439</v>
      </c>
      <c r="M1618" t="s">
        <v>444</v>
      </c>
      <c r="N1618" s="2">
        <f>IFERROR(NHS_A_E[[#This Row],[T1_Over4hrs]]/NHS_A_E[[#This Row],[T1_Attendances]], 0)</f>
        <v>0.26046761623219566</v>
      </c>
      <c r="O1618">
        <f>NHS_A_E[[#This Row],[T1_Attendances]]+NHS_A_E[[#This Row],[Other_Attendances]]</f>
        <v>19937</v>
      </c>
      <c r="P1618">
        <f>MATCH(LEFT(A1618,FIND("-",A1618)-1),{"April","May","June","July","August","September","October","November","December","January","February","March"},0)</f>
        <v>9</v>
      </c>
      <c r="Q1618" s="3">
        <f t="shared" si="50"/>
        <v>2.0585864015049717E-2</v>
      </c>
      <c r="R1618" t="str">
        <f t="shared" si="51"/>
        <v>December</v>
      </c>
    </row>
    <row r="1619" spans="1:18" x14ac:dyDescent="0.35">
      <c r="A1619" t="s">
        <v>443</v>
      </c>
      <c r="B1619" t="s">
        <v>25</v>
      </c>
      <c r="C1619" t="s">
        <v>15</v>
      </c>
      <c r="D1619" t="s">
        <v>26</v>
      </c>
      <c r="E1619">
        <v>0</v>
      </c>
      <c r="F1619">
        <v>11047</v>
      </c>
      <c r="G1619">
        <v>0</v>
      </c>
      <c r="H1619">
        <v>215</v>
      </c>
      <c r="I1619">
        <v>0</v>
      </c>
      <c r="J1619">
        <v>0</v>
      </c>
      <c r="K1619" s="1">
        <v>45992</v>
      </c>
      <c r="L1619" t="s">
        <v>439</v>
      </c>
      <c r="M1619" t="s">
        <v>444</v>
      </c>
      <c r="N1619" s="2">
        <f>IFERROR(NHS_A_E[[#This Row],[T1_Over4hrs]]/NHS_A_E[[#This Row],[T1_Attendances]], 0)</f>
        <v>0</v>
      </c>
      <c r="O1619">
        <f>NHS_A_E[[#This Row],[T1_Attendances]]+NHS_A_E[[#This Row],[Other_Attendances]]</f>
        <v>11047</v>
      </c>
      <c r="P1619">
        <f>MATCH(LEFT(A1619,FIND("-",A1619)-1),{"April","May","June","July","August","September","October","November","December","January","February","March"},0)</f>
        <v>9</v>
      </c>
      <c r="Q1619" s="3">
        <f t="shared" si="50"/>
        <v>0</v>
      </c>
      <c r="R1619" t="str">
        <f t="shared" si="51"/>
        <v>December</v>
      </c>
    </row>
    <row r="1620" spans="1:18" x14ac:dyDescent="0.35">
      <c r="A1620" t="s">
        <v>443</v>
      </c>
      <c r="B1620" t="s">
        <v>181</v>
      </c>
      <c r="C1620" t="s">
        <v>40</v>
      </c>
      <c r="D1620" t="s">
        <v>182</v>
      </c>
      <c r="E1620">
        <v>22050</v>
      </c>
      <c r="F1620">
        <v>0</v>
      </c>
      <c r="G1620">
        <v>8067</v>
      </c>
      <c r="H1620">
        <v>0</v>
      </c>
      <c r="I1620">
        <v>1270</v>
      </c>
      <c r="J1620">
        <v>520</v>
      </c>
      <c r="K1620" s="1">
        <v>45992</v>
      </c>
      <c r="L1620" t="s">
        <v>439</v>
      </c>
      <c r="M1620" t="s">
        <v>444</v>
      </c>
      <c r="N1620" s="2">
        <f>IFERROR(NHS_A_E[[#This Row],[T1_Over4hrs]]/NHS_A_E[[#This Row],[T1_Attendances]], 0)</f>
        <v>0.36585034013605444</v>
      </c>
      <c r="O1620">
        <f>NHS_A_E[[#This Row],[T1_Attendances]]+NHS_A_E[[#This Row],[Other_Attendances]]</f>
        <v>22050</v>
      </c>
      <c r="P1620">
        <f>MATCH(LEFT(A1620,FIND("-",A1620)-1),{"April","May","June","July","August","September","October","November","December","January","February","March"},0)</f>
        <v>9</v>
      </c>
      <c r="Q1620" s="3">
        <f t="shared" si="50"/>
        <v>2.3582766439909298E-2</v>
      </c>
      <c r="R1620" t="str">
        <f t="shared" si="51"/>
        <v>December</v>
      </c>
    </row>
    <row r="1621" spans="1:18" x14ac:dyDescent="0.35">
      <c r="A1621" t="s">
        <v>443</v>
      </c>
      <c r="B1621" t="s">
        <v>123</v>
      </c>
      <c r="C1621" t="s">
        <v>15</v>
      </c>
      <c r="D1621" t="s">
        <v>124</v>
      </c>
      <c r="E1621">
        <v>14024</v>
      </c>
      <c r="F1621">
        <v>12337</v>
      </c>
      <c r="G1621">
        <v>6794</v>
      </c>
      <c r="H1621">
        <v>331</v>
      </c>
      <c r="I1621">
        <v>597</v>
      </c>
      <c r="J1621">
        <v>1276</v>
      </c>
      <c r="K1621" s="1">
        <v>45992</v>
      </c>
      <c r="L1621" t="s">
        <v>439</v>
      </c>
      <c r="M1621" t="s">
        <v>444</v>
      </c>
      <c r="N1621" s="2">
        <f>IFERROR(NHS_A_E[[#This Row],[T1_Over4hrs]]/NHS_A_E[[#This Row],[T1_Attendances]], 0)</f>
        <v>0.48445521962350258</v>
      </c>
      <c r="O1621">
        <f>NHS_A_E[[#This Row],[T1_Attendances]]+NHS_A_E[[#This Row],[Other_Attendances]]</f>
        <v>26361</v>
      </c>
      <c r="P1621">
        <f>MATCH(LEFT(A1621,FIND("-",A1621)-1),{"April","May","June","July","August","September","October","November","December","January","February","March"},0)</f>
        <v>9</v>
      </c>
      <c r="Q1621" s="3">
        <f t="shared" si="50"/>
        <v>9.0986879634911574E-2</v>
      </c>
      <c r="R1621" t="str">
        <f t="shared" si="51"/>
        <v>December</v>
      </c>
    </row>
    <row r="1622" spans="1:18" x14ac:dyDescent="0.35">
      <c r="A1622" t="s">
        <v>443</v>
      </c>
      <c r="B1622" t="s">
        <v>341</v>
      </c>
      <c r="C1622" t="s">
        <v>40</v>
      </c>
      <c r="D1622" t="s">
        <v>342</v>
      </c>
      <c r="E1622">
        <v>9994</v>
      </c>
      <c r="F1622">
        <v>3880</v>
      </c>
      <c r="G1622">
        <v>3869</v>
      </c>
      <c r="H1622">
        <v>115</v>
      </c>
      <c r="I1622">
        <v>922</v>
      </c>
      <c r="J1622">
        <v>620</v>
      </c>
      <c r="K1622" s="1">
        <v>45992</v>
      </c>
      <c r="L1622" t="s">
        <v>439</v>
      </c>
      <c r="M1622" t="s">
        <v>444</v>
      </c>
      <c r="N1622" s="2">
        <f>IFERROR(NHS_A_E[[#This Row],[T1_Over4hrs]]/NHS_A_E[[#This Row],[T1_Attendances]], 0)</f>
        <v>0.38713227936762057</v>
      </c>
      <c r="O1622">
        <f>NHS_A_E[[#This Row],[T1_Attendances]]+NHS_A_E[[#This Row],[Other_Attendances]]</f>
        <v>13874</v>
      </c>
      <c r="P1622">
        <f>MATCH(LEFT(A1622,FIND("-",A1622)-1),{"April","May","June","July","August","September","October","November","December","January","February","March"},0)</f>
        <v>9</v>
      </c>
      <c r="Q1622" s="3">
        <f t="shared" si="50"/>
        <v>6.203722233340004E-2</v>
      </c>
      <c r="R1622" t="str">
        <f t="shared" si="51"/>
        <v>December</v>
      </c>
    </row>
    <row r="1623" spans="1:18" x14ac:dyDescent="0.35">
      <c r="A1623" t="s">
        <v>443</v>
      </c>
      <c r="B1623" t="s">
        <v>93</v>
      </c>
      <c r="C1623" t="s">
        <v>63</v>
      </c>
      <c r="D1623" t="s">
        <v>94</v>
      </c>
      <c r="E1623">
        <v>11321</v>
      </c>
      <c r="F1623">
        <v>6295</v>
      </c>
      <c r="G1623">
        <v>5819</v>
      </c>
      <c r="H1623">
        <v>333</v>
      </c>
      <c r="I1623">
        <v>817</v>
      </c>
      <c r="J1623">
        <v>759</v>
      </c>
      <c r="K1623" s="1">
        <v>45992</v>
      </c>
      <c r="L1623" t="s">
        <v>439</v>
      </c>
      <c r="M1623" t="s">
        <v>444</v>
      </c>
      <c r="N1623" s="2">
        <f>IFERROR(NHS_A_E[[#This Row],[T1_Over4hrs]]/NHS_A_E[[#This Row],[T1_Attendances]], 0)</f>
        <v>0.51400052998851686</v>
      </c>
      <c r="O1623">
        <f>NHS_A_E[[#This Row],[T1_Attendances]]+NHS_A_E[[#This Row],[Other_Attendances]]</f>
        <v>17616</v>
      </c>
      <c r="P1623">
        <f>MATCH(LEFT(A1623,FIND("-",A1623)-1),{"April","May","June","July","August","September","October","November","December","January","February","March"},0)</f>
        <v>9</v>
      </c>
      <c r="Q1623" s="3">
        <f t="shared" si="50"/>
        <v>6.7043547389806557E-2</v>
      </c>
      <c r="R1623" t="str">
        <f t="shared" si="51"/>
        <v>December</v>
      </c>
    </row>
    <row r="1624" spans="1:18" x14ac:dyDescent="0.35">
      <c r="A1624" t="s">
        <v>443</v>
      </c>
      <c r="B1624" t="s">
        <v>229</v>
      </c>
      <c r="C1624" t="s">
        <v>23</v>
      </c>
      <c r="D1624" t="s">
        <v>230</v>
      </c>
      <c r="E1624">
        <v>6527</v>
      </c>
      <c r="F1624">
        <v>1335</v>
      </c>
      <c r="G1624">
        <v>2656</v>
      </c>
      <c r="H1624">
        <v>0</v>
      </c>
      <c r="I1624">
        <v>797</v>
      </c>
      <c r="J1624">
        <v>160</v>
      </c>
      <c r="K1624" s="1">
        <v>45992</v>
      </c>
      <c r="L1624" t="s">
        <v>439</v>
      </c>
      <c r="M1624" t="s">
        <v>444</v>
      </c>
      <c r="N1624" s="2">
        <f>IFERROR(NHS_A_E[[#This Row],[T1_Over4hrs]]/NHS_A_E[[#This Row],[T1_Attendances]], 0)</f>
        <v>0.40692508043511566</v>
      </c>
      <c r="O1624">
        <f>NHS_A_E[[#This Row],[T1_Attendances]]+NHS_A_E[[#This Row],[Other_Attendances]]</f>
        <v>7862</v>
      </c>
      <c r="P1624">
        <f>MATCH(LEFT(A1624,FIND("-",A1624)-1),{"April","May","June","July","August","September","October","November","December","January","February","March"},0)</f>
        <v>9</v>
      </c>
      <c r="Q1624" s="3">
        <f t="shared" si="50"/>
        <v>2.4513559062356367E-2</v>
      </c>
      <c r="R1624" t="str">
        <f t="shared" si="51"/>
        <v>December</v>
      </c>
    </row>
    <row r="1625" spans="1:18" x14ac:dyDescent="0.35">
      <c r="A1625" t="s">
        <v>443</v>
      </c>
      <c r="B1625" t="s">
        <v>19</v>
      </c>
      <c r="C1625" t="s">
        <v>20</v>
      </c>
      <c r="D1625" t="s">
        <v>21</v>
      </c>
      <c r="E1625">
        <v>9074</v>
      </c>
      <c r="F1625">
        <v>0</v>
      </c>
      <c r="G1625">
        <v>3932</v>
      </c>
      <c r="H1625">
        <v>0</v>
      </c>
      <c r="I1625">
        <v>874</v>
      </c>
      <c r="J1625">
        <v>137</v>
      </c>
      <c r="K1625" s="1">
        <v>45992</v>
      </c>
      <c r="L1625" t="s">
        <v>439</v>
      </c>
      <c r="M1625" t="s">
        <v>444</v>
      </c>
      <c r="N1625" s="2">
        <f>IFERROR(NHS_A_E[[#This Row],[T1_Over4hrs]]/NHS_A_E[[#This Row],[T1_Attendances]], 0)</f>
        <v>0.4333259863345823</v>
      </c>
      <c r="O1625">
        <f>NHS_A_E[[#This Row],[T1_Attendances]]+NHS_A_E[[#This Row],[Other_Attendances]]</f>
        <v>9074</v>
      </c>
      <c r="P1625">
        <f>MATCH(LEFT(A1625,FIND("-",A1625)-1),{"April","May","June","July","August","September","October","November","December","January","February","March"},0)</f>
        <v>9</v>
      </c>
      <c r="Q1625" s="3">
        <f t="shared" si="50"/>
        <v>1.5098082433325987E-2</v>
      </c>
      <c r="R1625" t="str">
        <f t="shared" si="51"/>
        <v>December</v>
      </c>
    </row>
    <row r="1626" spans="1:18" x14ac:dyDescent="0.35">
      <c r="A1626" t="s">
        <v>443</v>
      </c>
      <c r="B1626" t="s">
        <v>97</v>
      </c>
      <c r="C1626" t="s">
        <v>15</v>
      </c>
      <c r="D1626" t="s">
        <v>98</v>
      </c>
      <c r="E1626">
        <v>22507</v>
      </c>
      <c r="F1626">
        <v>11479</v>
      </c>
      <c r="G1626">
        <v>8969</v>
      </c>
      <c r="H1626">
        <v>219</v>
      </c>
      <c r="I1626">
        <v>1037</v>
      </c>
      <c r="J1626">
        <v>351</v>
      </c>
      <c r="K1626" s="1">
        <v>45992</v>
      </c>
      <c r="L1626" t="s">
        <v>439</v>
      </c>
      <c r="M1626" t="s">
        <v>444</v>
      </c>
      <c r="N1626" s="2">
        <f>IFERROR(NHS_A_E[[#This Row],[T1_Over4hrs]]/NHS_A_E[[#This Row],[T1_Attendances]], 0)</f>
        <v>0.39849824499044739</v>
      </c>
      <c r="O1626">
        <f>NHS_A_E[[#This Row],[T1_Attendances]]+NHS_A_E[[#This Row],[Other_Attendances]]</f>
        <v>33986</v>
      </c>
      <c r="P1626">
        <f>MATCH(LEFT(A1626,FIND("-",A1626)-1),{"April","May","June","July","August","September","October","November","December","January","February","March"},0)</f>
        <v>9</v>
      </c>
      <c r="Q1626" s="3">
        <f t="shared" si="50"/>
        <v>1.5595148176122984E-2</v>
      </c>
      <c r="R1626" t="str">
        <f t="shared" si="51"/>
        <v>December</v>
      </c>
    </row>
    <row r="1627" spans="1:18" x14ac:dyDescent="0.35">
      <c r="A1627" t="s">
        <v>443</v>
      </c>
      <c r="B1627" t="s">
        <v>29</v>
      </c>
      <c r="C1627" t="s">
        <v>30</v>
      </c>
      <c r="D1627" t="s">
        <v>31</v>
      </c>
      <c r="E1627">
        <v>15674</v>
      </c>
      <c r="F1627">
        <v>7339</v>
      </c>
      <c r="G1627">
        <v>7785</v>
      </c>
      <c r="H1627">
        <v>349</v>
      </c>
      <c r="I1627">
        <v>806</v>
      </c>
      <c r="J1627">
        <v>1111</v>
      </c>
      <c r="K1627" s="1">
        <v>45992</v>
      </c>
      <c r="L1627" t="s">
        <v>439</v>
      </c>
      <c r="M1627" t="s">
        <v>444</v>
      </c>
      <c r="N1627" s="2">
        <f>IFERROR(NHS_A_E[[#This Row],[T1_Over4hrs]]/NHS_A_E[[#This Row],[T1_Attendances]], 0)</f>
        <v>0.49668240398111524</v>
      </c>
      <c r="O1627">
        <f>NHS_A_E[[#This Row],[T1_Attendances]]+NHS_A_E[[#This Row],[Other_Attendances]]</f>
        <v>23013</v>
      </c>
      <c r="P1627">
        <f>MATCH(LEFT(A1627,FIND("-",A1627)-1),{"April","May","June","July","August","September","October","November","December","January","February","March"},0)</f>
        <v>9</v>
      </c>
      <c r="Q1627" s="3">
        <f t="shared" si="50"/>
        <v>7.0881714941942064E-2</v>
      </c>
      <c r="R1627" t="str">
        <f t="shared" si="51"/>
        <v>December</v>
      </c>
    </row>
    <row r="1628" spans="1:18" x14ac:dyDescent="0.35">
      <c r="A1628" t="s">
        <v>443</v>
      </c>
      <c r="B1628" t="s">
        <v>155</v>
      </c>
      <c r="C1628" t="s">
        <v>15</v>
      </c>
      <c r="D1628" t="s">
        <v>156</v>
      </c>
      <c r="E1628">
        <v>10977</v>
      </c>
      <c r="F1628">
        <v>2749</v>
      </c>
      <c r="G1628">
        <v>3714</v>
      </c>
      <c r="H1628">
        <v>0</v>
      </c>
      <c r="I1628">
        <v>347</v>
      </c>
      <c r="J1628">
        <v>12</v>
      </c>
      <c r="K1628" s="1">
        <v>45992</v>
      </c>
      <c r="L1628" t="s">
        <v>439</v>
      </c>
      <c r="M1628" t="s">
        <v>444</v>
      </c>
      <c r="N1628" s="2">
        <f>IFERROR(NHS_A_E[[#This Row],[T1_Over4hrs]]/NHS_A_E[[#This Row],[T1_Attendances]], 0)</f>
        <v>0.33834380978409401</v>
      </c>
      <c r="O1628">
        <f>NHS_A_E[[#This Row],[T1_Attendances]]+NHS_A_E[[#This Row],[Other_Attendances]]</f>
        <v>13726</v>
      </c>
      <c r="P1628">
        <f>MATCH(LEFT(A1628,FIND("-",A1628)-1),{"April","May","June","July","August","September","October","November","December","January","February","March"},0)</f>
        <v>9</v>
      </c>
      <c r="Q1628" s="3">
        <f t="shared" si="50"/>
        <v>1.0931948619841486E-3</v>
      </c>
      <c r="R1628" t="str">
        <f t="shared" si="51"/>
        <v>December</v>
      </c>
    </row>
    <row r="1629" spans="1:18" x14ac:dyDescent="0.35">
      <c r="A1629" t="s">
        <v>443</v>
      </c>
      <c r="B1629" t="s">
        <v>37</v>
      </c>
      <c r="C1629" t="s">
        <v>35</v>
      </c>
      <c r="D1629" t="s">
        <v>38</v>
      </c>
      <c r="E1629">
        <v>16397</v>
      </c>
      <c r="F1629">
        <v>15840</v>
      </c>
      <c r="G1629">
        <v>7768</v>
      </c>
      <c r="H1629">
        <v>331</v>
      </c>
      <c r="I1629">
        <v>1088</v>
      </c>
      <c r="J1629">
        <v>674</v>
      </c>
      <c r="K1629" s="1">
        <v>45992</v>
      </c>
      <c r="L1629" t="s">
        <v>439</v>
      </c>
      <c r="M1629" t="s">
        <v>444</v>
      </c>
      <c r="N1629" s="2">
        <f>IFERROR(NHS_A_E[[#This Row],[T1_Over4hrs]]/NHS_A_E[[#This Row],[T1_Attendances]], 0)</f>
        <v>0.47374519729218761</v>
      </c>
      <c r="O1629">
        <f>NHS_A_E[[#This Row],[T1_Attendances]]+NHS_A_E[[#This Row],[Other_Attendances]]</f>
        <v>32237</v>
      </c>
      <c r="P1629">
        <f>MATCH(LEFT(A1629,FIND("-",A1629)-1),{"April","May","June","July","August","September","October","November","December","January","February","March"},0)</f>
        <v>9</v>
      </c>
      <c r="Q1629" s="3">
        <f t="shared" si="50"/>
        <v>4.1105080197597121E-2</v>
      </c>
      <c r="R1629" t="str">
        <f t="shared" si="51"/>
        <v>December</v>
      </c>
    </row>
    <row r="1630" spans="1:18" x14ac:dyDescent="0.35">
      <c r="A1630" t="s">
        <v>443</v>
      </c>
      <c r="B1630" t="s">
        <v>215</v>
      </c>
      <c r="C1630" t="s">
        <v>35</v>
      </c>
      <c r="D1630" t="s">
        <v>216</v>
      </c>
      <c r="E1630">
        <v>8872</v>
      </c>
      <c r="F1630">
        <v>3615</v>
      </c>
      <c r="G1630">
        <v>2272</v>
      </c>
      <c r="H1630">
        <v>76</v>
      </c>
      <c r="I1630">
        <v>377</v>
      </c>
      <c r="J1630">
        <v>457</v>
      </c>
      <c r="K1630" s="1">
        <v>45992</v>
      </c>
      <c r="L1630" t="s">
        <v>439</v>
      </c>
      <c r="M1630" t="s">
        <v>444</v>
      </c>
      <c r="N1630" s="2">
        <f>IFERROR(NHS_A_E[[#This Row],[T1_Over4hrs]]/NHS_A_E[[#This Row],[T1_Attendances]], 0)</f>
        <v>0.25608656447249772</v>
      </c>
      <c r="O1630">
        <f>NHS_A_E[[#This Row],[T1_Attendances]]+NHS_A_E[[#This Row],[Other_Attendances]]</f>
        <v>12487</v>
      </c>
      <c r="P1630">
        <f>MATCH(LEFT(A1630,FIND("-",A1630)-1),{"April","May","June","July","August","September","October","November","December","January","February","March"},0)</f>
        <v>9</v>
      </c>
      <c r="Q1630" s="3">
        <f t="shared" si="50"/>
        <v>5.1510369702434625E-2</v>
      </c>
      <c r="R1630" t="str">
        <f t="shared" si="51"/>
        <v>December</v>
      </c>
    </row>
    <row r="1631" spans="1:18" x14ac:dyDescent="0.35">
      <c r="A1631" t="s">
        <v>443</v>
      </c>
      <c r="B1631" t="s">
        <v>39</v>
      </c>
      <c r="C1631" t="s">
        <v>40</v>
      </c>
      <c r="D1631" t="s">
        <v>41</v>
      </c>
      <c r="E1631">
        <v>14115</v>
      </c>
      <c r="F1631">
        <v>8081</v>
      </c>
      <c r="G1631">
        <v>7811</v>
      </c>
      <c r="H1631">
        <v>372</v>
      </c>
      <c r="I1631">
        <v>1035</v>
      </c>
      <c r="J1631">
        <v>1035</v>
      </c>
      <c r="K1631" s="1">
        <v>45992</v>
      </c>
      <c r="L1631" t="s">
        <v>439</v>
      </c>
      <c r="M1631" t="s">
        <v>444</v>
      </c>
      <c r="N1631" s="2">
        <f>IFERROR(NHS_A_E[[#This Row],[T1_Over4hrs]]/NHS_A_E[[#This Row],[T1_Attendances]], 0)</f>
        <v>0.55338292596528516</v>
      </c>
      <c r="O1631">
        <f>NHS_A_E[[#This Row],[T1_Attendances]]+NHS_A_E[[#This Row],[Other_Attendances]]</f>
        <v>22196</v>
      </c>
      <c r="P1631">
        <f>MATCH(LEFT(A1631,FIND("-",A1631)-1),{"April","May","June","July","August","September","October","November","December","January","February","March"},0)</f>
        <v>9</v>
      </c>
      <c r="Q1631" s="3">
        <f t="shared" si="50"/>
        <v>7.3326248671625932E-2</v>
      </c>
      <c r="R1631" t="str">
        <f t="shared" si="51"/>
        <v>December</v>
      </c>
    </row>
    <row r="1632" spans="1:18" x14ac:dyDescent="0.35">
      <c r="A1632" t="s">
        <v>443</v>
      </c>
      <c r="B1632" t="s">
        <v>351</v>
      </c>
      <c r="C1632" t="s">
        <v>63</v>
      </c>
      <c r="D1632" t="s">
        <v>352</v>
      </c>
      <c r="E1632">
        <v>9775</v>
      </c>
      <c r="F1632">
        <v>6570</v>
      </c>
      <c r="G1632">
        <v>5737</v>
      </c>
      <c r="H1632">
        <v>41</v>
      </c>
      <c r="I1632">
        <v>686</v>
      </c>
      <c r="J1632">
        <v>871</v>
      </c>
      <c r="K1632" s="1">
        <v>45992</v>
      </c>
      <c r="L1632" t="s">
        <v>439</v>
      </c>
      <c r="M1632" t="s">
        <v>444</v>
      </c>
      <c r="N1632" s="2">
        <f>IFERROR(NHS_A_E[[#This Row],[T1_Over4hrs]]/NHS_A_E[[#This Row],[T1_Attendances]], 0)</f>
        <v>0.58690537084398975</v>
      </c>
      <c r="O1632">
        <f>NHS_A_E[[#This Row],[T1_Attendances]]+NHS_A_E[[#This Row],[Other_Attendances]]</f>
        <v>16345</v>
      </c>
      <c r="P1632">
        <f>MATCH(LEFT(A1632,FIND("-",A1632)-1),{"April","May","June","July","August","September","October","November","December","January","February","March"},0)</f>
        <v>9</v>
      </c>
      <c r="Q1632" s="3">
        <f t="shared" si="50"/>
        <v>8.9104859335038367E-2</v>
      </c>
      <c r="R1632" t="str">
        <f t="shared" si="51"/>
        <v>December</v>
      </c>
    </row>
    <row r="1633" spans="1:18" x14ac:dyDescent="0.35">
      <c r="A1633" t="s">
        <v>443</v>
      </c>
      <c r="B1633" t="s">
        <v>415</v>
      </c>
      <c r="C1633" t="s">
        <v>35</v>
      </c>
      <c r="D1633" t="s">
        <v>416</v>
      </c>
      <c r="E1633">
        <v>15697</v>
      </c>
      <c r="F1633">
        <v>8890</v>
      </c>
      <c r="G1633">
        <v>6760</v>
      </c>
      <c r="H1633">
        <v>771</v>
      </c>
      <c r="I1633">
        <v>1315</v>
      </c>
      <c r="J1633">
        <v>722</v>
      </c>
      <c r="K1633" s="1">
        <v>45992</v>
      </c>
      <c r="L1633" t="s">
        <v>439</v>
      </c>
      <c r="M1633" t="s">
        <v>444</v>
      </c>
      <c r="N1633" s="2">
        <f>IFERROR(NHS_A_E[[#This Row],[T1_Over4hrs]]/NHS_A_E[[#This Row],[T1_Attendances]], 0)</f>
        <v>0.4306555392750207</v>
      </c>
      <c r="O1633">
        <f>NHS_A_E[[#This Row],[T1_Attendances]]+NHS_A_E[[#This Row],[Other_Attendances]]</f>
        <v>24587</v>
      </c>
      <c r="P1633">
        <f>MATCH(LEFT(A1633,FIND("-",A1633)-1),{"April","May","June","July","August","September","October","November","December","January","February","March"},0)</f>
        <v>9</v>
      </c>
      <c r="Q1633" s="3">
        <f t="shared" si="50"/>
        <v>4.5996050200675286E-2</v>
      </c>
      <c r="R1633" t="str">
        <f t="shared" si="51"/>
        <v>December</v>
      </c>
    </row>
    <row r="1634" spans="1:18" x14ac:dyDescent="0.35">
      <c r="A1634" t="s">
        <v>443</v>
      </c>
      <c r="B1634" t="s">
        <v>413</v>
      </c>
      <c r="C1634" t="s">
        <v>20</v>
      </c>
      <c r="D1634" t="s">
        <v>414</v>
      </c>
      <c r="E1634">
        <v>8876</v>
      </c>
      <c r="F1634">
        <v>7009</v>
      </c>
      <c r="G1634">
        <v>5057</v>
      </c>
      <c r="H1634">
        <v>66</v>
      </c>
      <c r="I1634">
        <v>688</v>
      </c>
      <c r="J1634">
        <v>441</v>
      </c>
      <c r="K1634" s="1">
        <v>45992</v>
      </c>
      <c r="L1634" t="s">
        <v>439</v>
      </c>
      <c r="M1634" t="s">
        <v>444</v>
      </c>
      <c r="N1634" s="2">
        <f>IFERROR(NHS_A_E[[#This Row],[T1_Over4hrs]]/NHS_A_E[[#This Row],[T1_Attendances]], 0)</f>
        <v>0.5697386210004507</v>
      </c>
      <c r="O1634">
        <f>NHS_A_E[[#This Row],[T1_Attendances]]+NHS_A_E[[#This Row],[Other_Attendances]]</f>
        <v>15885</v>
      </c>
      <c r="P1634">
        <f>MATCH(LEFT(A1634,FIND("-",A1634)-1),{"April","May","June","July","August","September","October","November","December","January","February","March"},0)</f>
        <v>9</v>
      </c>
      <c r="Q1634" s="3">
        <f t="shared" si="50"/>
        <v>4.9684542586750792E-2</v>
      </c>
      <c r="R1634" t="str">
        <f t="shared" si="51"/>
        <v>December</v>
      </c>
    </row>
    <row r="1635" spans="1:18" x14ac:dyDescent="0.35">
      <c r="A1635" t="s">
        <v>443</v>
      </c>
      <c r="B1635" t="s">
        <v>44</v>
      </c>
      <c r="C1635" t="s">
        <v>40</v>
      </c>
      <c r="D1635" t="s">
        <v>45</v>
      </c>
      <c r="E1635">
        <v>12997</v>
      </c>
      <c r="F1635">
        <v>5819</v>
      </c>
      <c r="G1635">
        <v>5550</v>
      </c>
      <c r="H1635">
        <v>187</v>
      </c>
      <c r="I1635">
        <v>52</v>
      </c>
      <c r="J1635">
        <v>14</v>
      </c>
      <c r="K1635" s="1">
        <v>45992</v>
      </c>
      <c r="L1635" t="s">
        <v>439</v>
      </c>
      <c r="M1635" t="s">
        <v>444</v>
      </c>
      <c r="N1635" s="2">
        <f>IFERROR(NHS_A_E[[#This Row],[T1_Over4hrs]]/NHS_A_E[[#This Row],[T1_Attendances]], 0)</f>
        <v>0.42702162037393243</v>
      </c>
      <c r="O1635">
        <f>NHS_A_E[[#This Row],[T1_Attendances]]+NHS_A_E[[#This Row],[Other_Attendances]]</f>
        <v>18816</v>
      </c>
      <c r="P1635">
        <f>MATCH(LEFT(A1635,FIND("-",A1635)-1),{"April","May","June","July","August","September","October","November","December","January","February","March"},0)</f>
        <v>9</v>
      </c>
      <c r="Q1635" s="3">
        <f t="shared" si="50"/>
        <v>1.0771716549973071E-3</v>
      </c>
      <c r="R1635" t="str">
        <f t="shared" si="51"/>
        <v>December</v>
      </c>
    </row>
    <row r="1636" spans="1:18" x14ac:dyDescent="0.35">
      <c r="A1636" t="s">
        <v>443</v>
      </c>
      <c r="B1636" t="s">
        <v>217</v>
      </c>
      <c r="C1636" t="s">
        <v>15</v>
      </c>
      <c r="D1636" t="s">
        <v>218</v>
      </c>
      <c r="E1636">
        <v>10601</v>
      </c>
      <c r="F1636">
        <v>3603</v>
      </c>
      <c r="G1636">
        <v>5071</v>
      </c>
      <c r="H1636">
        <v>121</v>
      </c>
      <c r="I1636">
        <v>202</v>
      </c>
      <c r="J1636">
        <v>6</v>
      </c>
      <c r="K1636" s="1">
        <v>45992</v>
      </c>
      <c r="L1636" t="s">
        <v>439</v>
      </c>
      <c r="M1636" t="s">
        <v>444</v>
      </c>
      <c r="N1636" s="2">
        <f>IFERROR(NHS_A_E[[#This Row],[T1_Over4hrs]]/NHS_A_E[[#This Row],[T1_Attendances]], 0)</f>
        <v>0.47835109895292899</v>
      </c>
      <c r="O1636">
        <f>NHS_A_E[[#This Row],[T1_Attendances]]+NHS_A_E[[#This Row],[Other_Attendances]]</f>
        <v>14204</v>
      </c>
      <c r="P1636">
        <f>MATCH(LEFT(A1636,FIND("-",A1636)-1),{"April","May","June","July","August","September","October","November","December","January","February","March"},0)</f>
        <v>9</v>
      </c>
      <c r="Q1636" s="3">
        <f t="shared" si="50"/>
        <v>5.6598434109989622E-4</v>
      </c>
      <c r="R1636" t="str">
        <f t="shared" si="51"/>
        <v>December</v>
      </c>
    </row>
    <row r="1637" spans="1:18" x14ac:dyDescent="0.35">
      <c r="A1637" t="s">
        <v>443</v>
      </c>
      <c r="B1637" t="s">
        <v>417</v>
      </c>
      <c r="C1637" t="s">
        <v>63</v>
      </c>
      <c r="D1637" t="s">
        <v>418</v>
      </c>
      <c r="E1637">
        <v>8641</v>
      </c>
      <c r="F1637">
        <v>1678</v>
      </c>
      <c r="G1637">
        <v>3868</v>
      </c>
      <c r="H1637">
        <v>46</v>
      </c>
      <c r="I1637">
        <v>606</v>
      </c>
      <c r="J1637">
        <v>338</v>
      </c>
      <c r="K1637" s="1">
        <v>45992</v>
      </c>
      <c r="L1637" t="s">
        <v>439</v>
      </c>
      <c r="M1637" t="s">
        <v>444</v>
      </c>
      <c r="N1637" s="2">
        <f>IFERROR(NHS_A_E[[#This Row],[T1_Over4hrs]]/NHS_A_E[[#This Row],[T1_Attendances]], 0)</f>
        <v>0.44763337576669365</v>
      </c>
      <c r="O1637">
        <f>NHS_A_E[[#This Row],[T1_Attendances]]+NHS_A_E[[#This Row],[Other_Attendances]]</f>
        <v>10319</v>
      </c>
      <c r="P1637">
        <f>MATCH(LEFT(A1637,FIND("-",A1637)-1),{"April","May","June","July","August","September","October","November","December","January","February","March"},0)</f>
        <v>9</v>
      </c>
      <c r="Q1637" s="3">
        <f t="shared" si="50"/>
        <v>3.911584307371832E-2</v>
      </c>
      <c r="R1637" t="str">
        <f t="shared" si="51"/>
        <v>December</v>
      </c>
    </row>
    <row r="1638" spans="1:18" x14ac:dyDescent="0.35">
      <c r="A1638" t="s">
        <v>443</v>
      </c>
      <c r="B1638" t="s">
        <v>52</v>
      </c>
      <c r="C1638" t="s">
        <v>40</v>
      </c>
      <c r="D1638" t="s">
        <v>53</v>
      </c>
      <c r="E1638">
        <v>10580</v>
      </c>
      <c r="F1638">
        <v>2137</v>
      </c>
      <c r="G1638">
        <v>4346</v>
      </c>
      <c r="H1638">
        <v>152</v>
      </c>
      <c r="I1638">
        <v>484</v>
      </c>
      <c r="J1638">
        <v>774</v>
      </c>
      <c r="K1638" s="1">
        <v>45992</v>
      </c>
      <c r="L1638" t="s">
        <v>439</v>
      </c>
      <c r="M1638" t="s">
        <v>444</v>
      </c>
      <c r="N1638" s="2">
        <f>IFERROR(NHS_A_E[[#This Row],[T1_Over4hrs]]/NHS_A_E[[#This Row],[T1_Attendances]], 0)</f>
        <v>0.41077504725897923</v>
      </c>
      <c r="O1638">
        <f>NHS_A_E[[#This Row],[T1_Attendances]]+NHS_A_E[[#This Row],[Other_Attendances]]</f>
        <v>12717</v>
      </c>
      <c r="P1638">
        <f>MATCH(LEFT(A1638,FIND("-",A1638)-1),{"April","May","June","July","August","September","October","November","December","January","February","March"},0)</f>
        <v>9</v>
      </c>
      <c r="Q1638" s="3">
        <f t="shared" si="50"/>
        <v>7.3156899810964085E-2</v>
      </c>
      <c r="R1638" t="str">
        <f t="shared" si="51"/>
        <v>December</v>
      </c>
    </row>
    <row r="1639" spans="1:18" x14ac:dyDescent="0.35">
      <c r="A1639" t="s">
        <v>443</v>
      </c>
      <c r="B1639" t="s">
        <v>403</v>
      </c>
      <c r="C1639" t="s">
        <v>15</v>
      </c>
      <c r="D1639" t="s">
        <v>404</v>
      </c>
      <c r="E1639">
        <v>0</v>
      </c>
      <c r="F1639">
        <v>1163</v>
      </c>
      <c r="G1639">
        <v>0</v>
      </c>
      <c r="H1639">
        <v>5</v>
      </c>
      <c r="I1639">
        <v>0</v>
      </c>
      <c r="J1639">
        <v>0</v>
      </c>
      <c r="K1639" s="1">
        <v>45992</v>
      </c>
      <c r="L1639" t="s">
        <v>439</v>
      </c>
      <c r="M1639" t="s">
        <v>444</v>
      </c>
      <c r="N1639" s="2">
        <f>IFERROR(NHS_A_E[[#This Row],[T1_Over4hrs]]/NHS_A_E[[#This Row],[T1_Attendances]], 0)</f>
        <v>0</v>
      </c>
      <c r="O1639">
        <f>NHS_A_E[[#This Row],[T1_Attendances]]+NHS_A_E[[#This Row],[Other_Attendances]]</f>
        <v>1163</v>
      </c>
      <c r="P1639">
        <f>MATCH(LEFT(A1639,FIND("-",A1639)-1),{"April","May","June","July","August","September","October","November","December","January","February","March"},0)</f>
        <v>9</v>
      </c>
      <c r="Q1639" s="3">
        <f t="shared" si="50"/>
        <v>0</v>
      </c>
      <c r="R1639" t="str">
        <f t="shared" si="51"/>
        <v>December</v>
      </c>
    </row>
    <row r="1640" spans="1:18" x14ac:dyDescent="0.35">
      <c r="A1640" t="s">
        <v>443</v>
      </c>
      <c r="B1640" t="s">
        <v>157</v>
      </c>
      <c r="C1640" t="s">
        <v>40</v>
      </c>
      <c r="D1640" t="s">
        <v>158</v>
      </c>
      <c r="E1640">
        <v>33408</v>
      </c>
      <c r="F1640">
        <v>2991</v>
      </c>
      <c r="G1640">
        <v>13755</v>
      </c>
      <c r="H1640">
        <v>40</v>
      </c>
      <c r="I1640">
        <v>3075</v>
      </c>
      <c r="J1640">
        <v>1269</v>
      </c>
      <c r="K1640" s="1">
        <v>45992</v>
      </c>
      <c r="L1640" t="s">
        <v>439</v>
      </c>
      <c r="M1640" t="s">
        <v>444</v>
      </c>
      <c r="N1640" s="2">
        <f>IFERROR(NHS_A_E[[#This Row],[T1_Over4hrs]]/NHS_A_E[[#This Row],[T1_Attendances]], 0)</f>
        <v>0.41172772988505746</v>
      </c>
      <c r="O1640">
        <f>NHS_A_E[[#This Row],[T1_Attendances]]+NHS_A_E[[#This Row],[Other_Attendances]]</f>
        <v>36399</v>
      </c>
      <c r="P1640">
        <f>MATCH(LEFT(A1640,FIND("-",A1640)-1),{"April","May","June","July","August","September","October","November","December","January","February","March"},0)</f>
        <v>9</v>
      </c>
      <c r="Q1640" s="3">
        <f t="shared" si="50"/>
        <v>3.7984913793103446E-2</v>
      </c>
      <c r="R1640" t="str">
        <f t="shared" si="51"/>
        <v>December</v>
      </c>
    </row>
    <row r="1641" spans="1:18" x14ac:dyDescent="0.35">
      <c r="A1641" t="s">
        <v>443</v>
      </c>
      <c r="B1641" t="s">
        <v>131</v>
      </c>
      <c r="C1641" t="s">
        <v>40</v>
      </c>
      <c r="D1641" t="s">
        <v>132</v>
      </c>
      <c r="E1641">
        <v>19143</v>
      </c>
      <c r="F1641">
        <v>9520</v>
      </c>
      <c r="G1641">
        <v>9888</v>
      </c>
      <c r="H1641">
        <v>128</v>
      </c>
      <c r="I1641">
        <v>1284</v>
      </c>
      <c r="J1641">
        <v>770</v>
      </c>
      <c r="K1641" s="1">
        <v>45992</v>
      </c>
      <c r="L1641" t="s">
        <v>439</v>
      </c>
      <c r="M1641" t="s">
        <v>444</v>
      </c>
      <c r="N1641" s="2">
        <f>IFERROR(NHS_A_E[[#This Row],[T1_Over4hrs]]/NHS_A_E[[#This Row],[T1_Attendances]], 0)</f>
        <v>0.51653345870553202</v>
      </c>
      <c r="O1641">
        <f>NHS_A_E[[#This Row],[T1_Attendances]]+NHS_A_E[[#This Row],[Other_Attendances]]</f>
        <v>28663</v>
      </c>
      <c r="P1641">
        <f>MATCH(LEFT(A1641,FIND("-",A1641)-1),{"April","May","June","July","August","September","October","November","December","January","February","March"},0)</f>
        <v>9</v>
      </c>
      <c r="Q1641" s="3">
        <f t="shared" si="50"/>
        <v>4.0223580421041634E-2</v>
      </c>
      <c r="R1641" t="str">
        <f t="shared" si="51"/>
        <v>December</v>
      </c>
    </row>
    <row r="1642" spans="1:18" x14ac:dyDescent="0.35">
      <c r="A1642" t="s">
        <v>443</v>
      </c>
      <c r="B1642" t="s">
        <v>169</v>
      </c>
      <c r="C1642" t="s">
        <v>20</v>
      </c>
      <c r="D1642" t="s">
        <v>170</v>
      </c>
      <c r="E1642">
        <v>9074</v>
      </c>
      <c r="F1642">
        <v>0</v>
      </c>
      <c r="G1642">
        <v>3144</v>
      </c>
      <c r="H1642">
        <v>0</v>
      </c>
      <c r="I1642">
        <v>460</v>
      </c>
      <c r="J1642">
        <v>430</v>
      </c>
      <c r="K1642" s="1">
        <v>45992</v>
      </c>
      <c r="L1642" t="s">
        <v>439</v>
      </c>
      <c r="M1642" t="s">
        <v>444</v>
      </c>
      <c r="N1642" s="2">
        <f>IFERROR(NHS_A_E[[#This Row],[T1_Over4hrs]]/NHS_A_E[[#This Row],[T1_Attendances]], 0)</f>
        <v>0.34648446109764164</v>
      </c>
      <c r="O1642">
        <f>NHS_A_E[[#This Row],[T1_Attendances]]+NHS_A_E[[#This Row],[Other_Attendances]]</f>
        <v>9074</v>
      </c>
      <c r="P1642">
        <f>MATCH(LEFT(A1642,FIND("-",A1642)-1),{"April","May","June","July","August","September","October","November","December","January","February","March"},0)</f>
        <v>9</v>
      </c>
      <c r="Q1642" s="3">
        <f t="shared" si="50"/>
        <v>4.7388141944015867E-2</v>
      </c>
      <c r="R1642" t="str">
        <f t="shared" si="51"/>
        <v>December</v>
      </c>
    </row>
    <row r="1643" spans="1:18" x14ac:dyDescent="0.35">
      <c r="A1643" t="s">
        <v>443</v>
      </c>
      <c r="B1643" t="s">
        <v>179</v>
      </c>
      <c r="C1643" t="s">
        <v>40</v>
      </c>
      <c r="D1643" t="s">
        <v>180</v>
      </c>
      <c r="E1643">
        <v>17127</v>
      </c>
      <c r="F1643">
        <v>4295</v>
      </c>
      <c r="G1643">
        <v>6863</v>
      </c>
      <c r="H1643">
        <v>308</v>
      </c>
      <c r="I1643">
        <v>877</v>
      </c>
      <c r="J1643">
        <v>1081</v>
      </c>
      <c r="K1643" s="1">
        <v>45992</v>
      </c>
      <c r="L1643" t="s">
        <v>439</v>
      </c>
      <c r="M1643" t="s">
        <v>444</v>
      </c>
      <c r="N1643" s="2">
        <f>IFERROR(NHS_A_E[[#This Row],[T1_Over4hrs]]/NHS_A_E[[#This Row],[T1_Attendances]], 0)</f>
        <v>0.40071232556781688</v>
      </c>
      <c r="O1643">
        <f>NHS_A_E[[#This Row],[T1_Attendances]]+NHS_A_E[[#This Row],[Other_Attendances]]</f>
        <v>21422</v>
      </c>
      <c r="P1643">
        <f>MATCH(LEFT(A1643,FIND("-",A1643)-1),{"April","May","June","July","August","September","October","November","December","January","February","March"},0)</f>
        <v>9</v>
      </c>
      <c r="Q1643" s="3">
        <f t="shared" si="50"/>
        <v>6.3116716295907052E-2</v>
      </c>
      <c r="R1643" t="str">
        <f t="shared" si="51"/>
        <v>December</v>
      </c>
    </row>
    <row r="1644" spans="1:18" x14ac:dyDescent="0.35">
      <c r="A1644" t="s">
        <v>443</v>
      </c>
      <c r="B1644" t="s">
        <v>287</v>
      </c>
      <c r="C1644" t="s">
        <v>40</v>
      </c>
      <c r="D1644" t="s">
        <v>288</v>
      </c>
      <c r="E1644">
        <v>0</v>
      </c>
      <c r="F1644">
        <v>3033</v>
      </c>
      <c r="G1644">
        <v>0</v>
      </c>
      <c r="H1644">
        <v>0</v>
      </c>
      <c r="I1644">
        <v>0</v>
      </c>
      <c r="J1644">
        <v>0</v>
      </c>
      <c r="K1644" s="1">
        <v>45992</v>
      </c>
      <c r="L1644" t="s">
        <v>439</v>
      </c>
      <c r="M1644" t="s">
        <v>444</v>
      </c>
      <c r="N1644" s="2">
        <f>IFERROR(NHS_A_E[[#This Row],[T1_Over4hrs]]/NHS_A_E[[#This Row],[T1_Attendances]], 0)</f>
        <v>0</v>
      </c>
      <c r="O1644">
        <f>NHS_A_E[[#This Row],[T1_Attendances]]+NHS_A_E[[#This Row],[Other_Attendances]]</f>
        <v>3033</v>
      </c>
      <c r="P1644">
        <f>MATCH(LEFT(A1644,FIND("-",A1644)-1),{"April","May","June","July","August","September","October","November","December","January","February","March"},0)</f>
        <v>9</v>
      </c>
      <c r="Q1644" s="3">
        <f t="shared" si="50"/>
        <v>0</v>
      </c>
      <c r="R1644" t="str">
        <f t="shared" si="51"/>
        <v>December</v>
      </c>
    </row>
    <row r="1645" spans="1:18" x14ac:dyDescent="0.35">
      <c r="A1645" t="s">
        <v>443</v>
      </c>
      <c r="B1645" t="s">
        <v>32</v>
      </c>
      <c r="C1645" t="s">
        <v>30</v>
      </c>
      <c r="D1645" t="s">
        <v>33</v>
      </c>
      <c r="E1645">
        <v>0</v>
      </c>
      <c r="F1645">
        <v>0</v>
      </c>
      <c r="G1645">
        <v>0</v>
      </c>
      <c r="H1645">
        <v>0</v>
      </c>
      <c r="I1645">
        <v>0</v>
      </c>
      <c r="J1645">
        <v>0</v>
      </c>
      <c r="K1645" s="1">
        <v>45992</v>
      </c>
      <c r="L1645" t="s">
        <v>439</v>
      </c>
      <c r="M1645" t="s">
        <v>444</v>
      </c>
      <c r="N1645" s="2">
        <f>IFERROR(NHS_A_E[[#This Row],[T1_Over4hrs]]/NHS_A_E[[#This Row],[T1_Attendances]], 0)</f>
        <v>0</v>
      </c>
      <c r="O1645">
        <f>NHS_A_E[[#This Row],[T1_Attendances]]+NHS_A_E[[#This Row],[Other_Attendances]]</f>
        <v>0</v>
      </c>
      <c r="P1645">
        <f>MATCH(LEFT(A1645,FIND("-",A1645)-1),{"April","May","June","July","August","September","October","November","December","January","February","March"},0)</f>
        <v>9</v>
      </c>
      <c r="Q1645" s="3">
        <f t="shared" si="50"/>
        <v>0</v>
      </c>
      <c r="R1645" t="str">
        <f t="shared" si="51"/>
        <v>December</v>
      </c>
    </row>
    <row r="1646" spans="1:18" x14ac:dyDescent="0.35">
      <c r="A1646" t="s">
        <v>443</v>
      </c>
      <c r="B1646" t="s">
        <v>231</v>
      </c>
      <c r="C1646" t="s">
        <v>63</v>
      </c>
      <c r="D1646" t="s">
        <v>232</v>
      </c>
      <c r="E1646">
        <v>9266</v>
      </c>
      <c r="F1646">
        <v>0</v>
      </c>
      <c r="G1646">
        <v>2831</v>
      </c>
      <c r="H1646">
        <v>0</v>
      </c>
      <c r="I1646">
        <v>601</v>
      </c>
      <c r="J1646">
        <v>11</v>
      </c>
      <c r="K1646" s="1">
        <v>45992</v>
      </c>
      <c r="L1646" t="s">
        <v>439</v>
      </c>
      <c r="M1646" t="s">
        <v>444</v>
      </c>
      <c r="N1646" s="2">
        <f>IFERROR(NHS_A_E[[#This Row],[T1_Over4hrs]]/NHS_A_E[[#This Row],[T1_Attendances]], 0)</f>
        <v>0.30552557737966762</v>
      </c>
      <c r="O1646">
        <f>NHS_A_E[[#This Row],[T1_Attendances]]+NHS_A_E[[#This Row],[Other_Attendances]]</f>
        <v>9266</v>
      </c>
      <c r="P1646">
        <f>MATCH(LEFT(A1646,FIND("-",A1646)-1),{"April","May","June","July","August","September","October","November","December","January","February","March"},0)</f>
        <v>9</v>
      </c>
      <c r="Q1646" s="3">
        <f t="shared" si="50"/>
        <v>1.1871357651629614E-3</v>
      </c>
      <c r="R1646" t="str">
        <f t="shared" si="51"/>
        <v>December</v>
      </c>
    </row>
    <row r="1647" spans="1:18" x14ac:dyDescent="0.35">
      <c r="A1647" t="s">
        <v>443</v>
      </c>
      <c r="B1647" t="s">
        <v>339</v>
      </c>
      <c r="C1647" t="s">
        <v>20</v>
      </c>
      <c r="D1647" t="s">
        <v>340</v>
      </c>
      <c r="E1647">
        <v>16151</v>
      </c>
      <c r="F1647">
        <v>0</v>
      </c>
      <c r="G1647">
        <v>5956</v>
      </c>
      <c r="H1647">
        <v>0</v>
      </c>
      <c r="I1647">
        <v>1219</v>
      </c>
      <c r="J1647">
        <v>496</v>
      </c>
      <c r="K1647" s="1">
        <v>45992</v>
      </c>
      <c r="L1647" t="s">
        <v>439</v>
      </c>
      <c r="M1647" t="s">
        <v>444</v>
      </c>
      <c r="N1647" s="2">
        <f>IFERROR(NHS_A_E[[#This Row],[T1_Over4hrs]]/NHS_A_E[[#This Row],[T1_Attendances]], 0)</f>
        <v>0.36876973562008547</v>
      </c>
      <c r="O1647">
        <f>NHS_A_E[[#This Row],[T1_Attendances]]+NHS_A_E[[#This Row],[Other_Attendances]]</f>
        <v>16151</v>
      </c>
      <c r="P1647">
        <f>MATCH(LEFT(A1647,FIND("-",A1647)-1),{"April","May","June","July","August","September","October","November","December","January","February","March"},0)</f>
        <v>9</v>
      </c>
      <c r="Q1647" s="3">
        <f t="shared" si="50"/>
        <v>3.0710172744721688E-2</v>
      </c>
      <c r="R1647" t="str">
        <f t="shared" si="51"/>
        <v>December</v>
      </c>
    </row>
    <row r="1648" spans="1:18" x14ac:dyDescent="0.35">
      <c r="A1648" t="s">
        <v>443</v>
      </c>
      <c r="B1648" t="s">
        <v>251</v>
      </c>
      <c r="C1648" t="s">
        <v>35</v>
      </c>
      <c r="D1648" t="s">
        <v>252</v>
      </c>
      <c r="E1648">
        <v>7217</v>
      </c>
      <c r="F1648">
        <v>8083</v>
      </c>
      <c r="G1648">
        <v>3964</v>
      </c>
      <c r="H1648">
        <v>345</v>
      </c>
      <c r="I1648">
        <v>255</v>
      </c>
      <c r="J1648">
        <v>498</v>
      </c>
      <c r="K1648" s="1">
        <v>45992</v>
      </c>
      <c r="L1648" t="s">
        <v>439</v>
      </c>
      <c r="M1648" t="s">
        <v>444</v>
      </c>
      <c r="N1648" s="2">
        <f>IFERROR(NHS_A_E[[#This Row],[T1_Over4hrs]]/NHS_A_E[[#This Row],[T1_Attendances]], 0)</f>
        <v>0.54925869474851041</v>
      </c>
      <c r="O1648">
        <f>NHS_A_E[[#This Row],[T1_Attendances]]+NHS_A_E[[#This Row],[Other_Attendances]]</f>
        <v>15300</v>
      </c>
      <c r="P1648">
        <f>MATCH(LEFT(A1648,FIND("-",A1648)-1),{"April","May","June","July","August","September","October","November","December","January","February","March"},0)</f>
        <v>9</v>
      </c>
      <c r="Q1648" s="3">
        <f t="shared" si="50"/>
        <v>6.9003741166689767E-2</v>
      </c>
      <c r="R1648" t="str">
        <f t="shared" si="51"/>
        <v>December</v>
      </c>
    </row>
    <row r="1649" spans="1:18" x14ac:dyDescent="0.35">
      <c r="A1649" t="s">
        <v>443</v>
      </c>
      <c r="B1649" t="s">
        <v>101</v>
      </c>
      <c r="C1649" t="s">
        <v>63</v>
      </c>
      <c r="D1649" t="s">
        <v>102</v>
      </c>
      <c r="E1649">
        <v>9857</v>
      </c>
      <c r="F1649">
        <v>0</v>
      </c>
      <c r="G1649">
        <v>3359</v>
      </c>
      <c r="H1649">
        <v>0</v>
      </c>
      <c r="I1649">
        <v>808</v>
      </c>
      <c r="J1649">
        <v>22</v>
      </c>
      <c r="K1649" s="1">
        <v>45992</v>
      </c>
      <c r="L1649" t="s">
        <v>439</v>
      </c>
      <c r="M1649" t="s">
        <v>444</v>
      </c>
      <c r="N1649" s="2">
        <f>IFERROR(NHS_A_E[[#This Row],[T1_Over4hrs]]/NHS_A_E[[#This Row],[T1_Attendances]], 0)</f>
        <v>0.3407730546819519</v>
      </c>
      <c r="O1649">
        <f>NHS_A_E[[#This Row],[T1_Attendances]]+NHS_A_E[[#This Row],[Other_Attendances]]</f>
        <v>9857</v>
      </c>
      <c r="P1649">
        <f>MATCH(LEFT(A1649,FIND("-",A1649)-1),{"April","May","June","July","August","September","October","November","December","January","February","March"},0)</f>
        <v>9</v>
      </c>
      <c r="Q1649" s="3">
        <f t="shared" si="50"/>
        <v>2.2319164045855738E-3</v>
      </c>
      <c r="R1649" t="str">
        <f t="shared" si="51"/>
        <v>December</v>
      </c>
    </row>
    <row r="1650" spans="1:18" x14ac:dyDescent="0.35">
      <c r="A1650" t="s">
        <v>443</v>
      </c>
      <c r="B1650" t="s">
        <v>213</v>
      </c>
      <c r="C1650" t="s">
        <v>23</v>
      </c>
      <c r="D1650" t="s">
        <v>214</v>
      </c>
      <c r="E1650">
        <v>10979</v>
      </c>
      <c r="F1650">
        <v>4843</v>
      </c>
      <c r="G1650">
        <v>4799</v>
      </c>
      <c r="H1650">
        <v>103</v>
      </c>
      <c r="I1650">
        <v>527</v>
      </c>
      <c r="J1650">
        <v>420</v>
      </c>
      <c r="K1650" s="1">
        <v>45992</v>
      </c>
      <c r="L1650" t="s">
        <v>439</v>
      </c>
      <c r="M1650" t="s">
        <v>444</v>
      </c>
      <c r="N1650" s="2">
        <f>IFERROR(NHS_A_E[[#This Row],[T1_Over4hrs]]/NHS_A_E[[#This Row],[T1_Attendances]], 0)</f>
        <v>0.43710720466344838</v>
      </c>
      <c r="O1650">
        <f>NHS_A_E[[#This Row],[T1_Attendances]]+NHS_A_E[[#This Row],[Other_Attendances]]</f>
        <v>15822</v>
      </c>
      <c r="P1650">
        <f>MATCH(LEFT(A1650,FIND("-",A1650)-1),{"April","May","June","July","August","September","October","November","December","January","February","March"},0)</f>
        <v>9</v>
      </c>
      <c r="Q1650" s="3">
        <f t="shared" si="50"/>
        <v>3.825485016850351E-2</v>
      </c>
      <c r="R1650" t="str">
        <f t="shared" si="51"/>
        <v>December</v>
      </c>
    </row>
    <row r="1651" spans="1:18" x14ac:dyDescent="0.35">
      <c r="A1651" t="s">
        <v>443</v>
      </c>
      <c r="B1651" t="s">
        <v>109</v>
      </c>
      <c r="C1651" t="s">
        <v>35</v>
      </c>
      <c r="D1651" t="s">
        <v>110</v>
      </c>
      <c r="E1651">
        <v>10381</v>
      </c>
      <c r="F1651">
        <v>6502</v>
      </c>
      <c r="G1651">
        <v>3407</v>
      </c>
      <c r="H1651">
        <v>135</v>
      </c>
      <c r="I1651">
        <v>129</v>
      </c>
      <c r="J1651">
        <v>60</v>
      </c>
      <c r="K1651" s="1">
        <v>45992</v>
      </c>
      <c r="L1651" t="s">
        <v>439</v>
      </c>
      <c r="M1651" t="s">
        <v>444</v>
      </c>
      <c r="N1651" s="2">
        <f>IFERROR(NHS_A_E[[#This Row],[T1_Over4hrs]]/NHS_A_E[[#This Row],[T1_Attendances]], 0)</f>
        <v>0.32819574222136594</v>
      </c>
      <c r="O1651">
        <f>NHS_A_E[[#This Row],[T1_Attendances]]+NHS_A_E[[#This Row],[Other_Attendances]]</f>
        <v>16883</v>
      </c>
      <c r="P1651">
        <f>MATCH(LEFT(A1651,FIND("-",A1651)-1),{"April","May","June","July","August","September","October","November","December","January","February","March"},0)</f>
        <v>9</v>
      </c>
      <c r="Q1651" s="3">
        <f t="shared" si="50"/>
        <v>5.7797900009632979E-3</v>
      </c>
      <c r="R1651" t="str">
        <f t="shared" si="51"/>
        <v>December</v>
      </c>
    </row>
    <row r="1652" spans="1:18" x14ac:dyDescent="0.35">
      <c r="A1652" t="s">
        <v>443</v>
      </c>
      <c r="B1652" t="s">
        <v>171</v>
      </c>
      <c r="C1652" t="s">
        <v>35</v>
      </c>
      <c r="D1652" t="s">
        <v>172</v>
      </c>
      <c r="E1652">
        <v>11581</v>
      </c>
      <c r="F1652">
        <v>1927</v>
      </c>
      <c r="G1652">
        <v>3817</v>
      </c>
      <c r="H1652">
        <v>123</v>
      </c>
      <c r="I1652">
        <v>722</v>
      </c>
      <c r="J1652">
        <v>821</v>
      </c>
      <c r="K1652" s="1">
        <v>45992</v>
      </c>
      <c r="L1652" t="s">
        <v>439</v>
      </c>
      <c r="M1652" t="s">
        <v>444</v>
      </c>
      <c r="N1652" s="2">
        <f>IFERROR(NHS_A_E[[#This Row],[T1_Over4hrs]]/NHS_A_E[[#This Row],[T1_Attendances]], 0)</f>
        <v>0.32959157240307402</v>
      </c>
      <c r="O1652">
        <f>NHS_A_E[[#This Row],[T1_Attendances]]+NHS_A_E[[#This Row],[Other_Attendances]]</f>
        <v>13508</v>
      </c>
      <c r="P1652">
        <f>MATCH(LEFT(A1652,FIND("-",A1652)-1),{"April","May","June","July","August","September","October","November","December","January","February","March"},0)</f>
        <v>9</v>
      </c>
      <c r="Q1652" s="3">
        <f t="shared" si="50"/>
        <v>7.0891978240221046E-2</v>
      </c>
      <c r="R1652" t="str">
        <f t="shared" si="51"/>
        <v>December</v>
      </c>
    </row>
    <row r="1653" spans="1:18" x14ac:dyDescent="0.35">
      <c r="A1653" t="s">
        <v>443</v>
      </c>
      <c r="B1653" t="s">
        <v>177</v>
      </c>
      <c r="C1653" t="s">
        <v>63</v>
      </c>
      <c r="D1653" t="s">
        <v>178</v>
      </c>
      <c r="E1653">
        <v>10230</v>
      </c>
      <c r="F1653">
        <v>4228</v>
      </c>
      <c r="G1653">
        <v>5408</v>
      </c>
      <c r="H1653">
        <v>356</v>
      </c>
      <c r="I1653">
        <v>953</v>
      </c>
      <c r="J1653">
        <v>635</v>
      </c>
      <c r="K1653" s="1">
        <v>45992</v>
      </c>
      <c r="L1653" t="s">
        <v>439</v>
      </c>
      <c r="M1653" t="s">
        <v>444</v>
      </c>
      <c r="N1653" s="2">
        <f>IFERROR(NHS_A_E[[#This Row],[T1_Over4hrs]]/NHS_A_E[[#This Row],[T1_Attendances]], 0)</f>
        <v>0.52864125122189642</v>
      </c>
      <c r="O1653">
        <f>NHS_A_E[[#This Row],[T1_Attendances]]+NHS_A_E[[#This Row],[Other_Attendances]]</f>
        <v>14458</v>
      </c>
      <c r="P1653">
        <f>MATCH(LEFT(A1653,FIND("-",A1653)-1),{"April","May","June","July","August","September","October","November","December","January","February","March"},0)</f>
        <v>9</v>
      </c>
      <c r="Q1653" s="3">
        <f t="shared" si="50"/>
        <v>6.2072336265884653E-2</v>
      </c>
      <c r="R1653" t="str">
        <f t="shared" si="51"/>
        <v>December</v>
      </c>
    </row>
    <row r="1654" spans="1:18" x14ac:dyDescent="0.35">
      <c r="A1654" t="s">
        <v>443</v>
      </c>
      <c r="B1654" t="s">
        <v>133</v>
      </c>
      <c r="C1654" t="s">
        <v>15</v>
      </c>
      <c r="D1654" t="s">
        <v>134</v>
      </c>
      <c r="E1654">
        <v>0</v>
      </c>
      <c r="F1654">
        <v>1244</v>
      </c>
      <c r="G1654">
        <v>0</v>
      </c>
      <c r="H1654">
        <v>13</v>
      </c>
      <c r="I1654">
        <v>0</v>
      </c>
      <c r="J1654">
        <v>0</v>
      </c>
      <c r="K1654" s="1">
        <v>45992</v>
      </c>
      <c r="L1654" t="s">
        <v>439</v>
      </c>
      <c r="M1654" t="s">
        <v>444</v>
      </c>
      <c r="N1654" s="2">
        <f>IFERROR(NHS_A_E[[#This Row],[T1_Over4hrs]]/NHS_A_E[[#This Row],[T1_Attendances]], 0)</f>
        <v>0</v>
      </c>
      <c r="O1654">
        <f>NHS_A_E[[#This Row],[T1_Attendances]]+NHS_A_E[[#This Row],[Other_Attendances]]</f>
        <v>1244</v>
      </c>
      <c r="P1654">
        <f>MATCH(LEFT(A1654,FIND("-",A1654)-1),{"April","May","June","July","August","September","October","November","December","January","February","March"},0)</f>
        <v>9</v>
      </c>
      <c r="Q1654" s="3">
        <f t="shared" si="50"/>
        <v>0</v>
      </c>
      <c r="R1654" t="str">
        <f t="shared" si="51"/>
        <v>December</v>
      </c>
    </row>
    <row r="1655" spans="1:18" x14ac:dyDescent="0.35">
      <c r="A1655" t="s">
        <v>443</v>
      </c>
      <c r="B1655" t="s">
        <v>167</v>
      </c>
      <c r="C1655" t="s">
        <v>30</v>
      </c>
      <c r="D1655" t="s">
        <v>168</v>
      </c>
      <c r="E1655">
        <v>8610</v>
      </c>
      <c r="F1655">
        <v>3237</v>
      </c>
      <c r="G1655">
        <v>4428</v>
      </c>
      <c r="H1655">
        <v>296</v>
      </c>
      <c r="I1655">
        <v>512</v>
      </c>
      <c r="J1655">
        <v>440</v>
      </c>
      <c r="K1655" s="1">
        <v>45992</v>
      </c>
      <c r="L1655" t="s">
        <v>439</v>
      </c>
      <c r="M1655" t="s">
        <v>444</v>
      </c>
      <c r="N1655" s="2">
        <f>IFERROR(NHS_A_E[[#This Row],[T1_Over4hrs]]/NHS_A_E[[#This Row],[T1_Attendances]], 0)</f>
        <v>0.51428571428571423</v>
      </c>
      <c r="O1655">
        <f>NHS_A_E[[#This Row],[T1_Attendances]]+NHS_A_E[[#This Row],[Other_Attendances]]</f>
        <v>11847</v>
      </c>
      <c r="P1655">
        <f>MATCH(LEFT(A1655,FIND("-",A1655)-1),{"April","May","June","July","August","September","October","November","December","January","February","March"},0)</f>
        <v>9</v>
      </c>
      <c r="Q1655" s="3">
        <f t="shared" si="50"/>
        <v>5.1103368176538912E-2</v>
      </c>
      <c r="R1655" t="str">
        <f t="shared" si="51"/>
        <v>December</v>
      </c>
    </row>
    <row r="1656" spans="1:18" x14ac:dyDescent="0.35">
      <c r="A1656" t="s">
        <v>443</v>
      </c>
      <c r="B1656" t="s">
        <v>58</v>
      </c>
      <c r="C1656" t="s">
        <v>40</v>
      </c>
      <c r="D1656" t="s">
        <v>59</v>
      </c>
      <c r="E1656">
        <v>5169</v>
      </c>
      <c r="F1656">
        <v>0</v>
      </c>
      <c r="G1656">
        <v>1484</v>
      </c>
      <c r="H1656">
        <v>0</v>
      </c>
      <c r="I1656">
        <v>52</v>
      </c>
      <c r="J1656">
        <v>3</v>
      </c>
      <c r="K1656" s="1">
        <v>45992</v>
      </c>
      <c r="L1656" t="s">
        <v>439</v>
      </c>
      <c r="M1656" t="s">
        <v>444</v>
      </c>
      <c r="N1656" s="2">
        <f>IFERROR(NHS_A_E[[#This Row],[T1_Over4hrs]]/NHS_A_E[[#This Row],[T1_Attendances]], 0)</f>
        <v>0.28709615012574968</v>
      </c>
      <c r="O1656">
        <f>NHS_A_E[[#This Row],[T1_Attendances]]+NHS_A_E[[#This Row],[Other_Attendances]]</f>
        <v>5169</v>
      </c>
      <c r="P1656">
        <f>MATCH(LEFT(A1656,FIND("-",A1656)-1),{"April","May","June","July","August","September","October","November","December","January","February","March"},0)</f>
        <v>9</v>
      </c>
      <c r="Q1656" s="3">
        <f t="shared" si="50"/>
        <v>5.8038305281485781E-4</v>
      </c>
      <c r="R1656" t="str">
        <f t="shared" si="51"/>
        <v>December</v>
      </c>
    </row>
    <row r="1657" spans="1:18" x14ac:dyDescent="0.35">
      <c r="A1657" t="s">
        <v>443</v>
      </c>
      <c r="B1657" t="s">
        <v>223</v>
      </c>
      <c r="C1657" t="s">
        <v>15</v>
      </c>
      <c r="D1657" t="s">
        <v>224</v>
      </c>
      <c r="E1657">
        <v>12246</v>
      </c>
      <c r="F1657">
        <v>3448</v>
      </c>
      <c r="G1657">
        <v>4126</v>
      </c>
      <c r="H1657">
        <v>86</v>
      </c>
      <c r="I1657">
        <v>743</v>
      </c>
      <c r="J1657">
        <v>14</v>
      </c>
      <c r="K1657" s="1">
        <v>45992</v>
      </c>
      <c r="L1657" t="s">
        <v>439</v>
      </c>
      <c r="M1657" t="s">
        <v>444</v>
      </c>
      <c r="N1657" s="2">
        <f>IFERROR(NHS_A_E[[#This Row],[T1_Over4hrs]]/NHS_A_E[[#This Row],[T1_Attendances]], 0)</f>
        <v>0.33692634329577004</v>
      </c>
      <c r="O1657">
        <f>NHS_A_E[[#This Row],[T1_Attendances]]+NHS_A_E[[#This Row],[Other_Attendances]]</f>
        <v>15694</v>
      </c>
      <c r="P1657">
        <f>MATCH(LEFT(A1657,FIND("-",A1657)-1),{"April","May","June","July","August","September","October","November","December","January","February","March"},0)</f>
        <v>9</v>
      </c>
      <c r="Q1657" s="3">
        <f t="shared" si="50"/>
        <v>1.1432304425934999E-3</v>
      </c>
      <c r="R1657" t="str">
        <f t="shared" si="51"/>
        <v>December</v>
      </c>
    </row>
    <row r="1658" spans="1:18" x14ac:dyDescent="0.35">
      <c r="A1658" t="s">
        <v>443</v>
      </c>
      <c r="B1658" t="s">
        <v>125</v>
      </c>
      <c r="C1658" t="s">
        <v>35</v>
      </c>
      <c r="D1658" t="s">
        <v>126</v>
      </c>
      <c r="E1658">
        <v>0</v>
      </c>
      <c r="F1658">
        <v>11883</v>
      </c>
      <c r="G1658">
        <v>0</v>
      </c>
      <c r="H1658">
        <v>143</v>
      </c>
      <c r="I1658">
        <v>0</v>
      </c>
      <c r="J1658">
        <v>0</v>
      </c>
      <c r="K1658" s="1">
        <v>45992</v>
      </c>
      <c r="L1658" t="s">
        <v>439</v>
      </c>
      <c r="M1658" t="s">
        <v>444</v>
      </c>
      <c r="N1658" s="2">
        <f>IFERROR(NHS_A_E[[#This Row],[T1_Over4hrs]]/NHS_A_E[[#This Row],[T1_Attendances]], 0)</f>
        <v>0</v>
      </c>
      <c r="O1658">
        <f>NHS_A_E[[#This Row],[T1_Attendances]]+NHS_A_E[[#This Row],[Other_Attendances]]</f>
        <v>11883</v>
      </c>
      <c r="P1658">
        <f>MATCH(LEFT(A1658,FIND("-",A1658)-1),{"April","May","June","July","August","September","October","November","December","January","February","March"},0)</f>
        <v>9</v>
      </c>
      <c r="Q1658" s="3">
        <f t="shared" si="50"/>
        <v>0</v>
      </c>
      <c r="R1658" t="str">
        <f t="shared" si="51"/>
        <v>December</v>
      </c>
    </row>
    <row r="1659" spans="1:18" x14ac:dyDescent="0.35">
      <c r="A1659" t="s">
        <v>443</v>
      </c>
      <c r="B1659" t="s">
        <v>243</v>
      </c>
      <c r="C1659" t="s">
        <v>23</v>
      </c>
      <c r="D1659" t="s">
        <v>244</v>
      </c>
      <c r="E1659">
        <v>0</v>
      </c>
      <c r="F1659">
        <v>1857</v>
      </c>
      <c r="G1659">
        <v>0</v>
      </c>
      <c r="H1659">
        <v>37</v>
      </c>
      <c r="I1659">
        <v>0</v>
      </c>
      <c r="J1659">
        <v>0</v>
      </c>
      <c r="K1659" s="1">
        <v>45992</v>
      </c>
      <c r="L1659" t="s">
        <v>439</v>
      </c>
      <c r="M1659" t="s">
        <v>444</v>
      </c>
      <c r="N1659" s="2">
        <f>IFERROR(NHS_A_E[[#This Row],[T1_Over4hrs]]/NHS_A_E[[#This Row],[T1_Attendances]], 0)</f>
        <v>0</v>
      </c>
      <c r="O1659">
        <f>NHS_A_E[[#This Row],[T1_Attendances]]+NHS_A_E[[#This Row],[Other_Attendances]]</f>
        <v>1857</v>
      </c>
      <c r="P1659">
        <f>MATCH(LEFT(A1659,FIND("-",A1659)-1),{"April","May","June","July","August","September","October","November","December","January","February","March"},0)</f>
        <v>9</v>
      </c>
      <c r="Q1659" s="3">
        <f t="shared" si="50"/>
        <v>0</v>
      </c>
      <c r="R1659" t="str">
        <f t="shared" si="51"/>
        <v>December</v>
      </c>
    </row>
    <row r="1660" spans="1:18" x14ac:dyDescent="0.35">
      <c r="A1660" t="s">
        <v>443</v>
      </c>
      <c r="B1660" t="s">
        <v>389</v>
      </c>
      <c r="C1660" t="s">
        <v>20</v>
      </c>
      <c r="D1660" t="s">
        <v>390</v>
      </c>
      <c r="E1660">
        <v>4536</v>
      </c>
      <c r="F1660">
        <v>0</v>
      </c>
      <c r="G1660">
        <v>1868</v>
      </c>
      <c r="H1660">
        <v>0</v>
      </c>
      <c r="I1660">
        <v>220</v>
      </c>
      <c r="J1660">
        <v>63</v>
      </c>
      <c r="K1660" s="1">
        <v>45992</v>
      </c>
      <c r="L1660" t="s">
        <v>439</v>
      </c>
      <c r="M1660" t="s">
        <v>444</v>
      </c>
      <c r="N1660" s="2">
        <f>IFERROR(NHS_A_E[[#This Row],[T1_Over4hrs]]/NHS_A_E[[#This Row],[T1_Attendances]], 0)</f>
        <v>0.41181657848324515</v>
      </c>
      <c r="O1660">
        <f>NHS_A_E[[#This Row],[T1_Attendances]]+NHS_A_E[[#This Row],[Other_Attendances]]</f>
        <v>4536</v>
      </c>
      <c r="P1660">
        <f>MATCH(LEFT(A1660,FIND("-",A1660)-1),{"April","May","June","July","August","September","October","November","December","January","February","March"},0)</f>
        <v>9</v>
      </c>
      <c r="Q1660" s="3">
        <f t="shared" si="50"/>
        <v>1.3888888888888888E-2</v>
      </c>
      <c r="R1660" t="str">
        <f t="shared" si="51"/>
        <v>December</v>
      </c>
    </row>
    <row r="1661" spans="1:18" x14ac:dyDescent="0.35">
      <c r="A1661" t="s">
        <v>443</v>
      </c>
      <c r="B1661" t="s">
        <v>159</v>
      </c>
      <c r="C1661" t="s">
        <v>40</v>
      </c>
      <c r="D1661" t="s">
        <v>160</v>
      </c>
      <c r="E1661">
        <v>6384</v>
      </c>
      <c r="F1661">
        <v>6075</v>
      </c>
      <c r="G1661">
        <v>3165</v>
      </c>
      <c r="H1661">
        <v>41</v>
      </c>
      <c r="I1661">
        <v>637</v>
      </c>
      <c r="J1661">
        <v>385</v>
      </c>
      <c r="K1661" s="1">
        <v>45992</v>
      </c>
      <c r="L1661" t="s">
        <v>439</v>
      </c>
      <c r="M1661" t="s">
        <v>444</v>
      </c>
      <c r="N1661" s="2">
        <f>IFERROR(NHS_A_E[[#This Row],[T1_Over4hrs]]/NHS_A_E[[#This Row],[T1_Attendances]], 0)</f>
        <v>0.49577067669172931</v>
      </c>
      <c r="O1661">
        <f>NHS_A_E[[#This Row],[T1_Attendances]]+NHS_A_E[[#This Row],[Other_Attendances]]</f>
        <v>12459</v>
      </c>
      <c r="P1661">
        <f>MATCH(LEFT(A1661,FIND("-",A1661)-1),{"April","May","June","July","August","September","October","November","December","January","February","March"},0)</f>
        <v>9</v>
      </c>
      <c r="Q1661" s="3">
        <f t="shared" si="50"/>
        <v>6.0307017543859649E-2</v>
      </c>
      <c r="R1661" t="str">
        <f t="shared" si="51"/>
        <v>December</v>
      </c>
    </row>
    <row r="1662" spans="1:18" x14ac:dyDescent="0.35">
      <c r="A1662" t="s">
        <v>443</v>
      </c>
      <c r="B1662" t="s">
        <v>151</v>
      </c>
      <c r="C1662" t="s">
        <v>30</v>
      </c>
      <c r="D1662" t="s">
        <v>152</v>
      </c>
      <c r="E1662">
        <v>26198</v>
      </c>
      <c r="F1662">
        <v>10203</v>
      </c>
      <c r="G1662">
        <v>10888</v>
      </c>
      <c r="H1662">
        <v>345</v>
      </c>
      <c r="I1662">
        <v>1121</v>
      </c>
      <c r="J1662">
        <v>1085</v>
      </c>
      <c r="K1662" s="1">
        <v>45992</v>
      </c>
      <c r="L1662" t="s">
        <v>439</v>
      </c>
      <c r="M1662" t="s">
        <v>444</v>
      </c>
      <c r="N1662" s="2">
        <f>IFERROR(NHS_A_E[[#This Row],[T1_Over4hrs]]/NHS_A_E[[#This Row],[T1_Attendances]], 0)</f>
        <v>0.41560424459882434</v>
      </c>
      <c r="O1662">
        <f>NHS_A_E[[#This Row],[T1_Attendances]]+NHS_A_E[[#This Row],[Other_Attendances]]</f>
        <v>36401</v>
      </c>
      <c r="P1662">
        <f>MATCH(LEFT(A1662,FIND("-",A1662)-1),{"April","May","June","July","August","September","October","November","December","January","February","March"},0)</f>
        <v>9</v>
      </c>
      <c r="Q1662" s="3">
        <f t="shared" si="50"/>
        <v>4.1415375219482402E-2</v>
      </c>
      <c r="R1662" t="str">
        <f t="shared" si="51"/>
        <v>December</v>
      </c>
    </row>
    <row r="1663" spans="1:18" x14ac:dyDescent="0.35">
      <c r="A1663" t="s">
        <v>443</v>
      </c>
      <c r="B1663" t="s">
        <v>153</v>
      </c>
      <c r="C1663" t="s">
        <v>30</v>
      </c>
      <c r="D1663" t="s">
        <v>154</v>
      </c>
      <c r="E1663">
        <v>12275</v>
      </c>
      <c r="F1663">
        <v>3250</v>
      </c>
      <c r="G1663">
        <v>4443</v>
      </c>
      <c r="H1663">
        <v>92</v>
      </c>
      <c r="I1663">
        <v>1006</v>
      </c>
      <c r="J1663">
        <v>446</v>
      </c>
      <c r="K1663" s="1">
        <v>45992</v>
      </c>
      <c r="L1663" t="s">
        <v>439</v>
      </c>
      <c r="M1663" t="s">
        <v>444</v>
      </c>
      <c r="N1663" s="2">
        <f>IFERROR(NHS_A_E[[#This Row],[T1_Over4hrs]]/NHS_A_E[[#This Row],[T1_Attendances]], 0)</f>
        <v>0.3619551934826884</v>
      </c>
      <c r="O1663">
        <f>NHS_A_E[[#This Row],[T1_Attendances]]+NHS_A_E[[#This Row],[Other_Attendances]]</f>
        <v>15525</v>
      </c>
      <c r="P1663">
        <f>MATCH(LEFT(A1663,FIND("-",A1663)-1),{"April","May","June","July","August","September","October","November","December","January","February","March"},0)</f>
        <v>9</v>
      </c>
      <c r="Q1663" s="3">
        <f t="shared" si="50"/>
        <v>3.6334012219959265E-2</v>
      </c>
      <c r="R1663" t="str">
        <f t="shared" si="51"/>
        <v>December</v>
      </c>
    </row>
    <row r="1664" spans="1:18" x14ac:dyDescent="0.35">
      <c r="A1664" t="s">
        <v>443</v>
      </c>
      <c r="B1664" t="s">
        <v>83</v>
      </c>
      <c r="C1664" t="s">
        <v>35</v>
      </c>
      <c r="D1664" t="s">
        <v>84</v>
      </c>
      <c r="E1664">
        <v>13918</v>
      </c>
      <c r="F1664">
        <v>15544</v>
      </c>
      <c r="G1664">
        <v>7172</v>
      </c>
      <c r="H1664">
        <v>866</v>
      </c>
      <c r="I1664">
        <v>649</v>
      </c>
      <c r="J1664">
        <v>673</v>
      </c>
      <c r="K1664" s="1">
        <v>45992</v>
      </c>
      <c r="L1664" t="s">
        <v>439</v>
      </c>
      <c r="M1664" t="s">
        <v>444</v>
      </c>
      <c r="N1664" s="2">
        <f>IFERROR(NHS_A_E[[#This Row],[T1_Over4hrs]]/NHS_A_E[[#This Row],[T1_Attendances]], 0)</f>
        <v>0.51530392297743932</v>
      </c>
      <c r="O1664">
        <f>NHS_A_E[[#This Row],[T1_Attendances]]+NHS_A_E[[#This Row],[Other_Attendances]]</f>
        <v>29462</v>
      </c>
      <c r="P1664">
        <f>MATCH(LEFT(A1664,FIND("-",A1664)-1),{"April","May","June","July","August","September","October","November","December","January","February","March"},0)</f>
        <v>9</v>
      </c>
      <c r="Q1664" s="3">
        <f t="shared" si="50"/>
        <v>4.8354648656416151E-2</v>
      </c>
      <c r="R1664" t="str">
        <f t="shared" si="51"/>
        <v>December</v>
      </c>
    </row>
    <row r="1665" spans="1:18" x14ac:dyDescent="0.35">
      <c r="A1665" t="s">
        <v>443</v>
      </c>
      <c r="B1665" t="s">
        <v>211</v>
      </c>
      <c r="C1665" t="s">
        <v>30</v>
      </c>
      <c r="D1665" t="s">
        <v>212</v>
      </c>
      <c r="E1665">
        <v>7893</v>
      </c>
      <c r="F1665">
        <v>3086</v>
      </c>
      <c r="G1665">
        <v>4414</v>
      </c>
      <c r="H1665">
        <v>209</v>
      </c>
      <c r="I1665">
        <v>480</v>
      </c>
      <c r="J1665">
        <v>897</v>
      </c>
      <c r="K1665" s="1">
        <v>45992</v>
      </c>
      <c r="L1665" t="s">
        <v>439</v>
      </c>
      <c r="M1665" t="s">
        <v>444</v>
      </c>
      <c r="N1665" s="2">
        <f>IFERROR(NHS_A_E[[#This Row],[T1_Over4hrs]]/NHS_A_E[[#This Row],[T1_Attendances]], 0)</f>
        <v>0.55922969720005067</v>
      </c>
      <c r="O1665">
        <f>NHS_A_E[[#This Row],[T1_Attendances]]+NHS_A_E[[#This Row],[Other_Attendances]]</f>
        <v>10979</v>
      </c>
      <c r="P1665">
        <f>MATCH(LEFT(A1665,FIND("-",A1665)-1),{"April","May","June","July","August","September","October","November","December","January","February","March"},0)</f>
        <v>9</v>
      </c>
      <c r="Q1665" s="3">
        <f t="shared" si="50"/>
        <v>0.1136450019004181</v>
      </c>
      <c r="R1665" t="str">
        <f t="shared" si="51"/>
        <v>December</v>
      </c>
    </row>
    <row r="1666" spans="1:18" x14ac:dyDescent="0.35">
      <c r="A1666" t="s">
        <v>443</v>
      </c>
      <c r="B1666" t="s">
        <v>91</v>
      </c>
      <c r="C1666" t="s">
        <v>30</v>
      </c>
      <c r="D1666" t="s">
        <v>92</v>
      </c>
      <c r="E1666">
        <v>17740</v>
      </c>
      <c r="F1666">
        <v>7162</v>
      </c>
      <c r="G1666">
        <v>7414</v>
      </c>
      <c r="H1666">
        <v>127</v>
      </c>
      <c r="I1666">
        <v>570</v>
      </c>
      <c r="J1666">
        <v>497</v>
      </c>
      <c r="K1666" s="1">
        <v>45992</v>
      </c>
      <c r="L1666" t="s">
        <v>439</v>
      </c>
      <c r="M1666" t="s">
        <v>444</v>
      </c>
      <c r="N1666" s="2">
        <f>IFERROR(NHS_A_E[[#This Row],[T1_Over4hrs]]/NHS_A_E[[#This Row],[T1_Attendances]], 0)</f>
        <v>0.41792559188275086</v>
      </c>
      <c r="O1666">
        <f>NHS_A_E[[#This Row],[T1_Attendances]]+NHS_A_E[[#This Row],[Other_Attendances]]</f>
        <v>24902</v>
      </c>
      <c r="P1666">
        <f>MATCH(LEFT(A1666,FIND("-",A1666)-1),{"April","May","June","July","August","September","October","November","December","January","February","March"},0)</f>
        <v>9</v>
      </c>
      <c r="Q1666" s="3">
        <f t="shared" ref="Q1666:Q1729" si="52">IFERROR(J1666/E1666,0)</f>
        <v>2.8015783540022546E-2</v>
      </c>
      <c r="R1666" t="str">
        <f t="shared" ref="R1666:R1729" si="53">TEXT(A1666, "mmmm")</f>
        <v>December</v>
      </c>
    </row>
    <row r="1667" spans="1:18" x14ac:dyDescent="0.35">
      <c r="A1667" t="s">
        <v>443</v>
      </c>
      <c r="B1667" t="s">
        <v>283</v>
      </c>
      <c r="C1667" t="s">
        <v>15</v>
      </c>
      <c r="D1667" t="s">
        <v>284</v>
      </c>
      <c r="E1667">
        <v>0</v>
      </c>
      <c r="F1667">
        <v>2758</v>
      </c>
      <c r="G1667">
        <v>0</v>
      </c>
      <c r="H1667">
        <v>31</v>
      </c>
      <c r="I1667">
        <v>0</v>
      </c>
      <c r="J1667">
        <v>0</v>
      </c>
      <c r="K1667" s="1">
        <v>45992</v>
      </c>
      <c r="L1667" t="s">
        <v>439</v>
      </c>
      <c r="M1667" t="s">
        <v>444</v>
      </c>
      <c r="N1667" s="2">
        <f>IFERROR(NHS_A_E[[#This Row],[T1_Over4hrs]]/NHS_A_E[[#This Row],[T1_Attendances]], 0)</f>
        <v>0</v>
      </c>
      <c r="O1667">
        <f>NHS_A_E[[#This Row],[T1_Attendances]]+NHS_A_E[[#This Row],[Other_Attendances]]</f>
        <v>2758</v>
      </c>
      <c r="P1667">
        <f>MATCH(LEFT(A1667,FIND("-",A1667)-1),{"April","May","June","July","August","September","October","November","December","January","February","March"},0)</f>
        <v>9</v>
      </c>
      <c r="Q1667" s="3">
        <f t="shared" si="52"/>
        <v>0</v>
      </c>
      <c r="R1667" t="str">
        <f t="shared" si="53"/>
        <v>December</v>
      </c>
    </row>
    <row r="1668" spans="1:18" x14ac:dyDescent="0.35">
      <c r="A1668" t="s">
        <v>443</v>
      </c>
      <c r="B1668" t="s">
        <v>209</v>
      </c>
      <c r="C1668" t="s">
        <v>35</v>
      </c>
      <c r="D1668" t="s">
        <v>210</v>
      </c>
      <c r="E1668">
        <v>25706</v>
      </c>
      <c r="F1668">
        <v>18261</v>
      </c>
      <c r="G1668">
        <v>12110</v>
      </c>
      <c r="H1668">
        <v>1857</v>
      </c>
      <c r="I1668">
        <v>1150</v>
      </c>
      <c r="J1668">
        <v>1088</v>
      </c>
      <c r="K1668" s="1">
        <v>45992</v>
      </c>
      <c r="L1668" t="s">
        <v>439</v>
      </c>
      <c r="M1668" t="s">
        <v>444</v>
      </c>
      <c r="N1668" s="2">
        <f>IFERROR(NHS_A_E[[#This Row],[T1_Over4hrs]]/NHS_A_E[[#This Row],[T1_Attendances]], 0)</f>
        <v>0.47109624212246171</v>
      </c>
      <c r="O1668">
        <f>NHS_A_E[[#This Row],[T1_Attendances]]+NHS_A_E[[#This Row],[Other_Attendances]]</f>
        <v>43967</v>
      </c>
      <c r="P1668">
        <f>MATCH(LEFT(A1668,FIND("-",A1668)-1),{"April","May","June","July","August","September","October","November","December","January","February","March"},0)</f>
        <v>9</v>
      </c>
      <c r="Q1668" s="3">
        <f t="shared" si="52"/>
        <v>4.2324749085816543E-2</v>
      </c>
      <c r="R1668" t="str">
        <f t="shared" si="53"/>
        <v>December</v>
      </c>
    </row>
    <row r="1669" spans="1:18" x14ac:dyDescent="0.35">
      <c r="A1669" t="s">
        <v>443</v>
      </c>
      <c r="B1669" t="s">
        <v>34</v>
      </c>
      <c r="C1669" t="s">
        <v>35</v>
      </c>
      <c r="D1669" t="s">
        <v>36</v>
      </c>
      <c r="E1669">
        <v>13846</v>
      </c>
      <c r="F1669">
        <v>14734</v>
      </c>
      <c r="G1669">
        <v>6745</v>
      </c>
      <c r="H1669">
        <v>174</v>
      </c>
      <c r="I1669">
        <v>722</v>
      </c>
      <c r="J1669">
        <v>840</v>
      </c>
      <c r="K1669" s="1">
        <v>45992</v>
      </c>
      <c r="L1669" t="s">
        <v>439</v>
      </c>
      <c r="M1669" t="s">
        <v>444</v>
      </c>
      <c r="N1669" s="2">
        <f>IFERROR(NHS_A_E[[#This Row],[T1_Over4hrs]]/NHS_A_E[[#This Row],[T1_Attendances]], 0)</f>
        <v>0.48714430160335115</v>
      </c>
      <c r="O1669">
        <f>NHS_A_E[[#This Row],[T1_Attendances]]+NHS_A_E[[#This Row],[Other_Attendances]]</f>
        <v>28580</v>
      </c>
      <c r="P1669">
        <f>MATCH(LEFT(A1669,FIND("-",A1669)-1),{"April","May","June","July","August","September","October","November","December","January","February","March"},0)</f>
        <v>9</v>
      </c>
      <c r="Q1669" s="3">
        <f t="shared" si="52"/>
        <v>6.0667340748230533E-2</v>
      </c>
      <c r="R1669" t="str">
        <f t="shared" si="53"/>
        <v>December</v>
      </c>
    </row>
    <row r="1670" spans="1:18" x14ac:dyDescent="0.35">
      <c r="A1670" t="s">
        <v>443</v>
      </c>
      <c r="B1670" t="s">
        <v>369</v>
      </c>
      <c r="C1670" t="s">
        <v>30</v>
      </c>
      <c r="D1670" t="s">
        <v>370</v>
      </c>
      <c r="E1670">
        <v>0</v>
      </c>
      <c r="F1670">
        <v>3088</v>
      </c>
      <c r="G1670">
        <v>0</v>
      </c>
      <c r="H1670">
        <v>130</v>
      </c>
      <c r="I1670">
        <v>0</v>
      </c>
      <c r="J1670">
        <v>0</v>
      </c>
      <c r="K1670" s="1">
        <v>45992</v>
      </c>
      <c r="L1670" t="s">
        <v>439</v>
      </c>
      <c r="M1670" t="s">
        <v>444</v>
      </c>
      <c r="N1670" s="2">
        <f>IFERROR(NHS_A_E[[#This Row],[T1_Over4hrs]]/NHS_A_E[[#This Row],[T1_Attendances]], 0)</f>
        <v>0</v>
      </c>
      <c r="O1670">
        <f>NHS_A_E[[#This Row],[T1_Attendances]]+NHS_A_E[[#This Row],[Other_Attendances]]</f>
        <v>3088</v>
      </c>
      <c r="P1670">
        <f>MATCH(LEFT(A1670,FIND("-",A1670)-1),{"April","May","June","July","August","September","October","November","December","January","February","March"},0)</f>
        <v>9</v>
      </c>
      <c r="Q1670" s="3">
        <f t="shared" si="52"/>
        <v>0</v>
      </c>
      <c r="R1670" t="str">
        <f t="shared" si="53"/>
        <v>December</v>
      </c>
    </row>
    <row r="1671" spans="1:18" x14ac:dyDescent="0.35">
      <c r="A1671" t="s">
        <v>443</v>
      </c>
      <c r="B1671" t="s">
        <v>195</v>
      </c>
      <c r="C1671" t="s">
        <v>30</v>
      </c>
      <c r="D1671" t="s">
        <v>196</v>
      </c>
      <c r="E1671">
        <v>8841</v>
      </c>
      <c r="F1671">
        <v>9969</v>
      </c>
      <c r="G1671">
        <v>4200</v>
      </c>
      <c r="H1671">
        <v>124</v>
      </c>
      <c r="I1671">
        <v>498</v>
      </c>
      <c r="J1671">
        <v>466</v>
      </c>
      <c r="K1671" s="1">
        <v>45992</v>
      </c>
      <c r="L1671" t="s">
        <v>439</v>
      </c>
      <c r="M1671" t="s">
        <v>444</v>
      </c>
      <c r="N1671" s="2">
        <f>IFERROR(NHS_A_E[[#This Row],[T1_Over4hrs]]/NHS_A_E[[#This Row],[T1_Attendances]], 0)</f>
        <v>0.47505938242280282</v>
      </c>
      <c r="O1671">
        <f>NHS_A_E[[#This Row],[T1_Attendances]]+NHS_A_E[[#This Row],[Other_Attendances]]</f>
        <v>18810</v>
      </c>
      <c r="P1671">
        <f>MATCH(LEFT(A1671,FIND("-",A1671)-1),{"April","May","June","July","August","September","October","November","December","January","February","March"},0)</f>
        <v>9</v>
      </c>
      <c r="Q1671" s="3">
        <f t="shared" si="52"/>
        <v>5.2708969573577652E-2</v>
      </c>
      <c r="R1671" t="str">
        <f t="shared" si="53"/>
        <v>December</v>
      </c>
    </row>
    <row r="1672" spans="1:18" x14ac:dyDescent="0.35">
      <c r="A1672" t="s">
        <v>443</v>
      </c>
      <c r="B1672" t="s">
        <v>393</v>
      </c>
      <c r="C1672" t="s">
        <v>23</v>
      </c>
      <c r="D1672" t="s">
        <v>394</v>
      </c>
      <c r="E1672">
        <v>15671</v>
      </c>
      <c r="F1672">
        <v>4510</v>
      </c>
      <c r="G1672">
        <v>5968</v>
      </c>
      <c r="H1672">
        <v>105</v>
      </c>
      <c r="I1672">
        <v>572</v>
      </c>
      <c r="J1672">
        <v>865</v>
      </c>
      <c r="K1672" s="1">
        <v>45992</v>
      </c>
      <c r="L1672" t="s">
        <v>439</v>
      </c>
      <c r="M1672" t="s">
        <v>444</v>
      </c>
      <c r="N1672" s="2">
        <f>IFERROR(NHS_A_E[[#This Row],[T1_Over4hrs]]/NHS_A_E[[#This Row],[T1_Attendances]], 0)</f>
        <v>0.38083083402463147</v>
      </c>
      <c r="O1672">
        <f>NHS_A_E[[#This Row],[T1_Attendances]]+NHS_A_E[[#This Row],[Other_Attendances]]</f>
        <v>20181</v>
      </c>
      <c r="P1672">
        <f>MATCH(LEFT(A1672,FIND("-",A1672)-1),{"April","May","June","July","August","September","October","November","December","January","February","March"},0)</f>
        <v>9</v>
      </c>
      <c r="Q1672" s="3">
        <f t="shared" si="52"/>
        <v>5.5197498564226913E-2</v>
      </c>
      <c r="R1672" t="str">
        <f t="shared" si="53"/>
        <v>December</v>
      </c>
    </row>
    <row r="1673" spans="1:18" x14ac:dyDescent="0.35">
      <c r="A1673" t="s">
        <v>443</v>
      </c>
      <c r="B1673" t="s">
        <v>395</v>
      </c>
      <c r="C1673" t="s">
        <v>23</v>
      </c>
      <c r="D1673" t="s">
        <v>396</v>
      </c>
      <c r="E1673">
        <v>7850</v>
      </c>
      <c r="F1673">
        <v>815</v>
      </c>
      <c r="G1673">
        <v>2566</v>
      </c>
      <c r="H1673">
        <v>0</v>
      </c>
      <c r="I1673">
        <v>481</v>
      </c>
      <c r="J1673">
        <v>341</v>
      </c>
      <c r="K1673" s="1">
        <v>45992</v>
      </c>
      <c r="L1673" t="s">
        <v>439</v>
      </c>
      <c r="M1673" t="s">
        <v>444</v>
      </c>
      <c r="N1673" s="2">
        <f>IFERROR(NHS_A_E[[#This Row],[T1_Over4hrs]]/NHS_A_E[[#This Row],[T1_Attendances]], 0)</f>
        <v>0.32687898089171974</v>
      </c>
      <c r="O1673">
        <f>NHS_A_E[[#This Row],[T1_Attendances]]+NHS_A_E[[#This Row],[Other_Attendances]]</f>
        <v>8665</v>
      </c>
      <c r="P1673">
        <f>MATCH(LEFT(A1673,FIND("-",A1673)-1),{"April","May","June","July","August","September","October","November","December","January","February","March"},0)</f>
        <v>9</v>
      </c>
      <c r="Q1673" s="3">
        <f t="shared" si="52"/>
        <v>4.3439490445859874E-2</v>
      </c>
      <c r="R1673" t="str">
        <f t="shared" si="53"/>
        <v>December</v>
      </c>
    </row>
    <row r="1674" spans="1:18" x14ac:dyDescent="0.35">
      <c r="A1674" t="s">
        <v>443</v>
      </c>
      <c r="B1674" t="s">
        <v>103</v>
      </c>
      <c r="C1674" t="s">
        <v>20</v>
      </c>
      <c r="D1674" t="s">
        <v>104</v>
      </c>
      <c r="E1674">
        <v>11873</v>
      </c>
      <c r="F1674">
        <v>8920</v>
      </c>
      <c r="G1674">
        <v>5902</v>
      </c>
      <c r="H1674">
        <v>187</v>
      </c>
      <c r="I1674">
        <v>502</v>
      </c>
      <c r="J1674">
        <v>132</v>
      </c>
      <c r="K1674" s="1">
        <v>45992</v>
      </c>
      <c r="L1674" t="s">
        <v>439</v>
      </c>
      <c r="M1674" t="s">
        <v>444</v>
      </c>
      <c r="N1674" s="2">
        <f>IFERROR(NHS_A_E[[#This Row],[T1_Over4hrs]]/NHS_A_E[[#This Row],[T1_Attendances]], 0)</f>
        <v>0.49709424745220249</v>
      </c>
      <c r="O1674">
        <f>NHS_A_E[[#This Row],[T1_Attendances]]+NHS_A_E[[#This Row],[Other_Attendances]]</f>
        <v>20793</v>
      </c>
      <c r="P1674">
        <f>MATCH(LEFT(A1674,FIND("-",A1674)-1),{"April","May","June","July","August","September","October","November","December","January","February","March"},0)</f>
        <v>9</v>
      </c>
      <c r="Q1674" s="3">
        <f t="shared" si="52"/>
        <v>1.1117661922007917E-2</v>
      </c>
      <c r="R1674" t="str">
        <f t="shared" si="53"/>
        <v>December</v>
      </c>
    </row>
    <row r="1675" spans="1:18" x14ac:dyDescent="0.35">
      <c r="A1675" t="s">
        <v>443</v>
      </c>
      <c r="B1675" t="s">
        <v>105</v>
      </c>
      <c r="C1675" t="s">
        <v>15</v>
      </c>
      <c r="D1675" t="s">
        <v>106</v>
      </c>
      <c r="E1675">
        <v>11758</v>
      </c>
      <c r="F1675">
        <v>0</v>
      </c>
      <c r="G1675">
        <v>4459</v>
      </c>
      <c r="H1675">
        <v>0</v>
      </c>
      <c r="I1675">
        <v>568</v>
      </c>
      <c r="J1675">
        <v>11</v>
      </c>
      <c r="K1675" s="1">
        <v>45992</v>
      </c>
      <c r="L1675" t="s">
        <v>439</v>
      </c>
      <c r="M1675" t="s">
        <v>444</v>
      </c>
      <c r="N1675" s="2">
        <f>IFERROR(NHS_A_E[[#This Row],[T1_Over4hrs]]/NHS_A_E[[#This Row],[T1_Attendances]], 0)</f>
        <v>0.37923116176220445</v>
      </c>
      <c r="O1675">
        <f>NHS_A_E[[#This Row],[T1_Attendances]]+NHS_A_E[[#This Row],[Other_Attendances]]</f>
        <v>11758</v>
      </c>
      <c r="P1675">
        <f>MATCH(LEFT(A1675,FIND("-",A1675)-1),{"April","May","June","July","August","September","October","November","December","January","February","March"},0)</f>
        <v>9</v>
      </c>
      <c r="Q1675" s="3">
        <f t="shared" si="52"/>
        <v>9.3553325395475426E-4</v>
      </c>
      <c r="R1675" t="str">
        <f t="shared" si="53"/>
        <v>December</v>
      </c>
    </row>
    <row r="1676" spans="1:18" x14ac:dyDescent="0.35">
      <c r="A1676" t="s">
        <v>443</v>
      </c>
      <c r="B1676" t="s">
        <v>107</v>
      </c>
      <c r="C1676" t="s">
        <v>63</v>
      </c>
      <c r="D1676" t="s">
        <v>108</v>
      </c>
      <c r="E1676">
        <v>9074</v>
      </c>
      <c r="F1676">
        <v>7050</v>
      </c>
      <c r="G1676">
        <v>4702</v>
      </c>
      <c r="H1676">
        <v>419</v>
      </c>
      <c r="I1676">
        <v>1214</v>
      </c>
      <c r="J1676">
        <v>5</v>
      </c>
      <c r="K1676" s="1">
        <v>45992</v>
      </c>
      <c r="L1676" t="s">
        <v>439</v>
      </c>
      <c r="M1676" t="s">
        <v>444</v>
      </c>
      <c r="N1676" s="2">
        <f>IFERROR(NHS_A_E[[#This Row],[T1_Over4hrs]]/NHS_A_E[[#This Row],[T1_Attendances]], 0)</f>
        <v>0.51818382190875023</v>
      </c>
      <c r="O1676">
        <f>NHS_A_E[[#This Row],[T1_Attendances]]+NHS_A_E[[#This Row],[Other_Attendances]]</f>
        <v>16124</v>
      </c>
      <c r="P1676">
        <f>MATCH(LEFT(A1676,FIND("-",A1676)-1),{"April","May","June","July","August","September","October","November","December","January","February","March"},0)</f>
        <v>9</v>
      </c>
      <c r="Q1676" s="3">
        <f t="shared" si="52"/>
        <v>5.5102490632576596E-4</v>
      </c>
      <c r="R1676" t="str">
        <f t="shared" si="53"/>
        <v>December</v>
      </c>
    </row>
    <row r="1677" spans="1:18" x14ac:dyDescent="0.35">
      <c r="A1677" t="s">
        <v>443</v>
      </c>
      <c r="B1677" t="s">
        <v>149</v>
      </c>
      <c r="C1677" t="s">
        <v>15</v>
      </c>
      <c r="D1677" t="s">
        <v>150</v>
      </c>
      <c r="E1677">
        <v>10779</v>
      </c>
      <c r="F1677">
        <v>2825</v>
      </c>
      <c r="G1677">
        <v>4119</v>
      </c>
      <c r="H1677">
        <v>10</v>
      </c>
      <c r="I1677">
        <v>773</v>
      </c>
      <c r="J1677">
        <v>1033</v>
      </c>
      <c r="K1677" s="1">
        <v>45992</v>
      </c>
      <c r="L1677" t="s">
        <v>439</v>
      </c>
      <c r="M1677" t="s">
        <v>444</v>
      </c>
      <c r="N1677" s="2">
        <f>IFERROR(NHS_A_E[[#This Row],[T1_Over4hrs]]/NHS_A_E[[#This Row],[T1_Attendances]], 0)</f>
        <v>0.38213192318396882</v>
      </c>
      <c r="O1677">
        <f>NHS_A_E[[#This Row],[T1_Attendances]]+NHS_A_E[[#This Row],[Other_Attendances]]</f>
        <v>13604</v>
      </c>
      <c r="P1677">
        <f>MATCH(LEFT(A1677,FIND("-",A1677)-1),{"April","May","June","July","August","September","October","November","December","January","February","March"},0)</f>
        <v>9</v>
      </c>
      <c r="Q1677" s="3">
        <f t="shared" si="52"/>
        <v>9.5834492995639675E-2</v>
      </c>
      <c r="R1677" t="str">
        <f t="shared" si="53"/>
        <v>December</v>
      </c>
    </row>
    <row r="1678" spans="1:18" x14ac:dyDescent="0.35">
      <c r="A1678" t="s">
        <v>443</v>
      </c>
      <c r="B1678" t="s">
        <v>42</v>
      </c>
      <c r="C1678" t="s">
        <v>40</v>
      </c>
      <c r="D1678" t="s">
        <v>43</v>
      </c>
      <c r="E1678">
        <v>10530</v>
      </c>
      <c r="F1678">
        <v>5527</v>
      </c>
      <c r="G1678">
        <v>4775</v>
      </c>
      <c r="H1678">
        <v>531</v>
      </c>
      <c r="I1678">
        <v>860</v>
      </c>
      <c r="J1678">
        <v>642</v>
      </c>
      <c r="K1678" s="1">
        <v>45992</v>
      </c>
      <c r="L1678" t="s">
        <v>439</v>
      </c>
      <c r="M1678" t="s">
        <v>444</v>
      </c>
      <c r="N1678" s="2">
        <f>IFERROR(NHS_A_E[[#This Row],[T1_Over4hrs]]/NHS_A_E[[#This Row],[T1_Attendances]], 0)</f>
        <v>0.45346628679962014</v>
      </c>
      <c r="O1678">
        <f>NHS_A_E[[#This Row],[T1_Attendances]]+NHS_A_E[[#This Row],[Other_Attendances]]</f>
        <v>16057</v>
      </c>
      <c r="P1678">
        <f>MATCH(LEFT(A1678,FIND("-",A1678)-1),{"April","May","June","July","August","September","October","November","December","January","February","March"},0)</f>
        <v>9</v>
      </c>
      <c r="Q1678" s="3">
        <f t="shared" si="52"/>
        <v>6.0968660968660972E-2</v>
      </c>
      <c r="R1678" t="str">
        <f t="shared" si="53"/>
        <v>December</v>
      </c>
    </row>
    <row r="1679" spans="1:18" x14ac:dyDescent="0.35">
      <c r="A1679" t="s">
        <v>443</v>
      </c>
      <c r="B1679" t="s">
        <v>46</v>
      </c>
      <c r="C1679" t="s">
        <v>40</v>
      </c>
      <c r="D1679" t="s">
        <v>47</v>
      </c>
      <c r="E1679">
        <v>0</v>
      </c>
      <c r="F1679">
        <v>0</v>
      </c>
      <c r="G1679">
        <v>0</v>
      </c>
      <c r="H1679">
        <v>0</v>
      </c>
      <c r="I1679">
        <v>0</v>
      </c>
      <c r="J1679">
        <v>0</v>
      </c>
      <c r="K1679" s="1">
        <v>45992</v>
      </c>
      <c r="L1679" t="s">
        <v>439</v>
      </c>
      <c r="M1679" t="s">
        <v>444</v>
      </c>
      <c r="N1679" s="2">
        <f>IFERROR(NHS_A_E[[#This Row],[T1_Over4hrs]]/NHS_A_E[[#This Row],[T1_Attendances]], 0)</f>
        <v>0</v>
      </c>
      <c r="O1679">
        <f>NHS_A_E[[#This Row],[T1_Attendances]]+NHS_A_E[[#This Row],[Other_Attendances]]</f>
        <v>0</v>
      </c>
      <c r="P1679">
        <f>MATCH(LEFT(A1679,FIND("-",A1679)-1),{"April","May","June","July","August","September","October","November","December","January","February","March"},0)</f>
        <v>9</v>
      </c>
      <c r="Q1679" s="3">
        <f t="shared" si="52"/>
        <v>0</v>
      </c>
      <c r="R1679" t="str">
        <f t="shared" si="53"/>
        <v>December</v>
      </c>
    </row>
    <row r="1680" spans="1:18" x14ac:dyDescent="0.35">
      <c r="A1680" t="s">
        <v>443</v>
      </c>
      <c r="B1680" t="s">
        <v>173</v>
      </c>
      <c r="C1680" t="s">
        <v>23</v>
      </c>
      <c r="D1680" t="s">
        <v>174</v>
      </c>
      <c r="E1680">
        <v>12638</v>
      </c>
      <c r="F1680">
        <v>8115</v>
      </c>
      <c r="G1680">
        <v>3957</v>
      </c>
      <c r="H1680">
        <v>3</v>
      </c>
      <c r="I1680">
        <v>706</v>
      </c>
      <c r="J1680">
        <v>257</v>
      </c>
      <c r="K1680" s="1">
        <v>45992</v>
      </c>
      <c r="L1680" t="s">
        <v>439</v>
      </c>
      <c r="M1680" t="s">
        <v>444</v>
      </c>
      <c r="N1680" s="2">
        <f>IFERROR(NHS_A_E[[#This Row],[T1_Over4hrs]]/NHS_A_E[[#This Row],[T1_Attendances]], 0)</f>
        <v>0.31310333913593924</v>
      </c>
      <c r="O1680">
        <f>NHS_A_E[[#This Row],[T1_Attendances]]+NHS_A_E[[#This Row],[Other_Attendances]]</f>
        <v>20753</v>
      </c>
      <c r="P1680">
        <f>MATCH(LEFT(A1680,FIND("-",A1680)-1),{"April","May","June","July","August","September","October","November","December","January","February","March"},0)</f>
        <v>9</v>
      </c>
      <c r="Q1680" s="3">
        <f t="shared" si="52"/>
        <v>2.0335496122804241E-2</v>
      </c>
      <c r="R1680" t="str">
        <f t="shared" si="53"/>
        <v>December</v>
      </c>
    </row>
    <row r="1681" spans="1:18" x14ac:dyDescent="0.35">
      <c r="A1681" t="s">
        <v>443</v>
      </c>
      <c r="B1681" t="s">
        <v>355</v>
      </c>
      <c r="C1681" t="s">
        <v>30</v>
      </c>
      <c r="D1681" t="s">
        <v>356</v>
      </c>
      <c r="E1681">
        <v>8140</v>
      </c>
      <c r="F1681">
        <v>3507</v>
      </c>
      <c r="G1681">
        <v>4161</v>
      </c>
      <c r="H1681">
        <v>162</v>
      </c>
      <c r="I1681">
        <v>361</v>
      </c>
      <c r="J1681">
        <v>718</v>
      </c>
      <c r="K1681" s="1">
        <v>45992</v>
      </c>
      <c r="L1681" t="s">
        <v>439</v>
      </c>
      <c r="M1681" t="s">
        <v>444</v>
      </c>
      <c r="N1681" s="2">
        <f>IFERROR(NHS_A_E[[#This Row],[T1_Over4hrs]]/NHS_A_E[[#This Row],[T1_Attendances]], 0)</f>
        <v>0.51117936117936114</v>
      </c>
      <c r="O1681">
        <f>NHS_A_E[[#This Row],[T1_Attendances]]+NHS_A_E[[#This Row],[Other_Attendances]]</f>
        <v>11647</v>
      </c>
      <c r="P1681">
        <f>MATCH(LEFT(A1681,FIND("-",A1681)-1),{"April","May","June","July","August","September","October","November","December","January","February","March"},0)</f>
        <v>9</v>
      </c>
      <c r="Q1681" s="3">
        <f t="shared" si="52"/>
        <v>8.8206388206388209E-2</v>
      </c>
      <c r="R1681" t="str">
        <f t="shared" si="53"/>
        <v>December</v>
      </c>
    </row>
    <row r="1682" spans="1:18" x14ac:dyDescent="0.35">
      <c r="A1682" t="s">
        <v>443</v>
      </c>
      <c r="B1682" t="s">
        <v>50</v>
      </c>
      <c r="C1682" t="s">
        <v>15</v>
      </c>
      <c r="D1682" t="s">
        <v>51</v>
      </c>
      <c r="E1682">
        <v>11729</v>
      </c>
      <c r="F1682">
        <v>3731</v>
      </c>
      <c r="G1682">
        <v>2881</v>
      </c>
      <c r="H1682">
        <v>79</v>
      </c>
      <c r="I1682">
        <v>586</v>
      </c>
      <c r="J1682">
        <v>342</v>
      </c>
      <c r="K1682" s="1">
        <v>45992</v>
      </c>
      <c r="L1682" t="s">
        <v>439</v>
      </c>
      <c r="M1682" t="s">
        <v>444</v>
      </c>
      <c r="N1682" s="2">
        <f>IFERROR(NHS_A_E[[#This Row],[T1_Over4hrs]]/NHS_A_E[[#This Row],[T1_Attendances]], 0)</f>
        <v>0.24563048853269673</v>
      </c>
      <c r="O1682">
        <f>NHS_A_E[[#This Row],[T1_Attendances]]+NHS_A_E[[#This Row],[Other_Attendances]]</f>
        <v>15460</v>
      </c>
      <c r="P1682">
        <f>MATCH(LEFT(A1682,FIND("-",A1682)-1),{"April","May","June","July","August","September","October","November","December","January","February","March"},0)</f>
        <v>9</v>
      </c>
      <c r="Q1682" s="3">
        <f t="shared" si="52"/>
        <v>2.9158496035467645E-2</v>
      </c>
      <c r="R1682" t="str">
        <f t="shared" si="53"/>
        <v>December</v>
      </c>
    </row>
    <row r="1683" spans="1:18" x14ac:dyDescent="0.35">
      <c r="A1683" t="s">
        <v>443</v>
      </c>
      <c r="B1683" t="s">
        <v>359</v>
      </c>
      <c r="C1683" t="s">
        <v>40</v>
      </c>
      <c r="D1683" t="s">
        <v>360</v>
      </c>
      <c r="E1683">
        <v>9815</v>
      </c>
      <c r="F1683">
        <v>4324</v>
      </c>
      <c r="G1683">
        <v>4068</v>
      </c>
      <c r="H1683">
        <v>218</v>
      </c>
      <c r="I1683">
        <v>2856</v>
      </c>
      <c r="J1683">
        <v>155</v>
      </c>
      <c r="K1683" s="1">
        <v>45992</v>
      </c>
      <c r="L1683" t="s">
        <v>439</v>
      </c>
      <c r="M1683" t="s">
        <v>444</v>
      </c>
      <c r="N1683" s="2">
        <f>IFERROR(NHS_A_E[[#This Row],[T1_Over4hrs]]/NHS_A_E[[#This Row],[T1_Attendances]], 0)</f>
        <v>0.41446765155374427</v>
      </c>
      <c r="O1683">
        <f>NHS_A_E[[#This Row],[T1_Attendances]]+NHS_A_E[[#This Row],[Other_Attendances]]</f>
        <v>14139</v>
      </c>
      <c r="P1683">
        <f>MATCH(LEFT(A1683,FIND("-",A1683)-1),{"April","May","June","July","August","September","October","November","December","January","February","March"},0)</f>
        <v>9</v>
      </c>
      <c r="Q1683" s="3">
        <f t="shared" si="52"/>
        <v>1.5792154865002548E-2</v>
      </c>
      <c r="R1683" t="str">
        <f t="shared" si="53"/>
        <v>December</v>
      </c>
    </row>
    <row r="1684" spans="1:18" x14ac:dyDescent="0.35">
      <c r="A1684" t="s">
        <v>443</v>
      </c>
      <c r="B1684" t="s">
        <v>56</v>
      </c>
      <c r="C1684" t="s">
        <v>20</v>
      </c>
      <c r="D1684" t="s">
        <v>57</v>
      </c>
      <c r="E1684">
        <v>4458</v>
      </c>
      <c r="F1684">
        <v>2150</v>
      </c>
      <c r="G1684">
        <v>1661</v>
      </c>
      <c r="H1684">
        <v>0</v>
      </c>
      <c r="I1684">
        <v>417</v>
      </c>
      <c r="J1684">
        <v>101</v>
      </c>
      <c r="K1684" s="1">
        <v>45992</v>
      </c>
      <c r="L1684" t="s">
        <v>439</v>
      </c>
      <c r="M1684" t="s">
        <v>444</v>
      </c>
      <c r="N1684" s="2">
        <f>IFERROR(NHS_A_E[[#This Row],[T1_Over4hrs]]/NHS_A_E[[#This Row],[T1_Attendances]], 0)</f>
        <v>0.37258860475549571</v>
      </c>
      <c r="O1684">
        <f>NHS_A_E[[#This Row],[T1_Attendances]]+NHS_A_E[[#This Row],[Other_Attendances]]</f>
        <v>6608</v>
      </c>
      <c r="P1684">
        <f>MATCH(LEFT(A1684,FIND("-",A1684)-1),{"April","May","June","July","August","September","October","November","December","January","February","March"},0)</f>
        <v>9</v>
      </c>
      <c r="Q1684" s="3">
        <f t="shared" si="52"/>
        <v>2.2655899506505161E-2</v>
      </c>
      <c r="R1684" t="str">
        <f t="shared" si="53"/>
        <v>December</v>
      </c>
    </row>
    <row r="1685" spans="1:18" x14ac:dyDescent="0.35">
      <c r="A1685" t="s">
        <v>443</v>
      </c>
      <c r="B1685" t="s">
        <v>129</v>
      </c>
      <c r="C1685" t="s">
        <v>63</v>
      </c>
      <c r="D1685" t="s">
        <v>130</v>
      </c>
      <c r="E1685">
        <v>13497</v>
      </c>
      <c r="F1685">
        <v>3778</v>
      </c>
      <c r="G1685">
        <v>5338</v>
      </c>
      <c r="H1685">
        <v>0</v>
      </c>
      <c r="I1685">
        <v>1246</v>
      </c>
      <c r="J1685">
        <v>235</v>
      </c>
      <c r="K1685" s="1">
        <v>45992</v>
      </c>
      <c r="L1685" t="s">
        <v>439</v>
      </c>
      <c r="M1685" t="s">
        <v>444</v>
      </c>
      <c r="N1685" s="2">
        <f>IFERROR(NHS_A_E[[#This Row],[T1_Over4hrs]]/NHS_A_E[[#This Row],[T1_Attendances]], 0)</f>
        <v>0.39549529525079646</v>
      </c>
      <c r="O1685">
        <f>NHS_A_E[[#This Row],[T1_Attendances]]+NHS_A_E[[#This Row],[Other_Attendances]]</f>
        <v>17275</v>
      </c>
      <c r="P1685">
        <f>MATCH(LEFT(A1685,FIND("-",A1685)-1),{"April","May","June","July","August","September","October","November","December","January","February","March"},0)</f>
        <v>9</v>
      </c>
      <c r="Q1685" s="3">
        <f t="shared" si="52"/>
        <v>1.7411276579980737E-2</v>
      </c>
      <c r="R1685" t="str">
        <f t="shared" si="53"/>
        <v>December</v>
      </c>
    </row>
    <row r="1686" spans="1:18" x14ac:dyDescent="0.35">
      <c r="A1686" t="s">
        <v>443</v>
      </c>
      <c r="B1686" t="s">
        <v>65</v>
      </c>
      <c r="C1686" t="s">
        <v>30</v>
      </c>
      <c r="D1686" t="s">
        <v>66</v>
      </c>
      <c r="E1686">
        <v>8080</v>
      </c>
      <c r="F1686">
        <v>4363</v>
      </c>
      <c r="G1686">
        <v>4062</v>
      </c>
      <c r="H1686">
        <v>71</v>
      </c>
      <c r="I1686">
        <v>548</v>
      </c>
      <c r="J1686">
        <v>453</v>
      </c>
      <c r="K1686" s="1">
        <v>45992</v>
      </c>
      <c r="L1686" t="s">
        <v>439</v>
      </c>
      <c r="M1686" t="s">
        <v>444</v>
      </c>
      <c r="N1686" s="2">
        <f>IFERROR(NHS_A_E[[#This Row],[T1_Over4hrs]]/NHS_A_E[[#This Row],[T1_Attendances]], 0)</f>
        <v>0.50272277227722773</v>
      </c>
      <c r="O1686">
        <f>NHS_A_E[[#This Row],[T1_Attendances]]+NHS_A_E[[#This Row],[Other_Attendances]]</f>
        <v>12443</v>
      </c>
      <c r="P1686">
        <f>MATCH(LEFT(A1686,FIND("-",A1686)-1),{"April","May","June","July","August","September","October","November","December","January","February","March"},0)</f>
        <v>9</v>
      </c>
      <c r="Q1686" s="3">
        <f t="shared" si="52"/>
        <v>5.6064356435643566E-2</v>
      </c>
      <c r="R1686" t="str">
        <f t="shared" si="53"/>
        <v>December</v>
      </c>
    </row>
    <row r="1687" spans="1:18" x14ac:dyDescent="0.35">
      <c r="A1687" t="s">
        <v>443</v>
      </c>
      <c r="B1687" t="s">
        <v>165</v>
      </c>
      <c r="C1687" t="s">
        <v>63</v>
      </c>
      <c r="D1687" t="s">
        <v>166</v>
      </c>
      <c r="E1687">
        <v>12604</v>
      </c>
      <c r="F1687">
        <v>6407</v>
      </c>
      <c r="G1687">
        <v>5205</v>
      </c>
      <c r="H1687">
        <v>28</v>
      </c>
      <c r="I1687">
        <v>569</v>
      </c>
      <c r="J1687">
        <v>65</v>
      </c>
      <c r="K1687" s="1">
        <v>45992</v>
      </c>
      <c r="L1687" t="s">
        <v>439</v>
      </c>
      <c r="M1687" t="s">
        <v>444</v>
      </c>
      <c r="N1687" s="2">
        <f>IFERROR(NHS_A_E[[#This Row],[T1_Over4hrs]]/NHS_A_E[[#This Row],[T1_Attendances]], 0)</f>
        <v>0.41296413836877183</v>
      </c>
      <c r="O1687">
        <f>NHS_A_E[[#This Row],[T1_Attendances]]+NHS_A_E[[#This Row],[Other_Attendances]]</f>
        <v>19011</v>
      </c>
      <c r="P1687">
        <f>MATCH(LEFT(A1687,FIND("-",A1687)-1),{"April","May","June","July","August","September","October","November","December","January","February","March"},0)</f>
        <v>9</v>
      </c>
      <c r="Q1687" s="3">
        <f t="shared" si="52"/>
        <v>5.1570929863535382E-3</v>
      </c>
      <c r="R1687" t="str">
        <f t="shared" si="53"/>
        <v>December</v>
      </c>
    </row>
    <row r="1688" spans="1:18" x14ac:dyDescent="0.35">
      <c r="A1688" t="s">
        <v>443</v>
      </c>
      <c r="B1688" t="s">
        <v>221</v>
      </c>
      <c r="C1688" t="s">
        <v>63</v>
      </c>
      <c r="D1688" t="s">
        <v>222</v>
      </c>
      <c r="E1688">
        <v>10826</v>
      </c>
      <c r="F1688">
        <v>12639</v>
      </c>
      <c r="G1688">
        <v>3036</v>
      </c>
      <c r="H1688">
        <v>0</v>
      </c>
      <c r="I1688">
        <v>89</v>
      </c>
      <c r="J1688">
        <v>0</v>
      </c>
      <c r="K1688" s="1">
        <v>45992</v>
      </c>
      <c r="L1688" t="s">
        <v>439</v>
      </c>
      <c r="M1688" t="s">
        <v>444</v>
      </c>
      <c r="N1688" s="2">
        <f>IFERROR(NHS_A_E[[#This Row],[T1_Over4hrs]]/NHS_A_E[[#This Row],[T1_Attendances]], 0)</f>
        <v>0.28043598743765008</v>
      </c>
      <c r="O1688">
        <f>NHS_A_E[[#This Row],[T1_Attendances]]+NHS_A_E[[#This Row],[Other_Attendances]]</f>
        <v>23465</v>
      </c>
      <c r="P1688">
        <f>MATCH(LEFT(A1688,FIND("-",A1688)-1),{"April","May","June","July","August","September","October","November","December","January","February","March"},0)</f>
        <v>9</v>
      </c>
      <c r="Q1688" s="3">
        <f t="shared" si="52"/>
        <v>0</v>
      </c>
      <c r="R1688" t="str">
        <f t="shared" si="53"/>
        <v>December</v>
      </c>
    </row>
    <row r="1689" spans="1:18" x14ac:dyDescent="0.35">
      <c r="A1689" t="s">
        <v>443</v>
      </c>
      <c r="B1689" t="s">
        <v>121</v>
      </c>
      <c r="C1689" t="s">
        <v>15</v>
      </c>
      <c r="D1689" t="s">
        <v>122</v>
      </c>
      <c r="E1689">
        <v>7785</v>
      </c>
      <c r="F1689">
        <v>2532</v>
      </c>
      <c r="G1689">
        <v>3911</v>
      </c>
      <c r="H1689">
        <v>12</v>
      </c>
      <c r="I1689">
        <v>596</v>
      </c>
      <c r="J1689">
        <v>359</v>
      </c>
      <c r="K1689" s="1">
        <v>45992</v>
      </c>
      <c r="L1689" t="s">
        <v>439</v>
      </c>
      <c r="M1689" t="s">
        <v>444</v>
      </c>
      <c r="N1689" s="2">
        <f>IFERROR(NHS_A_E[[#This Row],[T1_Over4hrs]]/NHS_A_E[[#This Row],[T1_Attendances]], 0)</f>
        <v>0.50237636480411052</v>
      </c>
      <c r="O1689">
        <f>NHS_A_E[[#This Row],[T1_Attendances]]+NHS_A_E[[#This Row],[Other_Attendances]]</f>
        <v>10317</v>
      </c>
      <c r="P1689">
        <f>MATCH(LEFT(A1689,FIND("-",A1689)-1),{"April","May","June","July","August","September","October","November","December","January","February","March"},0)</f>
        <v>9</v>
      </c>
      <c r="Q1689" s="3">
        <f t="shared" si="52"/>
        <v>4.6114322414900447E-2</v>
      </c>
      <c r="R1689" t="str">
        <f t="shared" si="53"/>
        <v>December</v>
      </c>
    </row>
    <row r="1690" spans="1:18" x14ac:dyDescent="0.35">
      <c r="A1690" t="s">
        <v>443</v>
      </c>
      <c r="B1690" t="s">
        <v>183</v>
      </c>
      <c r="C1690" t="s">
        <v>23</v>
      </c>
      <c r="D1690" t="s">
        <v>184</v>
      </c>
      <c r="E1690">
        <v>8832</v>
      </c>
      <c r="F1690">
        <v>7444</v>
      </c>
      <c r="G1690">
        <v>2577</v>
      </c>
      <c r="H1690">
        <v>194</v>
      </c>
      <c r="I1690">
        <v>669</v>
      </c>
      <c r="J1690">
        <v>27</v>
      </c>
      <c r="K1690" s="1">
        <v>45992</v>
      </c>
      <c r="L1690" t="s">
        <v>439</v>
      </c>
      <c r="M1690" t="s">
        <v>444</v>
      </c>
      <c r="N1690" s="2">
        <f>IFERROR(NHS_A_E[[#This Row],[T1_Over4hrs]]/NHS_A_E[[#This Row],[T1_Attendances]], 0)</f>
        <v>0.29177989130434784</v>
      </c>
      <c r="O1690">
        <f>NHS_A_E[[#This Row],[T1_Attendances]]+NHS_A_E[[#This Row],[Other_Attendances]]</f>
        <v>16276</v>
      </c>
      <c r="P1690">
        <f>MATCH(LEFT(A1690,FIND("-",A1690)-1),{"April","May","June","July","August","September","October","November","December","January","February","March"},0)</f>
        <v>9</v>
      </c>
      <c r="Q1690" s="3">
        <f t="shared" si="52"/>
        <v>3.0570652173913045E-3</v>
      </c>
      <c r="R1690" t="str">
        <f t="shared" si="53"/>
        <v>December</v>
      </c>
    </row>
    <row r="1691" spans="1:18" x14ac:dyDescent="0.35">
      <c r="A1691" t="s">
        <v>443</v>
      </c>
      <c r="B1691" t="s">
        <v>189</v>
      </c>
      <c r="C1691" t="s">
        <v>30</v>
      </c>
      <c r="D1691" t="s">
        <v>190</v>
      </c>
      <c r="E1691">
        <v>6918</v>
      </c>
      <c r="F1691">
        <v>2815</v>
      </c>
      <c r="G1691">
        <v>3672</v>
      </c>
      <c r="H1691">
        <v>27</v>
      </c>
      <c r="I1691">
        <v>814</v>
      </c>
      <c r="J1691">
        <v>772</v>
      </c>
      <c r="K1691" s="1">
        <v>45992</v>
      </c>
      <c r="L1691" t="s">
        <v>439</v>
      </c>
      <c r="M1691" t="s">
        <v>444</v>
      </c>
      <c r="N1691" s="2">
        <f>IFERROR(NHS_A_E[[#This Row],[T1_Over4hrs]]/NHS_A_E[[#This Row],[T1_Attendances]], 0)</f>
        <v>0.53078924544666084</v>
      </c>
      <c r="O1691">
        <f>NHS_A_E[[#This Row],[T1_Attendances]]+NHS_A_E[[#This Row],[Other_Attendances]]</f>
        <v>9733</v>
      </c>
      <c r="P1691">
        <f>MATCH(LEFT(A1691,FIND("-",A1691)-1),{"April","May","June","July","August","September","October","November","December","January","February","March"},0)</f>
        <v>9</v>
      </c>
      <c r="Q1691" s="3">
        <f t="shared" si="52"/>
        <v>0.1115929459381324</v>
      </c>
      <c r="R1691" t="str">
        <f t="shared" si="53"/>
        <v>December</v>
      </c>
    </row>
    <row r="1692" spans="1:18" x14ac:dyDescent="0.35">
      <c r="A1692" t="s">
        <v>443</v>
      </c>
      <c r="B1692" t="s">
        <v>191</v>
      </c>
      <c r="C1692" t="s">
        <v>15</v>
      </c>
      <c r="D1692" t="s">
        <v>192</v>
      </c>
      <c r="E1692">
        <v>9441</v>
      </c>
      <c r="F1692">
        <v>1859</v>
      </c>
      <c r="G1692">
        <v>4009</v>
      </c>
      <c r="H1692">
        <v>49</v>
      </c>
      <c r="I1692">
        <v>275</v>
      </c>
      <c r="J1692">
        <v>70</v>
      </c>
      <c r="K1692" s="1">
        <v>45992</v>
      </c>
      <c r="L1692" t="s">
        <v>439</v>
      </c>
      <c r="M1692" t="s">
        <v>444</v>
      </c>
      <c r="N1692" s="2">
        <f>IFERROR(NHS_A_E[[#This Row],[T1_Over4hrs]]/NHS_A_E[[#This Row],[T1_Attendances]], 0)</f>
        <v>0.42463722063340748</v>
      </c>
      <c r="O1692">
        <f>NHS_A_E[[#This Row],[T1_Attendances]]+NHS_A_E[[#This Row],[Other_Attendances]]</f>
        <v>11300</v>
      </c>
      <c r="P1692">
        <f>MATCH(LEFT(A1692,FIND("-",A1692)-1),{"April","May","June","July","August","September","October","November","December","January","February","March"},0)</f>
        <v>9</v>
      </c>
      <c r="Q1692" s="3">
        <f t="shared" si="52"/>
        <v>7.4144688062705221E-3</v>
      </c>
      <c r="R1692" t="str">
        <f t="shared" si="53"/>
        <v>December</v>
      </c>
    </row>
    <row r="1693" spans="1:18" x14ac:dyDescent="0.35">
      <c r="A1693" t="s">
        <v>443</v>
      </c>
      <c r="B1693" t="s">
        <v>197</v>
      </c>
      <c r="C1693" t="s">
        <v>63</v>
      </c>
      <c r="D1693" t="s">
        <v>198</v>
      </c>
      <c r="E1693">
        <v>12861</v>
      </c>
      <c r="F1693">
        <v>4059</v>
      </c>
      <c r="G1693">
        <v>5583</v>
      </c>
      <c r="H1693">
        <v>0</v>
      </c>
      <c r="I1693">
        <v>1981</v>
      </c>
      <c r="J1693">
        <v>30</v>
      </c>
      <c r="K1693" s="1">
        <v>45992</v>
      </c>
      <c r="L1693" t="s">
        <v>439</v>
      </c>
      <c r="M1693" t="s">
        <v>444</v>
      </c>
      <c r="N1693" s="2">
        <f>IFERROR(NHS_A_E[[#This Row],[T1_Over4hrs]]/NHS_A_E[[#This Row],[T1_Attendances]], 0)</f>
        <v>0.43410310240261257</v>
      </c>
      <c r="O1693">
        <f>NHS_A_E[[#This Row],[T1_Attendances]]+NHS_A_E[[#This Row],[Other_Attendances]]</f>
        <v>16920</v>
      </c>
      <c r="P1693">
        <f>MATCH(LEFT(A1693,FIND("-",A1693)-1),{"April","May","June","July","August","September","October","November","December","January","February","March"},0)</f>
        <v>9</v>
      </c>
      <c r="Q1693" s="3">
        <f t="shared" si="52"/>
        <v>2.3326335432703521E-3</v>
      </c>
      <c r="R1693" t="str">
        <f t="shared" si="53"/>
        <v>December</v>
      </c>
    </row>
    <row r="1694" spans="1:18" x14ac:dyDescent="0.35">
      <c r="A1694" t="s">
        <v>443</v>
      </c>
      <c r="B1694" t="s">
        <v>387</v>
      </c>
      <c r="C1694" t="s">
        <v>35</v>
      </c>
      <c r="D1694" t="s">
        <v>388</v>
      </c>
      <c r="E1694">
        <v>0</v>
      </c>
      <c r="F1694">
        <v>1508</v>
      </c>
      <c r="G1694">
        <v>0</v>
      </c>
      <c r="H1694">
        <v>16</v>
      </c>
      <c r="I1694">
        <v>0</v>
      </c>
      <c r="J1694">
        <v>0</v>
      </c>
      <c r="K1694" s="1">
        <v>45992</v>
      </c>
      <c r="L1694" t="s">
        <v>439</v>
      </c>
      <c r="M1694" t="s">
        <v>444</v>
      </c>
      <c r="N1694" s="2">
        <f>IFERROR(NHS_A_E[[#This Row],[T1_Over4hrs]]/NHS_A_E[[#This Row],[T1_Attendances]], 0)</f>
        <v>0</v>
      </c>
      <c r="O1694">
        <f>NHS_A_E[[#This Row],[T1_Attendances]]+NHS_A_E[[#This Row],[Other_Attendances]]</f>
        <v>1508</v>
      </c>
      <c r="P1694">
        <f>MATCH(LEFT(A1694,FIND("-",A1694)-1),{"April","May","June","July","August","September","October","November","December","January","February","March"},0)</f>
        <v>9</v>
      </c>
      <c r="Q1694" s="3">
        <f t="shared" si="52"/>
        <v>0</v>
      </c>
      <c r="R1694" t="str">
        <f t="shared" si="53"/>
        <v>December</v>
      </c>
    </row>
    <row r="1695" spans="1:18" x14ac:dyDescent="0.35">
      <c r="A1695" t="s">
        <v>443</v>
      </c>
      <c r="B1695" t="s">
        <v>333</v>
      </c>
      <c r="C1695" t="s">
        <v>30</v>
      </c>
      <c r="D1695" t="s">
        <v>334</v>
      </c>
      <c r="E1695">
        <v>26603</v>
      </c>
      <c r="F1695">
        <v>10082</v>
      </c>
      <c r="G1695">
        <v>10068</v>
      </c>
      <c r="H1695">
        <v>303</v>
      </c>
      <c r="I1695">
        <v>3206</v>
      </c>
      <c r="J1695">
        <v>117</v>
      </c>
      <c r="K1695" s="1">
        <v>45992</v>
      </c>
      <c r="L1695" t="s">
        <v>439</v>
      </c>
      <c r="M1695" t="s">
        <v>444</v>
      </c>
      <c r="N1695" s="2">
        <f>IFERROR(NHS_A_E[[#This Row],[T1_Over4hrs]]/NHS_A_E[[#This Row],[T1_Attendances]], 0)</f>
        <v>0.3784535578694132</v>
      </c>
      <c r="O1695">
        <f>NHS_A_E[[#This Row],[T1_Attendances]]+NHS_A_E[[#This Row],[Other_Attendances]]</f>
        <v>36685</v>
      </c>
      <c r="P1695">
        <f>MATCH(LEFT(A1695,FIND("-",A1695)-1),{"April","May","June","July","August","September","October","November","December","January","February","March"},0)</f>
        <v>9</v>
      </c>
      <c r="Q1695" s="3">
        <f t="shared" si="52"/>
        <v>4.3980002255384733E-3</v>
      </c>
      <c r="R1695" t="str">
        <f t="shared" si="53"/>
        <v>December</v>
      </c>
    </row>
    <row r="1696" spans="1:18" x14ac:dyDescent="0.35">
      <c r="A1696" t="s">
        <v>443</v>
      </c>
      <c r="B1696" t="s">
        <v>335</v>
      </c>
      <c r="C1696" t="s">
        <v>63</v>
      </c>
      <c r="D1696" t="s">
        <v>336</v>
      </c>
      <c r="E1696">
        <v>11522</v>
      </c>
      <c r="F1696">
        <v>5290</v>
      </c>
      <c r="G1696">
        <v>5763</v>
      </c>
      <c r="H1696">
        <v>132</v>
      </c>
      <c r="I1696">
        <v>937</v>
      </c>
      <c r="J1696">
        <v>4</v>
      </c>
      <c r="K1696" s="1">
        <v>45992</v>
      </c>
      <c r="L1696" t="s">
        <v>439</v>
      </c>
      <c r="M1696" t="s">
        <v>444</v>
      </c>
      <c r="N1696" s="2">
        <f>IFERROR(NHS_A_E[[#This Row],[T1_Over4hrs]]/NHS_A_E[[#This Row],[T1_Attendances]], 0)</f>
        <v>0.50017358097552511</v>
      </c>
      <c r="O1696">
        <f>NHS_A_E[[#This Row],[T1_Attendances]]+NHS_A_E[[#This Row],[Other_Attendances]]</f>
        <v>16812</v>
      </c>
      <c r="P1696">
        <f>MATCH(LEFT(A1696,FIND("-",A1696)-1),{"April","May","June","July","August","September","October","November","December","January","February","March"},0)</f>
        <v>9</v>
      </c>
      <c r="Q1696" s="3">
        <f t="shared" si="52"/>
        <v>3.4716195105016491E-4</v>
      </c>
      <c r="R1696" t="str">
        <f t="shared" si="53"/>
        <v>December</v>
      </c>
    </row>
    <row r="1697" spans="1:18" x14ac:dyDescent="0.35">
      <c r="A1697" t="s">
        <v>443</v>
      </c>
      <c r="B1697" t="s">
        <v>319</v>
      </c>
      <c r="C1697" t="s">
        <v>63</v>
      </c>
      <c r="D1697" t="s">
        <v>320</v>
      </c>
      <c r="E1697">
        <v>0</v>
      </c>
      <c r="F1697">
        <v>1108</v>
      </c>
      <c r="G1697">
        <v>0</v>
      </c>
      <c r="H1697">
        <v>3</v>
      </c>
      <c r="I1697">
        <v>0</v>
      </c>
      <c r="J1697">
        <v>0</v>
      </c>
      <c r="K1697" s="1">
        <v>45992</v>
      </c>
      <c r="L1697" t="s">
        <v>439</v>
      </c>
      <c r="M1697" t="s">
        <v>444</v>
      </c>
      <c r="N1697" s="2">
        <f>IFERROR(NHS_A_E[[#This Row],[T1_Over4hrs]]/NHS_A_E[[#This Row],[T1_Attendances]], 0)</f>
        <v>0</v>
      </c>
      <c r="O1697">
        <f>NHS_A_E[[#This Row],[T1_Attendances]]+NHS_A_E[[#This Row],[Other_Attendances]]</f>
        <v>1108</v>
      </c>
      <c r="P1697">
        <f>MATCH(LEFT(A1697,FIND("-",A1697)-1),{"April","May","June","July","August","September","October","November","December","January","February","March"},0)</f>
        <v>9</v>
      </c>
      <c r="Q1697" s="3">
        <f t="shared" si="52"/>
        <v>0</v>
      </c>
      <c r="R1697" t="str">
        <f t="shared" si="53"/>
        <v>December</v>
      </c>
    </row>
    <row r="1698" spans="1:18" x14ac:dyDescent="0.35">
      <c r="A1698" t="s">
        <v>443</v>
      </c>
      <c r="B1698" t="s">
        <v>375</v>
      </c>
      <c r="C1698" t="s">
        <v>40</v>
      </c>
      <c r="D1698" t="s">
        <v>376</v>
      </c>
      <c r="E1698">
        <v>11394</v>
      </c>
      <c r="F1698">
        <v>8770</v>
      </c>
      <c r="G1698">
        <v>5354</v>
      </c>
      <c r="H1698">
        <v>163</v>
      </c>
      <c r="I1698">
        <v>1036</v>
      </c>
      <c r="J1698">
        <v>422</v>
      </c>
      <c r="K1698" s="1">
        <v>45992</v>
      </c>
      <c r="L1698" t="s">
        <v>439</v>
      </c>
      <c r="M1698" t="s">
        <v>444</v>
      </c>
      <c r="N1698" s="2">
        <f>IFERROR(NHS_A_E[[#This Row],[T1_Over4hrs]]/NHS_A_E[[#This Row],[T1_Attendances]], 0)</f>
        <v>0.46989643672108128</v>
      </c>
      <c r="O1698">
        <f>NHS_A_E[[#This Row],[T1_Attendances]]+NHS_A_E[[#This Row],[Other_Attendances]]</f>
        <v>20164</v>
      </c>
      <c r="P1698">
        <f>MATCH(LEFT(A1698,FIND("-",A1698)-1),{"April","May","June","July","August","September","October","November","December","January","February","March"},0)</f>
        <v>9</v>
      </c>
      <c r="Q1698" s="3">
        <f t="shared" si="52"/>
        <v>3.7037037037037035E-2</v>
      </c>
      <c r="R1698" t="str">
        <f t="shared" si="53"/>
        <v>December</v>
      </c>
    </row>
    <row r="1699" spans="1:18" x14ac:dyDescent="0.35">
      <c r="A1699" t="s">
        <v>443</v>
      </c>
      <c r="B1699" t="s">
        <v>307</v>
      </c>
      <c r="C1699" t="s">
        <v>40</v>
      </c>
      <c r="D1699" t="s">
        <v>308</v>
      </c>
      <c r="E1699">
        <v>0</v>
      </c>
      <c r="F1699">
        <v>3101</v>
      </c>
      <c r="G1699">
        <v>0</v>
      </c>
      <c r="H1699">
        <v>0</v>
      </c>
      <c r="I1699">
        <v>0</v>
      </c>
      <c r="J1699">
        <v>0</v>
      </c>
      <c r="K1699" s="1">
        <v>45992</v>
      </c>
      <c r="L1699" t="s">
        <v>439</v>
      </c>
      <c r="M1699" t="s">
        <v>444</v>
      </c>
      <c r="N1699" s="2">
        <f>IFERROR(NHS_A_E[[#This Row],[T1_Over4hrs]]/NHS_A_E[[#This Row],[T1_Attendances]], 0)</f>
        <v>0</v>
      </c>
      <c r="O1699">
        <f>NHS_A_E[[#This Row],[T1_Attendances]]+NHS_A_E[[#This Row],[Other_Attendances]]</f>
        <v>3101</v>
      </c>
      <c r="P1699">
        <f>MATCH(LEFT(A1699,FIND("-",A1699)-1),{"April","May","June","July","August","September","October","November","December","January","February","March"},0)</f>
        <v>9</v>
      </c>
      <c r="Q1699" s="3">
        <f t="shared" si="52"/>
        <v>0</v>
      </c>
      <c r="R1699" t="str">
        <f t="shared" si="53"/>
        <v>December</v>
      </c>
    </row>
    <row r="1700" spans="1:18" x14ac:dyDescent="0.35">
      <c r="A1700" t="s">
        <v>443</v>
      </c>
      <c r="B1700" t="s">
        <v>117</v>
      </c>
      <c r="C1700" t="s">
        <v>15</v>
      </c>
      <c r="D1700" t="s">
        <v>436</v>
      </c>
      <c r="E1700">
        <v>6457</v>
      </c>
      <c r="F1700">
        <v>1760</v>
      </c>
      <c r="G1700">
        <v>2061</v>
      </c>
      <c r="H1700">
        <v>0</v>
      </c>
      <c r="I1700">
        <v>353</v>
      </c>
      <c r="J1700">
        <v>10</v>
      </c>
      <c r="K1700" s="1">
        <v>45992</v>
      </c>
      <c r="L1700" t="s">
        <v>439</v>
      </c>
      <c r="M1700" t="s">
        <v>444</v>
      </c>
      <c r="N1700" s="2">
        <f>IFERROR(NHS_A_E[[#This Row],[T1_Over4hrs]]/NHS_A_E[[#This Row],[T1_Attendances]], 0)</f>
        <v>0.3191884776211863</v>
      </c>
      <c r="O1700">
        <f>NHS_A_E[[#This Row],[T1_Attendances]]+NHS_A_E[[#This Row],[Other_Attendances]]</f>
        <v>8217</v>
      </c>
      <c r="P1700">
        <f>MATCH(LEFT(A1700,FIND("-",A1700)-1),{"April","May","June","July","August","September","October","November","December","January","February","March"},0)</f>
        <v>9</v>
      </c>
      <c r="Q1700" s="3">
        <f t="shared" si="52"/>
        <v>1.5487068297971194E-3</v>
      </c>
      <c r="R1700" t="str">
        <f t="shared" si="53"/>
        <v>December</v>
      </c>
    </row>
    <row r="1701" spans="1:18" x14ac:dyDescent="0.35">
      <c r="A1701" t="s">
        <v>443</v>
      </c>
      <c r="B1701" t="s">
        <v>85</v>
      </c>
      <c r="C1701" t="s">
        <v>63</v>
      </c>
      <c r="D1701" t="s">
        <v>86</v>
      </c>
      <c r="E1701">
        <v>9699</v>
      </c>
      <c r="F1701">
        <v>3082</v>
      </c>
      <c r="G1701">
        <v>2395</v>
      </c>
      <c r="H1701">
        <v>0</v>
      </c>
      <c r="I1701">
        <v>699</v>
      </c>
      <c r="J1701">
        <v>50</v>
      </c>
      <c r="K1701" s="1">
        <v>45992</v>
      </c>
      <c r="L1701" t="s">
        <v>439</v>
      </c>
      <c r="M1701" t="s">
        <v>444</v>
      </c>
      <c r="N1701" s="2">
        <f>IFERROR(NHS_A_E[[#This Row],[T1_Over4hrs]]/NHS_A_E[[#This Row],[T1_Attendances]], 0)</f>
        <v>0.24693267347149189</v>
      </c>
      <c r="O1701">
        <f>NHS_A_E[[#This Row],[T1_Attendances]]+NHS_A_E[[#This Row],[Other_Attendances]]</f>
        <v>12781</v>
      </c>
      <c r="P1701">
        <f>MATCH(LEFT(A1701,FIND("-",A1701)-1),{"April","May","June","July","August","September","October","November","December","January","February","March"},0)</f>
        <v>9</v>
      </c>
      <c r="Q1701" s="3">
        <f t="shared" si="52"/>
        <v>5.1551706361480567E-3</v>
      </c>
      <c r="R1701" t="str">
        <f t="shared" si="53"/>
        <v>December</v>
      </c>
    </row>
    <row r="1702" spans="1:18" x14ac:dyDescent="0.35">
      <c r="A1702" t="s">
        <v>443</v>
      </c>
      <c r="B1702" t="s">
        <v>371</v>
      </c>
      <c r="C1702" t="s">
        <v>35</v>
      </c>
      <c r="D1702" t="s">
        <v>372</v>
      </c>
      <c r="E1702">
        <v>5634</v>
      </c>
      <c r="F1702">
        <v>6910</v>
      </c>
      <c r="G1702">
        <v>3050</v>
      </c>
      <c r="H1702">
        <v>55</v>
      </c>
      <c r="I1702">
        <v>449</v>
      </c>
      <c r="J1702">
        <v>32</v>
      </c>
      <c r="K1702" s="1">
        <v>45992</v>
      </c>
      <c r="L1702" t="s">
        <v>439</v>
      </c>
      <c r="M1702" t="s">
        <v>444</v>
      </c>
      <c r="N1702" s="2">
        <f>IFERROR(NHS_A_E[[#This Row],[T1_Over4hrs]]/NHS_A_E[[#This Row],[T1_Attendances]], 0)</f>
        <v>0.54135605253816121</v>
      </c>
      <c r="O1702">
        <f>NHS_A_E[[#This Row],[T1_Attendances]]+NHS_A_E[[#This Row],[Other_Attendances]]</f>
        <v>12544</v>
      </c>
      <c r="P1702">
        <f>MATCH(LEFT(A1702,FIND("-",A1702)-1),{"April","May","June","July","August","September","October","November","December","January","February","March"},0)</f>
        <v>9</v>
      </c>
      <c r="Q1702" s="3">
        <f t="shared" si="52"/>
        <v>5.6798012069577564E-3</v>
      </c>
      <c r="R1702" t="str">
        <f t="shared" si="53"/>
        <v>December</v>
      </c>
    </row>
    <row r="1703" spans="1:18" x14ac:dyDescent="0.35">
      <c r="A1703" t="s">
        <v>443</v>
      </c>
      <c r="B1703" t="s">
        <v>161</v>
      </c>
      <c r="C1703" t="s">
        <v>30</v>
      </c>
      <c r="D1703" t="s">
        <v>162</v>
      </c>
      <c r="E1703">
        <v>6779</v>
      </c>
      <c r="F1703">
        <v>2776</v>
      </c>
      <c r="G1703">
        <v>3555</v>
      </c>
      <c r="H1703">
        <v>13</v>
      </c>
      <c r="I1703">
        <v>488</v>
      </c>
      <c r="J1703">
        <v>551</v>
      </c>
      <c r="K1703" s="1">
        <v>45992</v>
      </c>
      <c r="L1703" t="s">
        <v>439</v>
      </c>
      <c r="M1703" t="s">
        <v>444</v>
      </c>
      <c r="N1703" s="2">
        <f>IFERROR(NHS_A_E[[#This Row],[T1_Over4hrs]]/NHS_A_E[[#This Row],[T1_Attendances]], 0)</f>
        <v>0.52441363032895705</v>
      </c>
      <c r="O1703">
        <f>NHS_A_E[[#This Row],[T1_Attendances]]+NHS_A_E[[#This Row],[Other_Attendances]]</f>
        <v>9555</v>
      </c>
      <c r="P1703">
        <f>MATCH(LEFT(A1703,FIND("-",A1703)-1),{"April","May","June","July","August","September","October","November","December","January","February","March"},0)</f>
        <v>9</v>
      </c>
      <c r="Q1703" s="3">
        <f t="shared" si="52"/>
        <v>8.1280424841422033E-2</v>
      </c>
      <c r="R1703" t="str">
        <f t="shared" si="53"/>
        <v>December</v>
      </c>
    </row>
    <row r="1704" spans="1:18" x14ac:dyDescent="0.35">
      <c r="A1704" t="s">
        <v>443</v>
      </c>
      <c r="B1704" t="s">
        <v>273</v>
      </c>
      <c r="C1704" t="s">
        <v>30</v>
      </c>
      <c r="D1704" t="s">
        <v>274</v>
      </c>
      <c r="E1704">
        <v>4450</v>
      </c>
      <c r="F1704">
        <v>0</v>
      </c>
      <c r="G1704">
        <v>2192</v>
      </c>
      <c r="H1704">
        <v>0</v>
      </c>
      <c r="I1704">
        <v>195</v>
      </c>
      <c r="J1704">
        <v>285</v>
      </c>
      <c r="K1704" s="1">
        <v>45992</v>
      </c>
      <c r="L1704" t="s">
        <v>439</v>
      </c>
      <c r="M1704" t="s">
        <v>444</v>
      </c>
      <c r="N1704" s="2">
        <f>IFERROR(NHS_A_E[[#This Row],[T1_Over4hrs]]/NHS_A_E[[#This Row],[T1_Attendances]], 0)</f>
        <v>0.49258426966292135</v>
      </c>
      <c r="O1704">
        <f>NHS_A_E[[#This Row],[T1_Attendances]]+NHS_A_E[[#This Row],[Other_Attendances]]</f>
        <v>4450</v>
      </c>
      <c r="P1704">
        <f>MATCH(LEFT(A1704,FIND("-",A1704)-1),{"April","May","June","July","August","September","October","November","December","January","February","March"},0)</f>
        <v>9</v>
      </c>
      <c r="Q1704" s="3">
        <f t="shared" si="52"/>
        <v>6.4044943820224715E-2</v>
      </c>
      <c r="R1704" t="str">
        <f t="shared" si="53"/>
        <v>December</v>
      </c>
    </row>
    <row r="1705" spans="1:18" x14ac:dyDescent="0.35">
      <c r="A1705" t="s">
        <v>443</v>
      </c>
      <c r="B1705" t="s">
        <v>175</v>
      </c>
      <c r="C1705" t="s">
        <v>63</v>
      </c>
      <c r="D1705" t="s">
        <v>176</v>
      </c>
      <c r="E1705">
        <v>5187</v>
      </c>
      <c r="F1705">
        <v>11450</v>
      </c>
      <c r="G1705">
        <v>2726</v>
      </c>
      <c r="H1705">
        <v>48</v>
      </c>
      <c r="I1705">
        <v>292</v>
      </c>
      <c r="J1705">
        <v>33</v>
      </c>
      <c r="K1705" s="1">
        <v>45992</v>
      </c>
      <c r="L1705" t="s">
        <v>439</v>
      </c>
      <c r="M1705" t="s">
        <v>444</v>
      </c>
      <c r="N1705" s="2">
        <f>IFERROR(NHS_A_E[[#This Row],[T1_Over4hrs]]/NHS_A_E[[#This Row],[T1_Attendances]], 0)</f>
        <v>0.52554463080778868</v>
      </c>
      <c r="O1705">
        <f>NHS_A_E[[#This Row],[T1_Attendances]]+NHS_A_E[[#This Row],[Other_Attendances]]</f>
        <v>16637</v>
      </c>
      <c r="P1705">
        <f>MATCH(LEFT(A1705,FIND("-",A1705)-1),{"April","May","June","July","August","September","October","November","December","January","February","March"},0)</f>
        <v>9</v>
      </c>
      <c r="Q1705" s="3">
        <f t="shared" si="52"/>
        <v>6.3620589936379413E-3</v>
      </c>
      <c r="R1705" t="str">
        <f t="shared" si="53"/>
        <v>December</v>
      </c>
    </row>
    <row r="1706" spans="1:18" x14ac:dyDescent="0.35">
      <c r="A1706" t="s">
        <v>443</v>
      </c>
      <c r="B1706" t="s">
        <v>111</v>
      </c>
      <c r="C1706" t="s">
        <v>40</v>
      </c>
      <c r="D1706" t="s">
        <v>112</v>
      </c>
      <c r="E1706">
        <v>0</v>
      </c>
      <c r="F1706">
        <v>489</v>
      </c>
      <c r="G1706">
        <v>0</v>
      </c>
      <c r="H1706">
        <v>0</v>
      </c>
      <c r="I1706">
        <v>0</v>
      </c>
      <c r="J1706">
        <v>0</v>
      </c>
      <c r="K1706" s="1">
        <v>45992</v>
      </c>
      <c r="L1706" t="s">
        <v>439</v>
      </c>
      <c r="M1706" t="s">
        <v>444</v>
      </c>
      <c r="N1706" s="2">
        <f>IFERROR(NHS_A_E[[#This Row],[T1_Over4hrs]]/NHS_A_E[[#This Row],[T1_Attendances]], 0)</f>
        <v>0</v>
      </c>
      <c r="O1706">
        <f>NHS_A_E[[#This Row],[T1_Attendances]]+NHS_A_E[[#This Row],[Other_Attendances]]</f>
        <v>489</v>
      </c>
      <c r="P1706">
        <f>MATCH(LEFT(A1706,FIND("-",A1706)-1),{"April","May","June","July","August","September","October","November","December","January","February","March"},0)</f>
        <v>9</v>
      </c>
      <c r="Q1706" s="3">
        <f t="shared" si="52"/>
        <v>0</v>
      </c>
      <c r="R1706" t="str">
        <f t="shared" si="53"/>
        <v>December</v>
      </c>
    </row>
    <row r="1707" spans="1:18" x14ac:dyDescent="0.35">
      <c r="A1707" t="s">
        <v>443</v>
      </c>
      <c r="B1707" t="s">
        <v>383</v>
      </c>
      <c r="C1707" t="s">
        <v>20</v>
      </c>
      <c r="D1707" t="s">
        <v>384</v>
      </c>
      <c r="E1707">
        <v>0</v>
      </c>
      <c r="F1707">
        <v>53</v>
      </c>
      <c r="G1707">
        <v>0</v>
      </c>
      <c r="H1707">
        <v>0</v>
      </c>
      <c r="I1707">
        <v>0</v>
      </c>
      <c r="J1707">
        <v>0</v>
      </c>
      <c r="K1707" s="1">
        <v>45992</v>
      </c>
      <c r="L1707" t="s">
        <v>439</v>
      </c>
      <c r="M1707" t="s">
        <v>444</v>
      </c>
      <c r="N1707" s="2">
        <f>IFERROR(NHS_A_E[[#This Row],[T1_Over4hrs]]/NHS_A_E[[#This Row],[T1_Attendances]], 0)</f>
        <v>0</v>
      </c>
      <c r="O1707">
        <f>NHS_A_E[[#This Row],[T1_Attendances]]+NHS_A_E[[#This Row],[Other_Attendances]]</f>
        <v>53</v>
      </c>
      <c r="P1707">
        <f>MATCH(LEFT(A1707,FIND("-",A1707)-1),{"April","May","June","July","August","September","October","November","December","January","February","March"},0)</f>
        <v>9</v>
      </c>
      <c r="Q1707" s="3">
        <f t="shared" si="52"/>
        <v>0</v>
      </c>
      <c r="R1707" t="str">
        <f t="shared" si="53"/>
        <v>December</v>
      </c>
    </row>
    <row r="1708" spans="1:18" x14ac:dyDescent="0.35">
      <c r="A1708" t="s">
        <v>443</v>
      </c>
      <c r="B1708" t="s">
        <v>315</v>
      </c>
      <c r="C1708" t="s">
        <v>23</v>
      </c>
      <c r="D1708" t="s">
        <v>316</v>
      </c>
      <c r="E1708">
        <v>7283</v>
      </c>
      <c r="F1708">
        <v>1328</v>
      </c>
      <c r="G1708">
        <v>2285</v>
      </c>
      <c r="H1708">
        <v>0</v>
      </c>
      <c r="I1708">
        <v>480</v>
      </c>
      <c r="J1708">
        <v>362</v>
      </c>
      <c r="K1708" s="1">
        <v>45992</v>
      </c>
      <c r="L1708" t="s">
        <v>439</v>
      </c>
      <c r="M1708" t="s">
        <v>444</v>
      </c>
      <c r="N1708" s="2">
        <f>IFERROR(NHS_A_E[[#This Row],[T1_Over4hrs]]/NHS_A_E[[#This Row],[T1_Attendances]], 0)</f>
        <v>0.31374433612522312</v>
      </c>
      <c r="O1708">
        <f>NHS_A_E[[#This Row],[T1_Attendances]]+NHS_A_E[[#This Row],[Other_Attendances]]</f>
        <v>8611</v>
      </c>
      <c r="P1708">
        <f>MATCH(LEFT(A1708,FIND("-",A1708)-1),{"April","May","June","July","August","September","October","November","December","January","February","March"},0)</f>
        <v>9</v>
      </c>
      <c r="Q1708" s="3">
        <f t="shared" si="52"/>
        <v>4.9704791981326379E-2</v>
      </c>
      <c r="R1708" t="str">
        <f t="shared" si="53"/>
        <v>December</v>
      </c>
    </row>
    <row r="1709" spans="1:18" x14ac:dyDescent="0.35">
      <c r="A1709" t="s">
        <v>443</v>
      </c>
      <c r="B1709" t="s">
        <v>411</v>
      </c>
      <c r="C1709" t="s">
        <v>35</v>
      </c>
      <c r="D1709" t="s">
        <v>412</v>
      </c>
      <c r="E1709">
        <v>9136</v>
      </c>
      <c r="F1709">
        <v>0</v>
      </c>
      <c r="G1709">
        <v>2819</v>
      </c>
      <c r="H1709">
        <v>0</v>
      </c>
      <c r="I1709">
        <v>282</v>
      </c>
      <c r="J1709">
        <v>258</v>
      </c>
      <c r="K1709" s="1">
        <v>45992</v>
      </c>
      <c r="L1709" t="s">
        <v>439</v>
      </c>
      <c r="M1709" t="s">
        <v>444</v>
      </c>
      <c r="N1709" s="2">
        <f>IFERROR(NHS_A_E[[#This Row],[T1_Over4hrs]]/NHS_A_E[[#This Row],[T1_Attendances]], 0)</f>
        <v>0.30855954465849389</v>
      </c>
      <c r="O1709">
        <f>NHS_A_E[[#This Row],[T1_Attendances]]+NHS_A_E[[#This Row],[Other_Attendances]]</f>
        <v>9136</v>
      </c>
      <c r="P1709">
        <f>MATCH(LEFT(A1709,FIND("-",A1709)-1),{"April","May","June","July","August","September","October","November","December","January","February","March"},0)</f>
        <v>9</v>
      </c>
      <c r="Q1709" s="3">
        <f t="shared" si="52"/>
        <v>2.8239929947460597E-2</v>
      </c>
      <c r="R1709" t="str">
        <f t="shared" si="53"/>
        <v>December</v>
      </c>
    </row>
    <row r="1710" spans="1:18" x14ac:dyDescent="0.35">
      <c r="A1710" t="s">
        <v>443</v>
      </c>
      <c r="B1710" t="s">
        <v>235</v>
      </c>
      <c r="C1710" t="s">
        <v>35</v>
      </c>
      <c r="D1710" t="s">
        <v>236</v>
      </c>
      <c r="E1710">
        <v>11082</v>
      </c>
      <c r="F1710">
        <v>0</v>
      </c>
      <c r="G1710">
        <v>2048</v>
      </c>
      <c r="H1710">
        <v>0</v>
      </c>
      <c r="I1710">
        <v>226</v>
      </c>
      <c r="J1710">
        <v>25</v>
      </c>
      <c r="K1710" s="1">
        <v>45992</v>
      </c>
      <c r="L1710" t="s">
        <v>439</v>
      </c>
      <c r="M1710" t="s">
        <v>444</v>
      </c>
      <c r="N1710" s="2">
        <f>IFERROR(NHS_A_E[[#This Row],[T1_Over4hrs]]/NHS_A_E[[#This Row],[T1_Attendances]], 0)</f>
        <v>0.18480418696986103</v>
      </c>
      <c r="O1710">
        <f>NHS_A_E[[#This Row],[T1_Attendances]]+NHS_A_E[[#This Row],[Other_Attendances]]</f>
        <v>11082</v>
      </c>
      <c r="P1710">
        <f>MATCH(LEFT(A1710,FIND("-",A1710)-1),{"April","May","June","July","August","September","October","November","December","January","February","March"},0)</f>
        <v>9</v>
      </c>
      <c r="Q1710" s="3">
        <f t="shared" si="52"/>
        <v>2.2559104854719364E-3</v>
      </c>
      <c r="R1710" t="str">
        <f t="shared" si="53"/>
        <v>December</v>
      </c>
    </row>
    <row r="1711" spans="1:18" x14ac:dyDescent="0.35">
      <c r="A1711" t="s">
        <v>443</v>
      </c>
      <c r="B1711" t="s">
        <v>253</v>
      </c>
      <c r="C1711" t="s">
        <v>63</v>
      </c>
      <c r="D1711" t="s">
        <v>254</v>
      </c>
      <c r="E1711">
        <v>6245</v>
      </c>
      <c r="F1711">
        <v>4200</v>
      </c>
      <c r="G1711">
        <v>2793</v>
      </c>
      <c r="H1711">
        <v>27</v>
      </c>
      <c r="I1711">
        <v>884</v>
      </c>
      <c r="J1711">
        <v>2</v>
      </c>
      <c r="K1711" s="1">
        <v>45992</v>
      </c>
      <c r="L1711" t="s">
        <v>439</v>
      </c>
      <c r="M1711" t="s">
        <v>444</v>
      </c>
      <c r="N1711" s="2">
        <f>IFERROR(NHS_A_E[[#This Row],[T1_Over4hrs]]/NHS_A_E[[#This Row],[T1_Attendances]], 0)</f>
        <v>0.44723779023218574</v>
      </c>
      <c r="O1711">
        <f>NHS_A_E[[#This Row],[T1_Attendances]]+NHS_A_E[[#This Row],[Other_Attendances]]</f>
        <v>10445</v>
      </c>
      <c r="P1711">
        <f>MATCH(LEFT(A1711,FIND("-",A1711)-1),{"April","May","June","July","August","September","October","November","December","January","February","March"},0)</f>
        <v>9</v>
      </c>
      <c r="Q1711" s="3">
        <f t="shared" si="52"/>
        <v>3.2025620496397119E-4</v>
      </c>
      <c r="R1711" t="str">
        <f t="shared" si="53"/>
        <v>December</v>
      </c>
    </row>
    <row r="1712" spans="1:18" x14ac:dyDescent="0.35">
      <c r="A1712" t="s">
        <v>443</v>
      </c>
      <c r="B1712" t="s">
        <v>193</v>
      </c>
      <c r="C1712" t="s">
        <v>63</v>
      </c>
      <c r="D1712" t="s">
        <v>194</v>
      </c>
      <c r="E1712">
        <v>0</v>
      </c>
      <c r="F1712">
        <v>0</v>
      </c>
      <c r="G1712">
        <v>0</v>
      </c>
      <c r="H1712">
        <v>0</v>
      </c>
      <c r="I1712">
        <v>0</v>
      </c>
      <c r="J1712">
        <v>0</v>
      </c>
      <c r="K1712" s="1">
        <v>45992</v>
      </c>
      <c r="L1712" t="s">
        <v>439</v>
      </c>
      <c r="M1712" t="s">
        <v>444</v>
      </c>
      <c r="N1712" s="2">
        <f>IFERROR(NHS_A_E[[#This Row],[T1_Over4hrs]]/NHS_A_E[[#This Row],[T1_Attendances]], 0)</f>
        <v>0</v>
      </c>
      <c r="O1712">
        <f>NHS_A_E[[#This Row],[T1_Attendances]]+NHS_A_E[[#This Row],[Other_Attendances]]</f>
        <v>0</v>
      </c>
      <c r="P1712">
        <f>MATCH(LEFT(A1712,FIND("-",A1712)-1),{"April","May","June","July","August","September","October","November","December","January","February","March"},0)</f>
        <v>9</v>
      </c>
      <c r="Q1712" s="3">
        <f t="shared" si="52"/>
        <v>0</v>
      </c>
      <c r="R1712" t="str">
        <f t="shared" si="53"/>
        <v>December</v>
      </c>
    </row>
    <row r="1713" spans="1:18" x14ac:dyDescent="0.35">
      <c r="A1713" t="s">
        <v>443</v>
      </c>
      <c r="B1713" t="s">
        <v>119</v>
      </c>
      <c r="C1713" t="s">
        <v>15</v>
      </c>
      <c r="D1713" t="s">
        <v>120</v>
      </c>
      <c r="E1713">
        <v>9649</v>
      </c>
      <c r="F1713">
        <v>3156</v>
      </c>
      <c r="G1713">
        <v>3938</v>
      </c>
      <c r="H1713">
        <v>51</v>
      </c>
      <c r="I1713">
        <v>205</v>
      </c>
      <c r="J1713">
        <v>204</v>
      </c>
      <c r="K1713" s="1">
        <v>45992</v>
      </c>
      <c r="L1713" t="s">
        <v>439</v>
      </c>
      <c r="M1713" t="s">
        <v>444</v>
      </c>
      <c r="N1713" s="2">
        <f>IFERROR(NHS_A_E[[#This Row],[T1_Over4hrs]]/NHS_A_E[[#This Row],[T1_Attendances]], 0)</f>
        <v>0.40812519432065497</v>
      </c>
      <c r="O1713">
        <f>NHS_A_E[[#This Row],[T1_Attendances]]+NHS_A_E[[#This Row],[Other_Attendances]]</f>
        <v>12805</v>
      </c>
      <c r="P1713">
        <f>MATCH(LEFT(A1713,FIND("-",A1713)-1),{"April","May","June","July","August","September","October","November","December","January","February","March"},0)</f>
        <v>9</v>
      </c>
      <c r="Q1713" s="3">
        <f t="shared" si="52"/>
        <v>2.1142087262928801E-2</v>
      </c>
      <c r="R1713" t="str">
        <f t="shared" si="53"/>
        <v>December</v>
      </c>
    </row>
    <row r="1714" spans="1:18" x14ac:dyDescent="0.35">
      <c r="A1714" t="s">
        <v>443</v>
      </c>
      <c r="B1714" t="s">
        <v>361</v>
      </c>
      <c r="C1714" t="s">
        <v>40</v>
      </c>
      <c r="D1714" t="s">
        <v>362</v>
      </c>
      <c r="E1714">
        <v>10450</v>
      </c>
      <c r="F1714">
        <v>9038</v>
      </c>
      <c r="G1714">
        <v>3980</v>
      </c>
      <c r="H1714">
        <v>31</v>
      </c>
      <c r="I1714">
        <v>690</v>
      </c>
      <c r="J1714">
        <v>481</v>
      </c>
      <c r="K1714" s="1">
        <v>45992</v>
      </c>
      <c r="L1714" t="s">
        <v>439</v>
      </c>
      <c r="M1714" t="s">
        <v>444</v>
      </c>
      <c r="N1714" s="2">
        <f>IFERROR(NHS_A_E[[#This Row],[T1_Over4hrs]]/NHS_A_E[[#This Row],[T1_Attendances]], 0)</f>
        <v>0.38086124401913873</v>
      </c>
      <c r="O1714">
        <f>NHS_A_E[[#This Row],[T1_Attendances]]+NHS_A_E[[#This Row],[Other_Attendances]]</f>
        <v>19488</v>
      </c>
      <c r="P1714">
        <f>MATCH(LEFT(A1714,FIND("-",A1714)-1),{"April","May","June","July","August","September","October","November","December","January","February","March"},0)</f>
        <v>9</v>
      </c>
      <c r="Q1714" s="3">
        <f t="shared" si="52"/>
        <v>4.6028708133971294E-2</v>
      </c>
      <c r="R1714" t="str">
        <f t="shared" si="53"/>
        <v>December</v>
      </c>
    </row>
    <row r="1715" spans="1:18" x14ac:dyDescent="0.35">
      <c r="A1715" t="s">
        <v>443</v>
      </c>
      <c r="B1715" t="s">
        <v>321</v>
      </c>
      <c r="C1715" t="s">
        <v>20</v>
      </c>
      <c r="D1715" t="s">
        <v>322</v>
      </c>
      <c r="E1715">
        <v>0</v>
      </c>
      <c r="F1715">
        <v>587</v>
      </c>
      <c r="G1715">
        <v>0</v>
      </c>
      <c r="H1715">
        <v>0</v>
      </c>
      <c r="I1715">
        <v>0</v>
      </c>
      <c r="J1715">
        <v>0</v>
      </c>
      <c r="K1715" s="1">
        <v>45992</v>
      </c>
      <c r="L1715" t="s">
        <v>439</v>
      </c>
      <c r="M1715" t="s">
        <v>444</v>
      </c>
      <c r="N1715" s="2">
        <f>IFERROR(NHS_A_E[[#This Row],[T1_Over4hrs]]/NHS_A_E[[#This Row],[T1_Attendances]], 0)</f>
        <v>0</v>
      </c>
      <c r="O1715">
        <f>NHS_A_E[[#This Row],[T1_Attendances]]+NHS_A_E[[#This Row],[Other_Attendances]]</f>
        <v>587</v>
      </c>
      <c r="P1715">
        <f>MATCH(LEFT(A1715,FIND("-",A1715)-1),{"April","May","June","July","August","September","October","November","December","January","February","March"},0)</f>
        <v>9</v>
      </c>
      <c r="Q1715" s="3">
        <f t="shared" si="52"/>
        <v>0</v>
      </c>
      <c r="R1715" t="str">
        <f t="shared" si="53"/>
        <v>December</v>
      </c>
    </row>
    <row r="1716" spans="1:18" x14ac:dyDescent="0.35">
      <c r="A1716" t="s">
        <v>443</v>
      </c>
      <c r="B1716" t="s">
        <v>261</v>
      </c>
      <c r="C1716" t="s">
        <v>15</v>
      </c>
      <c r="D1716" t="s">
        <v>262</v>
      </c>
      <c r="E1716">
        <v>0</v>
      </c>
      <c r="F1716">
        <v>4984</v>
      </c>
      <c r="G1716">
        <v>0</v>
      </c>
      <c r="H1716">
        <v>0</v>
      </c>
      <c r="I1716">
        <v>0</v>
      </c>
      <c r="J1716">
        <v>0</v>
      </c>
      <c r="K1716" s="1">
        <v>45992</v>
      </c>
      <c r="L1716" t="s">
        <v>439</v>
      </c>
      <c r="M1716" t="s">
        <v>444</v>
      </c>
      <c r="N1716" s="2">
        <f>IFERROR(NHS_A_E[[#This Row],[T1_Over4hrs]]/NHS_A_E[[#This Row],[T1_Attendances]], 0)</f>
        <v>0</v>
      </c>
      <c r="O1716">
        <f>NHS_A_E[[#This Row],[T1_Attendances]]+NHS_A_E[[#This Row],[Other_Attendances]]</f>
        <v>4984</v>
      </c>
      <c r="P1716">
        <f>MATCH(LEFT(A1716,FIND("-",A1716)-1),{"April","May","June","July","August","September","October","November","December","January","February","March"},0)</f>
        <v>9</v>
      </c>
      <c r="Q1716" s="3">
        <f t="shared" si="52"/>
        <v>0</v>
      </c>
      <c r="R1716" t="str">
        <f t="shared" si="53"/>
        <v>December</v>
      </c>
    </row>
    <row r="1717" spans="1:18" x14ac:dyDescent="0.35">
      <c r="A1717" t="s">
        <v>443</v>
      </c>
      <c r="B1717" t="s">
        <v>331</v>
      </c>
      <c r="C1717" t="s">
        <v>15</v>
      </c>
      <c r="D1717" t="s">
        <v>332</v>
      </c>
      <c r="E1717">
        <v>0</v>
      </c>
      <c r="F1717">
        <v>4862</v>
      </c>
      <c r="G1717">
        <v>0</v>
      </c>
      <c r="H1717">
        <v>35</v>
      </c>
      <c r="I1717">
        <v>0</v>
      </c>
      <c r="J1717">
        <v>0</v>
      </c>
      <c r="K1717" s="1">
        <v>45992</v>
      </c>
      <c r="L1717" t="s">
        <v>439</v>
      </c>
      <c r="M1717" t="s">
        <v>444</v>
      </c>
      <c r="N1717" s="2">
        <f>IFERROR(NHS_A_E[[#This Row],[T1_Over4hrs]]/NHS_A_E[[#This Row],[T1_Attendances]], 0)</f>
        <v>0</v>
      </c>
      <c r="O1717">
        <f>NHS_A_E[[#This Row],[T1_Attendances]]+NHS_A_E[[#This Row],[Other_Attendances]]</f>
        <v>4862</v>
      </c>
      <c r="P1717">
        <f>MATCH(LEFT(A1717,FIND("-",A1717)-1),{"April","May","June","July","August","September","October","November","December","January","February","March"},0)</f>
        <v>9</v>
      </c>
      <c r="Q1717" s="3">
        <f t="shared" si="52"/>
        <v>0</v>
      </c>
      <c r="R1717" t="str">
        <f t="shared" si="53"/>
        <v>December</v>
      </c>
    </row>
    <row r="1718" spans="1:18" x14ac:dyDescent="0.35">
      <c r="A1718" t="s">
        <v>443</v>
      </c>
      <c r="B1718" t="s">
        <v>343</v>
      </c>
      <c r="C1718" t="s">
        <v>30</v>
      </c>
      <c r="D1718" t="s">
        <v>344</v>
      </c>
      <c r="E1718">
        <v>6808</v>
      </c>
      <c r="F1718">
        <v>0</v>
      </c>
      <c r="G1718">
        <v>1089</v>
      </c>
      <c r="H1718">
        <v>0</v>
      </c>
      <c r="I1718">
        <v>1</v>
      </c>
      <c r="J1718">
        <v>0</v>
      </c>
      <c r="K1718" s="1">
        <v>45992</v>
      </c>
      <c r="L1718" t="s">
        <v>439</v>
      </c>
      <c r="M1718" t="s">
        <v>444</v>
      </c>
      <c r="N1718" s="2">
        <f>IFERROR(NHS_A_E[[#This Row],[T1_Over4hrs]]/NHS_A_E[[#This Row],[T1_Attendances]], 0)</f>
        <v>0.15995887191539365</v>
      </c>
      <c r="O1718">
        <f>NHS_A_E[[#This Row],[T1_Attendances]]+NHS_A_E[[#This Row],[Other_Attendances]]</f>
        <v>6808</v>
      </c>
      <c r="P1718">
        <f>MATCH(LEFT(A1718,FIND("-",A1718)-1),{"April","May","June","July","August","September","October","November","December","January","February","March"},0)</f>
        <v>9</v>
      </c>
      <c r="Q1718" s="3">
        <f t="shared" si="52"/>
        <v>0</v>
      </c>
      <c r="R1718" t="str">
        <f t="shared" si="53"/>
        <v>December</v>
      </c>
    </row>
    <row r="1719" spans="1:18" x14ac:dyDescent="0.35">
      <c r="A1719" t="s">
        <v>443</v>
      </c>
      <c r="B1719" t="s">
        <v>269</v>
      </c>
      <c r="C1719" t="s">
        <v>40</v>
      </c>
      <c r="D1719" t="s">
        <v>270</v>
      </c>
      <c r="E1719">
        <v>5847</v>
      </c>
      <c r="F1719">
        <v>130</v>
      </c>
      <c r="G1719">
        <v>2414</v>
      </c>
      <c r="H1719">
        <v>0</v>
      </c>
      <c r="I1719">
        <v>400</v>
      </c>
      <c r="J1719">
        <v>202</v>
      </c>
      <c r="K1719" s="1">
        <v>45992</v>
      </c>
      <c r="L1719" t="s">
        <v>439</v>
      </c>
      <c r="M1719" t="s">
        <v>444</v>
      </c>
      <c r="N1719" s="2">
        <f>IFERROR(NHS_A_E[[#This Row],[T1_Over4hrs]]/NHS_A_E[[#This Row],[T1_Attendances]], 0)</f>
        <v>0.41286129639131181</v>
      </c>
      <c r="O1719">
        <f>NHS_A_E[[#This Row],[T1_Attendances]]+NHS_A_E[[#This Row],[Other_Attendances]]</f>
        <v>5977</v>
      </c>
      <c r="P1719">
        <f>MATCH(LEFT(A1719,FIND("-",A1719)-1),{"April","May","June","July","August","September","October","November","December","January","February","March"},0)</f>
        <v>9</v>
      </c>
      <c r="Q1719" s="3">
        <f t="shared" si="52"/>
        <v>3.4547631263896018E-2</v>
      </c>
      <c r="R1719" t="str">
        <f t="shared" si="53"/>
        <v>December</v>
      </c>
    </row>
    <row r="1720" spans="1:18" x14ac:dyDescent="0.35">
      <c r="A1720" t="s">
        <v>443</v>
      </c>
      <c r="B1720" t="s">
        <v>71</v>
      </c>
      <c r="C1720" t="s">
        <v>35</v>
      </c>
      <c r="D1720" t="s">
        <v>72</v>
      </c>
      <c r="E1720">
        <v>0</v>
      </c>
      <c r="F1720">
        <v>0</v>
      </c>
      <c r="G1720">
        <v>0</v>
      </c>
      <c r="H1720">
        <v>0</v>
      </c>
      <c r="I1720">
        <v>0</v>
      </c>
      <c r="J1720">
        <v>0</v>
      </c>
      <c r="K1720" s="1">
        <v>45992</v>
      </c>
      <c r="L1720" t="s">
        <v>439</v>
      </c>
      <c r="M1720" t="s">
        <v>444</v>
      </c>
      <c r="N1720" s="2">
        <f>IFERROR(NHS_A_E[[#This Row],[T1_Over4hrs]]/NHS_A_E[[#This Row],[T1_Attendances]], 0)</f>
        <v>0</v>
      </c>
      <c r="O1720">
        <f>NHS_A_E[[#This Row],[T1_Attendances]]+NHS_A_E[[#This Row],[Other_Attendances]]</f>
        <v>0</v>
      </c>
      <c r="P1720">
        <f>MATCH(LEFT(A1720,FIND("-",A1720)-1),{"April","May","June","July","August","September","October","November","December","January","February","March"},0)</f>
        <v>9</v>
      </c>
      <c r="Q1720" s="3">
        <f t="shared" si="52"/>
        <v>0</v>
      </c>
      <c r="R1720" t="str">
        <f t="shared" si="53"/>
        <v>December</v>
      </c>
    </row>
    <row r="1721" spans="1:18" x14ac:dyDescent="0.35">
      <c r="A1721" t="s">
        <v>443</v>
      </c>
      <c r="B1721" t="s">
        <v>281</v>
      </c>
      <c r="C1721" t="s">
        <v>40</v>
      </c>
      <c r="D1721" t="s">
        <v>282</v>
      </c>
      <c r="E1721">
        <v>0</v>
      </c>
      <c r="F1721">
        <v>4387</v>
      </c>
      <c r="G1721">
        <v>0</v>
      </c>
      <c r="H1721">
        <v>0</v>
      </c>
      <c r="I1721">
        <v>0</v>
      </c>
      <c r="J1721">
        <v>0</v>
      </c>
      <c r="K1721" s="1">
        <v>45992</v>
      </c>
      <c r="L1721" t="s">
        <v>439</v>
      </c>
      <c r="M1721" t="s">
        <v>444</v>
      </c>
      <c r="N1721" s="2">
        <f>IFERROR(NHS_A_E[[#This Row],[T1_Over4hrs]]/NHS_A_E[[#This Row],[T1_Attendances]], 0)</f>
        <v>0</v>
      </c>
      <c r="O1721">
        <f>NHS_A_E[[#This Row],[T1_Attendances]]+NHS_A_E[[#This Row],[Other_Attendances]]</f>
        <v>4387</v>
      </c>
      <c r="P1721">
        <f>MATCH(LEFT(A1721,FIND("-",A1721)-1),{"April","May","June","July","August","September","October","November","December","January","February","March"},0)</f>
        <v>9</v>
      </c>
      <c r="Q1721" s="3">
        <f t="shared" si="52"/>
        <v>0</v>
      </c>
      <c r="R1721" t="str">
        <f t="shared" si="53"/>
        <v>December</v>
      </c>
    </row>
    <row r="1722" spans="1:18" x14ac:dyDescent="0.35">
      <c r="A1722" t="s">
        <v>443</v>
      </c>
      <c r="B1722" t="s">
        <v>89</v>
      </c>
      <c r="C1722" t="s">
        <v>35</v>
      </c>
      <c r="D1722" t="s">
        <v>90</v>
      </c>
      <c r="E1722">
        <v>27408</v>
      </c>
      <c r="F1722">
        <v>15206</v>
      </c>
      <c r="G1722">
        <v>9294</v>
      </c>
      <c r="H1722">
        <v>718</v>
      </c>
      <c r="I1722">
        <v>1000</v>
      </c>
      <c r="J1722">
        <v>1921</v>
      </c>
      <c r="K1722" s="1">
        <v>45992</v>
      </c>
      <c r="L1722" t="s">
        <v>439</v>
      </c>
      <c r="M1722" t="s">
        <v>444</v>
      </c>
      <c r="N1722" s="2">
        <f>IFERROR(NHS_A_E[[#This Row],[T1_Over4hrs]]/NHS_A_E[[#This Row],[T1_Attendances]], 0)</f>
        <v>0.33909807355516636</v>
      </c>
      <c r="O1722">
        <f>NHS_A_E[[#This Row],[T1_Attendances]]+NHS_A_E[[#This Row],[Other_Attendances]]</f>
        <v>42614</v>
      </c>
      <c r="P1722">
        <f>MATCH(LEFT(A1722,FIND("-",A1722)-1),{"April","May","June","July","August","September","October","November","December","January","February","March"},0)</f>
        <v>9</v>
      </c>
      <c r="Q1722" s="3">
        <f t="shared" si="52"/>
        <v>7.0089025102159946E-2</v>
      </c>
      <c r="R1722" t="str">
        <f t="shared" si="53"/>
        <v>December</v>
      </c>
    </row>
    <row r="1723" spans="1:18" x14ac:dyDescent="0.35">
      <c r="A1723" t="s">
        <v>443</v>
      </c>
      <c r="B1723" t="s">
        <v>54</v>
      </c>
      <c r="C1723" t="s">
        <v>15</v>
      </c>
      <c r="D1723" t="s">
        <v>55</v>
      </c>
      <c r="E1723">
        <v>0</v>
      </c>
      <c r="F1723">
        <v>3444</v>
      </c>
      <c r="G1723">
        <v>0</v>
      </c>
      <c r="H1723">
        <v>103</v>
      </c>
      <c r="I1723">
        <v>0</v>
      </c>
      <c r="J1723">
        <v>0</v>
      </c>
      <c r="K1723" s="1">
        <v>45992</v>
      </c>
      <c r="L1723" t="s">
        <v>439</v>
      </c>
      <c r="M1723" t="s">
        <v>444</v>
      </c>
      <c r="N1723" s="2">
        <f>IFERROR(NHS_A_E[[#This Row],[T1_Over4hrs]]/NHS_A_E[[#This Row],[T1_Attendances]], 0)</f>
        <v>0</v>
      </c>
      <c r="O1723">
        <f>NHS_A_E[[#This Row],[T1_Attendances]]+NHS_A_E[[#This Row],[Other_Attendances]]</f>
        <v>3444</v>
      </c>
      <c r="P1723">
        <f>MATCH(LEFT(A1723,FIND("-",A1723)-1),{"April","May","June","July","August","September","October","November","December","January","February","March"},0)</f>
        <v>9</v>
      </c>
      <c r="Q1723" s="3">
        <f t="shared" si="52"/>
        <v>0</v>
      </c>
      <c r="R1723" t="str">
        <f t="shared" si="53"/>
        <v>December</v>
      </c>
    </row>
    <row r="1724" spans="1:18" x14ac:dyDescent="0.35">
      <c r="A1724" t="s">
        <v>443</v>
      </c>
      <c r="B1724" t="s">
        <v>127</v>
      </c>
      <c r="C1724" t="s">
        <v>15</v>
      </c>
      <c r="D1724" t="s">
        <v>128</v>
      </c>
      <c r="E1724">
        <v>0</v>
      </c>
      <c r="F1724">
        <v>1871</v>
      </c>
      <c r="G1724">
        <v>0</v>
      </c>
      <c r="H1724">
        <v>0</v>
      </c>
      <c r="I1724">
        <v>0</v>
      </c>
      <c r="J1724">
        <v>0</v>
      </c>
      <c r="K1724" s="1">
        <v>45992</v>
      </c>
      <c r="L1724" t="s">
        <v>439</v>
      </c>
      <c r="M1724" t="s">
        <v>444</v>
      </c>
      <c r="N1724" s="2">
        <f>IFERROR(NHS_A_E[[#This Row],[T1_Over4hrs]]/NHS_A_E[[#This Row],[T1_Attendances]], 0)</f>
        <v>0</v>
      </c>
      <c r="O1724">
        <f>NHS_A_E[[#This Row],[T1_Attendances]]+NHS_A_E[[#This Row],[Other_Attendances]]</f>
        <v>1871</v>
      </c>
      <c r="P1724">
        <f>MATCH(LEFT(A1724,FIND("-",A1724)-1),{"April","May","June","July","August","September","October","November","December","January","February","March"},0)</f>
        <v>9</v>
      </c>
      <c r="Q1724" s="3">
        <f t="shared" si="52"/>
        <v>0</v>
      </c>
      <c r="R1724" t="str">
        <f t="shared" si="53"/>
        <v>December</v>
      </c>
    </row>
    <row r="1725" spans="1:18" x14ac:dyDescent="0.35">
      <c r="A1725" t="s">
        <v>443</v>
      </c>
      <c r="B1725" t="s">
        <v>397</v>
      </c>
      <c r="C1725" t="s">
        <v>63</v>
      </c>
      <c r="D1725" t="s">
        <v>398</v>
      </c>
      <c r="E1725">
        <v>0</v>
      </c>
      <c r="F1725">
        <v>316</v>
      </c>
      <c r="G1725">
        <v>0</v>
      </c>
      <c r="H1725">
        <v>0</v>
      </c>
      <c r="I1725">
        <v>0</v>
      </c>
      <c r="J1725">
        <v>0</v>
      </c>
      <c r="K1725" s="1">
        <v>45992</v>
      </c>
      <c r="L1725" t="s">
        <v>439</v>
      </c>
      <c r="M1725" t="s">
        <v>444</v>
      </c>
      <c r="N1725" s="2">
        <f>IFERROR(NHS_A_E[[#This Row],[T1_Over4hrs]]/NHS_A_E[[#This Row],[T1_Attendances]], 0)</f>
        <v>0</v>
      </c>
      <c r="O1725">
        <f>NHS_A_E[[#This Row],[T1_Attendances]]+NHS_A_E[[#This Row],[Other_Attendances]]</f>
        <v>316</v>
      </c>
      <c r="P1725">
        <f>MATCH(LEFT(A1725,FIND("-",A1725)-1),{"April","May","June","July","August","September","October","November","December","January","February","March"},0)</f>
        <v>9</v>
      </c>
      <c r="Q1725" s="3">
        <f t="shared" si="52"/>
        <v>0</v>
      </c>
      <c r="R1725" t="str">
        <f t="shared" si="53"/>
        <v>December</v>
      </c>
    </row>
    <row r="1726" spans="1:18" x14ac:dyDescent="0.35">
      <c r="A1726" t="s">
        <v>443</v>
      </c>
      <c r="B1726" t="s">
        <v>285</v>
      </c>
      <c r="C1726" t="s">
        <v>40</v>
      </c>
      <c r="D1726" t="s">
        <v>286</v>
      </c>
      <c r="E1726">
        <v>0</v>
      </c>
      <c r="F1726">
        <v>283</v>
      </c>
      <c r="G1726">
        <v>0</v>
      </c>
      <c r="H1726">
        <v>0</v>
      </c>
      <c r="I1726">
        <v>0</v>
      </c>
      <c r="J1726">
        <v>0</v>
      </c>
      <c r="K1726" s="1">
        <v>45992</v>
      </c>
      <c r="L1726" t="s">
        <v>439</v>
      </c>
      <c r="M1726" t="s">
        <v>444</v>
      </c>
      <c r="N1726" s="2">
        <f>IFERROR(NHS_A_E[[#This Row],[T1_Over4hrs]]/NHS_A_E[[#This Row],[T1_Attendances]], 0)</f>
        <v>0</v>
      </c>
      <c r="O1726">
        <f>NHS_A_E[[#This Row],[T1_Attendances]]+NHS_A_E[[#This Row],[Other_Attendances]]</f>
        <v>283</v>
      </c>
      <c r="P1726">
        <f>MATCH(LEFT(A1726,FIND("-",A1726)-1),{"April","May","June","July","August","September","October","November","December","January","February","March"},0)</f>
        <v>9</v>
      </c>
      <c r="Q1726" s="3">
        <f t="shared" si="52"/>
        <v>0</v>
      </c>
      <c r="R1726" t="str">
        <f t="shared" si="53"/>
        <v>December</v>
      </c>
    </row>
    <row r="1727" spans="1:18" x14ac:dyDescent="0.35">
      <c r="A1727" t="s">
        <v>443</v>
      </c>
      <c r="B1727" t="s">
        <v>422</v>
      </c>
      <c r="C1727" t="s">
        <v>20</v>
      </c>
      <c r="D1727" t="s">
        <v>423</v>
      </c>
      <c r="E1727">
        <v>0</v>
      </c>
      <c r="F1727">
        <v>993</v>
      </c>
      <c r="G1727">
        <v>0</v>
      </c>
      <c r="H1727">
        <v>1</v>
      </c>
      <c r="I1727">
        <v>0</v>
      </c>
      <c r="J1727">
        <v>0</v>
      </c>
      <c r="K1727" s="1">
        <v>45992</v>
      </c>
      <c r="L1727" t="s">
        <v>439</v>
      </c>
      <c r="M1727" t="s">
        <v>444</v>
      </c>
      <c r="N1727" s="2">
        <f>IFERROR(NHS_A_E[[#This Row],[T1_Over4hrs]]/NHS_A_E[[#This Row],[T1_Attendances]], 0)</f>
        <v>0</v>
      </c>
      <c r="O1727">
        <f>NHS_A_E[[#This Row],[T1_Attendances]]+NHS_A_E[[#This Row],[Other_Attendances]]</f>
        <v>993</v>
      </c>
      <c r="P1727">
        <f>MATCH(LEFT(A1727,FIND("-",A1727)-1),{"April","May","June","July","August","September","October","November","December","January","February","March"},0)</f>
        <v>9</v>
      </c>
      <c r="Q1727" s="3">
        <f t="shared" si="52"/>
        <v>0</v>
      </c>
      <c r="R1727" t="str">
        <f t="shared" si="53"/>
        <v>December</v>
      </c>
    </row>
    <row r="1728" spans="1:18" x14ac:dyDescent="0.35">
      <c r="A1728" t="s">
        <v>443</v>
      </c>
      <c r="B1728" t="s">
        <v>424</v>
      </c>
      <c r="C1728" t="s">
        <v>20</v>
      </c>
      <c r="D1728" t="s">
        <v>425</v>
      </c>
      <c r="E1728">
        <v>0</v>
      </c>
      <c r="F1728">
        <v>1364</v>
      </c>
      <c r="G1728">
        <v>0</v>
      </c>
      <c r="H1728">
        <v>13</v>
      </c>
      <c r="I1728">
        <v>0</v>
      </c>
      <c r="J1728">
        <v>0</v>
      </c>
      <c r="K1728" s="1">
        <v>45992</v>
      </c>
      <c r="L1728" t="s">
        <v>439</v>
      </c>
      <c r="M1728" t="s">
        <v>444</v>
      </c>
      <c r="N1728" s="2">
        <f>IFERROR(NHS_A_E[[#This Row],[T1_Over4hrs]]/NHS_A_E[[#This Row],[T1_Attendances]], 0)</f>
        <v>0</v>
      </c>
      <c r="O1728">
        <f>NHS_A_E[[#This Row],[T1_Attendances]]+NHS_A_E[[#This Row],[Other_Attendances]]</f>
        <v>1364</v>
      </c>
      <c r="P1728">
        <f>MATCH(LEFT(A1728,FIND("-",A1728)-1),{"April","May","June","July","August","September","October","November","December","January","February","March"},0)</f>
        <v>9</v>
      </c>
      <c r="Q1728" s="3">
        <f t="shared" si="52"/>
        <v>0</v>
      </c>
      <c r="R1728" t="str">
        <f t="shared" si="53"/>
        <v>December</v>
      </c>
    </row>
    <row r="1729" spans="1:18" x14ac:dyDescent="0.35">
      <c r="A1729" t="s">
        <v>443</v>
      </c>
      <c r="B1729" t="s">
        <v>311</v>
      </c>
      <c r="C1729" t="s">
        <v>20</v>
      </c>
      <c r="D1729" t="s">
        <v>312</v>
      </c>
      <c r="E1729">
        <v>0</v>
      </c>
      <c r="F1729">
        <v>1010</v>
      </c>
      <c r="G1729">
        <v>0</v>
      </c>
      <c r="H1729">
        <v>1</v>
      </c>
      <c r="I1729">
        <v>0</v>
      </c>
      <c r="J1729">
        <v>0</v>
      </c>
      <c r="K1729" s="1">
        <v>45992</v>
      </c>
      <c r="L1729" t="s">
        <v>439</v>
      </c>
      <c r="M1729" t="s">
        <v>444</v>
      </c>
      <c r="N1729" s="2">
        <f>IFERROR(NHS_A_E[[#This Row],[T1_Over4hrs]]/NHS_A_E[[#This Row],[T1_Attendances]], 0)</f>
        <v>0</v>
      </c>
      <c r="O1729">
        <f>NHS_A_E[[#This Row],[T1_Attendances]]+NHS_A_E[[#This Row],[Other_Attendances]]</f>
        <v>1010</v>
      </c>
      <c r="P1729">
        <f>MATCH(LEFT(A1729,FIND("-",A1729)-1),{"April","May","June","July","August","September","October","November","December","January","February","March"},0)</f>
        <v>9</v>
      </c>
      <c r="Q1729" s="3">
        <f t="shared" si="52"/>
        <v>0</v>
      </c>
      <c r="R1729" t="str">
        <f t="shared" si="53"/>
        <v>December</v>
      </c>
    </row>
    <row r="1730" spans="1:18" x14ac:dyDescent="0.35">
      <c r="A1730" t="s">
        <v>443</v>
      </c>
      <c r="B1730" t="s">
        <v>277</v>
      </c>
      <c r="C1730" t="s">
        <v>15</v>
      </c>
      <c r="D1730" t="s">
        <v>278</v>
      </c>
      <c r="E1730">
        <v>0</v>
      </c>
      <c r="F1730">
        <v>2358</v>
      </c>
      <c r="G1730">
        <v>0</v>
      </c>
      <c r="H1730">
        <v>42</v>
      </c>
      <c r="I1730">
        <v>0</v>
      </c>
      <c r="J1730">
        <v>0</v>
      </c>
      <c r="K1730" s="1">
        <v>45992</v>
      </c>
      <c r="L1730" t="s">
        <v>439</v>
      </c>
      <c r="M1730" t="s">
        <v>444</v>
      </c>
      <c r="N1730" s="2">
        <f>IFERROR(NHS_A_E[[#This Row],[T1_Over4hrs]]/NHS_A_E[[#This Row],[T1_Attendances]], 0)</f>
        <v>0</v>
      </c>
      <c r="O1730">
        <f>NHS_A_E[[#This Row],[T1_Attendances]]+NHS_A_E[[#This Row],[Other_Attendances]]</f>
        <v>2358</v>
      </c>
      <c r="P1730">
        <f>MATCH(LEFT(A1730,FIND("-",A1730)-1),{"April","May","June","July","August","September","October","November","December","January","February","March"},0)</f>
        <v>9</v>
      </c>
      <c r="Q1730" s="3">
        <f t="shared" ref="Q1730:Q1793" si="54">IFERROR(J1730/E1730,0)</f>
        <v>0</v>
      </c>
      <c r="R1730" t="str">
        <f t="shared" ref="R1730:R1793" si="55">TEXT(A1730, "mmmm")</f>
        <v>December</v>
      </c>
    </row>
    <row r="1731" spans="1:18" x14ac:dyDescent="0.35">
      <c r="A1731" t="s">
        <v>443</v>
      </c>
      <c r="B1731" t="s">
        <v>279</v>
      </c>
      <c r="C1731" t="s">
        <v>15</v>
      </c>
      <c r="D1731" t="s">
        <v>280</v>
      </c>
      <c r="E1731">
        <v>0</v>
      </c>
      <c r="F1731">
        <v>2599</v>
      </c>
      <c r="G1731">
        <v>0</v>
      </c>
      <c r="H1731">
        <v>28</v>
      </c>
      <c r="I1731">
        <v>0</v>
      </c>
      <c r="J1731">
        <v>0</v>
      </c>
      <c r="K1731" s="1">
        <v>45992</v>
      </c>
      <c r="L1731" t="s">
        <v>439</v>
      </c>
      <c r="M1731" t="s">
        <v>444</v>
      </c>
      <c r="N1731" s="2">
        <f>IFERROR(NHS_A_E[[#This Row],[T1_Over4hrs]]/NHS_A_E[[#This Row],[T1_Attendances]], 0)</f>
        <v>0</v>
      </c>
      <c r="O1731">
        <f>NHS_A_E[[#This Row],[T1_Attendances]]+NHS_A_E[[#This Row],[Other_Attendances]]</f>
        <v>2599</v>
      </c>
      <c r="P1731">
        <f>MATCH(LEFT(A1731,FIND("-",A1731)-1),{"April","May","June","July","August","September","October","November","December","January","February","March"},0)</f>
        <v>9</v>
      </c>
      <c r="Q1731" s="3">
        <f t="shared" si="54"/>
        <v>0</v>
      </c>
      <c r="R1731" t="str">
        <f t="shared" si="55"/>
        <v>December</v>
      </c>
    </row>
    <row r="1732" spans="1:18" x14ac:dyDescent="0.35">
      <c r="A1732" t="s">
        <v>443</v>
      </c>
      <c r="B1732" t="s">
        <v>440</v>
      </c>
      <c r="C1732" t="s">
        <v>15</v>
      </c>
      <c r="D1732" t="s">
        <v>441</v>
      </c>
      <c r="E1732">
        <v>0</v>
      </c>
      <c r="F1732">
        <v>1127</v>
      </c>
      <c r="G1732">
        <v>0</v>
      </c>
      <c r="H1732">
        <v>0</v>
      </c>
      <c r="I1732">
        <v>0</v>
      </c>
      <c r="J1732">
        <v>0</v>
      </c>
      <c r="K1732" s="1">
        <v>45992</v>
      </c>
      <c r="L1732" t="s">
        <v>439</v>
      </c>
      <c r="M1732" t="s">
        <v>444</v>
      </c>
      <c r="N1732" s="2">
        <f>IFERROR(NHS_A_E[[#This Row],[T1_Over4hrs]]/NHS_A_E[[#This Row],[T1_Attendances]], 0)</f>
        <v>0</v>
      </c>
      <c r="O1732">
        <f>NHS_A_E[[#This Row],[T1_Attendances]]+NHS_A_E[[#This Row],[Other_Attendances]]</f>
        <v>1127</v>
      </c>
      <c r="P1732">
        <f>MATCH(LEFT(A1732,FIND("-",A1732)-1),{"April","May","June","July","August","September","October","November","December","January","February","March"},0)</f>
        <v>9</v>
      </c>
      <c r="Q1732" s="3">
        <f t="shared" si="54"/>
        <v>0</v>
      </c>
      <c r="R1732" t="str">
        <f t="shared" si="55"/>
        <v>December</v>
      </c>
    </row>
    <row r="1733" spans="1:18" x14ac:dyDescent="0.35">
      <c r="A1733" t="s">
        <v>443</v>
      </c>
      <c r="B1733" t="s">
        <v>115</v>
      </c>
      <c r="C1733" t="s">
        <v>40</v>
      </c>
      <c r="D1733" t="s">
        <v>116</v>
      </c>
      <c r="E1733">
        <v>0</v>
      </c>
      <c r="F1733">
        <v>2808</v>
      </c>
      <c r="G1733">
        <v>0</v>
      </c>
      <c r="H1733">
        <v>11</v>
      </c>
      <c r="I1733">
        <v>0</v>
      </c>
      <c r="J1733">
        <v>0</v>
      </c>
      <c r="K1733" s="1">
        <v>45992</v>
      </c>
      <c r="L1733" t="s">
        <v>439</v>
      </c>
      <c r="M1733" t="s">
        <v>444</v>
      </c>
      <c r="N1733" s="2">
        <f>IFERROR(NHS_A_E[[#This Row],[T1_Over4hrs]]/NHS_A_E[[#This Row],[T1_Attendances]], 0)</f>
        <v>0</v>
      </c>
      <c r="O1733">
        <f>NHS_A_E[[#This Row],[T1_Attendances]]+NHS_A_E[[#This Row],[Other_Attendances]]</f>
        <v>2808</v>
      </c>
      <c r="P1733">
        <f>MATCH(LEFT(A1733,FIND("-",A1733)-1),{"April","May","June","July","August","September","October","November","December","January","February","March"},0)</f>
        <v>9</v>
      </c>
      <c r="Q1733" s="3">
        <f t="shared" si="54"/>
        <v>0</v>
      </c>
      <c r="R1733" t="str">
        <f t="shared" si="55"/>
        <v>December</v>
      </c>
    </row>
    <row r="1734" spans="1:18" x14ac:dyDescent="0.35">
      <c r="A1734" t="s">
        <v>443</v>
      </c>
      <c r="B1734" t="s">
        <v>249</v>
      </c>
      <c r="C1734" t="s">
        <v>20</v>
      </c>
      <c r="D1734" t="s">
        <v>250</v>
      </c>
      <c r="E1734">
        <v>6606</v>
      </c>
      <c r="F1734">
        <v>2925</v>
      </c>
      <c r="G1734">
        <v>2812</v>
      </c>
      <c r="H1734">
        <v>2</v>
      </c>
      <c r="I1734">
        <v>155</v>
      </c>
      <c r="J1734">
        <v>56</v>
      </c>
      <c r="K1734" s="1">
        <v>45992</v>
      </c>
      <c r="L1734" t="s">
        <v>439</v>
      </c>
      <c r="M1734" t="s">
        <v>444</v>
      </c>
      <c r="N1734" s="2">
        <f>IFERROR(NHS_A_E[[#This Row],[T1_Over4hrs]]/NHS_A_E[[#This Row],[T1_Attendances]], 0)</f>
        <v>0.42567363003330305</v>
      </c>
      <c r="O1734">
        <f>NHS_A_E[[#This Row],[T1_Attendances]]+NHS_A_E[[#This Row],[Other_Attendances]]</f>
        <v>9531</v>
      </c>
      <c r="P1734">
        <f>MATCH(LEFT(A1734,FIND("-",A1734)-1),{"April","May","June","July","August","September","October","November","December","January","February","March"},0)</f>
        <v>9</v>
      </c>
      <c r="Q1734" s="3">
        <f t="shared" si="54"/>
        <v>8.4771419921283678E-3</v>
      </c>
      <c r="R1734" t="str">
        <f t="shared" si="55"/>
        <v>December</v>
      </c>
    </row>
    <row r="1735" spans="1:18" x14ac:dyDescent="0.35">
      <c r="A1735" t="s">
        <v>443</v>
      </c>
      <c r="B1735" t="s">
        <v>345</v>
      </c>
      <c r="C1735" t="s">
        <v>23</v>
      </c>
      <c r="D1735" t="s">
        <v>346</v>
      </c>
      <c r="E1735">
        <v>17035</v>
      </c>
      <c r="F1735">
        <v>9488</v>
      </c>
      <c r="G1735">
        <v>6156</v>
      </c>
      <c r="H1735">
        <v>0</v>
      </c>
      <c r="I1735">
        <v>82</v>
      </c>
      <c r="J1735">
        <v>39</v>
      </c>
      <c r="K1735" s="1">
        <v>45992</v>
      </c>
      <c r="L1735" t="s">
        <v>439</v>
      </c>
      <c r="M1735" t="s">
        <v>444</v>
      </c>
      <c r="N1735" s="2">
        <f>IFERROR(NHS_A_E[[#This Row],[T1_Over4hrs]]/NHS_A_E[[#This Row],[T1_Attendances]], 0)</f>
        <v>0.36137364250073378</v>
      </c>
      <c r="O1735">
        <f>NHS_A_E[[#This Row],[T1_Attendances]]+NHS_A_E[[#This Row],[Other_Attendances]]</f>
        <v>26523</v>
      </c>
      <c r="P1735">
        <f>MATCH(LEFT(A1735,FIND("-",A1735)-1),{"April","May","June","July","August","September","October","November","December","January","February","March"},0)</f>
        <v>9</v>
      </c>
      <c r="Q1735" s="3">
        <f t="shared" si="54"/>
        <v>2.2894041678896389E-3</v>
      </c>
      <c r="R1735" t="str">
        <f t="shared" si="55"/>
        <v>December</v>
      </c>
    </row>
    <row r="1736" spans="1:18" x14ac:dyDescent="0.35">
      <c r="A1736" t="s">
        <v>443</v>
      </c>
      <c r="B1736" t="s">
        <v>313</v>
      </c>
      <c r="C1736" t="s">
        <v>20</v>
      </c>
      <c r="D1736" t="s">
        <v>314</v>
      </c>
      <c r="E1736">
        <v>0</v>
      </c>
      <c r="F1736">
        <v>0</v>
      </c>
      <c r="G1736">
        <v>0</v>
      </c>
      <c r="H1736">
        <v>0</v>
      </c>
      <c r="I1736">
        <v>0</v>
      </c>
      <c r="J1736">
        <v>0</v>
      </c>
      <c r="K1736" s="1">
        <v>45992</v>
      </c>
      <c r="L1736" t="s">
        <v>439</v>
      </c>
      <c r="M1736" t="s">
        <v>444</v>
      </c>
      <c r="N1736" s="2">
        <f>IFERROR(NHS_A_E[[#This Row],[T1_Over4hrs]]/NHS_A_E[[#This Row],[T1_Attendances]], 0)</f>
        <v>0</v>
      </c>
      <c r="O1736">
        <f>NHS_A_E[[#This Row],[T1_Attendances]]+NHS_A_E[[#This Row],[Other_Attendances]]</f>
        <v>0</v>
      </c>
      <c r="P1736">
        <f>MATCH(LEFT(A1736,FIND("-",A1736)-1),{"April","May","June","July","August","September","October","November","December","January","February","March"},0)</f>
        <v>9</v>
      </c>
      <c r="Q1736" s="3">
        <f t="shared" si="54"/>
        <v>0</v>
      </c>
      <c r="R1736" t="str">
        <f t="shared" si="55"/>
        <v>December</v>
      </c>
    </row>
    <row r="1737" spans="1:18" x14ac:dyDescent="0.35">
      <c r="A1737" t="s">
        <v>443</v>
      </c>
      <c r="B1737" t="s">
        <v>99</v>
      </c>
      <c r="C1737" t="s">
        <v>30</v>
      </c>
      <c r="D1737" t="s">
        <v>100</v>
      </c>
      <c r="E1737">
        <v>0</v>
      </c>
      <c r="F1737">
        <v>0</v>
      </c>
      <c r="G1737">
        <v>0</v>
      </c>
      <c r="H1737">
        <v>0</v>
      </c>
      <c r="I1737">
        <v>0</v>
      </c>
      <c r="J1737">
        <v>0</v>
      </c>
      <c r="K1737" s="1">
        <v>45992</v>
      </c>
      <c r="L1737" t="s">
        <v>439</v>
      </c>
      <c r="M1737" t="s">
        <v>444</v>
      </c>
      <c r="N1737" s="2">
        <f>IFERROR(NHS_A_E[[#This Row],[T1_Over4hrs]]/NHS_A_E[[#This Row],[T1_Attendances]], 0)</f>
        <v>0</v>
      </c>
      <c r="O1737">
        <f>NHS_A_E[[#This Row],[T1_Attendances]]+NHS_A_E[[#This Row],[Other_Attendances]]</f>
        <v>0</v>
      </c>
      <c r="P1737">
        <f>MATCH(LEFT(A1737,FIND("-",A1737)-1),{"April","May","June","July","August","September","October","November","December","January","February","March"},0)</f>
        <v>9</v>
      </c>
      <c r="Q1737" s="3">
        <f t="shared" si="54"/>
        <v>0</v>
      </c>
      <c r="R1737" t="str">
        <f t="shared" si="55"/>
        <v>December</v>
      </c>
    </row>
    <row r="1738" spans="1:18" x14ac:dyDescent="0.35">
      <c r="A1738" t="s">
        <v>443</v>
      </c>
      <c r="B1738" t="s">
        <v>293</v>
      </c>
      <c r="C1738" t="s">
        <v>20</v>
      </c>
      <c r="D1738" t="s">
        <v>294</v>
      </c>
      <c r="E1738">
        <v>0</v>
      </c>
      <c r="F1738">
        <v>0</v>
      </c>
      <c r="G1738">
        <v>0</v>
      </c>
      <c r="H1738">
        <v>0</v>
      </c>
      <c r="I1738">
        <v>0</v>
      </c>
      <c r="J1738">
        <v>0</v>
      </c>
      <c r="K1738" s="1">
        <v>45992</v>
      </c>
      <c r="L1738" t="s">
        <v>439</v>
      </c>
      <c r="M1738" t="s">
        <v>444</v>
      </c>
      <c r="N1738" s="2">
        <f>IFERROR(NHS_A_E[[#This Row],[T1_Over4hrs]]/NHS_A_E[[#This Row],[T1_Attendances]], 0)</f>
        <v>0</v>
      </c>
      <c r="O1738">
        <f>NHS_A_E[[#This Row],[T1_Attendances]]+NHS_A_E[[#This Row],[Other_Attendances]]</f>
        <v>0</v>
      </c>
      <c r="P1738">
        <f>MATCH(LEFT(A1738,FIND("-",A1738)-1),{"April","May","June","July","August","September","October","November","December","January","February","March"},0)</f>
        <v>9</v>
      </c>
      <c r="Q1738" s="3">
        <f t="shared" si="54"/>
        <v>0</v>
      </c>
      <c r="R1738" t="str">
        <f t="shared" si="55"/>
        <v>December</v>
      </c>
    </row>
    <row r="1739" spans="1:18" x14ac:dyDescent="0.35">
      <c r="A1739" t="s">
        <v>443</v>
      </c>
      <c r="B1739" t="s">
        <v>233</v>
      </c>
      <c r="C1739" t="s">
        <v>30</v>
      </c>
      <c r="D1739" t="s">
        <v>234</v>
      </c>
      <c r="E1739">
        <v>5495</v>
      </c>
      <c r="F1739">
        <v>2116</v>
      </c>
      <c r="G1739">
        <v>2600</v>
      </c>
      <c r="H1739">
        <v>302</v>
      </c>
      <c r="I1739">
        <v>437</v>
      </c>
      <c r="J1739">
        <v>634</v>
      </c>
      <c r="K1739" s="1">
        <v>45992</v>
      </c>
      <c r="L1739" t="s">
        <v>439</v>
      </c>
      <c r="M1739" t="s">
        <v>444</v>
      </c>
      <c r="N1739" s="2">
        <f>IFERROR(NHS_A_E[[#This Row],[T1_Over4hrs]]/NHS_A_E[[#This Row],[T1_Attendances]], 0)</f>
        <v>0.47315741583257509</v>
      </c>
      <c r="O1739">
        <f>NHS_A_E[[#This Row],[T1_Attendances]]+NHS_A_E[[#This Row],[Other_Attendances]]</f>
        <v>7611</v>
      </c>
      <c r="P1739">
        <f>MATCH(LEFT(A1739,FIND("-",A1739)-1),{"April","May","June","July","August","September","October","November","December","January","February","March"},0)</f>
        <v>9</v>
      </c>
      <c r="Q1739" s="3">
        <f t="shared" si="54"/>
        <v>0.11537761601455869</v>
      </c>
      <c r="R1739" t="str">
        <f t="shared" si="55"/>
        <v>December</v>
      </c>
    </row>
    <row r="1740" spans="1:18" x14ac:dyDescent="0.35">
      <c r="A1740" t="s">
        <v>443</v>
      </c>
      <c r="B1740" t="s">
        <v>299</v>
      </c>
      <c r="C1740" t="s">
        <v>63</v>
      </c>
      <c r="D1740" t="s">
        <v>300</v>
      </c>
      <c r="E1740">
        <v>15746</v>
      </c>
      <c r="F1740">
        <v>0</v>
      </c>
      <c r="G1740">
        <v>3024</v>
      </c>
      <c r="H1740">
        <v>0</v>
      </c>
      <c r="I1740">
        <v>1144</v>
      </c>
      <c r="J1740">
        <v>56</v>
      </c>
      <c r="K1740" s="1">
        <v>45992</v>
      </c>
      <c r="L1740" t="s">
        <v>439</v>
      </c>
      <c r="M1740" t="s">
        <v>444</v>
      </c>
      <c r="N1740" s="2">
        <f>IFERROR(NHS_A_E[[#This Row],[T1_Over4hrs]]/NHS_A_E[[#This Row],[T1_Attendances]], 0)</f>
        <v>0.19204877429188366</v>
      </c>
      <c r="O1740">
        <f>NHS_A_E[[#This Row],[T1_Attendances]]+NHS_A_E[[#This Row],[Other_Attendances]]</f>
        <v>15746</v>
      </c>
      <c r="P1740">
        <f>MATCH(LEFT(A1740,FIND("-",A1740)-1),{"April","May","June","July","August","September","October","November","December","January","February","March"},0)</f>
        <v>9</v>
      </c>
      <c r="Q1740" s="3">
        <f t="shared" si="54"/>
        <v>3.5564587831830308E-3</v>
      </c>
      <c r="R1740" t="str">
        <f t="shared" si="55"/>
        <v>December</v>
      </c>
    </row>
    <row r="1741" spans="1:18" x14ac:dyDescent="0.35">
      <c r="A1741" t="s">
        <v>443</v>
      </c>
      <c r="B1741" t="s">
        <v>201</v>
      </c>
      <c r="C1741" t="s">
        <v>20</v>
      </c>
      <c r="D1741" t="s">
        <v>202</v>
      </c>
      <c r="E1741">
        <v>0</v>
      </c>
      <c r="F1741">
        <v>1808</v>
      </c>
      <c r="G1741">
        <v>0</v>
      </c>
      <c r="H1741">
        <v>23</v>
      </c>
      <c r="I1741">
        <v>0</v>
      </c>
      <c r="J1741">
        <v>0</v>
      </c>
      <c r="K1741" s="1">
        <v>45992</v>
      </c>
      <c r="L1741" t="s">
        <v>439</v>
      </c>
      <c r="M1741" t="s">
        <v>444</v>
      </c>
      <c r="N1741" s="2">
        <f>IFERROR(NHS_A_E[[#This Row],[T1_Over4hrs]]/NHS_A_E[[#This Row],[T1_Attendances]], 0)</f>
        <v>0</v>
      </c>
      <c r="O1741">
        <f>NHS_A_E[[#This Row],[T1_Attendances]]+NHS_A_E[[#This Row],[Other_Attendances]]</f>
        <v>1808</v>
      </c>
      <c r="P1741">
        <f>MATCH(LEFT(A1741,FIND("-",A1741)-1),{"April","May","June","July","August","September","October","November","December","January","February","March"},0)</f>
        <v>9</v>
      </c>
      <c r="Q1741" s="3">
        <f t="shared" si="54"/>
        <v>0</v>
      </c>
      <c r="R1741" t="str">
        <f t="shared" si="55"/>
        <v>December</v>
      </c>
    </row>
    <row r="1742" spans="1:18" x14ac:dyDescent="0.35">
      <c r="A1742" t="s">
        <v>443</v>
      </c>
      <c r="B1742" t="s">
        <v>303</v>
      </c>
      <c r="C1742" t="s">
        <v>23</v>
      </c>
      <c r="D1742" t="s">
        <v>304</v>
      </c>
      <c r="E1742">
        <v>0</v>
      </c>
      <c r="F1742">
        <v>3460</v>
      </c>
      <c r="G1742">
        <v>0</v>
      </c>
      <c r="H1742">
        <v>0</v>
      </c>
      <c r="I1742">
        <v>0</v>
      </c>
      <c r="J1742">
        <v>0</v>
      </c>
      <c r="K1742" s="1">
        <v>45992</v>
      </c>
      <c r="L1742" t="s">
        <v>439</v>
      </c>
      <c r="M1742" t="s">
        <v>444</v>
      </c>
      <c r="N1742" s="2">
        <f>IFERROR(NHS_A_E[[#This Row],[T1_Over4hrs]]/NHS_A_E[[#This Row],[T1_Attendances]], 0)</f>
        <v>0</v>
      </c>
      <c r="O1742">
        <f>NHS_A_E[[#This Row],[T1_Attendances]]+NHS_A_E[[#This Row],[Other_Attendances]]</f>
        <v>3460</v>
      </c>
      <c r="P1742">
        <f>MATCH(LEFT(A1742,FIND("-",A1742)-1),{"April","May","June","July","August","September","October","November","December","January","February","March"},0)</f>
        <v>9</v>
      </c>
      <c r="Q1742" s="3">
        <f t="shared" si="54"/>
        <v>0</v>
      </c>
      <c r="R1742" t="str">
        <f t="shared" si="55"/>
        <v>December</v>
      </c>
    </row>
    <row r="1743" spans="1:18" x14ac:dyDescent="0.35">
      <c r="A1743" t="s">
        <v>443</v>
      </c>
      <c r="B1743" t="s">
        <v>239</v>
      </c>
      <c r="C1743" t="s">
        <v>35</v>
      </c>
      <c r="D1743" t="s">
        <v>240</v>
      </c>
      <c r="E1743">
        <v>0</v>
      </c>
      <c r="F1743">
        <v>1005</v>
      </c>
      <c r="G1743">
        <v>0</v>
      </c>
      <c r="H1743">
        <v>0</v>
      </c>
      <c r="I1743">
        <v>0</v>
      </c>
      <c r="J1743">
        <v>0</v>
      </c>
      <c r="K1743" s="1">
        <v>45992</v>
      </c>
      <c r="L1743" t="s">
        <v>439</v>
      </c>
      <c r="M1743" t="s">
        <v>444</v>
      </c>
      <c r="N1743" s="2">
        <f>IFERROR(NHS_A_E[[#This Row],[T1_Over4hrs]]/NHS_A_E[[#This Row],[T1_Attendances]], 0)</f>
        <v>0</v>
      </c>
      <c r="O1743">
        <f>NHS_A_E[[#This Row],[T1_Attendances]]+NHS_A_E[[#This Row],[Other_Attendances]]</f>
        <v>1005</v>
      </c>
      <c r="P1743">
        <f>MATCH(LEFT(A1743,FIND("-",A1743)-1),{"April","May","June","July","August","September","October","November","December","January","February","March"},0)</f>
        <v>9</v>
      </c>
      <c r="Q1743" s="3">
        <f t="shared" si="54"/>
        <v>0</v>
      </c>
      <c r="R1743" t="str">
        <f t="shared" si="55"/>
        <v>December</v>
      </c>
    </row>
    <row r="1744" spans="1:18" x14ac:dyDescent="0.35">
      <c r="A1744" t="s">
        <v>443</v>
      </c>
      <c r="B1744" t="s">
        <v>405</v>
      </c>
      <c r="C1744" t="s">
        <v>15</v>
      </c>
      <c r="D1744" t="s">
        <v>406</v>
      </c>
      <c r="E1744">
        <v>9720</v>
      </c>
      <c r="F1744">
        <v>5730</v>
      </c>
      <c r="G1744">
        <v>3923</v>
      </c>
      <c r="H1744">
        <v>1027</v>
      </c>
      <c r="I1744">
        <v>417</v>
      </c>
      <c r="J1744">
        <v>680</v>
      </c>
      <c r="K1744" s="1">
        <v>45992</v>
      </c>
      <c r="L1744" t="s">
        <v>439</v>
      </c>
      <c r="M1744" t="s">
        <v>444</v>
      </c>
      <c r="N1744" s="2">
        <f>IFERROR(NHS_A_E[[#This Row],[T1_Over4hrs]]/NHS_A_E[[#This Row],[T1_Attendances]], 0)</f>
        <v>0.40360082304526751</v>
      </c>
      <c r="O1744">
        <f>NHS_A_E[[#This Row],[T1_Attendances]]+NHS_A_E[[#This Row],[Other_Attendances]]</f>
        <v>15450</v>
      </c>
      <c r="P1744">
        <f>MATCH(LEFT(A1744,FIND("-",A1744)-1),{"April","May","June","July","August","September","October","November","December","January","February","March"},0)</f>
        <v>9</v>
      </c>
      <c r="Q1744" s="3">
        <f t="shared" si="54"/>
        <v>6.9958847736625515E-2</v>
      </c>
      <c r="R1744" t="str">
        <f t="shared" si="55"/>
        <v>December</v>
      </c>
    </row>
    <row r="1745" spans="1:18" x14ac:dyDescent="0.35">
      <c r="A1745" t="s">
        <v>443</v>
      </c>
      <c r="B1745" t="s">
        <v>289</v>
      </c>
      <c r="C1745" t="s">
        <v>30</v>
      </c>
      <c r="D1745" t="s">
        <v>290</v>
      </c>
      <c r="E1745">
        <v>0</v>
      </c>
      <c r="F1745">
        <v>0</v>
      </c>
      <c r="G1745">
        <v>0</v>
      </c>
      <c r="H1745">
        <v>0</v>
      </c>
      <c r="I1745">
        <v>0</v>
      </c>
      <c r="J1745">
        <v>0</v>
      </c>
      <c r="K1745" s="1">
        <v>45992</v>
      </c>
      <c r="L1745" t="s">
        <v>439</v>
      </c>
      <c r="M1745" t="s">
        <v>444</v>
      </c>
      <c r="N1745" s="2">
        <f>IFERROR(NHS_A_E[[#This Row],[T1_Over4hrs]]/NHS_A_E[[#This Row],[T1_Attendances]], 0)</f>
        <v>0</v>
      </c>
      <c r="O1745">
        <f>NHS_A_E[[#This Row],[T1_Attendances]]+NHS_A_E[[#This Row],[Other_Attendances]]</f>
        <v>0</v>
      </c>
      <c r="P1745">
        <f>MATCH(LEFT(A1745,FIND("-",A1745)-1),{"April","May","June","July","August","September","October","November","December","January","February","March"},0)</f>
        <v>9</v>
      </c>
      <c r="Q1745" s="3">
        <f t="shared" si="54"/>
        <v>0</v>
      </c>
      <c r="R1745" t="str">
        <f t="shared" si="55"/>
        <v>December</v>
      </c>
    </row>
    <row r="1746" spans="1:18" x14ac:dyDescent="0.35">
      <c r="A1746" t="s">
        <v>443</v>
      </c>
      <c r="B1746" t="s">
        <v>267</v>
      </c>
      <c r="C1746" t="s">
        <v>15</v>
      </c>
      <c r="D1746" t="s">
        <v>268</v>
      </c>
      <c r="E1746">
        <v>0</v>
      </c>
      <c r="F1746">
        <v>6479</v>
      </c>
      <c r="G1746">
        <v>0</v>
      </c>
      <c r="H1746">
        <v>17</v>
      </c>
      <c r="I1746">
        <v>0</v>
      </c>
      <c r="J1746">
        <v>0</v>
      </c>
      <c r="K1746" s="1">
        <v>45992</v>
      </c>
      <c r="L1746" t="s">
        <v>439</v>
      </c>
      <c r="M1746" t="s">
        <v>444</v>
      </c>
      <c r="N1746" s="2">
        <f>IFERROR(NHS_A_E[[#This Row],[T1_Over4hrs]]/NHS_A_E[[#This Row],[T1_Attendances]], 0)</f>
        <v>0</v>
      </c>
      <c r="O1746">
        <f>NHS_A_E[[#This Row],[T1_Attendances]]+NHS_A_E[[#This Row],[Other_Attendances]]</f>
        <v>6479</v>
      </c>
      <c r="P1746">
        <f>MATCH(LEFT(A1746,FIND("-",A1746)-1),{"April","May","June","July","August","September","October","November","December","January","February","March"},0)</f>
        <v>9</v>
      </c>
      <c r="Q1746" s="3">
        <f t="shared" si="54"/>
        <v>0</v>
      </c>
      <c r="R1746" t="str">
        <f t="shared" si="55"/>
        <v>December</v>
      </c>
    </row>
    <row r="1747" spans="1:18" x14ac:dyDescent="0.35">
      <c r="A1747" t="s">
        <v>443</v>
      </c>
      <c r="B1747" t="s">
        <v>399</v>
      </c>
      <c r="C1747" t="s">
        <v>40</v>
      </c>
      <c r="D1747" t="s">
        <v>400</v>
      </c>
      <c r="E1747">
        <v>8104</v>
      </c>
      <c r="F1747">
        <v>346</v>
      </c>
      <c r="G1747">
        <v>2015</v>
      </c>
      <c r="H1747">
        <v>0</v>
      </c>
      <c r="I1747">
        <v>396</v>
      </c>
      <c r="J1747">
        <v>49</v>
      </c>
      <c r="K1747" s="1">
        <v>45992</v>
      </c>
      <c r="L1747" t="s">
        <v>439</v>
      </c>
      <c r="M1747" t="s">
        <v>444</v>
      </c>
      <c r="N1747" s="2">
        <f>IFERROR(NHS_A_E[[#This Row],[T1_Over4hrs]]/NHS_A_E[[#This Row],[T1_Attendances]], 0)</f>
        <v>0.24864264560710761</v>
      </c>
      <c r="O1747">
        <f>NHS_A_E[[#This Row],[T1_Attendances]]+NHS_A_E[[#This Row],[Other_Attendances]]</f>
        <v>8450</v>
      </c>
      <c r="P1747">
        <f>MATCH(LEFT(A1747,FIND("-",A1747)-1),{"April","May","June","July","August","September","October","November","December","January","February","March"},0)</f>
        <v>9</v>
      </c>
      <c r="Q1747" s="3">
        <f t="shared" si="54"/>
        <v>6.0463968410661402E-3</v>
      </c>
      <c r="R1747" t="str">
        <f t="shared" si="55"/>
        <v>December</v>
      </c>
    </row>
    <row r="1748" spans="1:18" x14ac:dyDescent="0.35">
      <c r="A1748" t="s">
        <v>443</v>
      </c>
      <c r="B1748" t="s">
        <v>353</v>
      </c>
      <c r="C1748" t="s">
        <v>40</v>
      </c>
      <c r="D1748" t="s">
        <v>354</v>
      </c>
      <c r="E1748">
        <v>10941</v>
      </c>
      <c r="F1748">
        <v>7633</v>
      </c>
      <c r="G1748">
        <v>4264</v>
      </c>
      <c r="H1748">
        <v>516</v>
      </c>
      <c r="I1748">
        <v>883</v>
      </c>
      <c r="J1748">
        <v>530</v>
      </c>
      <c r="K1748" s="1">
        <v>45992</v>
      </c>
      <c r="L1748" t="s">
        <v>439</v>
      </c>
      <c r="M1748" t="s">
        <v>444</v>
      </c>
      <c r="N1748" s="2">
        <f>IFERROR(NHS_A_E[[#This Row],[T1_Over4hrs]]/NHS_A_E[[#This Row],[T1_Attendances]], 0)</f>
        <v>0.38972671602230141</v>
      </c>
      <c r="O1748">
        <f>NHS_A_E[[#This Row],[T1_Attendances]]+NHS_A_E[[#This Row],[Other_Attendances]]</f>
        <v>18574</v>
      </c>
      <c r="P1748">
        <f>MATCH(LEFT(A1748,FIND("-",A1748)-1),{"April","May","June","July","August","September","October","November","December","January","February","March"},0)</f>
        <v>9</v>
      </c>
      <c r="Q1748" s="3">
        <f t="shared" si="54"/>
        <v>4.8441641531852667E-2</v>
      </c>
      <c r="R1748" t="str">
        <f t="shared" si="55"/>
        <v>December</v>
      </c>
    </row>
    <row r="1749" spans="1:18" x14ac:dyDescent="0.35">
      <c r="A1749" t="s">
        <v>443</v>
      </c>
      <c r="B1749" t="s">
        <v>60</v>
      </c>
      <c r="C1749" t="s">
        <v>35</v>
      </c>
      <c r="D1749" t="s">
        <v>61</v>
      </c>
      <c r="E1749">
        <v>19984</v>
      </c>
      <c r="F1749">
        <v>6701</v>
      </c>
      <c r="G1749">
        <v>5683</v>
      </c>
      <c r="H1749">
        <v>240</v>
      </c>
      <c r="I1749">
        <v>922</v>
      </c>
      <c r="J1749">
        <v>51</v>
      </c>
      <c r="K1749" s="1">
        <v>45992</v>
      </c>
      <c r="L1749" t="s">
        <v>439</v>
      </c>
      <c r="M1749" t="s">
        <v>444</v>
      </c>
      <c r="N1749" s="2">
        <f>IFERROR(NHS_A_E[[#This Row],[T1_Over4hrs]]/NHS_A_E[[#This Row],[T1_Attendances]], 0)</f>
        <v>0.28437750200160128</v>
      </c>
      <c r="O1749">
        <f>NHS_A_E[[#This Row],[T1_Attendances]]+NHS_A_E[[#This Row],[Other_Attendances]]</f>
        <v>26685</v>
      </c>
      <c r="P1749">
        <f>MATCH(LEFT(A1749,FIND("-",A1749)-1),{"April","May","June","July","August","September","October","November","December","January","February","March"},0)</f>
        <v>9</v>
      </c>
      <c r="Q1749" s="3">
        <f t="shared" si="54"/>
        <v>2.5520416333066455E-3</v>
      </c>
      <c r="R1749" t="str">
        <f t="shared" si="55"/>
        <v>December</v>
      </c>
    </row>
    <row r="1750" spans="1:18" x14ac:dyDescent="0.35">
      <c r="A1750" t="s">
        <v>443</v>
      </c>
      <c r="B1750" t="s">
        <v>323</v>
      </c>
      <c r="C1750" t="s">
        <v>23</v>
      </c>
      <c r="D1750" t="s">
        <v>324</v>
      </c>
      <c r="E1750">
        <v>8104</v>
      </c>
      <c r="F1750">
        <v>2529</v>
      </c>
      <c r="G1750">
        <v>2415</v>
      </c>
      <c r="H1750">
        <v>0</v>
      </c>
      <c r="I1750">
        <v>492</v>
      </c>
      <c r="J1750">
        <v>181</v>
      </c>
      <c r="K1750" s="1">
        <v>45992</v>
      </c>
      <c r="L1750" t="s">
        <v>439</v>
      </c>
      <c r="M1750" t="s">
        <v>444</v>
      </c>
      <c r="N1750" s="2">
        <f>IFERROR(NHS_A_E[[#This Row],[T1_Over4hrs]]/NHS_A_E[[#This Row],[T1_Attendances]], 0)</f>
        <v>0.29800098716683121</v>
      </c>
      <c r="O1750">
        <f>NHS_A_E[[#This Row],[T1_Attendances]]+NHS_A_E[[#This Row],[Other_Attendances]]</f>
        <v>10633</v>
      </c>
      <c r="P1750">
        <f>MATCH(LEFT(A1750,FIND("-",A1750)-1),{"April","May","June","July","August","September","October","November","December","January","February","March"},0)</f>
        <v>9</v>
      </c>
      <c r="Q1750" s="3">
        <f t="shared" si="54"/>
        <v>2.2334649555774928E-2</v>
      </c>
      <c r="R1750" t="str">
        <f t="shared" si="55"/>
        <v>December</v>
      </c>
    </row>
    <row r="1751" spans="1:18" x14ac:dyDescent="0.35">
      <c r="A1751" t="s">
        <v>443</v>
      </c>
      <c r="B1751" t="s">
        <v>62</v>
      </c>
      <c r="C1751" t="s">
        <v>63</v>
      </c>
      <c r="D1751" t="s">
        <v>64</v>
      </c>
      <c r="E1751">
        <v>17518</v>
      </c>
      <c r="F1751">
        <v>11111</v>
      </c>
      <c r="G1751">
        <v>7234</v>
      </c>
      <c r="H1751">
        <v>573</v>
      </c>
      <c r="I1751">
        <v>1349</v>
      </c>
      <c r="J1751">
        <v>809</v>
      </c>
      <c r="K1751" s="1">
        <v>45992</v>
      </c>
      <c r="L1751" t="s">
        <v>439</v>
      </c>
      <c r="M1751" t="s">
        <v>444</v>
      </c>
      <c r="N1751" s="2">
        <f>IFERROR(NHS_A_E[[#This Row],[T1_Over4hrs]]/NHS_A_E[[#This Row],[T1_Attendances]], 0)</f>
        <v>0.41294668341134833</v>
      </c>
      <c r="O1751">
        <f>NHS_A_E[[#This Row],[T1_Attendances]]+NHS_A_E[[#This Row],[Other_Attendances]]</f>
        <v>28629</v>
      </c>
      <c r="P1751">
        <f>MATCH(LEFT(A1751,FIND("-",A1751)-1),{"April","May","June","July","August","September","October","November","December","January","February","March"},0)</f>
        <v>9</v>
      </c>
      <c r="Q1751" s="3">
        <f t="shared" si="54"/>
        <v>4.6181070898504394E-2</v>
      </c>
      <c r="R1751" t="str">
        <f t="shared" si="55"/>
        <v>December</v>
      </c>
    </row>
    <row r="1752" spans="1:18" x14ac:dyDescent="0.35">
      <c r="A1752" t="s">
        <v>443</v>
      </c>
      <c r="B1752" t="s">
        <v>365</v>
      </c>
      <c r="C1752" t="s">
        <v>35</v>
      </c>
      <c r="D1752" t="s">
        <v>366</v>
      </c>
      <c r="E1752">
        <v>13329</v>
      </c>
      <c r="F1752">
        <v>0</v>
      </c>
      <c r="G1752">
        <v>3677</v>
      </c>
      <c r="H1752">
        <v>0</v>
      </c>
      <c r="I1752">
        <v>379</v>
      </c>
      <c r="J1752">
        <v>128</v>
      </c>
      <c r="K1752" s="1">
        <v>45992</v>
      </c>
      <c r="L1752" t="s">
        <v>439</v>
      </c>
      <c r="M1752" t="s">
        <v>444</v>
      </c>
      <c r="N1752" s="2">
        <f>IFERROR(NHS_A_E[[#This Row],[T1_Over4hrs]]/NHS_A_E[[#This Row],[T1_Attendances]], 0)</f>
        <v>0.27586465601320431</v>
      </c>
      <c r="O1752">
        <f>NHS_A_E[[#This Row],[T1_Attendances]]+NHS_A_E[[#This Row],[Other_Attendances]]</f>
        <v>13329</v>
      </c>
      <c r="P1752">
        <f>MATCH(LEFT(A1752,FIND("-",A1752)-1),{"April","May","June","July","August","September","October","November","December","January","February","March"},0)</f>
        <v>9</v>
      </c>
      <c r="Q1752" s="3">
        <f t="shared" si="54"/>
        <v>9.6031210143296564E-3</v>
      </c>
      <c r="R1752" t="str">
        <f t="shared" si="55"/>
        <v>December</v>
      </c>
    </row>
    <row r="1753" spans="1:18" x14ac:dyDescent="0.35">
      <c r="A1753" t="s">
        <v>443</v>
      </c>
      <c r="B1753" t="s">
        <v>317</v>
      </c>
      <c r="C1753" t="s">
        <v>63</v>
      </c>
      <c r="D1753" t="s">
        <v>318</v>
      </c>
      <c r="E1753">
        <v>7786</v>
      </c>
      <c r="F1753">
        <v>9002</v>
      </c>
      <c r="G1753">
        <v>3671</v>
      </c>
      <c r="H1753">
        <v>442</v>
      </c>
      <c r="I1753">
        <v>327</v>
      </c>
      <c r="J1753">
        <v>11</v>
      </c>
      <c r="K1753" s="1">
        <v>45992</v>
      </c>
      <c r="L1753" t="s">
        <v>439</v>
      </c>
      <c r="M1753" t="s">
        <v>444</v>
      </c>
      <c r="N1753" s="2">
        <f>IFERROR(NHS_A_E[[#This Row],[T1_Over4hrs]]/NHS_A_E[[#This Row],[T1_Attendances]], 0)</f>
        <v>0.47148728487027997</v>
      </c>
      <c r="O1753">
        <f>NHS_A_E[[#This Row],[T1_Attendances]]+NHS_A_E[[#This Row],[Other_Attendances]]</f>
        <v>16788</v>
      </c>
      <c r="P1753">
        <f>MATCH(LEFT(A1753,FIND("-",A1753)-1),{"April","May","June","July","August","September","October","November","December","January","February","March"},0)</f>
        <v>9</v>
      </c>
      <c r="Q1753" s="3">
        <f t="shared" si="54"/>
        <v>1.4127921911122527E-3</v>
      </c>
      <c r="R1753" t="str">
        <f t="shared" si="55"/>
        <v>December</v>
      </c>
    </row>
    <row r="1754" spans="1:18" x14ac:dyDescent="0.35">
      <c r="A1754" t="s">
        <v>443</v>
      </c>
      <c r="B1754" t="s">
        <v>219</v>
      </c>
      <c r="C1754" t="s">
        <v>30</v>
      </c>
      <c r="D1754" t="s">
        <v>220</v>
      </c>
      <c r="E1754">
        <v>8766</v>
      </c>
      <c r="F1754">
        <v>2567</v>
      </c>
      <c r="G1754">
        <v>3818</v>
      </c>
      <c r="H1754">
        <v>73</v>
      </c>
      <c r="I1754">
        <v>736</v>
      </c>
      <c r="J1754">
        <v>609</v>
      </c>
      <c r="K1754" s="1">
        <v>45992</v>
      </c>
      <c r="L1754" t="s">
        <v>439</v>
      </c>
      <c r="M1754" t="s">
        <v>444</v>
      </c>
      <c r="N1754" s="2">
        <f>IFERROR(NHS_A_E[[#This Row],[T1_Over4hrs]]/NHS_A_E[[#This Row],[T1_Attendances]], 0)</f>
        <v>0.43554642938626509</v>
      </c>
      <c r="O1754">
        <f>NHS_A_E[[#This Row],[T1_Attendances]]+NHS_A_E[[#This Row],[Other_Attendances]]</f>
        <v>11333</v>
      </c>
      <c r="P1754">
        <f>MATCH(LEFT(A1754,FIND("-",A1754)-1),{"April","May","June","July","August","September","October","November","December","January","February","March"},0)</f>
        <v>9</v>
      </c>
      <c r="Q1754" s="3">
        <f t="shared" si="54"/>
        <v>6.9472963723477069E-2</v>
      </c>
      <c r="R1754" t="str">
        <f t="shared" si="55"/>
        <v>December</v>
      </c>
    </row>
    <row r="1755" spans="1:18" x14ac:dyDescent="0.35">
      <c r="A1755" t="s">
        <v>443</v>
      </c>
      <c r="B1755" t="s">
        <v>367</v>
      </c>
      <c r="C1755" t="s">
        <v>23</v>
      </c>
      <c r="D1755" t="s">
        <v>368</v>
      </c>
      <c r="E1755">
        <v>0</v>
      </c>
      <c r="F1755">
        <v>1033</v>
      </c>
      <c r="G1755">
        <v>0</v>
      </c>
      <c r="H1755">
        <v>11</v>
      </c>
      <c r="I1755">
        <v>0</v>
      </c>
      <c r="J1755">
        <v>0</v>
      </c>
      <c r="K1755" s="1">
        <v>45992</v>
      </c>
      <c r="L1755" t="s">
        <v>439</v>
      </c>
      <c r="M1755" t="s">
        <v>444</v>
      </c>
      <c r="N1755" s="2">
        <f>IFERROR(NHS_A_E[[#This Row],[T1_Over4hrs]]/NHS_A_E[[#This Row],[T1_Attendances]], 0)</f>
        <v>0</v>
      </c>
      <c r="O1755">
        <f>NHS_A_E[[#This Row],[T1_Attendances]]+NHS_A_E[[#This Row],[Other_Attendances]]</f>
        <v>1033</v>
      </c>
      <c r="P1755">
        <f>MATCH(LEFT(A1755,FIND("-",A1755)-1),{"April","May","June","July","August","September","October","November","December","January","February","March"},0)</f>
        <v>9</v>
      </c>
      <c r="Q1755" s="3">
        <f t="shared" si="54"/>
        <v>0</v>
      </c>
      <c r="R1755" t="str">
        <f t="shared" si="55"/>
        <v>December</v>
      </c>
    </row>
    <row r="1756" spans="1:18" x14ac:dyDescent="0.35">
      <c r="A1756" t="s">
        <v>443</v>
      </c>
      <c r="B1756" t="s">
        <v>301</v>
      </c>
      <c r="C1756" t="s">
        <v>30</v>
      </c>
      <c r="D1756" t="s">
        <v>302</v>
      </c>
      <c r="E1756">
        <v>0</v>
      </c>
      <c r="F1756">
        <v>3401</v>
      </c>
      <c r="G1756">
        <v>0</v>
      </c>
      <c r="H1756">
        <v>324</v>
      </c>
      <c r="I1756">
        <v>0</v>
      </c>
      <c r="J1756">
        <v>0</v>
      </c>
      <c r="K1756" s="1">
        <v>45992</v>
      </c>
      <c r="L1756" t="s">
        <v>439</v>
      </c>
      <c r="M1756" t="s">
        <v>444</v>
      </c>
      <c r="N1756" s="2">
        <f>IFERROR(NHS_A_E[[#This Row],[T1_Over4hrs]]/NHS_A_E[[#This Row],[T1_Attendances]], 0)</f>
        <v>0</v>
      </c>
      <c r="O1756">
        <f>NHS_A_E[[#This Row],[T1_Attendances]]+NHS_A_E[[#This Row],[Other_Attendances]]</f>
        <v>3401</v>
      </c>
      <c r="P1756">
        <f>MATCH(LEFT(A1756,FIND("-",A1756)-1),{"April","May","June","July","August","September","October","November","December","January","February","March"},0)</f>
        <v>9</v>
      </c>
      <c r="Q1756" s="3">
        <f t="shared" si="54"/>
        <v>0</v>
      </c>
      <c r="R1756" t="str">
        <f t="shared" si="55"/>
        <v>December</v>
      </c>
    </row>
    <row r="1757" spans="1:18" x14ac:dyDescent="0.35">
      <c r="A1757" t="s">
        <v>443</v>
      </c>
      <c r="B1757" t="s">
        <v>207</v>
      </c>
      <c r="C1757" t="s">
        <v>15</v>
      </c>
      <c r="D1757" t="s">
        <v>208</v>
      </c>
      <c r="E1757">
        <v>27283</v>
      </c>
      <c r="F1757">
        <v>1438</v>
      </c>
      <c r="G1757">
        <v>11226</v>
      </c>
      <c r="H1757">
        <v>176</v>
      </c>
      <c r="I1757">
        <v>905</v>
      </c>
      <c r="J1757">
        <v>718</v>
      </c>
      <c r="K1757" s="1">
        <v>45992</v>
      </c>
      <c r="L1757" t="s">
        <v>439</v>
      </c>
      <c r="M1757" t="s">
        <v>444</v>
      </c>
      <c r="N1757" s="2">
        <f>IFERROR(NHS_A_E[[#This Row],[T1_Over4hrs]]/NHS_A_E[[#This Row],[T1_Attendances]], 0)</f>
        <v>0.41146501484440862</v>
      </c>
      <c r="O1757">
        <f>NHS_A_E[[#This Row],[T1_Attendances]]+NHS_A_E[[#This Row],[Other_Attendances]]</f>
        <v>28721</v>
      </c>
      <c r="P1757">
        <f>MATCH(LEFT(A1757,FIND("-",A1757)-1),{"April","May","June","July","August","September","October","November","December","January","February","March"},0)</f>
        <v>9</v>
      </c>
      <c r="Q1757" s="3">
        <f t="shared" si="54"/>
        <v>2.6316754022651469E-2</v>
      </c>
      <c r="R1757" t="str">
        <f t="shared" si="55"/>
        <v>December</v>
      </c>
    </row>
    <row r="1758" spans="1:18" x14ac:dyDescent="0.35">
      <c r="A1758" t="s">
        <v>443</v>
      </c>
      <c r="B1758" t="s">
        <v>241</v>
      </c>
      <c r="C1758" t="s">
        <v>40</v>
      </c>
      <c r="D1758" t="s">
        <v>242</v>
      </c>
      <c r="E1758">
        <v>0</v>
      </c>
      <c r="F1758">
        <v>0</v>
      </c>
      <c r="G1758">
        <v>0</v>
      </c>
      <c r="H1758">
        <v>0</v>
      </c>
      <c r="I1758">
        <v>0</v>
      </c>
      <c r="J1758">
        <v>0</v>
      </c>
      <c r="K1758" s="1">
        <v>45992</v>
      </c>
      <c r="L1758" t="s">
        <v>439</v>
      </c>
      <c r="M1758" t="s">
        <v>444</v>
      </c>
      <c r="N1758" s="2">
        <f>IFERROR(NHS_A_E[[#This Row],[T1_Over4hrs]]/NHS_A_E[[#This Row],[T1_Attendances]], 0)</f>
        <v>0</v>
      </c>
      <c r="O1758">
        <f>NHS_A_E[[#This Row],[T1_Attendances]]+NHS_A_E[[#This Row],[Other_Attendances]]</f>
        <v>0</v>
      </c>
      <c r="P1758">
        <f>MATCH(LEFT(A1758,FIND("-",A1758)-1),{"April","May","June","July","August","September","October","November","December","January","February","March"},0)</f>
        <v>9</v>
      </c>
      <c r="Q1758" s="3">
        <f t="shared" si="54"/>
        <v>0</v>
      </c>
      <c r="R1758" t="str">
        <f t="shared" si="55"/>
        <v>December</v>
      </c>
    </row>
    <row r="1759" spans="1:18" x14ac:dyDescent="0.35">
      <c r="A1759" t="s">
        <v>443</v>
      </c>
      <c r="B1759" t="s">
        <v>379</v>
      </c>
      <c r="C1759" t="s">
        <v>63</v>
      </c>
      <c r="D1759" t="s">
        <v>380</v>
      </c>
      <c r="E1759">
        <v>0</v>
      </c>
      <c r="F1759">
        <v>2515</v>
      </c>
      <c r="G1759">
        <v>0</v>
      </c>
      <c r="H1759">
        <v>9</v>
      </c>
      <c r="I1759">
        <v>0</v>
      </c>
      <c r="J1759">
        <v>0</v>
      </c>
      <c r="K1759" s="1">
        <v>45992</v>
      </c>
      <c r="L1759" t="s">
        <v>439</v>
      </c>
      <c r="M1759" t="s">
        <v>444</v>
      </c>
      <c r="N1759" s="2">
        <f>IFERROR(NHS_A_E[[#This Row],[T1_Over4hrs]]/NHS_A_E[[#This Row],[T1_Attendances]], 0)</f>
        <v>0</v>
      </c>
      <c r="O1759">
        <f>NHS_A_E[[#This Row],[T1_Attendances]]+NHS_A_E[[#This Row],[Other_Attendances]]</f>
        <v>2515</v>
      </c>
      <c r="P1759">
        <f>MATCH(LEFT(A1759,FIND("-",A1759)-1),{"April","May","June","July","August","September","October","November","December","January","February","March"},0)</f>
        <v>9</v>
      </c>
      <c r="Q1759" s="3">
        <f t="shared" si="54"/>
        <v>0</v>
      </c>
      <c r="R1759" t="str">
        <f t="shared" si="55"/>
        <v>December</v>
      </c>
    </row>
    <row r="1760" spans="1:18" x14ac:dyDescent="0.35">
      <c r="A1760" t="s">
        <v>443</v>
      </c>
      <c r="B1760" t="s">
        <v>263</v>
      </c>
      <c r="C1760" t="s">
        <v>35</v>
      </c>
      <c r="D1760" t="s">
        <v>264</v>
      </c>
      <c r="E1760">
        <v>0</v>
      </c>
      <c r="F1760">
        <v>2627</v>
      </c>
      <c r="G1760">
        <v>0</v>
      </c>
      <c r="H1760">
        <v>24</v>
      </c>
      <c r="I1760">
        <v>0</v>
      </c>
      <c r="J1760">
        <v>0</v>
      </c>
      <c r="K1760" s="1">
        <v>45992</v>
      </c>
      <c r="L1760" t="s">
        <v>439</v>
      </c>
      <c r="M1760" t="s">
        <v>444</v>
      </c>
      <c r="N1760" s="2">
        <f>IFERROR(NHS_A_E[[#This Row],[T1_Over4hrs]]/NHS_A_E[[#This Row],[T1_Attendances]], 0)</f>
        <v>0</v>
      </c>
      <c r="O1760">
        <f>NHS_A_E[[#This Row],[T1_Attendances]]+NHS_A_E[[#This Row],[Other_Attendances]]</f>
        <v>2627</v>
      </c>
      <c r="P1760">
        <f>MATCH(LEFT(A1760,FIND("-",A1760)-1),{"April","May","June","July","August","September","October","November","December","January","February","March"},0)</f>
        <v>9</v>
      </c>
      <c r="Q1760" s="3">
        <f t="shared" si="54"/>
        <v>0</v>
      </c>
      <c r="R1760" t="str">
        <f t="shared" si="55"/>
        <v>December</v>
      </c>
    </row>
    <row r="1761" spans="1:18" x14ac:dyDescent="0.35">
      <c r="A1761" t="s">
        <v>443</v>
      </c>
      <c r="B1761" t="s">
        <v>265</v>
      </c>
      <c r="C1761" t="s">
        <v>35</v>
      </c>
      <c r="D1761" t="s">
        <v>266</v>
      </c>
      <c r="E1761">
        <v>0</v>
      </c>
      <c r="F1761">
        <v>2897</v>
      </c>
      <c r="G1761">
        <v>0</v>
      </c>
      <c r="H1761">
        <v>26</v>
      </c>
      <c r="I1761">
        <v>0</v>
      </c>
      <c r="J1761">
        <v>0</v>
      </c>
      <c r="K1761" s="1">
        <v>45992</v>
      </c>
      <c r="L1761" t="s">
        <v>439</v>
      </c>
      <c r="M1761" t="s">
        <v>444</v>
      </c>
      <c r="N1761" s="2">
        <f>IFERROR(NHS_A_E[[#This Row],[T1_Over4hrs]]/NHS_A_E[[#This Row],[T1_Attendances]], 0)</f>
        <v>0</v>
      </c>
      <c r="O1761">
        <f>NHS_A_E[[#This Row],[T1_Attendances]]+NHS_A_E[[#This Row],[Other_Attendances]]</f>
        <v>2897</v>
      </c>
      <c r="P1761">
        <f>MATCH(LEFT(A1761,FIND("-",A1761)-1),{"April","May","June","July","August","September","October","November","December","January","February","March"},0)</f>
        <v>9</v>
      </c>
      <c r="Q1761" s="3">
        <f t="shared" si="54"/>
        <v>0</v>
      </c>
      <c r="R1761" t="str">
        <f t="shared" si="55"/>
        <v>December</v>
      </c>
    </row>
    <row r="1762" spans="1:18" x14ac:dyDescent="0.35">
      <c r="A1762" t="s">
        <v>443</v>
      </c>
      <c r="B1762" t="s">
        <v>75</v>
      </c>
      <c r="C1762" t="s">
        <v>63</v>
      </c>
      <c r="D1762" t="s">
        <v>76</v>
      </c>
      <c r="E1762">
        <v>0</v>
      </c>
      <c r="F1762">
        <v>3846</v>
      </c>
      <c r="G1762">
        <v>0</v>
      </c>
      <c r="H1762">
        <v>525</v>
      </c>
      <c r="I1762">
        <v>0</v>
      </c>
      <c r="J1762">
        <v>0</v>
      </c>
      <c r="K1762" s="1">
        <v>45992</v>
      </c>
      <c r="L1762" t="s">
        <v>439</v>
      </c>
      <c r="M1762" t="s">
        <v>444</v>
      </c>
      <c r="N1762" s="2">
        <f>IFERROR(NHS_A_E[[#This Row],[T1_Over4hrs]]/NHS_A_E[[#This Row],[T1_Attendances]], 0)</f>
        <v>0</v>
      </c>
      <c r="O1762">
        <f>NHS_A_E[[#This Row],[T1_Attendances]]+NHS_A_E[[#This Row],[Other_Attendances]]</f>
        <v>3846</v>
      </c>
      <c r="P1762">
        <f>MATCH(LEFT(A1762,FIND("-",A1762)-1),{"April","May","June","July","August","September","October","November","December","January","February","March"},0)</f>
        <v>9</v>
      </c>
      <c r="Q1762" s="3">
        <f t="shared" si="54"/>
        <v>0</v>
      </c>
      <c r="R1762" t="str">
        <f t="shared" si="55"/>
        <v>December</v>
      </c>
    </row>
    <row r="1763" spans="1:18" x14ac:dyDescent="0.35">
      <c r="A1763" t="s">
        <v>443</v>
      </c>
      <c r="B1763" t="s">
        <v>77</v>
      </c>
      <c r="C1763" t="s">
        <v>63</v>
      </c>
      <c r="D1763" t="s">
        <v>78</v>
      </c>
      <c r="E1763">
        <v>0</v>
      </c>
      <c r="F1763">
        <v>1526</v>
      </c>
      <c r="G1763">
        <v>0</v>
      </c>
      <c r="H1763">
        <v>62</v>
      </c>
      <c r="I1763">
        <v>0</v>
      </c>
      <c r="J1763">
        <v>0</v>
      </c>
      <c r="K1763" s="1">
        <v>45992</v>
      </c>
      <c r="L1763" t="s">
        <v>439</v>
      </c>
      <c r="M1763" t="s">
        <v>444</v>
      </c>
      <c r="N1763" s="2">
        <f>IFERROR(NHS_A_E[[#This Row],[T1_Over4hrs]]/NHS_A_E[[#This Row],[T1_Attendances]], 0)</f>
        <v>0</v>
      </c>
      <c r="O1763">
        <f>NHS_A_E[[#This Row],[T1_Attendances]]+NHS_A_E[[#This Row],[Other_Attendances]]</f>
        <v>1526</v>
      </c>
      <c r="P1763">
        <f>MATCH(LEFT(A1763,FIND("-",A1763)-1),{"April","May","June","July","August","September","October","November","December","January","February","March"},0)</f>
        <v>9</v>
      </c>
      <c r="Q1763" s="3">
        <f t="shared" si="54"/>
        <v>0</v>
      </c>
      <c r="R1763" t="str">
        <f t="shared" si="55"/>
        <v>December</v>
      </c>
    </row>
    <row r="1764" spans="1:18" x14ac:dyDescent="0.35">
      <c r="A1764" t="s">
        <v>443</v>
      </c>
      <c r="B1764" t="s">
        <v>79</v>
      </c>
      <c r="C1764" t="s">
        <v>63</v>
      </c>
      <c r="D1764" t="s">
        <v>80</v>
      </c>
      <c r="E1764">
        <v>0</v>
      </c>
      <c r="F1764">
        <v>3038</v>
      </c>
      <c r="G1764">
        <v>0</v>
      </c>
      <c r="H1764">
        <v>212</v>
      </c>
      <c r="I1764">
        <v>0</v>
      </c>
      <c r="J1764">
        <v>0</v>
      </c>
      <c r="K1764" s="1">
        <v>45992</v>
      </c>
      <c r="L1764" t="s">
        <v>439</v>
      </c>
      <c r="M1764" t="s">
        <v>444</v>
      </c>
      <c r="N1764" s="2">
        <f>IFERROR(NHS_A_E[[#This Row],[T1_Over4hrs]]/NHS_A_E[[#This Row],[T1_Attendances]], 0)</f>
        <v>0</v>
      </c>
      <c r="O1764">
        <f>NHS_A_E[[#This Row],[T1_Attendances]]+NHS_A_E[[#This Row],[Other_Attendances]]</f>
        <v>3038</v>
      </c>
      <c r="P1764">
        <f>MATCH(LEFT(A1764,FIND("-",A1764)-1),{"April","May","June","July","August","September","October","November","December","January","February","March"},0)</f>
        <v>9</v>
      </c>
      <c r="Q1764" s="3">
        <f t="shared" si="54"/>
        <v>0</v>
      </c>
      <c r="R1764" t="str">
        <f t="shared" si="55"/>
        <v>December</v>
      </c>
    </row>
    <row r="1765" spans="1:18" x14ac:dyDescent="0.35">
      <c r="A1765" t="s">
        <v>443</v>
      </c>
      <c r="B1765" t="s">
        <v>81</v>
      </c>
      <c r="C1765" t="s">
        <v>63</v>
      </c>
      <c r="D1765" t="s">
        <v>82</v>
      </c>
      <c r="E1765">
        <v>0</v>
      </c>
      <c r="F1765">
        <v>1790</v>
      </c>
      <c r="G1765">
        <v>0</v>
      </c>
      <c r="H1765">
        <v>5</v>
      </c>
      <c r="I1765">
        <v>0</v>
      </c>
      <c r="J1765">
        <v>0</v>
      </c>
      <c r="K1765" s="1">
        <v>45992</v>
      </c>
      <c r="L1765" t="s">
        <v>439</v>
      </c>
      <c r="M1765" t="s">
        <v>444</v>
      </c>
      <c r="N1765" s="2">
        <f>IFERROR(NHS_A_E[[#This Row],[T1_Over4hrs]]/NHS_A_E[[#This Row],[T1_Attendances]], 0)</f>
        <v>0</v>
      </c>
      <c r="O1765">
        <f>NHS_A_E[[#This Row],[T1_Attendances]]+NHS_A_E[[#This Row],[Other_Attendances]]</f>
        <v>1790</v>
      </c>
      <c r="P1765">
        <f>MATCH(LEFT(A1765,FIND("-",A1765)-1),{"April","May","June","July","August","September","October","November","December","January","February","March"},0)</f>
        <v>9</v>
      </c>
      <c r="Q1765" s="3">
        <f t="shared" si="54"/>
        <v>0</v>
      </c>
      <c r="R1765" t="str">
        <f t="shared" si="55"/>
        <v>December</v>
      </c>
    </row>
    <row r="1766" spans="1:18" x14ac:dyDescent="0.35">
      <c r="A1766" t="s">
        <v>443</v>
      </c>
      <c r="B1766" t="s">
        <v>227</v>
      </c>
      <c r="C1766" t="s">
        <v>30</v>
      </c>
      <c r="D1766" t="s">
        <v>228</v>
      </c>
      <c r="E1766">
        <v>0</v>
      </c>
      <c r="F1766">
        <v>787</v>
      </c>
      <c r="G1766">
        <v>0</v>
      </c>
      <c r="H1766">
        <v>2</v>
      </c>
      <c r="I1766">
        <v>0</v>
      </c>
      <c r="J1766">
        <v>0</v>
      </c>
      <c r="K1766" s="1">
        <v>45992</v>
      </c>
      <c r="L1766" t="s">
        <v>439</v>
      </c>
      <c r="M1766" t="s">
        <v>444</v>
      </c>
      <c r="N1766" s="2">
        <f>IFERROR(NHS_A_E[[#This Row],[T1_Over4hrs]]/NHS_A_E[[#This Row],[T1_Attendances]], 0)</f>
        <v>0</v>
      </c>
      <c r="O1766">
        <f>NHS_A_E[[#This Row],[T1_Attendances]]+NHS_A_E[[#This Row],[Other_Attendances]]</f>
        <v>787</v>
      </c>
      <c r="P1766">
        <f>MATCH(LEFT(A1766,FIND("-",A1766)-1),{"April","May","June","July","August","September","October","November","December","January","February","March"},0)</f>
        <v>9</v>
      </c>
      <c r="Q1766" s="3">
        <f t="shared" si="54"/>
        <v>0</v>
      </c>
      <c r="R1766" t="str">
        <f t="shared" si="55"/>
        <v>December</v>
      </c>
    </row>
    <row r="1767" spans="1:18" x14ac:dyDescent="0.35">
      <c r="A1767" t="s">
        <v>443</v>
      </c>
      <c r="B1767" t="s">
        <v>325</v>
      </c>
      <c r="C1767" t="s">
        <v>40</v>
      </c>
      <c r="D1767" t="s">
        <v>326</v>
      </c>
      <c r="E1767">
        <v>0</v>
      </c>
      <c r="F1767">
        <v>8220</v>
      </c>
      <c r="G1767">
        <v>0</v>
      </c>
      <c r="H1767">
        <v>166</v>
      </c>
      <c r="I1767">
        <v>0</v>
      </c>
      <c r="J1767">
        <v>0</v>
      </c>
      <c r="K1767" s="1">
        <v>45992</v>
      </c>
      <c r="L1767" t="s">
        <v>439</v>
      </c>
      <c r="M1767" t="s">
        <v>444</v>
      </c>
      <c r="N1767" s="2">
        <f>IFERROR(NHS_A_E[[#This Row],[T1_Over4hrs]]/NHS_A_E[[#This Row],[T1_Attendances]], 0)</f>
        <v>0</v>
      </c>
      <c r="O1767">
        <f>NHS_A_E[[#This Row],[T1_Attendances]]+NHS_A_E[[#This Row],[Other_Attendances]]</f>
        <v>8220</v>
      </c>
      <c r="P1767">
        <f>MATCH(LEFT(A1767,FIND("-",A1767)-1),{"April","May","June","July","August","September","October","November","December","January","February","March"},0)</f>
        <v>9</v>
      </c>
      <c r="Q1767" s="3">
        <f t="shared" si="54"/>
        <v>0</v>
      </c>
      <c r="R1767" t="str">
        <f t="shared" si="55"/>
        <v>December</v>
      </c>
    </row>
    <row r="1768" spans="1:18" x14ac:dyDescent="0.35">
      <c r="A1768" t="s">
        <v>443</v>
      </c>
      <c r="B1768" t="s">
        <v>401</v>
      </c>
      <c r="C1768" t="s">
        <v>35</v>
      </c>
      <c r="D1768" t="s">
        <v>402</v>
      </c>
      <c r="E1768">
        <v>13592</v>
      </c>
      <c r="F1768">
        <v>5317</v>
      </c>
      <c r="G1768">
        <v>4565</v>
      </c>
      <c r="H1768">
        <v>0</v>
      </c>
      <c r="I1768">
        <v>311</v>
      </c>
      <c r="J1768">
        <v>691</v>
      </c>
      <c r="K1768" s="1">
        <v>45992</v>
      </c>
      <c r="L1768" t="s">
        <v>439</v>
      </c>
      <c r="M1768" t="s">
        <v>444</v>
      </c>
      <c r="N1768" s="2">
        <f>IFERROR(NHS_A_E[[#This Row],[T1_Over4hrs]]/NHS_A_E[[#This Row],[T1_Attendances]], 0)</f>
        <v>0.33585932901706889</v>
      </c>
      <c r="O1768">
        <f>NHS_A_E[[#This Row],[T1_Attendances]]+NHS_A_E[[#This Row],[Other_Attendances]]</f>
        <v>18909</v>
      </c>
      <c r="P1768">
        <f>MATCH(LEFT(A1768,FIND("-",A1768)-1),{"April","May","June","July","August","September","October","November","December","January","February","March"},0)</f>
        <v>9</v>
      </c>
      <c r="Q1768" s="3">
        <f t="shared" si="54"/>
        <v>5.0838728663919953E-2</v>
      </c>
      <c r="R1768" t="str">
        <f t="shared" si="55"/>
        <v>December</v>
      </c>
    </row>
    <row r="1769" spans="1:18" x14ac:dyDescent="0.35">
      <c r="A1769" t="s">
        <v>443</v>
      </c>
      <c r="B1769" t="s">
        <v>349</v>
      </c>
      <c r="C1769" t="s">
        <v>20</v>
      </c>
      <c r="D1769" t="s">
        <v>350</v>
      </c>
      <c r="E1769">
        <v>11950</v>
      </c>
      <c r="F1769">
        <v>3914</v>
      </c>
      <c r="G1769">
        <v>5412</v>
      </c>
      <c r="H1769">
        <v>4</v>
      </c>
      <c r="I1769">
        <v>876</v>
      </c>
      <c r="J1769">
        <v>272</v>
      </c>
      <c r="K1769" s="1">
        <v>45992</v>
      </c>
      <c r="L1769" t="s">
        <v>439</v>
      </c>
      <c r="M1769" t="s">
        <v>444</v>
      </c>
      <c r="N1769" s="2">
        <f>IFERROR(NHS_A_E[[#This Row],[T1_Over4hrs]]/NHS_A_E[[#This Row],[T1_Attendances]], 0)</f>
        <v>0.45288702928870295</v>
      </c>
      <c r="O1769">
        <f>NHS_A_E[[#This Row],[T1_Attendances]]+NHS_A_E[[#This Row],[Other_Attendances]]</f>
        <v>15864</v>
      </c>
      <c r="P1769">
        <f>MATCH(LEFT(A1769,FIND("-",A1769)-1),{"April","May","June","July","August","September","October","November","December","January","February","March"},0)</f>
        <v>9</v>
      </c>
      <c r="Q1769" s="3">
        <f t="shared" si="54"/>
        <v>2.2761506276150627E-2</v>
      </c>
      <c r="R1769" t="str">
        <f t="shared" si="55"/>
        <v>December</v>
      </c>
    </row>
    <row r="1770" spans="1:18" x14ac:dyDescent="0.35">
      <c r="A1770" t="s">
        <v>443</v>
      </c>
      <c r="B1770" t="s">
        <v>199</v>
      </c>
      <c r="C1770" t="s">
        <v>40</v>
      </c>
      <c r="D1770" t="s">
        <v>200</v>
      </c>
      <c r="E1770">
        <v>10764</v>
      </c>
      <c r="F1770">
        <v>2805</v>
      </c>
      <c r="G1770">
        <v>6049</v>
      </c>
      <c r="H1770">
        <v>458</v>
      </c>
      <c r="I1770">
        <v>497</v>
      </c>
      <c r="J1770">
        <v>1429</v>
      </c>
      <c r="K1770" s="1">
        <v>45992</v>
      </c>
      <c r="L1770" t="s">
        <v>439</v>
      </c>
      <c r="M1770" t="s">
        <v>444</v>
      </c>
      <c r="N1770" s="2">
        <f>IFERROR(NHS_A_E[[#This Row],[T1_Over4hrs]]/NHS_A_E[[#This Row],[T1_Attendances]], 0)</f>
        <v>0.56196581196581197</v>
      </c>
      <c r="O1770">
        <f>NHS_A_E[[#This Row],[T1_Attendances]]+NHS_A_E[[#This Row],[Other_Attendances]]</f>
        <v>13569</v>
      </c>
      <c r="P1770">
        <f>MATCH(LEFT(A1770,FIND("-",A1770)-1),{"April","May","June","July","August","September","October","November","December","January","February","March"},0)</f>
        <v>9</v>
      </c>
      <c r="Q1770" s="3">
        <f t="shared" si="54"/>
        <v>0.1327573392790784</v>
      </c>
      <c r="R1770" t="str">
        <f t="shared" si="55"/>
        <v>December</v>
      </c>
    </row>
    <row r="1771" spans="1:18" x14ac:dyDescent="0.35">
      <c r="A1771" t="s">
        <v>443</v>
      </c>
      <c r="B1771" t="s">
        <v>391</v>
      </c>
      <c r="C1771" t="s">
        <v>63</v>
      </c>
      <c r="D1771" t="s">
        <v>392</v>
      </c>
      <c r="E1771">
        <v>4907</v>
      </c>
      <c r="F1771">
        <v>554</v>
      </c>
      <c r="G1771">
        <v>587</v>
      </c>
      <c r="H1771">
        <v>5</v>
      </c>
      <c r="I1771">
        <v>13</v>
      </c>
      <c r="J1771">
        <v>0</v>
      </c>
      <c r="K1771" s="1">
        <v>45992</v>
      </c>
      <c r="L1771" t="s">
        <v>439</v>
      </c>
      <c r="M1771" t="s">
        <v>444</v>
      </c>
      <c r="N1771" s="2">
        <f>IFERROR(NHS_A_E[[#This Row],[T1_Over4hrs]]/NHS_A_E[[#This Row],[T1_Attendances]], 0)</f>
        <v>0.11962502547381292</v>
      </c>
      <c r="O1771">
        <f>NHS_A_E[[#This Row],[T1_Attendances]]+NHS_A_E[[#This Row],[Other_Attendances]]</f>
        <v>5461</v>
      </c>
      <c r="P1771">
        <f>MATCH(LEFT(A1771,FIND("-",A1771)-1),{"April","May","June","July","August","September","October","November","December","January","February","March"},0)</f>
        <v>9</v>
      </c>
      <c r="Q1771" s="3">
        <f t="shared" si="54"/>
        <v>0</v>
      </c>
      <c r="R1771" t="str">
        <f t="shared" si="55"/>
        <v>December</v>
      </c>
    </row>
    <row r="1772" spans="1:18" x14ac:dyDescent="0.35">
      <c r="A1772" t="s">
        <v>443</v>
      </c>
      <c r="B1772" t="s">
        <v>381</v>
      </c>
      <c r="C1772" t="s">
        <v>40</v>
      </c>
      <c r="D1772" t="s">
        <v>382</v>
      </c>
      <c r="E1772">
        <v>0</v>
      </c>
      <c r="F1772">
        <v>306</v>
      </c>
      <c r="G1772">
        <v>0</v>
      </c>
      <c r="H1772">
        <v>0</v>
      </c>
      <c r="I1772">
        <v>0</v>
      </c>
      <c r="J1772">
        <v>0</v>
      </c>
      <c r="K1772" s="1">
        <v>45992</v>
      </c>
      <c r="L1772" t="s">
        <v>439</v>
      </c>
      <c r="M1772" t="s">
        <v>444</v>
      </c>
      <c r="N1772" s="2">
        <f>IFERROR(NHS_A_E[[#This Row],[T1_Over4hrs]]/NHS_A_E[[#This Row],[T1_Attendances]], 0)</f>
        <v>0</v>
      </c>
      <c r="O1772">
        <f>NHS_A_E[[#This Row],[T1_Attendances]]+NHS_A_E[[#This Row],[Other_Attendances]]</f>
        <v>306</v>
      </c>
      <c r="P1772">
        <f>MATCH(LEFT(A1772,FIND("-",A1772)-1),{"April","May","June","July","August","September","October","November","December","January","February","March"},0)</f>
        <v>9</v>
      </c>
      <c r="Q1772" s="3">
        <f t="shared" si="54"/>
        <v>0</v>
      </c>
      <c r="R1772" t="str">
        <f t="shared" si="55"/>
        <v>December</v>
      </c>
    </row>
    <row r="1773" spans="1:18" x14ac:dyDescent="0.35">
      <c r="A1773" t="s">
        <v>443</v>
      </c>
      <c r="B1773" t="s">
        <v>27</v>
      </c>
      <c r="C1773" t="s">
        <v>20</v>
      </c>
      <c r="D1773" t="s">
        <v>28</v>
      </c>
      <c r="E1773">
        <v>6695</v>
      </c>
      <c r="F1773">
        <v>10467</v>
      </c>
      <c r="G1773">
        <v>3210</v>
      </c>
      <c r="H1773">
        <v>603</v>
      </c>
      <c r="I1773">
        <v>529</v>
      </c>
      <c r="J1773">
        <v>581</v>
      </c>
      <c r="K1773" s="1">
        <v>45992</v>
      </c>
      <c r="L1773" t="s">
        <v>439</v>
      </c>
      <c r="M1773" t="s">
        <v>444</v>
      </c>
      <c r="N1773" s="2">
        <f>IFERROR(NHS_A_E[[#This Row],[T1_Over4hrs]]/NHS_A_E[[#This Row],[T1_Attendances]], 0)</f>
        <v>0.47946228528752799</v>
      </c>
      <c r="O1773">
        <f>NHS_A_E[[#This Row],[T1_Attendances]]+NHS_A_E[[#This Row],[Other_Attendances]]</f>
        <v>17162</v>
      </c>
      <c r="P1773">
        <f>MATCH(LEFT(A1773,FIND("-",A1773)-1),{"April","May","June","July","August","September","October","November","December","January","February","March"},0)</f>
        <v>9</v>
      </c>
      <c r="Q1773" s="3">
        <f t="shared" si="54"/>
        <v>8.6781179985063475E-2</v>
      </c>
      <c r="R1773" t="str">
        <f t="shared" si="55"/>
        <v>December</v>
      </c>
    </row>
    <row r="1774" spans="1:18" x14ac:dyDescent="0.35">
      <c r="A1774" t="s">
        <v>443</v>
      </c>
      <c r="B1774" t="s">
        <v>385</v>
      </c>
      <c r="C1774" t="s">
        <v>20</v>
      </c>
      <c r="D1774" t="s">
        <v>386</v>
      </c>
      <c r="E1774">
        <v>0</v>
      </c>
      <c r="F1774">
        <v>7242</v>
      </c>
      <c r="G1774">
        <v>0</v>
      </c>
      <c r="H1774">
        <v>161</v>
      </c>
      <c r="I1774">
        <v>0</v>
      </c>
      <c r="J1774">
        <v>0</v>
      </c>
      <c r="K1774" s="1">
        <v>45992</v>
      </c>
      <c r="L1774" t="s">
        <v>439</v>
      </c>
      <c r="M1774" t="s">
        <v>444</v>
      </c>
      <c r="N1774" s="2">
        <f>IFERROR(NHS_A_E[[#This Row],[T1_Over4hrs]]/NHS_A_E[[#This Row],[T1_Attendances]], 0)</f>
        <v>0</v>
      </c>
      <c r="O1774">
        <f>NHS_A_E[[#This Row],[T1_Attendances]]+NHS_A_E[[#This Row],[Other_Attendances]]</f>
        <v>7242</v>
      </c>
      <c r="P1774">
        <f>MATCH(LEFT(A1774,FIND("-",A1774)-1),{"April","May","June","July","August","September","October","November","December","January","February","March"},0)</f>
        <v>9</v>
      </c>
      <c r="Q1774" s="3">
        <f t="shared" si="54"/>
        <v>0</v>
      </c>
      <c r="R1774" t="str">
        <f t="shared" si="55"/>
        <v>December</v>
      </c>
    </row>
    <row r="1775" spans="1:18" x14ac:dyDescent="0.35">
      <c r="A1775" t="s">
        <v>443</v>
      </c>
      <c r="B1775" t="s">
        <v>147</v>
      </c>
      <c r="C1775" t="s">
        <v>40</v>
      </c>
      <c r="D1775" t="s">
        <v>148</v>
      </c>
      <c r="E1775">
        <v>0</v>
      </c>
      <c r="F1775">
        <v>2159</v>
      </c>
      <c r="G1775">
        <v>0</v>
      </c>
      <c r="H1775">
        <v>3</v>
      </c>
      <c r="I1775">
        <v>0</v>
      </c>
      <c r="J1775">
        <v>0</v>
      </c>
      <c r="K1775" s="1">
        <v>45992</v>
      </c>
      <c r="L1775" t="s">
        <v>439</v>
      </c>
      <c r="M1775" t="s">
        <v>444</v>
      </c>
      <c r="N1775" s="2">
        <f>IFERROR(NHS_A_E[[#This Row],[T1_Over4hrs]]/NHS_A_E[[#This Row],[T1_Attendances]], 0)</f>
        <v>0</v>
      </c>
      <c r="O1775">
        <f>NHS_A_E[[#This Row],[T1_Attendances]]+NHS_A_E[[#This Row],[Other_Attendances]]</f>
        <v>2159</v>
      </c>
      <c r="P1775">
        <f>MATCH(LEFT(A1775,FIND("-",A1775)-1),{"April","May","June","July","August","September","October","November","December","January","February","March"},0)</f>
        <v>9</v>
      </c>
      <c r="Q1775" s="3">
        <f t="shared" si="54"/>
        <v>0</v>
      </c>
      <c r="R1775" t="str">
        <f t="shared" si="55"/>
        <v>December</v>
      </c>
    </row>
    <row r="1776" spans="1:18" x14ac:dyDescent="0.35">
      <c r="A1776" t="s">
        <v>443</v>
      </c>
      <c r="B1776" t="s">
        <v>247</v>
      </c>
      <c r="C1776" t="s">
        <v>15</v>
      </c>
      <c r="D1776" t="s">
        <v>248</v>
      </c>
      <c r="E1776">
        <v>0</v>
      </c>
      <c r="F1776">
        <v>5032</v>
      </c>
      <c r="G1776">
        <v>0</v>
      </c>
      <c r="H1776">
        <v>178</v>
      </c>
      <c r="I1776">
        <v>0</v>
      </c>
      <c r="J1776">
        <v>0</v>
      </c>
      <c r="K1776" s="1">
        <v>45992</v>
      </c>
      <c r="L1776" t="s">
        <v>439</v>
      </c>
      <c r="M1776" t="s">
        <v>444</v>
      </c>
      <c r="N1776" s="2">
        <f>IFERROR(NHS_A_E[[#This Row],[T1_Over4hrs]]/NHS_A_E[[#This Row],[T1_Attendances]], 0)</f>
        <v>0</v>
      </c>
      <c r="O1776">
        <f>NHS_A_E[[#This Row],[T1_Attendances]]+NHS_A_E[[#This Row],[Other_Attendances]]</f>
        <v>5032</v>
      </c>
      <c r="P1776">
        <f>MATCH(LEFT(A1776,FIND("-",A1776)-1),{"April","May","June","July","August","September","October","November","December","January","February","March"},0)</f>
        <v>9</v>
      </c>
      <c r="Q1776" s="3">
        <f t="shared" si="54"/>
        <v>0</v>
      </c>
      <c r="R1776" t="str">
        <f t="shared" si="55"/>
        <v>December</v>
      </c>
    </row>
    <row r="1777" spans="1:18" x14ac:dyDescent="0.35">
      <c r="A1777" t="s">
        <v>443</v>
      </c>
      <c r="B1777" t="s">
        <v>48</v>
      </c>
      <c r="C1777" t="s">
        <v>40</v>
      </c>
      <c r="D1777" t="s">
        <v>49</v>
      </c>
      <c r="E1777">
        <v>7185</v>
      </c>
      <c r="F1777">
        <v>1569</v>
      </c>
      <c r="G1777">
        <v>1900</v>
      </c>
      <c r="H1777">
        <v>7</v>
      </c>
      <c r="I1777">
        <v>329</v>
      </c>
      <c r="J1777">
        <v>424</v>
      </c>
      <c r="K1777" s="1">
        <v>45992</v>
      </c>
      <c r="L1777" t="s">
        <v>439</v>
      </c>
      <c r="M1777" t="s">
        <v>444</v>
      </c>
      <c r="N1777" s="2">
        <f>IFERROR(NHS_A_E[[#This Row],[T1_Over4hrs]]/NHS_A_E[[#This Row],[T1_Attendances]], 0)</f>
        <v>0.26443980514961724</v>
      </c>
      <c r="O1777">
        <f>NHS_A_E[[#This Row],[T1_Attendances]]+NHS_A_E[[#This Row],[Other_Attendances]]</f>
        <v>8754</v>
      </c>
      <c r="P1777">
        <f>MATCH(LEFT(A1777,FIND("-",A1777)-1),{"April","May","June","July","August","September","October","November","December","January","February","March"},0)</f>
        <v>9</v>
      </c>
      <c r="Q1777" s="3">
        <f t="shared" si="54"/>
        <v>5.9011830201809327E-2</v>
      </c>
      <c r="R1777" t="str">
        <f t="shared" si="55"/>
        <v>December</v>
      </c>
    </row>
    <row r="1778" spans="1:18" x14ac:dyDescent="0.35">
      <c r="A1778" t="s">
        <v>443</v>
      </c>
      <c r="B1778" t="s">
        <v>357</v>
      </c>
      <c r="C1778" t="s">
        <v>20</v>
      </c>
      <c r="D1778" t="s">
        <v>358</v>
      </c>
      <c r="E1778">
        <v>6312</v>
      </c>
      <c r="F1778">
        <v>5380</v>
      </c>
      <c r="G1778">
        <v>3035</v>
      </c>
      <c r="H1778">
        <v>301</v>
      </c>
      <c r="I1778">
        <v>786</v>
      </c>
      <c r="J1778">
        <v>209</v>
      </c>
      <c r="K1778" s="1">
        <v>45992</v>
      </c>
      <c r="L1778" t="s">
        <v>439</v>
      </c>
      <c r="M1778" t="s">
        <v>444</v>
      </c>
      <c r="N1778" s="2">
        <f>IFERROR(NHS_A_E[[#This Row],[T1_Over4hrs]]/NHS_A_E[[#This Row],[T1_Attendances]], 0)</f>
        <v>0.48083016476552598</v>
      </c>
      <c r="O1778">
        <f>NHS_A_E[[#This Row],[T1_Attendances]]+NHS_A_E[[#This Row],[Other_Attendances]]</f>
        <v>11692</v>
      </c>
      <c r="P1778">
        <f>MATCH(LEFT(A1778,FIND("-",A1778)-1),{"April","May","June","July","August","September","October","November","December","January","February","March"},0)</f>
        <v>9</v>
      </c>
      <c r="Q1778" s="3">
        <f t="shared" si="54"/>
        <v>3.3111533586818759E-2</v>
      </c>
      <c r="R1778" t="str">
        <f t="shared" si="55"/>
        <v>December</v>
      </c>
    </row>
    <row r="1779" spans="1:18" x14ac:dyDescent="0.35">
      <c r="A1779" t="s">
        <v>443</v>
      </c>
      <c r="B1779" t="s">
        <v>407</v>
      </c>
      <c r="C1779" t="s">
        <v>35</v>
      </c>
      <c r="D1779" t="s">
        <v>408</v>
      </c>
      <c r="E1779">
        <v>0</v>
      </c>
      <c r="F1779">
        <v>0</v>
      </c>
      <c r="G1779">
        <v>0</v>
      </c>
      <c r="H1779">
        <v>0</v>
      </c>
      <c r="I1779">
        <v>0</v>
      </c>
      <c r="J1779">
        <v>0</v>
      </c>
      <c r="K1779" s="1">
        <v>45992</v>
      </c>
      <c r="L1779" t="s">
        <v>439</v>
      </c>
      <c r="M1779" t="s">
        <v>444</v>
      </c>
      <c r="N1779" s="2">
        <f>IFERROR(NHS_A_E[[#This Row],[T1_Over4hrs]]/NHS_A_E[[#This Row],[T1_Attendances]], 0)</f>
        <v>0</v>
      </c>
      <c r="O1779">
        <f>NHS_A_E[[#This Row],[T1_Attendances]]+NHS_A_E[[#This Row],[Other_Attendances]]</f>
        <v>0</v>
      </c>
      <c r="P1779">
        <f>MATCH(LEFT(A1779,FIND("-",A1779)-1),{"April","May","June","July","August","September","October","November","December","January","February","March"},0)</f>
        <v>9</v>
      </c>
      <c r="Q1779" s="3">
        <f t="shared" si="54"/>
        <v>0</v>
      </c>
      <c r="R1779" t="str">
        <f t="shared" si="55"/>
        <v>December</v>
      </c>
    </row>
    <row r="1780" spans="1:18" x14ac:dyDescent="0.35">
      <c r="A1780" t="s">
        <v>443</v>
      </c>
      <c r="B1780" t="s">
        <v>69</v>
      </c>
      <c r="C1780" t="s">
        <v>20</v>
      </c>
      <c r="D1780" t="s">
        <v>70</v>
      </c>
      <c r="E1780">
        <v>12939</v>
      </c>
      <c r="F1780">
        <v>0</v>
      </c>
      <c r="G1780">
        <v>4733</v>
      </c>
      <c r="H1780">
        <v>0</v>
      </c>
      <c r="I1780">
        <v>380</v>
      </c>
      <c r="J1780">
        <v>414</v>
      </c>
      <c r="K1780" s="1">
        <v>45992</v>
      </c>
      <c r="L1780" t="s">
        <v>439</v>
      </c>
      <c r="M1780" t="s">
        <v>444</v>
      </c>
      <c r="N1780" s="2">
        <f>IFERROR(NHS_A_E[[#This Row],[T1_Over4hrs]]/NHS_A_E[[#This Row],[T1_Attendances]], 0)</f>
        <v>0.36579333797047686</v>
      </c>
      <c r="O1780">
        <f>NHS_A_E[[#This Row],[T1_Attendances]]+NHS_A_E[[#This Row],[Other_Attendances]]</f>
        <v>12939</v>
      </c>
      <c r="P1780">
        <f>MATCH(LEFT(A1780,FIND("-",A1780)-1),{"April","May","June","July","August","September","October","November","December","January","February","March"},0)</f>
        <v>9</v>
      </c>
      <c r="Q1780" s="3">
        <f t="shared" si="54"/>
        <v>3.1996290285184324E-2</v>
      </c>
      <c r="R1780" t="str">
        <f t="shared" si="55"/>
        <v>December</v>
      </c>
    </row>
    <row r="1781" spans="1:18" x14ac:dyDescent="0.35">
      <c r="A1781" t="s">
        <v>443</v>
      </c>
      <c r="B1781" t="s">
        <v>295</v>
      </c>
      <c r="C1781" t="s">
        <v>15</v>
      </c>
      <c r="D1781" t="s">
        <v>296</v>
      </c>
      <c r="E1781">
        <v>12321</v>
      </c>
      <c r="F1781">
        <v>0</v>
      </c>
      <c r="G1781">
        <v>4741</v>
      </c>
      <c r="H1781">
        <v>0</v>
      </c>
      <c r="I1781">
        <v>573</v>
      </c>
      <c r="J1781">
        <v>727</v>
      </c>
      <c r="K1781" s="1">
        <v>45992</v>
      </c>
      <c r="L1781" t="s">
        <v>439</v>
      </c>
      <c r="M1781" t="s">
        <v>444</v>
      </c>
      <c r="N1781" s="2">
        <f>IFERROR(NHS_A_E[[#This Row],[T1_Over4hrs]]/NHS_A_E[[#This Row],[T1_Attendances]], 0)</f>
        <v>0.38479019560100641</v>
      </c>
      <c r="O1781">
        <f>NHS_A_E[[#This Row],[T1_Attendances]]+NHS_A_E[[#This Row],[Other_Attendances]]</f>
        <v>12321</v>
      </c>
      <c r="P1781">
        <f>MATCH(LEFT(A1781,FIND("-",A1781)-1),{"April","May","June","July","August","September","October","November","December","January","February","March"},0)</f>
        <v>9</v>
      </c>
      <c r="Q1781" s="3">
        <f t="shared" si="54"/>
        <v>5.9004950896842788E-2</v>
      </c>
      <c r="R1781" t="str">
        <f t="shared" si="55"/>
        <v>December</v>
      </c>
    </row>
    <row r="1782" spans="1:18" x14ac:dyDescent="0.35">
      <c r="A1782" t="s">
        <v>443</v>
      </c>
      <c r="B1782" t="s">
        <v>275</v>
      </c>
      <c r="C1782" t="s">
        <v>20</v>
      </c>
      <c r="D1782" t="s">
        <v>276</v>
      </c>
      <c r="E1782">
        <v>0</v>
      </c>
      <c r="F1782">
        <v>7676</v>
      </c>
      <c r="G1782">
        <v>0</v>
      </c>
      <c r="H1782">
        <v>116</v>
      </c>
      <c r="I1782">
        <v>0</v>
      </c>
      <c r="J1782">
        <v>0</v>
      </c>
      <c r="K1782" s="1">
        <v>45992</v>
      </c>
      <c r="L1782" t="s">
        <v>439</v>
      </c>
      <c r="M1782" t="s">
        <v>444</v>
      </c>
      <c r="N1782" s="2">
        <f>IFERROR(NHS_A_E[[#This Row],[T1_Over4hrs]]/NHS_A_E[[#This Row],[T1_Attendances]], 0)</f>
        <v>0</v>
      </c>
      <c r="O1782">
        <f>NHS_A_E[[#This Row],[T1_Attendances]]+NHS_A_E[[#This Row],[Other_Attendances]]</f>
        <v>7676</v>
      </c>
      <c r="P1782">
        <f>MATCH(LEFT(A1782,FIND("-",A1782)-1),{"April","May","June","July","August","September","October","November","December","January","February","March"},0)</f>
        <v>9</v>
      </c>
      <c r="Q1782" s="3">
        <f t="shared" si="54"/>
        <v>0</v>
      </c>
      <c r="R1782" t="str">
        <f t="shared" si="55"/>
        <v>December</v>
      </c>
    </row>
    <row r="1783" spans="1:18" x14ac:dyDescent="0.35">
      <c r="A1783" t="s">
        <v>443</v>
      </c>
      <c r="B1783" t="s">
        <v>431</v>
      </c>
      <c r="C1783" t="s">
        <v>15</v>
      </c>
      <c r="D1783" t="s">
        <v>432</v>
      </c>
      <c r="E1783">
        <v>0</v>
      </c>
      <c r="F1783">
        <v>2761</v>
      </c>
      <c r="G1783">
        <v>0</v>
      </c>
      <c r="H1783">
        <v>0</v>
      </c>
      <c r="I1783">
        <v>0</v>
      </c>
      <c r="J1783">
        <v>0</v>
      </c>
      <c r="K1783" s="1">
        <v>45992</v>
      </c>
      <c r="L1783" t="s">
        <v>439</v>
      </c>
      <c r="M1783" t="s">
        <v>444</v>
      </c>
      <c r="N1783" s="2">
        <f>IFERROR(NHS_A_E[[#This Row],[T1_Over4hrs]]/NHS_A_E[[#This Row],[T1_Attendances]], 0)</f>
        <v>0</v>
      </c>
      <c r="O1783">
        <f>NHS_A_E[[#This Row],[T1_Attendances]]+NHS_A_E[[#This Row],[Other_Attendances]]</f>
        <v>2761</v>
      </c>
      <c r="P1783">
        <f>MATCH(LEFT(A1783,FIND("-",A1783)-1),{"April","May","June","July","August","September","October","November","December","January","February","March"},0)</f>
        <v>9</v>
      </c>
      <c r="Q1783" s="3">
        <f t="shared" si="54"/>
        <v>0</v>
      </c>
      <c r="R1783" t="str">
        <f t="shared" si="55"/>
        <v>December</v>
      </c>
    </row>
    <row r="1784" spans="1:18" x14ac:dyDescent="0.35">
      <c r="A1784" t="s">
        <v>443</v>
      </c>
      <c r="B1784" t="s">
        <v>271</v>
      </c>
      <c r="C1784" t="s">
        <v>30</v>
      </c>
      <c r="D1784" t="s">
        <v>272</v>
      </c>
      <c r="E1784">
        <v>0</v>
      </c>
      <c r="F1784">
        <v>13436</v>
      </c>
      <c r="G1784">
        <v>0</v>
      </c>
      <c r="H1784">
        <v>422</v>
      </c>
      <c r="I1784">
        <v>0</v>
      </c>
      <c r="J1784">
        <v>0</v>
      </c>
      <c r="K1784" s="1">
        <v>45992</v>
      </c>
      <c r="L1784" t="s">
        <v>439</v>
      </c>
      <c r="M1784" t="s">
        <v>444</v>
      </c>
      <c r="N1784" s="2">
        <f>IFERROR(NHS_A_E[[#This Row],[T1_Over4hrs]]/NHS_A_E[[#This Row],[T1_Attendances]], 0)</f>
        <v>0</v>
      </c>
      <c r="O1784">
        <f>NHS_A_E[[#This Row],[T1_Attendances]]+NHS_A_E[[#This Row],[Other_Attendances]]</f>
        <v>13436</v>
      </c>
      <c r="P1784">
        <f>MATCH(LEFT(A1784,FIND("-",A1784)-1),{"April","May","June","July","August","September","October","November","December","January","February","March"},0)</f>
        <v>9</v>
      </c>
      <c r="Q1784" s="3">
        <f t="shared" si="54"/>
        <v>0</v>
      </c>
      <c r="R1784" t="str">
        <f t="shared" si="55"/>
        <v>December</v>
      </c>
    </row>
    <row r="1785" spans="1:18" x14ac:dyDescent="0.35">
      <c r="A1785" t="s">
        <v>443</v>
      </c>
      <c r="B1785" t="s">
        <v>347</v>
      </c>
      <c r="C1785" t="s">
        <v>63</v>
      </c>
      <c r="D1785" t="s">
        <v>348</v>
      </c>
      <c r="E1785">
        <v>5866</v>
      </c>
      <c r="F1785">
        <v>0</v>
      </c>
      <c r="G1785">
        <v>2195</v>
      </c>
      <c r="H1785">
        <v>0</v>
      </c>
      <c r="I1785">
        <v>517</v>
      </c>
      <c r="J1785">
        <v>239</v>
      </c>
      <c r="K1785" s="1">
        <v>45992</v>
      </c>
      <c r="L1785" t="s">
        <v>439</v>
      </c>
      <c r="M1785" t="s">
        <v>444</v>
      </c>
      <c r="N1785" s="2">
        <f>IFERROR(NHS_A_E[[#This Row],[T1_Over4hrs]]/NHS_A_E[[#This Row],[T1_Attendances]], 0)</f>
        <v>0.37419024889191954</v>
      </c>
      <c r="O1785">
        <f>NHS_A_E[[#This Row],[T1_Attendances]]+NHS_A_E[[#This Row],[Other_Attendances]]</f>
        <v>5866</v>
      </c>
      <c r="P1785">
        <f>MATCH(LEFT(A1785,FIND("-",A1785)-1),{"April","May","June","July","August","September","October","November","December","January","February","March"},0)</f>
        <v>9</v>
      </c>
      <c r="Q1785" s="3">
        <f t="shared" si="54"/>
        <v>4.0743266280259122E-2</v>
      </c>
      <c r="R1785" t="str">
        <f t="shared" si="55"/>
        <v>December</v>
      </c>
    </row>
    <row r="1786" spans="1:18" x14ac:dyDescent="0.35">
      <c r="A1786" t="s">
        <v>443</v>
      </c>
      <c r="B1786" t="s">
        <v>363</v>
      </c>
      <c r="C1786" t="s">
        <v>40</v>
      </c>
      <c r="D1786" t="s">
        <v>364</v>
      </c>
      <c r="E1786">
        <v>13727</v>
      </c>
      <c r="F1786">
        <v>4602</v>
      </c>
      <c r="G1786">
        <v>7261</v>
      </c>
      <c r="H1786">
        <v>84</v>
      </c>
      <c r="I1786">
        <v>1189</v>
      </c>
      <c r="J1786">
        <v>1035</v>
      </c>
      <c r="K1786" s="1">
        <v>45992</v>
      </c>
      <c r="L1786" t="s">
        <v>439</v>
      </c>
      <c r="M1786" t="s">
        <v>444</v>
      </c>
      <c r="N1786" s="2">
        <f>IFERROR(NHS_A_E[[#This Row],[T1_Over4hrs]]/NHS_A_E[[#This Row],[T1_Attendances]], 0)</f>
        <v>0.52895752895752901</v>
      </c>
      <c r="O1786">
        <f>NHS_A_E[[#This Row],[T1_Attendances]]+NHS_A_E[[#This Row],[Other_Attendances]]</f>
        <v>18329</v>
      </c>
      <c r="P1786">
        <f>MATCH(LEFT(A1786,FIND("-",A1786)-1),{"April","May","June","July","August","September","October","November","December","January","February","March"},0)</f>
        <v>9</v>
      </c>
      <c r="Q1786" s="3">
        <f t="shared" si="54"/>
        <v>7.5398848983754638E-2</v>
      </c>
      <c r="R1786" t="str">
        <f t="shared" si="55"/>
        <v>December</v>
      </c>
    </row>
    <row r="1787" spans="1:18" x14ac:dyDescent="0.35">
      <c r="A1787" t="s">
        <v>443</v>
      </c>
      <c r="B1787" t="s">
        <v>377</v>
      </c>
      <c r="C1787" t="s">
        <v>63</v>
      </c>
      <c r="D1787" t="s">
        <v>378</v>
      </c>
      <c r="E1787">
        <v>16288</v>
      </c>
      <c r="F1787">
        <v>6307</v>
      </c>
      <c r="G1787">
        <v>6350</v>
      </c>
      <c r="H1787">
        <v>360</v>
      </c>
      <c r="I1787">
        <v>2001</v>
      </c>
      <c r="J1787">
        <v>315</v>
      </c>
      <c r="K1787" s="1">
        <v>45992</v>
      </c>
      <c r="L1787" t="s">
        <v>439</v>
      </c>
      <c r="M1787" t="s">
        <v>444</v>
      </c>
      <c r="N1787" s="2">
        <f>IFERROR(NHS_A_E[[#This Row],[T1_Over4hrs]]/NHS_A_E[[#This Row],[T1_Attendances]], 0)</f>
        <v>0.38985756385068765</v>
      </c>
      <c r="O1787">
        <f>NHS_A_E[[#This Row],[T1_Attendances]]+NHS_A_E[[#This Row],[Other_Attendances]]</f>
        <v>22595</v>
      </c>
      <c r="P1787">
        <f>MATCH(LEFT(A1787,FIND("-",A1787)-1),{"April","May","June","July","August","September","October","November","December","January","February","March"},0)</f>
        <v>9</v>
      </c>
      <c r="Q1787" s="3">
        <f t="shared" si="54"/>
        <v>1.9339390962671905E-2</v>
      </c>
      <c r="R1787" t="str">
        <f t="shared" si="55"/>
        <v>December</v>
      </c>
    </row>
    <row r="1788" spans="1:18" x14ac:dyDescent="0.35">
      <c r="A1788" t="s">
        <v>443</v>
      </c>
      <c r="B1788" t="s">
        <v>327</v>
      </c>
      <c r="C1788" t="s">
        <v>40</v>
      </c>
      <c r="D1788" t="s">
        <v>328</v>
      </c>
      <c r="E1788">
        <v>0</v>
      </c>
      <c r="F1788">
        <v>6947</v>
      </c>
      <c r="G1788">
        <v>0</v>
      </c>
      <c r="H1788">
        <v>346</v>
      </c>
      <c r="I1788">
        <v>0</v>
      </c>
      <c r="J1788">
        <v>0</v>
      </c>
      <c r="K1788" s="1">
        <v>45992</v>
      </c>
      <c r="L1788" t="s">
        <v>439</v>
      </c>
      <c r="M1788" t="s">
        <v>444</v>
      </c>
      <c r="N1788" s="2">
        <f>IFERROR(NHS_A_E[[#This Row],[T1_Over4hrs]]/NHS_A_E[[#This Row],[T1_Attendances]], 0)</f>
        <v>0</v>
      </c>
      <c r="O1788">
        <f>NHS_A_E[[#This Row],[T1_Attendances]]+NHS_A_E[[#This Row],[Other_Attendances]]</f>
        <v>6947</v>
      </c>
      <c r="P1788">
        <f>MATCH(LEFT(A1788,FIND("-",A1788)-1),{"April","May","June","July","August","September","October","November","December","January","February","March"},0)</f>
        <v>9</v>
      </c>
      <c r="Q1788" s="3">
        <f t="shared" si="54"/>
        <v>0</v>
      </c>
      <c r="R1788" t="str">
        <f t="shared" si="55"/>
        <v>December</v>
      </c>
    </row>
    <row r="1789" spans="1:18" x14ac:dyDescent="0.35">
      <c r="A1789" t="s">
        <v>443</v>
      </c>
      <c r="B1789" t="s">
        <v>305</v>
      </c>
      <c r="C1789" t="s">
        <v>30</v>
      </c>
      <c r="D1789" t="s">
        <v>306</v>
      </c>
      <c r="E1789">
        <v>0</v>
      </c>
      <c r="F1789">
        <v>1787</v>
      </c>
      <c r="G1789">
        <v>0</v>
      </c>
      <c r="H1789">
        <v>0</v>
      </c>
      <c r="I1789">
        <v>0</v>
      </c>
      <c r="J1789">
        <v>0</v>
      </c>
      <c r="K1789" s="1">
        <v>45992</v>
      </c>
      <c r="L1789" t="s">
        <v>439</v>
      </c>
      <c r="M1789" t="s">
        <v>444</v>
      </c>
      <c r="N1789" s="2">
        <f>IFERROR(NHS_A_E[[#This Row],[T1_Over4hrs]]/NHS_A_E[[#This Row],[T1_Attendances]], 0)</f>
        <v>0</v>
      </c>
      <c r="O1789">
        <f>NHS_A_E[[#This Row],[T1_Attendances]]+NHS_A_E[[#This Row],[Other_Attendances]]</f>
        <v>1787</v>
      </c>
      <c r="P1789">
        <f>MATCH(LEFT(A1789,FIND("-",A1789)-1),{"April","May","June","July","August","September","October","November","December","January","February","March"},0)</f>
        <v>9</v>
      </c>
      <c r="Q1789" s="3">
        <f t="shared" si="54"/>
        <v>0</v>
      </c>
      <c r="R1789" t="str">
        <f t="shared" si="55"/>
        <v>December</v>
      </c>
    </row>
    <row r="1790" spans="1:18" x14ac:dyDescent="0.35">
      <c r="A1790" t="s">
        <v>443</v>
      </c>
      <c r="B1790" t="s">
        <v>14</v>
      </c>
      <c r="C1790" t="s">
        <v>15</v>
      </c>
      <c r="D1790" t="s">
        <v>16</v>
      </c>
      <c r="E1790">
        <v>0</v>
      </c>
      <c r="F1790">
        <v>2224</v>
      </c>
      <c r="G1790">
        <v>0</v>
      </c>
      <c r="H1790">
        <v>4</v>
      </c>
      <c r="I1790">
        <v>0</v>
      </c>
      <c r="J1790">
        <v>0</v>
      </c>
      <c r="K1790" s="1">
        <v>45992</v>
      </c>
      <c r="L1790" t="s">
        <v>439</v>
      </c>
      <c r="M1790" t="s">
        <v>444</v>
      </c>
      <c r="N1790" s="2">
        <f>IFERROR(NHS_A_E[[#This Row],[T1_Over4hrs]]/NHS_A_E[[#This Row],[T1_Attendances]], 0)</f>
        <v>0</v>
      </c>
      <c r="O1790">
        <f>NHS_A_E[[#This Row],[T1_Attendances]]+NHS_A_E[[#This Row],[Other_Attendances]]</f>
        <v>2224</v>
      </c>
      <c r="P1790">
        <f>MATCH(LEFT(A1790,FIND("-",A1790)-1),{"April","May","June","July","August","September","October","November","December","January","February","March"},0)</f>
        <v>9</v>
      </c>
      <c r="Q1790" s="3">
        <f t="shared" si="54"/>
        <v>0</v>
      </c>
      <c r="R1790" t="str">
        <f t="shared" si="55"/>
        <v>December</v>
      </c>
    </row>
    <row r="1791" spans="1:18" x14ac:dyDescent="0.35">
      <c r="A1791" t="s">
        <v>443</v>
      </c>
      <c r="B1791" t="s">
        <v>309</v>
      </c>
      <c r="C1791" t="s">
        <v>30</v>
      </c>
      <c r="D1791" t="s">
        <v>310</v>
      </c>
      <c r="E1791">
        <v>0</v>
      </c>
      <c r="F1791">
        <v>1706</v>
      </c>
      <c r="G1791">
        <v>0</v>
      </c>
      <c r="H1791">
        <v>41</v>
      </c>
      <c r="I1791">
        <v>0</v>
      </c>
      <c r="J1791">
        <v>0</v>
      </c>
      <c r="K1791" s="1">
        <v>45992</v>
      </c>
      <c r="L1791" t="s">
        <v>439</v>
      </c>
      <c r="M1791" t="s">
        <v>444</v>
      </c>
      <c r="N1791" s="2">
        <f>IFERROR(NHS_A_E[[#This Row],[T1_Over4hrs]]/NHS_A_E[[#This Row],[T1_Attendances]], 0)</f>
        <v>0</v>
      </c>
      <c r="O1791">
        <f>NHS_A_E[[#This Row],[T1_Attendances]]+NHS_A_E[[#This Row],[Other_Attendances]]</f>
        <v>1706</v>
      </c>
      <c r="P1791">
        <f>MATCH(LEFT(A1791,FIND("-",A1791)-1),{"April","May","June","July","August","September","October","November","December","January","February","March"},0)</f>
        <v>9</v>
      </c>
      <c r="Q1791" s="3">
        <f t="shared" si="54"/>
        <v>0</v>
      </c>
      <c r="R1791" t="str">
        <f t="shared" si="55"/>
        <v>December</v>
      </c>
    </row>
    <row r="1792" spans="1:18" x14ac:dyDescent="0.35">
      <c r="A1792" t="s">
        <v>443</v>
      </c>
      <c r="B1792" t="s">
        <v>337</v>
      </c>
      <c r="C1792" t="s">
        <v>20</v>
      </c>
      <c r="D1792" t="s">
        <v>338</v>
      </c>
      <c r="E1792">
        <v>14438</v>
      </c>
      <c r="F1792">
        <v>4035</v>
      </c>
      <c r="G1792">
        <v>6298</v>
      </c>
      <c r="H1792">
        <v>0</v>
      </c>
      <c r="I1792">
        <v>1095</v>
      </c>
      <c r="J1792">
        <v>395</v>
      </c>
      <c r="K1792" s="1">
        <v>45992</v>
      </c>
      <c r="L1792" t="s">
        <v>439</v>
      </c>
      <c r="M1792" t="s">
        <v>444</v>
      </c>
      <c r="N1792" s="2">
        <f>IFERROR(NHS_A_E[[#This Row],[T1_Over4hrs]]/NHS_A_E[[#This Row],[T1_Attendances]], 0)</f>
        <v>0.43621000138523341</v>
      </c>
      <c r="O1792">
        <f>NHS_A_E[[#This Row],[T1_Attendances]]+NHS_A_E[[#This Row],[Other_Attendances]]</f>
        <v>18473</v>
      </c>
      <c r="P1792">
        <f>MATCH(LEFT(A1792,FIND("-",A1792)-1),{"April","May","June","July","August","September","October","November","December","January","February","March"},0)</f>
        <v>9</v>
      </c>
      <c r="Q1792" s="3">
        <f t="shared" si="54"/>
        <v>2.7358359883640392E-2</v>
      </c>
      <c r="R1792" t="str">
        <f t="shared" si="55"/>
        <v>December</v>
      </c>
    </row>
    <row r="1793" spans="1:18" x14ac:dyDescent="0.35">
      <c r="A1793" t="s">
        <v>443</v>
      </c>
      <c r="B1793" t="s">
        <v>297</v>
      </c>
      <c r="C1793" t="s">
        <v>15</v>
      </c>
      <c r="D1793" t="s">
        <v>298</v>
      </c>
      <c r="E1793">
        <v>0</v>
      </c>
      <c r="F1793">
        <v>2752</v>
      </c>
      <c r="G1793">
        <v>0</v>
      </c>
      <c r="H1793">
        <v>31</v>
      </c>
      <c r="I1793">
        <v>0</v>
      </c>
      <c r="J1793">
        <v>0</v>
      </c>
      <c r="K1793" s="1">
        <v>45992</v>
      </c>
      <c r="L1793" t="s">
        <v>439</v>
      </c>
      <c r="M1793" t="s">
        <v>444</v>
      </c>
      <c r="N1793" s="2">
        <f>IFERROR(NHS_A_E[[#This Row],[T1_Over4hrs]]/NHS_A_E[[#This Row],[T1_Attendances]], 0)</f>
        <v>0</v>
      </c>
      <c r="O1793">
        <f>NHS_A_E[[#This Row],[T1_Attendances]]+NHS_A_E[[#This Row],[Other_Attendances]]</f>
        <v>2752</v>
      </c>
      <c r="P1793">
        <f>MATCH(LEFT(A1793,FIND("-",A1793)-1),{"April","May","June","July","August","September","October","November","December","January","February","March"},0)</f>
        <v>9</v>
      </c>
      <c r="Q1793" s="3">
        <f t="shared" si="54"/>
        <v>0</v>
      </c>
      <c r="R1793" t="str">
        <f t="shared" si="55"/>
        <v>December</v>
      </c>
    </row>
    <row r="1794" spans="1:18" x14ac:dyDescent="0.35">
      <c r="A1794" t="s">
        <v>445</v>
      </c>
      <c r="B1794" t="s">
        <v>383</v>
      </c>
      <c r="C1794" t="s">
        <v>20</v>
      </c>
      <c r="D1794" t="s">
        <v>384</v>
      </c>
      <c r="E1794">
        <v>0</v>
      </c>
      <c r="F1794">
        <v>62</v>
      </c>
      <c r="G1794">
        <v>0</v>
      </c>
      <c r="H1794">
        <v>0</v>
      </c>
      <c r="I1794">
        <v>0</v>
      </c>
      <c r="J1794">
        <v>0</v>
      </c>
      <c r="K1794" s="1">
        <v>46023</v>
      </c>
      <c r="L1794" t="s">
        <v>446</v>
      </c>
      <c r="M1794" t="s">
        <v>444</v>
      </c>
      <c r="N1794" s="2">
        <f>IFERROR(NHS_A_E[[#This Row],[T1_Over4hrs]]/NHS_A_E[[#This Row],[T1_Attendances]], 0)</f>
        <v>0</v>
      </c>
      <c r="O1794">
        <f>NHS_A_E[[#This Row],[T1_Attendances]]+NHS_A_E[[#This Row],[Other_Attendances]]</f>
        <v>62</v>
      </c>
      <c r="P1794">
        <f>MATCH(LEFT(A1794,FIND("-",A1794)-1),{"April","May","June","July","August","September","October","November","December","January","February","March"},0)</f>
        <v>10</v>
      </c>
      <c r="Q1794" s="3">
        <f t="shared" ref="Q1794:Q1857" si="56">IFERROR(J1794/E1794,0)</f>
        <v>0</v>
      </c>
      <c r="R1794" t="str">
        <f t="shared" ref="R1794:R1857" si="57">TEXT(A1794, "mmmm")</f>
        <v>January</v>
      </c>
    </row>
    <row r="1795" spans="1:18" x14ac:dyDescent="0.35">
      <c r="A1795" t="s">
        <v>445</v>
      </c>
      <c r="B1795" t="s">
        <v>333</v>
      </c>
      <c r="C1795" t="s">
        <v>30</v>
      </c>
      <c r="D1795" t="s">
        <v>334</v>
      </c>
      <c r="E1795">
        <v>26747</v>
      </c>
      <c r="F1795">
        <v>10782</v>
      </c>
      <c r="G1795">
        <v>10951</v>
      </c>
      <c r="H1795">
        <v>372</v>
      </c>
      <c r="I1795">
        <v>4363</v>
      </c>
      <c r="J1795">
        <v>188</v>
      </c>
      <c r="K1795" s="1">
        <v>46023</v>
      </c>
      <c r="L1795" t="s">
        <v>446</v>
      </c>
      <c r="M1795" t="s">
        <v>444</v>
      </c>
      <c r="N1795" s="2">
        <f>IFERROR(NHS_A_E[[#This Row],[T1_Over4hrs]]/NHS_A_E[[#This Row],[T1_Attendances]], 0)</f>
        <v>0.4094290948517591</v>
      </c>
      <c r="O1795">
        <f>NHS_A_E[[#This Row],[T1_Attendances]]+NHS_A_E[[#This Row],[Other_Attendances]]</f>
        <v>37529</v>
      </c>
      <c r="P1795">
        <f>MATCH(LEFT(A1795,FIND("-",A1795)-1),{"April","May","June","July","August","September","October","November","December","January","February","March"},0)</f>
        <v>10</v>
      </c>
      <c r="Q1795" s="3">
        <f t="shared" si="56"/>
        <v>7.0288256626911431E-3</v>
      </c>
      <c r="R1795" t="str">
        <f t="shared" si="57"/>
        <v>January</v>
      </c>
    </row>
    <row r="1796" spans="1:18" x14ac:dyDescent="0.35">
      <c r="A1796" t="s">
        <v>445</v>
      </c>
      <c r="B1796" t="s">
        <v>67</v>
      </c>
      <c r="C1796" t="s">
        <v>30</v>
      </c>
      <c r="D1796" t="s">
        <v>68</v>
      </c>
      <c r="E1796">
        <v>0</v>
      </c>
      <c r="F1796">
        <v>0</v>
      </c>
      <c r="G1796">
        <v>0</v>
      </c>
      <c r="H1796">
        <v>0</v>
      </c>
      <c r="I1796">
        <v>0</v>
      </c>
      <c r="J1796">
        <v>0</v>
      </c>
      <c r="K1796" s="1">
        <v>46023</v>
      </c>
      <c r="L1796" t="s">
        <v>446</v>
      </c>
      <c r="M1796" t="s">
        <v>444</v>
      </c>
      <c r="N1796" s="2">
        <f>IFERROR(NHS_A_E[[#This Row],[T1_Over4hrs]]/NHS_A_E[[#This Row],[T1_Attendances]], 0)</f>
        <v>0</v>
      </c>
      <c r="O1796">
        <f>NHS_A_E[[#This Row],[T1_Attendances]]+NHS_A_E[[#This Row],[Other_Attendances]]</f>
        <v>0</v>
      </c>
      <c r="P1796">
        <f>MATCH(LEFT(A1796,FIND("-",A1796)-1),{"April","May","June","July","August","September","October","November","December","January","February","March"},0)</f>
        <v>10</v>
      </c>
      <c r="Q1796" s="3">
        <f t="shared" si="56"/>
        <v>0</v>
      </c>
      <c r="R1796" t="str">
        <f t="shared" si="57"/>
        <v>January</v>
      </c>
    </row>
    <row r="1797" spans="1:18" x14ac:dyDescent="0.35">
      <c r="A1797" t="s">
        <v>445</v>
      </c>
      <c r="B1797" t="s">
        <v>167</v>
      </c>
      <c r="C1797" t="s">
        <v>30</v>
      </c>
      <c r="D1797" t="s">
        <v>168</v>
      </c>
      <c r="E1797">
        <v>8324</v>
      </c>
      <c r="F1797">
        <v>3623</v>
      </c>
      <c r="G1797">
        <v>4154</v>
      </c>
      <c r="H1797">
        <v>367</v>
      </c>
      <c r="I1797">
        <v>445</v>
      </c>
      <c r="J1797">
        <v>531</v>
      </c>
      <c r="K1797" s="1">
        <v>46023</v>
      </c>
      <c r="L1797" t="s">
        <v>446</v>
      </c>
      <c r="M1797" t="s">
        <v>444</v>
      </c>
      <c r="N1797" s="2">
        <f>IFERROR(NHS_A_E[[#This Row],[T1_Over4hrs]]/NHS_A_E[[#This Row],[T1_Attendances]], 0)</f>
        <v>0.49903892359442575</v>
      </c>
      <c r="O1797">
        <f>NHS_A_E[[#This Row],[T1_Attendances]]+NHS_A_E[[#This Row],[Other_Attendances]]</f>
        <v>11947</v>
      </c>
      <c r="P1797">
        <f>MATCH(LEFT(A1797,FIND("-",A1797)-1),{"April","May","June","July","August","September","October","November","December","January","February","March"},0)</f>
        <v>10</v>
      </c>
      <c r="Q1797" s="3">
        <f t="shared" si="56"/>
        <v>6.3791446419990391E-2</v>
      </c>
      <c r="R1797" t="str">
        <f t="shared" si="57"/>
        <v>January</v>
      </c>
    </row>
    <row r="1798" spans="1:18" x14ac:dyDescent="0.35">
      <c r="A1798" t="s">
        <v>445</v>
      </c>
      <c r="B1798" t="s">
        <v>27</v>
      </c>
      <c r="C1798" t="s">
        <v>20</v>
      </c>
      <c r="D1798" t="s">
        <v>28</v>
      </c>
      <c r="E1798">
        <v>6796</v>
      </c>
      <c r="F1798">
        <v>10651</v>
      </c>
      <c r="G1798">
        <v>3732</v>
      </c>
      <c r="H1798">
        <v>663</v>
      </c>
      <c r="I1798">
        <v>613</v>
      </c>
      <c r="J1798">
        <v>773</v>
      </c>
      <c r="K1798" s="1">
        <v>46023</v>
      </c>
      <c r="L1798" t="s">
        <v>446</v>
      </c>
      <c r="M1798" t="s">
        <v>444</v>
      </c>
      <c r="N1798" s="2">
        <f>IFERROR(NHS_A_E[[#This Row],[T1_Over4hrs]]/NHS_A_E[[#This Row],[T1_Attendances]], 0)</f>
        <v>0.54914655679811653</v>
      </c>
      <c r="O1798">
        <f>NHS_A_E[[#This Row],[T1_Attendances]]+NHS_A_E[[#This Row],[Other_Attendances]]</f>
        <v>17447</v>
      </c>
      <c r="P1798">
        <f>MATCH(LEFT(A1798,FIND("-",A1798)-1),{"April","May","June","July","August","September","October","November","December","January","February","March"},0)</f>
        <v>10</v>
      </c>
      <c r="Q1798" s="3">
        <f t="shared" si="56"/>
        <v>0.11374337845791642</v>
      </c>
      <c r="R1798" t="str">
        <f t="shared" si="57"/>
        <v>January</v>
      </c>
    </row>
    <row r="1799" spans="1:18" x14ac:dyDescent="0.35">
      <c r="A1799" t="s">
        <v>445</v>
      </c>
      <c r="B1799" t="s">
        <v>39</v>
      </c>
      <c r="C1799" t="s">
        <v>40</v>
      </c>
      <c r="D1799" t="s">
        <v>41</v>
      </c>
      <c r="E1799">
        <v>14374</v>
      </c>
      <c r="F1799">
        <v>7622</v>
      </c>
      <c r="G1799">
        <v>8158</v>
      </c>
      <c r="H1799">
        <v>146</v>
      </c>
      <c r="I1799">
        <v>1062</v>
      </c>
      <c r="J1799">
        <v>1264</v>
      </c>
      <c r="K1799" s="1">
        <v>46023</v>
      </c>
      <c r="L1799" t="s">
        <v>446</v>
      </c>
      <c r="M1799" t="s">
        <v>444</v>
      </c>
      <c r="N1799" s="2">
        <f>IFERROR(NHS_A_E[[#This Row],[T1_Over4hrs]]/NHS_A_E[[#This Row],[T1_Attendances]], 0)</f>
        <v>0.56755252539307077</v>
      </c>
      <c r="O1799">
        <f>NHS_A_E[[#This Row],[T1_Attendances]]+NHS_A_E[[#This Row],[Other_Attendances]]</f>
        <v>21996</v>
      </c>
      <c r="P1799">
        <f>MATCH(LEFT(A1799,FIND("-",A1799)-1),{"April","May","June","July","August","September","October","November","December","January","February","March"},0)</f>
        <v>10</v>
      </c>
      <c r="Q1799" s="3">
        <f t="shared" si="56"/>
        <v>8.7936552107972729E-2</v>
      </c>
      <c r="R1799" t="str">
        <f t="shared" si="57"/>
        <v>January</v>
      </c>
    </row>
    <row r="1800" spans="1:18" x14ac:dyDescent="0.35">
      <c r="A1800" t="s">
        <v>445</v>
      </c>
      <c r="B1800" t="s">
        <v>431</v>
      </c>
      <c r="C1800" t="s">
        <v>15</v>
      </c>
      <c r="D1800" t="s">
        <v>432</v>
      </c>
      <c r="E1800">
        <v>0</v>
      </c>
      <c r="F1800">
        <v>2650</v>
      </c>
      <c r="G1800">
        <v>0</v>
      </c>
      <c r="H1800">
        <v>0</v>
      </c>
      <c r="I1800">
        <v>0</v>
      </c>
      <c r="J1800">
        <v>0</v>
      </c>
      <c r="K1800" s="1">
        <v>46023</v>
      </c>
      <c r="L1800" t="s">
        <v>446</v>
      </c>
      <c r="M1800" t="s">
        <v>444</v>
      </c>
      <c r="N1800" s="2">
        <f>IFERROR(NHS_A_E[[#This Row],[T1_Over4hrs]]/NHS_A_E[[#This Row],[T1_Attendances]], 0)</f>
        <v>0</v>
      </c>
      <c r="O1800">
        <f>NHS_A_E[[#This Row],[T1_Attendances]]+NHS_A_E[[#This Row],[Other_Attendances]]</f>
        <v>2650</v>
      </c>
      <c r="P1800">
        <f>MATCH(LEFT(A1800,FIND("-",A1800)-1),{"April","May","June","July","August","September","October","November","December","January","February","March"},0)</f>
        <v>10</v>
      </c>
      <c r="Q1800" s="3">
        <f t="shared" si="56"/>
        <v>0</v>
      </c>
      <c r="R1800" t="str">
        <f t="shared" si="57"/>
        <v>January</v>
      </c>
    </row>
    <row r="1801" spans="1:18" x14ac:dyDescent="0.35">
      <c r="A1801" t="s">
        <v>445</v>
      </c>
      <c r="B1801" t="s">
        <v>97</v>
      </c>
      <c r="C1801" t="s">
        <v>15</v>
      </c>
      <c r="D1801" t="s">
        <v>98</v>
      </c>
      <c r="E1801">
        <v>23318</v>
      </c>
      <c r="F1801">
        <v>11552</v>
      </c>
      <c r="G1801">
        <v>11117</v>
      </c>
      <c r="H1801">
        <v>254</v>
      </c>
      <c r="I1801">
        <v>1272</v>
      </c>
      <c r="J1801">
        <v>743</v>
      </c>
      <c r="K1801" s="1">
        <v>46023</v>
      </c>
      <c r="L1801" t="s">
        <v>446</v>
      </c>
      <c r="M1801" t="s">
        <v>444</v>
      </c>
      <c r="N1801" s="2">
        <f>IFERROR(NHS_A_E[[#This Row],[T1_Over4hrs]]/NHS_A_E[[#This Row],[T1_Attendances]], 0)</f>
        <v>0.47675615404408611</v>
      </c>
      <c r="O1801">
        <f>NHS_A_E[[#This Row],[T1_Attendances]]+NHS_A_E[[#This Row],[Other_Attendances]]</f>
        <v>34870</v>
      </c>
      <c r="P1801">
        <f>MATCH(LEFT(A1801,FIND("-",A1801)-1),{"April","May","June","July","August","September","October","November","December","January","February","March"},0)</f>
        <v>10</v>
      </c>
      <c r="Q1801" s="3">
        <f t="shared" si="56"/>
        <v>3.1863796208937305E-2</v>
      </c>
      <c r="R1801" t="str">
        <f t="shared" si="57"/>
        <v>January</v>
      </c>
    </row>
    <row r="1802" spans="1:18" x14ac:dyDescent="0.35">
      <c r="A1802" t="s">
        <v>445</v>
      </c>
      <c r="B1802" t="s">
        <v>285</v>
      </c>
      <c r="C1802" t="s">
        <v>40</v>
      </c>
      <c r="D1802" t="s">
        <v>286</v>
      </c>
      <c r="E1802">
        <v>0</v>
      </c>
      <c r="F1802">
        <v>322</v>
      </c>
      <c r="G1802">
        <v>0</v>
      </c>
      <c r="H1802">
        <v>0</v>
      </c>
      <c r="I1802">
        <v>0</v>
      </c>
      <c r="J1802">
        <v>0</v>
      </c>
      <c r="K1802" s="1">
        <v>46023</v>
      </c>
      <c r="L1802" t="s">
        <v>446</v>
      </c>
      <c r="M1802" t="s">
        <v>444</v>
      </c>
      <c r="N1802" s="2">
        <f>IFERROR(NHS_A_E[[#This Row],[T1_Over4hrs]]/NHS_A_E[[#This Row],[T1_Attendances]], 0)</f>
        <v>0</v>
      </c>
      <c r="O1802">
        <f>NHS_A_E[[#This Row],[T1_Attendances]]+NHS_A_E[[#This Row],[Other_Attendances]]</f>
        <v>322</v>
      </c>
      <c r="P1802">
        <f>MATCH(LEFT(A1802,FIND("-",A1802)-1),{"April","May","June","July","August","September","October","November","December","January","February","March"},0)</f>
        <v>10</v>
      </c>
      <c r="Q1802" s="3">
        <f t="shared" si="56"/>
        <v>0</v>
      </c>
      <c r="R1802" t="str">
        <f t="shared" si="57"/>
        <v>January</v>
      </c>
    </row>
    <row r="1803" spans="1:18" x14ac:dyDescent="0.35">
      <c r="A1803" t="s">
        <v>445</v>
      </c>
      <c r="B1803" t="s">
        <v>271</v>
      </c>
      <c r="C1803" t="s">
        <v>30</v>
      </c>
      <c r="D1803" t="s">
        <v>272</v>
      </c>
      <c r="E1803">
        <v>0</v>
      </c>
      <c r="F1803">
        <v>13161</v>
      </c>
      <c r="G1803">
        <v>0</v>
      </c>
      <c r="H1803">
        <v>314</v>
      </c>
      <c r="I1803">
        <v>0</v>
      </c>
      <c r="J1803">
        <v>0</v>
      </c>
      <c r="K1803" s="1">
        <v>46023</v>
      </c>
      <c r="L1803" t="s">
        <v>446</v>
      </c>
      <c r="M1803" t="s">
        <v>444</v>
      </c>
      <c r="N1803" s="2">
        <f>IFERROR(NHS_A_E[[#This Row],[T1_Over4hrs]]/NHS_A_E[[#This Row],[T1_Attendances]], 0)</f>
        <v>0</v>
      </c>
      <c r="O1803">
        <f>NHS_A_E[[#This Row],[T1_Attendances]]+NHS_A_E[[#This Row],[Other_Attendances]]</f>
        <v>13161</v>
      </c>
      <c r="P1803">
        <f>MATCH(LEFT(A1803,FIND("-",A1803)-1),{"April","May","June","July","August","September","October","November","December","January","February","March"},0)</f>
        <v>10</v>
      </c>
      <c r="Q1803" s="3">
        <f t="shared" si="56"/>
        <v>0</v>
      </c>
      <c r="R1803" t="str">
        <f t="shared" si="57"/>
        <v>January</v>
      </c>
    </row>
    <row r="1804" spans="1:18" x14ac:dyDescent="0.35">
      <c r="A1804" t="s">
        <v>445</v>
      </c>
      <c r="B1804" t="s">
        <v>259</v>
      </c>
      <c r="C1804" t="s">
        <v>40</v>
      </c>
      <c r="D1804" t="s">
        <v>260</v>
      </c>
      <c r="E1804">
        <v>0</v>
      </c>
      <c r="F1804">
        <v>0</v>
      </c>
      <c r="G1804">
        <v>0</v>
      </c>
      <c r="H1804">
        <v>0</v>
      </c>
      <c r="I1804">
        <v>0</v>
      </c>
      <c r="J1804">
        <v>0</v>
      </c>
      <c r="K1804" s="1">
        <v>46023</v>
      </c>
      <c r="L1804" t="s">
        <v>446</v>
      </c>
      <c r="M1804" t="s">
        <v>444</v>
      </c>
      <c r="N1804" s="2">
        <f>IFERROR(NHS_A_E[[#This Row],[T1_Over4hrs]]/NHS_A_E[[#This Row],[T1_Attendances]], 0)</f>
        <v>0</v>
      </c>
      <c r="O1804">
        <f>NHS_A_E[[#This Row],[T1_Attendances]]+NHS_A_E[[#This Row],[Other_Attendances]]</f>
        <v>0</v>
      </c>
      <c r="P1804">
        <f>MATCH(LEFT(A1804,FIND("-",A1804)-1),{"April","May","June","July","August","September","October","November","December","January","February","March"},0)</f>
        <v>10</v>
      </c>
      <c r="Q1804" s="3">
        <f t="shared" si="56"/>
        <v>0</v>
      </c>
      <c r="R1804" t="str">
        <f t="shared" si="57"/>
        <v>January</v>
      </c>
    </row>
    <row r="1805" spans="1:18" x14ac:dyDescent="0.35">
      <c r="A1805" t="s">
        <v>445</v>
      </c>
      <c r="B1805" t="s">
        <v>369</v>
      </c>
      <c r="C1805" t="s">
        <v>30</v>
      </c>
      <c r="D1805" t="s">
        <v>370</v>
      </c>
      <c r="E1805">
        <v>0</v>
      </c>
      <c r="F1805">
        <v>3061</v>
      </c>
      <c r="G1805">
        <v>0</v>
      </c>
      <c r="H1805">
        <v>33</v>
      </c>
      <c r="I1805">
        <v>0</v>
      </c>
      <c r="J1805">
        <v>0</v>
      </c>
      <c r="K1805" s="1">
        <v>46023</v>
      </c>
      <c r="L1805" t="s">
        <v>446</v>
      </c>
      <c r="M1805" t="s">
        <v>444</v>
      </c>
      <c r="N1805" s="2">
        <f>IFERROR(NHS_A_E[[#This Row],[T1_Over4hrs]]/NHS_A_E[[#This Row],[T1_Attendances]], 0)</f>
        <v>0</v>
      </c>
      <c r="O1805">
        <f>NHS_A_E[[#This Row],[T1_Attendances]]+NHS_A_E[[#This Row],[Other_Attendances]]</f>
        <v>3061</v>
      </c>
      <c r="P1805">
        <f>MATCH(LEFT(A1805,FIND("-",A1805)-1),{"April","May","June","July","August","September","October","November","December","January","February","March"},0)</f>
        <v>10</v>
      </c>
      <c r="Q1805" s="3">
        <f t="shared" si="56"/>
        <v>0</v>
      </c>
      <c r="R1805" t="str">
        <f t="shared" si="57"/>
        <v>January</v>
      </c>
    </row>
    <row r="1806" spans="1:18" x14ac:dyDescent="0.35">
      <c r="A1806" t="s">
        <v>445</v>
      </c>
      <c r="B1806" t="s">
        <v>54</v>
      </c>
      <c r="C1806" t="s">
        <v>15</v>
      </c>
      <c r="D1806" t="s">
        <v>55</v>
      </c>
      <c r="E1806">
        <v>0</v>
      </c>
      <c r="F1806">
        <v>3872</v>
      </c>
      <c r="G1806">
        <v>0</v>
      </c>
      <c r="H1806">
        <v>118</v>
      </c>
      <c r="I1806">
        <v>0</v>
      </c>
      <c r="J1806">
        <v>0</v>
      </c>
      <c r="K1806" s="1">
        <v>46023</v>
      </c>
      <c r="L1806" t="s">
        <v>446</v>
      </c>
      <c r="M1806" t="s">
        <v>444</v>
      </c>
      <c r="N1806" s="2">
        <f>IFERROR(NHS_A_E[[#This Row],[T1_Over4hrs]]/NHS_A_E[[#This Row],[T1_Attendances]], 0)</f>
        <v>0</v>
      </c>
      <c r="O1806">
        <f>NHS_A_E[[#This Row],[T1_Attendances]]+NHS_A_E[[#This Row],[Other_Attendances]]</f>
        <v>3872</v>
      </c>
      <c r="P1806">
        <f>MATCH(LEFT(A1806,FIND("-",A1806)-1),{"April","May","June","July","August","September","October","November","December","January","February","March"},0)</f>
        <v>10</v>
      </c>
      <c r="Q1806" s="3">
        <f t="shared" si="56"/>
        <v>0</v>
      </c>
      <c r="R1806" t="str">
        <f t="shared" si="57"/>
        <v>January</v>
      </c>
    </row>
    <row r="1807" spans="1:18" x14ac:dyDescent="0.35">
      <c r="A1807" t="s">
        <v>445</v>
      </c>
      <c r="B1807" t="s">
        <v>269</v>
      </c>
      <c r="C1807" t="s">
        <v>40</v>
      </c>
      <c r="D1807" t="s">
        <v>270</v>
      </c>
      <c r="E1807">
        <v>6012</v>
      </c>
      <c r="F1807">
        <v>153</v>
      </c>
      <c r="G1807">
        <v>2490</v>
      </c>
      <c r="H1807">
        <v>0</v>
      </c>
      <c r="I1807">
        <v>505</v>
      </c>
      <c r="J1807">
        <v>275</v>
      </c>
      <c r="K1807" s="1">
        <v>46023</v>
      </c>
      <c r="L1807" t="s">
        <v>446</v>
      </c>
      <c r="M1807" t="s">
        <v>444</v>
      </c>
      <c r="N1807" s="2">
        <f>IFERROR(NHS_A_E[[#This Row],[T1_Over4hrs]]/NHS_A_E[[#This Row],[T1_Attendances]], 0)</f>
        <v>0.41417165668662675</v>
      </c>
      <c r="O1807">
        <f>NHS_A_E[[#This Row],[T1_Attendances]]+NHS_A_E[[#This Row],[Other_Attendances]]</f>
        <v>6165</v>
      </c>
      <c r="P1807">
        <f>MATCH(LEFT(A1807,FIND("-",A1807)-1),{"April","May","June","July","August","September","October","November","December","January","February","March"},0)</f>
        <v>10</v>
      </c>
      <c r="Q1807" s="3">
        <f t="shared" si="56"/>
        <v>4.5741849634065204E-2</v>
      </c>
      <c r="R1807" t="str">
        <f t="shared" si="57"/>
        <v>January</v>
      </c>
    </row>
    <row r="1808" spans="1:18" x14ac:dyDescent="0.35">
      <c r="A1808" t="s">
        <v>445</v>
      </c>
      <c r="B1808" t="s">
        <v>46</v>
      </c>
      <c r="C1808" t="s">
        <v>40</v>
      </c>
      <c r="D1808" t="s">
        <v>47</v>
      </c>
      <c r="E1808">
        <v>0</v>
      </c>
      <c r="F1808">
        <v>0</v>
      </c>
      <c r="G1808">
        <v>0</v>
      </c>
      <c r="H1808">
        <v>0</v>
      </c>
      <c r="I1808">
        <v>0</v>
      </c>
      <c r="J1808">
        <v>0</v>
      </c>
      <c r="K1808" s="1">
        <v>46023</v>
      </c>
      <c r="L1808" t="s">
        <v>446</v>
      </c>
      <c r="M1808" t="s">
        <v>444</v>
      </c>
      <c r="N1808" s="2">
        <f>IFERROR(NHS_A_E[[#This Row],[T1_Over4hrs]]/NHS_A_E[[#This Row],[T1_Attendances]], 0)</f>
        <v>0</v>
      </c>
      <c r="O1808">
        <f>NHS_A_E[[#This Row],[T1_Attendances]]+NHS_A_E[[#This Row],[Other_Attendances]]</f>
        <v>0</v>
      </c>
      <c r="P1808">
        <f>MATCH(LEFT(A1808,FIND("-",A1808)-1),{"April","May","June","July","August","September","October","November","December","January","February","March"},0)</f>
        <v>10</v>
      </c>
      <c r="Q1808" s="3">
        <f t="shared" si="56"/>
        <v>0</v>
      </c>
      <c r="R1808" t="str">
        <f t="shared" si="57"/>
        <v>January</v>
      </c>
    </row>
    <row r="1809" spans="1:18" x14ac:dyDescent="0.35">
      <c r="A1809" t="s">
        <v>445</v>
      </c>
      <c r="B1809" t="s">
        <v>391</v>
      </c>
      <c r="C1809" t="s">
        <v>63</v>
      </c>
      <c r="D1809" t="s">
        <v>392</v>
      </c>
      <c r="E1809">
        <v>4169</v>
      </c>
      <c r="F1809">
        <v>450</v>
      </c>
      <c r="G1809">
        <v>305</v>
      </c>
      <c r="H1809">
        <v>0</v>
      </c>
      <c r="I1809">
        <v>3</v>
      </c>
      <c r="J1809">
        <v>0</v>
      </c>
      <c r="K1809" s="1">
        <v>46023</v>
      </c>
      <c r="L1809" t="s">
        <v>446</v>
      </c>
      <c r="M1809" t="s">
        <v>444</v>
      </c>
      <c r="N1809" s="2">
        <f>IFERROR(NHS_A_E[[#This Row],[T1_Over4hrs]]/NHS_A_E[[#This Row],[T1_Attendances]], 0)</f>
        <v>7.3159030942672107E-2</v>
      </c>
      <c r="O1809">
        <f>NHS_A_E[[#This Row],[T1_Attendances]]+NHS_A_E[[#This Row],[Other_Attendances]]</f>
        <v>4619</v>
      </c>
      <c r="P1809">
        <f>MATCH(LEFT(A1809,FIND("-",A1809)-1),{"April","May","June","July","August","September","October","November","December","January","February","March"},0)</f>
        <v>10</v>
      </c>
      <c r="Q1809" s="3">
        <f t="shared" si="56"/>
        <v>0</v>
      </c>
      <c r="R1809" t="str">
        <f t="shared" si="57"/>
        <v>January</v>
      </c>
    </row>
    <row r="1810" spans="1:18" x14ac:dyDescent="0.35">
      <c r="A1810" t="s">
        <v>445</v>
      </c>
      <c r="B1810" t="s">
        <v>343</v>
      </c>
      <c r="C1810" t="s">
        <v>30</v>
      </c>
      <c r="D1810" t="s">
        <v>344</v>
      </c>
      <c r="E1810">
        <v>6012</v>
      </c>
      <c r="F1810">
        <v>0</v>
      </c>
      <c r="G1810">
        <v>823</v>
      </c>
      <c r="H1810">
        <v>0</v>
      </c>
      <c r="I1810">
        <v>0</v>
      </c>
      <c r="J1810">
        <v>0</v>
      </c>
      <c r="K1810" s="1">
        <v>46023</v>
      </c>
      <c r="L1810" t="s">
        <v>446</v>
      </c>
      <c r="M1810" t="s">
        <v>444</v>
      </c>
      <c r="N1810" s="2">
        <f>IFERROR(NHS_A_E[[#This Row],[T1_Over4hrs]]/NHS_A_E[[#This Row],[T1_Attendances]], 0)</f>
        <v>0.13689288090485696</v>
      </c>
      <c r="O1810">
        <f>NHS_A_E[[#This Row],[T1_Attendances]]+NHS_A_E[[#This Row],[Other_Attendances]]</f>
        <v>6012</v>
      </c>
      <c r="P1810">
        <f>MATCH(LEFT(A1810,FIND("-",A1810)-1),{"April","May","June","July","August","September","October","November","December","January","February","March"},0)</f>
        <v>10</v>
      </c>
      <c r="Q1810" s="3">
        <f t="shared" si="56"/>
        <v>0</v>
      </c>
      <c r="R1810" t="str">
        <f t="shared" si="57"/>
        <v>January</v>
      </c>
    </row>
    <row r="1811" spans="1:18" x14ac:dyDescent="0.35">
      <c r="A1811" t="s">
        <v>445</v>
      </c>
      <c r="B1811" t="s">
        <v>71</v>
      </c>
      <c r="C1811" t="s">
        <v>35</v>
      </c>
      <c r="D1811" t="s">
        <v>72</v>
      </c>
      <c r="E1811">
        <v>0</v>
      </c>
      <c r="F1811">
        <v>0</v>
      </c>
      <c r="G1811">
        <v>0</v>
      </c>
      <c r="H1811">
        <v>0</v>
      </c>
      <c r="I1811">
        <v>0</v>
      </c>
      <c r="J1811">
        <v>0</v>
      </c>
      <c r="K1811" s="1">
        <v>46023</v>
      </c>
      <c r="L1811" t="s">
        <v>446</v>
      </c>
      <c r="M1811" t="s">
        <v>444</v>
      </c>
      <c r="N1811" s="2">
        <f>IFERROR(NHS_A_E[[#This Row],[T1_Over4hrs]]/NHS_A_E[[#This Row],[T1_Attendances]], 0)</f>
        <v>0</v>
      </c>
      <c r="O1811">
        <f>NHS_A_E[[#This Row],[T1_Attendances]]+NHS_A_E[[#This Row],[Other_Attendances]]</f>
        <v>0</v>
      </c>
      <c r="P1811">
        <f>MATCH(LEFT(A1811,FIND("-",A1811)-1),{"April","May","June","July","August","September","October","November","December","January","February","March"},0)</f>
        <v>10</v>
      </c>
      <c r="Q1811" s="3">
        <f t="shared" si="56"/>
        <v>0</v>
      </c>
      <c r="R1811" t="str">
        <f t="shared" si="57"/>
        <v>January</v>
      </c>
    </row>
    <row r="1812" spans="1:18" x14ac:dyDescent="0.35">
      <c r="A1812" t="s">
        <v>445</v>
      </c>
      <c r="B1812" t="s">
        <v>275</v>
      </c>
      <c r="C1812" t="s">
        <v>20</v>
      </c>
      <c r="D1812" t="s">
        <v>276</v>
      </c>
      <c r="E1812">
        <v>0</v>
      </c>
      <c r="F1812">
        <v>7989</v>
      </c>
      <c r="G1812">
        <v>0</v>
      </c>
      <c r="H1812">
        <v>105</v>
      </c>
      <c r="I1812">
        <v>0</v>
      </c>
      <c r="J1812">
        <v>0</v>
      </c>
      <c r="K1812" s="1">
        <v>46023</v>
      </c>
      <c r="L1812" t="s">
        <v>446</v>
      </c>
      <c r="M1812" t="s">
        <v>444</v>
      </c>
      <c r="N1812" s="2">
        <f>IFERROR(NHS_A_E[[#This Row],[T1_Over4hrs]]/NHS_A_E[[#This Row],[T1_Attendances]], 0)</f>
        <v>0</v>
      </c>
      <c r="O1812">
        <f>NHS_A_E[[#This Row],[T1_Attendances]]+NHS_A_E[[#This Row],[Other_Attendances]]</f>
        <v>7989</v>
      </c>
      <c r="P1812">
        <f>MATCH(LEFT(A1812,FIND("-",A1812)-1),{"April","May","June","July","August","September","October","November","December","January","February","March"},0)</f>
        <v>10</v>
      </c>
      <c r="Q1812" s="3">
        <f t="shared" si="56"/>
        <v>0</v>
      </c>
      <c r="R1812" t="str">
        <f t="shared" si="57"/>
        <v>January</v>
      </c>
    </row>
    <row r="1813" spans="1:18" x14ac:dyDescent="0.35">
      <c r="A1813" t="s">
        <v>445</v>
      </c>
      <c r="B1813" t="s">
        <v>163</v>
      </c>
      <c r="C1813" t="s">
        <v>35</v>
      </c>
      <c r="D1813" t="s">
        <v>164</v>
      </c>
      <c r="E1813">
        <v>0</v>
      </c>
      <c r="F1813">
        <v>3343</v>
      </c>
      <c r="G1813">
        <v>0</v>
      </c>
      <c r="H1813">
        <v>7</v>
      </c>
      <c r="I1813">
        <v>0</v>
      </c>
      <c r="J1813">
        <v>0</v>
      </c>
      <c r="K1813" s="1">
        <v>46023</v>
      </c>
      <c r="L1813" t="s">
        <v>446</v>
      </c>
      <c r="M1813" t="s">
        <v>444</v>
      </c>
      <c r="N1813" s="2">
        <f>IFERROR(NHS_A_E[[#This Row],[T1_Over4hrs]]/NHS_A_E[[#This Row],[T1_Attendances]], 0)</f>
        <v>0</v>
      </c>
      <c r="O1813">
        <f>NHS_A_E[[#This Row],[T1_Attendances]]+NHS_A_E[[#This Row],[Other_Attendances]]</f>
        <v>3343</v>
      </c>
      <c r="P1813">
        <f>MATCH(LEFT(A1813,FIND("-",A1813)-1),{"April","May","June","July","August","September","October","November","December","January","February","March"},0)</f>
        <v>10</v>
      </c>
      <c r="Q1813" s="3">
        <f t="shared" si="56"/>
        <v>0</v>
      </c>
      <c r="R1813" t="str">
        <f t="shared" si="57"/>
        <v>January</v>
      </c>
    </row>
    <row r="1814" spans="1:18" x14ac:dyDescent="0.35">
      <c r="A1814" t="s">
        <v>445</v>
      </c>
      <c r="B1814" t="s">
        <v>193</v>
      </c>
      <c r="C1814" t="s">
        <v>63</v>
      </c>
      <c r="D1814" t="s">
        <v>194</v>
      </c>
      <c r="E1814">
        <v>0</v>
      </c>
      <c r="F1814">
        <v>0</v>
      </c>
      <c r="G1814">
        <v>0</v>
      </c>
      <c r="H1814">
        <v>0</v>
      </c>
      <c r="I1814">
        <v>0</v>
      </c>
      <c r="J1814">
        <v>0</v>
      </c>
      <c r="K1814" s="1">
        <v>46023</v>
      </c>
      <c r="L1814" t="s">
        <v>446</v>
      </c>
      <c r="M1814" t="s">
        <v>444</v>
      </c>
      <c r="N1814" s="2">
        <f>IFERROR(NHS_A_E[[#This Row],[T1_Over4hrs]]/NHS_A_E[[#This Row],[T1_Attendances]], 0)</f>
        <v>0</v>
      </c>
      <c r="O1814">
        <f>NHS_A_E[[#This Row],[T1_Attendances]]+NHS_A_E[[#This Row],[Other_Attendances]]</f>
        <v>0</v>
      </c>
      <c r="P1814">
        <f>MATCH(LEFT(A1814,FIND("-",A1814)-1),{"April","May","June","July","August","September","October","November","December","January","February","March"},0)</f>
        <v>10</v>
      </c>
      <c r="Q1814" s="3">
        <f t="shared" si="56"/>
        <v>0</v>
      </c>
      <c r="R1814" t="str">
        <f t="shared" si="57"/>
        <v>January</v>
      </c>
    </row>
    <row r="1815" spans="1:18" x14ac:dyDescent="0.35">
      <c r="A1815" t="s">
        <v>445</v>
      </c>
      <c r="B1815" t="s">
        <v>424</v>
      </c>
      <c r="C1815" t="s">
        <v>20</v>
      </c>
      <c r="D1815" t="s">
        <v>425</v>
      </c>
      <c r="E1815">
        <v>0</v>
      </c>
      <c r="F1815">
        <v>1504</v>
      </c>
      <c r="G1815">
        <v>0</v>
      </c>
      <c r="H1815">
        <v>14</v>
      </c>
      <c r="I1815">
        <v>0</v>
      </c>
      <c r="J1815">
        <v>0</v>
      </c>
      <c r="K1815" s="1">
        <v>46023</v>
      </c>
      <c r="L1815" t="s">
        <v>446</v>
      </c>
      <c r="M1815" t="s">
        <v>444</v>
      </c>
      <c r="N1815" s="2">
        <f>IFERROR(NHS_A_E[[#This Row],[T1_Over4hrs]]/NHS_A_E[[#This Row],[T1_Attendances]], 0)</f>
        <v>0</v>
      </c>
      <c r="O1815">
        <f>NHS_A_E[[#This Row],[T1_Attendances]]+NHS_A_E[[#This Row],[Other_Attendances]]</f>
        <v>1504</v>
      </c>
      <c r="P1815">
        <f>MATCH(LEFT(A1815,FIND("-",A1815)-1),{"April","May","June","July","August","September","October","November","December","January","February","March"},0)</f>
        <v>10</v>
      </c>
      <c r="Q1815" s="3">
        <f t="shared" si="56"/>
        <v>0</v>
      </c>
      <c r="R1815" t="str">
        <f t="shared" si="57"/>
        <v>January</v>
      </c>
    </row>
    <row r="1816" spans="1:18" x14ac:dyDescent="0.35">
      <c r="A1816" t="s">
        <v>445</v>
      </c>
      <c r="B1816" t="s">
        <v>119</v>
      </c>
      <c r="C1816" t="s">
        <v>15</v>
      </c>
      <c r="D1816" t="s">
        <v>120</v>
      </c>
      <c r="E1816">
        <v>9621</v>
      </c>
      <c r="F1816">
        <v>3057</v>
      </c>
      <c r="G1816">
        <v>3889</v>
      </c>
      <c r="H1816">
        <v>56</v>
      </c>
      <c r="I1816">
        <v>158</v>
      </c>
      <c r="J1816">
        <v>469</v>
      </c>
      <c r="K1816" s="1">
        <v>46023</v>
      </c>
      <c r="L1816" t="s">
        <v>446</v>
      </c>
      <c r="M1816" t="s">
        <v>444</v>
      </c>
      <c r="N1816" s="2">
        <f>IFERROR(NHS_A_E[[#This Row],[T1_Over4hrs]]/NHS_A_E[[#This Row],[T1_Attendances]], 0)</f>
        <v>0.40421993555763436</v>
      </c>
      <c r="O1816">
        <f>NHS_A_E[[#This Row],[T1_Attendances]]+NHS_A_E[[#This Row],[Other_Attendances]]</f>
        <v>12678</v>
      </c>
      <c r="P1816">
        <f>MATCH(LEFT(A1816,FIND("-",A1816)-1),{"April","May","June","July","August","September","October","November","December","January","February","March"},0)</f>
        <v>10</v>
      </c>
      <c r="Q1816" s="3">
        <f t="shared" si="56"/>
        <v>4.8747531441638084E-2</v>
      </c>
      <c r="R1816" t="str">
        <f t="shared" si="57"/>
        <v>January</v>
      </c>
    </row>
    <row r="1817" spans="1:18" x14ac:dyDescent="0.35">
      <c r="A1817" t="s">
        <v>445</v>
      </c>
      <c r="B1817" t="s">
        <v>311</v>
      </c>
      <c r="C1817" t="s">
        <v>20</v>
      </c>
      <c r="D1817" t="s">
        <v>312</v>
      </c>
      <c r="E1817">
        <v>0</v>
      </c>
      <c r="F1817">
        <v>1043</v>
      </c>
      <c r="G1817">
        <v>0</v>
      </c>
      <c r="H1817">
        <v>5</v>
      </c>
      <c r="I1817">
        <v>0</v>
      </c>
      <c r="J1817">
        <v>0</v>
      </c>
      <c r="K1817" s="1">
        <v>46023</v>
      </c>
      <c r="L1817" t="s">
        <v>446</v>
      </c>
      <c r="M1817" t="s">
        <v>444</v>
      </c>
      <c r="N1817" s="2">
        <f>IFERROR(NHS_A_E[[#This Row],[T1_Over4hrs]]/NHS_A_E[[#This Row],[T1_Attendances]], 0)</f>
        <v>0</v>
      </c>
      <c r="O1817">
        <f>NHS_A_E[[#This Row],[T1_Attendances]]+NHS_A_E[[#This Row],[Other_Attendances]]</f>
        <v>1043</v>
      </c>
      <c r="P1817">
        <f>MATCH(LEFT(A1817,FIND("-",A1817)-1),{"April","May","June","July","August","September","October","November","December","January","February","March"},0)</f>
        <v>10</v>
      </c>
      <c r="Q1817" s="3">
        <f t="shared" si="56"/>
        <v>0</v>
      </c>
      <c r="R1817" t="str">
        <f t="shared" si="57"/>
        <v>January</v>
      </c>
    </row>
    <row r="1818" spans="1:18" x14ac:dyDescent="0.35">
      <c r="A1818" t="s">
        <v>445</v>
      </c>
      <c r="B1818" t="s">
        <v>397</v>
      </c>
      <c r="C1818" t="s">
        <v>63</v>
      </c>
      <c r="D1818" t="s">
        <v>398</v>
      </c>
      <c r="E1818">
        <v>0</v>
      </c>
      <c r="F1818">
        <v>361</v>
      </c>
      <c r="G1818">
        <v>0</v>
      </c>
      <c r="H1818">
        <v>0</v>
      </c>
      <c r="I1818">
        <v>0</v>
      </c>
      <c r="J1818">
        <v>0</v>
      </c>
      <c r="K1818" s="1">
        <v>46023</v>
      </c>
      <c r="L1818" t="s">
        <v>446</v>
      </c>
      <c r="M1818" t="s">
        <v>444</v>
      </c>
      <c r="N1818" s="2">
        <f>IFERROR(NHS_A_E[[#This Row],[T1_Over4hrs]]/NHS_A_E[[#This Row],[T1_Attendances]], 0)</f>
        <v>0</v>
      </c>
      <c r="O1818">
        <f>NHS_A_E[[#This Row],[T1_Attendances]]+NHS_A_E[[#This Row],[Other_Attendances]]</f>
        <v>361</v>
      </c>
      <c r="P1818">
        <f>MATCH(LEFT(A1818,FIND("-",A1818)-1),{"April","May","June","July","August","September","October","November","December","January","February","March"},0)</f>
        <v>10</v>
      </c>
      <c r="Q1818" s="3">
        <f t="shared" si="56"/>
        <v>0</v>
      </c>
      <c r="R1818" t="str">
        <f t="shared" si="57"/>
        <v>January</v>
      </c>
    </row>
    <row r="1819" spans="1:18" x14ac:dyDescent="0.35">
      <c r="A1819" t="s">
        <v>445</v>
      </c>
      <c r="B1819" t="s">
        <v>147</v>
      </c>
      <c r="C1819" t="s">
        <v>40</v>
      </c>
      <c r="D1819" t="s">
        <v>148</v>
      </c>
      <c r="E1819">
        <v>0</v>
      </c>
      <c r="F1819">
        <v>1937</v>
      </c>
      <c r="G1819">
        <v>0</v>
      </c>
      <c r="H1819">
        <v>11</v>
      </c>
      <c r="I1819">
        <v>0</v>
      </c>
      <c r="J1819">
        <v>0</v>
      </c>
      <c r="K1819" s="1">
        <v>46023</v>
      </c>
      <c r="L1819" t="s">
        <v>446</v>
      </c>
      <c r="M1819" t="s">
        <v>444</v>
      </c>
      <c r="N1819" s="2">
        <f>IFERROR(NHS_A_E[[#This Row],[T1_Over4hrs]]/NHS_A_E[[#This Row],[T1_Attendances]], 0)</f>
        <v>0</v>
      </c>
      <c r="O1819">
        <f>NHS_A_E[[#This Row],[T1_Attendances]]+NHS_A_E[[#This Row],[Other_Attendances]]</f>
        <v>1937</v>
      </c>
      <c r="P1819">
        <f>MATCH(LEFT(A1819,FIND("-",A1819)-1),{"April","May","June","July","August","September","October","November","December","January","February","March"},0)</f>
        <v>10</v>
      </c>
      <c r="Q1819" s="3">
        <f t="shared" si="56"/>
        <v>0</v>
      </c>
      <c r="R1819" t="str">
        <f t="shared" si="57"/>
        <v>January</v>
      </c>
    </row>
    <row r="1820" spans="1:18" x14ac:dyDescent="0.35">
      <c r="A1820" t="s">
        <v>445</v>
      </c>
      <c r="B1820" t="s">
        <v>422</v>
      </c>
      <c r="C1820" t="s">
        <v>20</v>
      </c>
      <c r="D1820" t="s">
        <v>423</v>
      </c>
      <c r="E1820">
        <v>0</v>
      </c>
      <c r="F1820">
        <v>1052</v>
      </c>
      <c r="G1820">
        <v>0</v>
      </c>
      <c r="H1820">
        <v>2</v>
      </c>
      <c r="I1820">
        <v>0</v>
      </c>
      <c r="J1820">
        <v>0</v>
      </c>
      <c r="K1820" s="1">
        <v>46023</v>
      </c>
      <c r="L1820" t="s">
        <v>446</v>
      </c>
      <c r="M1820" t="s">
        <v>444</v>
      </c>
      <c r="N1820" s="2">
        <f>IFERROR(NHS_A_E[[#This Row],[T1_Over4hrs]]/NHS_A_E[[#This Row],[T1_Attendances]], 0)</f>
        <v>0</v>
      </c>
      <c r="O1820">
        <f>NHS_A_E[[#This Row],[T1_Attendances]]+NHS_A_E[[#This Row],[Other_Attendances]]</f>
        <v>1052</v>
      </c>
      <c r="P1820">
        <f>MATCH(LEFT(A1820,FIND("-",A1820)-1),{"April","May","June","July","August","September","October","November","December","January","February","March"},0)</f>
        <v>10</v>
      </c>
      <c r="Q1820" s="3">
        <f t="shared" si="56"/>
        <v>0</v>
      </c>
      <c r="R1820" t="str">
        <f t="shared" si="57"/>
        <v>January</v>
      </c>
    </row>
    <row r="1821" spans="1:18" x14ac:dyDescent="0.35">
      <c r="A1821" t="s">
        <v>445</v>
      </c>
      <c r="B1821" t="s">
        <v>237</v>
      </c>
      <c r="C1821" t="s">
        <v>30</v>
      </c>
      <c r="D1821" t="s">
        <v>238</v>
      </c>
      <c r="E1821">
        <v>13668</v>
      </c>
      <c r="F1821">
        <v>11193</v>
      </c>
      <c r="G1821">
        <v>4842</v>
      </c>
      <c r="H1821">
        <v>766</v>
      </c>
      <c r="I1821">
        <v>304</v>
      </c>
      <c r="J1821">
        <v>1407</v>
      </c>
      <c r="K1821" s="1">
        <v>46023</v>
      </c>
      <c r="L1821" t="s">
        <v>446</v>
      </c>
      <c r="M1821" t="s">
        <v>444</v>
      </c>
      <c r="N1821" s="2">
        <f>IFERROR(NHS_A_E[[#This Row],[T1_Over4hrs]]/NHS_A_E[[#This Row],[T1_Attendances]], 0)</f>
        <v>0.35425812115891131</v>
      </c>
      <c r="O1821">
        <f>NHS_A_E[[#This Row],[T1_Attendances]]+NHS_A_E[[#This Row],[Other_Attendances]]</f>
        <v>24861</v>
      </c>
      <c r="P1821">
        <f>MATCH(LEFT(A1821,FIND("-",A1821)-1),{"April","May","June","July","August","September","October","November","December","January","February","March"},0)</f>
        <v>10</v>
      </c>
      <c r="Q1821" s="3">
        <f t="shared" si="56"/>
        <v>0.10294117647058823</v>
      </c>
      <c r="R1821" t="str">
        <f t="shared" si="57"/>
        <v>January</v>
      </c>
    </row>
    <row r="1822" spans="1:18" x14ac:dyDescent="0.35">
      <c r="A1822" t="s">
        <v>445</v>
      </c>
      <c r="B1822" t="s">
        <v>219</v>
      </c>
      <c r="C1822" t="s">
        <v>30</v>
      </c>
      <c r="D1822" t="s">
        <v>220</v>
      </c>
      <c r="E1822">
        <v>8705</v>
      </c>
      <c r="F1822">
        <v>2390</v>
      </c>
      <c r="G1822">
        <v>3725</v>
      </c>
      <c r="H1822">
        <v>53</v>
      </c>
      <c r="I1822">
        <v>710</v>
      </c>
      <c r="J1822">
        <v>763</v>
      </c>
      <c r="K1822" s="1">
        <v>46023</v>
      </c>
      <c r="L1822" t="s">
        <v>446</v>
      </c>
      <c r="M1822" t="s">
        <v>444</v>
      </c>
      <c r="N1822" s="2">
        <f>IFERROR(NHS_A_E[[#This Row],[T1_Over4hrs]]/NHS_A_E[[#This Row],[T1_Attendances]], 0)</f>
        <v>0.42791499138426192</v>
      </c>
      <c r="O1822">
        <f>NHS_A_E[[#This Row],[T1_Attendances]]+NHS_A_E[[#This Row],[Other_Attendances]]</f>
        <v>11095</v>
      </c>
      <c r="P1822">
        <f>MATCH(LEFT(A1822,FIND("-",A1822)-1),{"April","May","June","July","August","September","October","November","December","January","February","March"},0)</f>
        <v>10</v>
      </c>
      <c r="Q1822" s="3">
        <f t="shared" si="56"/>
        <v>8.7650775416427337E-2</v>
      </c>
      <c r="R1822" t="str">
        <f t="shared" si="57"/>
        <v>January</v>
      </c>
    </row>
    <row r="1823" spans="1:18" x14ac:dyDescent="0.35">
      <c r="A1823" t="s">
        <v>445</v>
      </c>
      <c r="B1823" t="s">
        <v>121</v>
      </c>
      <c r="C1823" t="s">
        <v>15</v>
      </c>
      <c r="D1823" t="s">
        <v>122</v>
      </c>
      <c r="E1823">
        <v>7877</v>
      </c>
      <c r="F1823">
        <v>2653</v>
      </c>
      <c r="G1823">
        <v>4216</v>
      </c>
      <c r="H1823">
        <v>42</v>
      </c>
      <c r="I1823">
        <v>574</v>
      </c>
      <c r="J1823">
        <v>424</v>
      </c>
      <c r="K1823" s="1">
        <v>46023</v>
      </c>
      <c r="L1823" t="s">
        <v>446</v>
      </c>
      <c r="M1823" t="s">
        <v>444</v>
      </c>
      <c r="N1823" s="2">
        <f>IFERROR(NHS_A_E[[#This Row],[T1_Over4hrs]]/NHS_A_E[[#This Row],[T1_Attendances]], 0)</f>
        <v>0.53522914815285005</v>
      </c>
      <c r="O1823">
        <f>NHS_A_E[[#This Row],[T1_Attendances]]+NHS_A_E[[#This Row],[Other_Attendances]]</f>
        <v>10530</v>
      </c>
      <c r="P1823">
        <f>MATCH(LEFT(A1823,FIND("-",A1823)-1),{"April","May","June","July","August","September","October","November","December","January","February","March"},0)</f>
        <v>10</v>
      </c>
      <c r="Q1823" s="3">
        <f t="shared" si="56"/>
        <v>5.3827599339850193E-2</v>
      </c>
      <c r="R1823" t="str">
        <f t="shared" si="57"/>
        <v>January</v>
      </c>
    </row>
    <row r="1824" spans="1:18" x14ac:dyDescent="0.35">
      <c r="A1824" t="s">
        <v>445</v>
      </c>
      <c r="B1824" t="s">
        <v>365</v>
      </c>
      <c r="C1824" t="s">
        <v>35</v>
      </c>
      <c r="D1824" t="s">
        <v>366</v>
      </c>
      <c r="E1824">
        <v>13308</v>
      </c>
      <c r="F1824">
        <v>0</v>
      </c>
      <c r="G1824">
        <v>4256</v>
      </c>
      <c r="H1824">
        <v>0</v>
      </c>
      <c r="I1824">
        <v>394</v>
      </c>
      <c r="J1824">
        <v>317</v>
      </c>
      <c r="K1824" s="1">
        <v>46023</v>
      </c>
      <c r="L1824" t="s">
        <v>446</v>
      </c>
      <c r="M1824" t="s">
        <v>444</v>
      </c>
      <c r="N1824" s="2">
        <f>IFERROR(NHS_A_E[[#This Row],[T1_Over4hrs]]/NHS_A_E[[#This Row],[T1_Attendances]], 0)</f>
        <v>0.31980763450556055</v>
      </c>
      <c r="O1824">
        <f>NHS_A_E[[#This Row],[T1_Attendances]]+NHS_A_E[[#This Row],[Other_Attendances]]</f>
        <v>13308</v>
      </c>
      <c r="P1824">
        <f>MATCH(LEFT(A1824,FIND("-",A1824)-1),{"April","May","June","July","August","September","October","November","December","January","February","March"},0)</f>
        <v>10</v>
      </c>
      <c r="Q1824" s="3">
        <f t="shared" si="56"/>
        <v>2.3820258491133152E-2</v>
      </c>
      <c r="R1824" t="str">
        <f t="shared" si="57"/>
        <v>January</v>
      </c>
    </row>
    <row r="1825" spans="1:18" x14ac:dyDescent="0.35">
      <c r="A1825" t="s">
        <v>445</v>
      </c>
      <c r="B1825" t="s">
        <v>407</v>
      </c>
      <c r="C1825" t="s">
        <v>35</v>
      </c>
      <c r="D1825" t="s">
        <v>408</v>
      </c>
      <c r="E1825">
        <v>0</v>
      </c>
      <c r="F1825">
        <v>0</v>
      </c>
      <c r="G1825">
        <v>0</v>
      </c>
      <c r="H1825">
        <v>0</v>
      </c>
      <c r="I1825">
        <v>0</v>
      </c>
      <c r="J1825">
        <v>0</v>
      </c>
      <c r="K1825" s="1">
        <v>46023</v>
      </c>
      <c r="L1825" t="s">
        <v>446</v>
      </c>
      <c r="M1825" t="s">
        <v>444</v>
      </c>
      <c r="N1825" s="2">
        <f>IFERROR(NHS_A_E[[#This Row],[T1_Over4hrs]]/NHS_A_E[[#This Row],[T1_Attendances]], 0)</f>
        <v>0</v>
      </c>
      <c r="O1825">
        <f>NHS_A_E[[#This Row],[T1_Attendances]]+NHS_A_E[[#This Row],[Other_Attendances]]</f>
        <v>0</v>
      </c>
      <c r="P1825">
        <f>MATCH(LEFT(A1825,FIND("-",A1825)-1),{"April","May","June","July","August","September","October","November","December","January","February","March"},0)</f>
        <v>10</v>
      </c>
      <c r="Q1825" s="3">
        <f t="shared" si="56"/>
        <v>0</v>
      </c>
      <c r="R1825" t="str">
        <f t="shared" si="57"/>
        <v>January</v>
      </c>
    </row>
    <row r="1826" spans="1:18" x14ac:dyDescent="0.35">
      <c r="A1826" t="s">
        <v>445</v>
      </c>
      <c r="B1826" t="s">
        <v>417</v>
      </c>
      <c r="C1826" t="s">
        <v>63</v>
      </c>
      <c r="D1826" t="s">
        <v>418</v>
      </c>
      <c r="E1826">
        <v>8906</v>
      </c>
      <c r="F1826">
        <v>1543</v>
      </c>
      <c r="G1826">
        <v>4344</v>
      </c>
      <c r="H1826">
        <v>39</v>
      </c>
      <c r="I1826">
        <v>635</v>
      </c>
      <c r="J1826">
        <v>603</v>
      </c>
      <c r="K1826" s="1">
        <v>46023</v>
      </c>
      <c r="L1826" t="s">
        <v>446</v>
      </c>
      <c r="M1826" t="s">
        <v>444</v>
      </c>
      <c r="N1826" s="2">
        <f>IFERROR(NHS_A_E[[#This Row],[T1_Over4hrs]]/NHS_A_E[[#This Row],[T1_Attendances]], 0)</f>
        <v>0.4877610599595778</v>
      </c>
      <c r="O1826">
        <f>NHS_A_E[[#This Row],[T1_Attendances]]+NHS_A_E[[#This Row],[Other_Attendances]]</f>
        <v>10449</v>
      </c>
      <c r="P1826">
        <f>MATCH(LEFT(A1826,FIND("-",A1826)-1),{"April","May","June","July","August","September","October","November","December","January","February","March"},0)</f>
        <v>10</v>
      </c>
      <c r="Q1826" s="3">
        <f t="shared" si="56"/>
        <v>6.770716370985852E-2</v>
      </c>
      <c r="R1826" t="str">
        <f t="shared" si="57"/>
        <v>January</v>
      </c>
    </row>
    <row r="1827" spans="1:18" x14ac:dyDescent="0.35">
      <c r="A1827" t="s">
        <v>445</v>
      </c>
      <c r="B1827" t="s">
        <v>375</v>
      </c>
      <c r="C1827" t="s">
        <v>40</v>
      </c>
      <c r="D1827" t="s">
        <v>376</v>
      </c>
      <c r="E1827">
        <v>11472</v>
      </c>
      <c r="F1827">
        <v>7907</v>
      </c>
      <c r="G1827">
        <v>5655</v>
      </c>
      <c r="H1827">
        <v>67</v>
      </c>
      <c r="I1827">
        <v>723</v>
      </c>
      <c r="J1827">
        <v>645</v>
      </c>
      <c r="K1827" s="1">
        <v>46023</v>
      </c>
      <c r="L1827" t="s">
        <v>446</v>
      </c>
      <c r="M1827" t="s">
        <v>444</v>
      </c>
      <c r="N1827" s="2">
        <f>IFERROR(NHS_A_E[[#This Row],[T1_Over4hrs]]/NHS_A_E[[#This Row],[T1_Attendances]], 0)</f>
        <v>0.49293933054393307</v>
      </c>
      <c r="O1827">
        <f>NHS_A_E[[#This Row],[T1_Attendances]]+NHS_A_E[[#This Row],[Other_Attendances]]</f>
        <v>19379</v>
      </c>
      <c r="P1827">
        <f>MATCH(LEFT(A1827,FIND("-",A1827)-1),{"April","May","June","July","August","September","October","November","December","January","February","March"},0)</f>
        <v>10</v>
      </c>
      <c r="Q1827" s="3">
        <f t="shared" si="56"/>
        <v>5.6223849372384935E-2</v>
      </c>
      <c r="R1827" t="str">
        <f t="shared" si="57"/>
        <v>January</v>
      </c>
    </row>
    <row r="1828" spans="1:18" x14ac:dyDescent="0.35">
      <c r="A1828" t="s">
        <v>445</v>
      </c>
      <c r="B1828" t="s">
        <v>413</v>
      </c>
      <c r="C1828" t="s">
        <v>20</v>
      </c>
      <c r="D1828" t="s">
        <v>414</v>
      </c>
      <c r="E1828">
        <v>8852</v>
      </c>
      <c r="F1828">
        <v>7802</v>
      </c>
      <c r="G1828">
        <v>5644</v>
      </c>
      <c r="H1828">
        <v>181</v>
      </c>
      <c r="I1828">
        <v>559</v>
      </c>
      <c r="J1828">
        <v>807</v>
      </c>
      <c r="K1828" s="1">
        <v>46023</v>
      </c>
      <c r="L1828" t="s">
        <v>446</v>
      </c>
      <c r="M1828" t="s">
        <v>444</v>
      </c>
      <c r="N1828" s="2">
        <f>IFERROR(NHS_A_E[[#This Row],[T1_Over4hrs]]/NHS_A_E[[#This Row],[T1_Attendances]], 0)</f>
        <v>0.63759602349751465</v>
      </c>
      <c r="O1828">
        <f>NHS_A_E[[#This Row],[T1_Attendances]]+NHS_A_E[[#This Row],[Other_Attendances]]</f>
        <v>16654</v>
      </c>
      <c r="P1828">
        <f>MATCH(LEFT(A1828,FIND("-",A1828)-1),{"April","May","June","July","August","September","October","November","December","January","February","March"},0)</f>
        <v>10</v>
      </c>
      <c r="Q1828" s="3">
        <f t="shared" si="56"/>
        <v>9.1165838228648891E-2</v>
      </c>
      <c r="R1828" t="str">
        <f t="shared" si="57"/>
        <v>January</v>
      </c>
    </row>
    <row r="1829" spans="1:18" x14ac:dyDescent="0.35">
      <c r="A1829" t="s">
        <v>445</v>
      </c>
      <c r="B1829" t="s">
        <v>399</v>
      </c>
      <c r="C1829" t="s">
        <v>40</v>
      </c>
      <c r="D1829" t="s">
        <v>400</v>
      </c>
      <c r="E1829">
        <v>8243</v>
      </c>
      <c r="F1829">
        <v>386</v>
      </c>
      <c r="G1829">
        <v>2728</v>
      </c>
      <c r="H1829">
        <v>0</v>
      </c>
      <c r="I1829">
        <v>558</v>
      </c>
      <c r="J1829">
        <v>235</v>
      </c>
      <c r="K1829" s="1">
        <v>46023</v>
      </c>
      <c r="L1829" t="s">
        <v>446</v>
      </c>
      <c r="M1829" t="s">
        <v>444</v>
      </c>
      <c r="N1829" s="2">
        <f>IFERROR(NHS_A_E[[#This Row],[T1_Over4hrs]]/NHS_A_E[[#This Row],[T1_Attendances]], 0)</f>
        <v>0.33094747058109913</v>
      </c>
      <c r="O1829">
        <f>NHS_A_E[[#This Row],[T1_Attendances]]+NHS_A_E[[#This Row],[Other_Attendances]]</f>
        <v>8629</v>
      </c>
      <c r="P1829">
        <f>MATCH(LEFT(A1829,FIND("-",A1829)-1),{"April","May","June","July","August","September","October","November","December","January","February","March"},0)</f>
        <v>10</v>
      </c>
      <c r="Q1829" s="3">
        <f t="shared" si="56"/>
        <v>2.8509037971612278E-2</v>
      </c>
      <c r="R1829" t="str">
        <f t="shared" si="57"/>
        <v>January</v>
      </c>
    </row>
    <row r="1830" spans="1:18" x14ac:dyDescent="0.35">
      <c r="A1830" t="s">
        <v>445</v>
      </c>
      <c r="B1830" t="s">
        <v>109</v>
      </c>
      <c r="C1830" t="s">
        <v>35</v>
      </c>
      <c r="D1830" t="s">
        <v>110</v>
      </c>
      <c r="E1830">
        <v>10484</v>
      </c>
      <c r="F1830">
        <v>6511</v>
      </c>
      <c r="G1830">
        <v>3908</v>
      </c>
      <c r="H1830">
        <v>153</v>
      </c>
      <c r="I1830">
        <v>127</v>
      </c>
      <c r="J1830">
        <v>59</v>
      </c>
      <c r="K1830" s="1">
        <v>46023</v>
      </c>
      <c r="L1830" t="s">
        <v>446</v>
      </c>
      <c r="M1830" t="s">
        <v>444</v>
      </c>
      <c r="N1830" s="2">
        <f>IFERROR(NHS_A_E[[#This Row],[T1_Over4hrs]]/NHS_A_E[[#This Row],[T1_Attendances]], 0)</f>
        <v>0.37275848912628767</v>
      </c>
      <c r="O1830">
        <f>NHS_A_E[[#This Row],[T1_Attendances]]+NHS_A_E[[#This Row],[Other_Attendances]]</f>
        <v>16995</v>
      </c>
      <c r="P1830">
        <f>MATCH(LEFT(A1830,FIND("-",A1830)-1),{"April","May","June","July","August","September","October","November","December","January","February","March"},0)</f>
        <v>10</v>
      </c>
      <c r="Q1830" s="3">
        <f t="shared" si="56"/>
        <v>5.627623044639451E-3</v>
      </c>
      <c r="R1830" t="str">
        <f t="shared" si="57"/>
        <v>January</v>
      </c>
    </row>
    <row r="1831" spans="1:18" x14ac:dyDescent="0.35">
      <c r="A1831" t="s">
        <v>445</v>
      </c>
      <c r="B1831" t="s">
        <v>349</v>
      </c>
      <c r="C1831" t="s">
        <v>20</v>
      </c>
      <c r="D1831" t="s">
        <v>350</v>
      </c>
      <c r="E1831">
        <v>12593</v>
      </c>
      <c r="F1831">
        <v>3902</v>
      </c>
      <c r="G1831">
        <v>5840</v>
      </c>
      <c r="H1831">
        <v>8</v>
      </c>
      <c r="I1831">
        <v>1073</v>
      </c>
      <c r="J1831">
        <v>430</v>
      </c>
      <c r="K1831" s="1">
        <v>46023</v>
      </c>
      <c r="L1831" t="s">
        <v>446</v>
      </c>
      <c r="M1831" t="s">
        <v>444</v>
      </c>
      <c r="N1831" s="2">
        <f>IFERROR(NHS_A_E[[#This Row],[T1_Over4hrs]]/NHS_A_E[[#This Row],[T1_Attendances]], 0)</f>
        <v>0.46374970221551653</v>
      </c>
      <c r="O1831">
        <f>NHS_A_E[[#This Row],[T1_Attendances]]+NHS_A_E[[#This Row],[Other_Attendances]]</f>
        <v>16495</v>
      </c>
      <c r="P1831">
        <f>MATCH(LEFT(A1831,FIND("-",A1831)-1),{"April","May","June","July","August","September","October","November","December","January","February","March"},0)</f>
        <v>10</v>
      </c>
      <c r="Q1831" s="3">
        <f t="shared" si="56"/>
        <v>3.4145954101484952E-2</v>
      </c>
      <c r="R1831" t="str">
        <f t="shared" si="57"/>
        <v>January</v>
      </c>
    </row>
    <row r="1832" spans="1:18" x14ac:dyDescent="0.35">
      <c r="A1832" t="s">
        <v>445</v>
      </c>
      <c r="B1832" t="s">
        <v>22</v>
      </c>
      <c r="C1832" t="s">
        <v>23</v>
      </c>
      <c r="D1832" t="s">
        <v>24</v>
      </c>
      <c r="E1832">
        <v>11181</v>
      </c>
      <c r="F1832">
        <v>13163</v>
      </c>
      <c r="G1832">
        <v>5267</v>
      </c>
      <c r="H1832">
        <v>947</v>
      </c>
      <c r="I1832">
        <v>674</v>
      </c>
      <c r="J1832">
        <v>744</v>
      </c>
      <c r="K1832" s="1">
        <v>46023</v>
      </c>
      <c r="L1832" t="s">
        <v>446</v>
      </c>
      <c r="M1832" t="s">
        <v>444</v>
      </c>
      <c r="N1832" s="2">
        <f>IFERROR(NHS_A_E[[#This Row],[T1_Over4hrs]]/NHS_A_E[[#This Row],[T1_Attendances]], 0)</f>
        <v>0.47106698864144531</v>
      </c>
      <c r="O1832">
        <f>NHS_A_E[[#This Row],[T1_Attendances]]+NHS_A_E[[#This Row],[Other_Attendances]]</f>
        <v>24344</v>
      </c>
      <c r="P1832">
        <f>MATCH(LEFT(A1832,FIND("-",A1832)-1),{"April","May","June","July","August","September","October","November","December","January","February","March"},0)</f>
        <v>10</v>
      </c>
      <c r="Q1832" s="3">
        <f t="shared" si="56"/>
        <v>6.6541454252750196E-2</v>
      </c>
      <c r="R1832" t="str">
        <f t="shared" si="57"/>
        <v>January</v>
      </c>
    </row>
    <row r="1833" spans="1:18" x14ac:dyDescent="0.35">
      <c r="A1833" t="s">
        <v>445</v>
      </c>
      <c r="B1833" t="s">
        <v>291</v>
      </c>
      <c r="C1833" t="s">
        <v>63</v>
      </c>
      <c r="D1833" t="s">
        <v>292</v>
      </c>
      <c r="E1833">
        <v>5166</v>
      </c>
      <c r="F1833">
        <v>1288</v>
      </c>
      <c r="G1833">
        <v>1844</v>
      </c>
      <c r="H1833">
        <v>2</v>
      </c>
      <c r="I1833">
        <v>422</v>
      </c>
      <c r="J1833">
        <v>43</v>
      </c>
      <c r="K1833" s="1">
        <v>46023</v>
      </c>
      <c r="L1833" t="s">
        <v>446</v>
      </c>
      <c r="M1833" t="s">
        <v>444</v>
      </c>
      <c r="N1833" s="2">
        <f>IFERROR(NHS_A_E[[#This Row],[T1_Over4hrs]]/NHS_A_E[[#This Row],[T1_Attendances]], 0)</f>
        <v>0.35694928377855206</v>
      </c>
      <c r="O1833">
        <f>NHS_A_E[[#This Row],[T1_Attendances]]+NHS_A_E[[#This Row],[Other_Attendances]]</f>
        <v>6454</v>
      </c>
      <c r="P1833">
        <f>MATCH(LEFT(A1833,FIND("-",A1833)-1),{"April","May","June","July","August","September","October","November","December","January","February","March"},0)</f>
        <v>10</v>
      </c>
      <c r="Q1833" s="3">
        <f t="shared" si="56"/>
        <v>8.3236546651180802E-3</v>
      </c>
      <c r="R1833" t="str">
        <f t="shared" si="57"/>
        <v>January</v>
      </c>
    </row>
    <row r="1834" spans="1:18" x14ac:dyDescent="0.35">
      <c r="A1834" t="s">
        <v>445</v>
      </c>
      <c r="B1834" t="s">
        <v>85</v>
      </c>
      <c r="C1834" t="s">
        <v>63</v>
      </c>
      <c r="D1834" t="s">
        <v>86</v>
      </c>
      <c r="E1834">
        <v>9305</v>
      </c>
      <c r="F1834">
        <v>3315</v>
      </c>
      <c r="G1834">
        <v>2144</v>
      </c>
      <c r="H1834">
        <v>1</v>
      </c>
      <c r="I1834">
        <v>594</v>
      </c>
      <c r="J1834">
        <v>83</v>
      </c>
      <c r="K1834" s="1">
        <v>46023</v>
      </c>
      <c r="L1834" t="s">
        <v>446</v>
      </c>
      <c r="M1834" t="s">
        <v>444</v>
      </c>
      <c r="N1834" s="2">
        <f>IFERROR(NHS_A_E[[#This Row],[T1_Over4hrs]]/NHS_A_E[[#This Row],[T1_Attendances]], 0)</f>
        <v>0.23041375604513703</v>
      </c>
      <c r="O1834">
        <f>NHS_A_E[[#This Row],[T1_Attendances]]+NHS_A_E[[#This Row],[Other_Attendances]]</f>
        <v>12620</v>
      </c>
      <c r="P1834">
        <f>MATCH(LEFT(A1834,FIND("-",A1834)-1),{"April","May","June","July","August","September","October","November","December","January","February","March"},0)</f>
        <v>10</v>
      </c>
      <c r="Q1834" s="3">
        <f t="shared" si="56"/>
        <v>8.9199355185384209E-3</v>
      </c>
      <c r="R1834" t="str">
        <f t="shared" si="57"/>
        <v>January</v>
      </c>
    </row>
    <row r="1835" spans="1:18" x14ac:dyDescent="0.35">
      <c r="A1835" t="s">
        <v>445</v>
      </c>
      <c r="B1835" t="s">
        <v>337</v>
      </c>
      <c r="C1835" t="s">
        <v>20</v>
      </c>
      <c r="D1835" t="s">
        <v>338</v>
      </c>
      <c r="E1835">
        <v>14299</v>
      </c>
      <c r="F1835">
        <v>4003</v>
      </c>
      <c r="G1835">
        <v>6765</v>
      </c>
      <c r="H1835">
        <v>0</v>
      </c>
      <c r="I1835">
        <v>1172</v>
      </c>
      <c r="J1835">
        <v>698</v>
      </c>
      <c r="K1835" s="1">
        <v>46023</v>
      </c>
      <c r="L1835" t="s">
        <v>446</v>
      </c>
      <c r="M1835" t="s">
        <v>444</v>
      </c>
      <c r="N1835" s="2">
        <f>IFERROR(NHS_A_E[[#This Row],[T1_Over4hrs]]/NHS_A_E[[#This Row],[T1_Attendances]], 0)</f>
        <v>0.47311000769284567</v>
      </c>
      <c r="O1835">
        <f>NHS_A_E[[#This Row],[T1_Attendances]]+NHS_A_E[[#This Row],[Other_Attendances]]</f>
        <v>18302</v>
      </c>
      <c r="P1835">
        <f>MATCH(LEFT(A1835,FIND("-",A1835)-1),{"April","May","June","July","August","September","October","November","December","January","February","March"},0)</f>
        <v>10</v>
      </c>
      <c r="Q1835" s="3">
        <f t="shared" si="56"/>
        <v>4.8814602419749629E-2</v>
      </c>
      <c r="R1835" t="str">
        <f t="shared" si="57"/>
        <v>January</v>
      </c>
    </row>
    <row r="1836" spans="1:18" x14ac:dyDescent="0.35">
      <c r="A1836" t="s">
        <v>445</v>
      </c>
      <c r="B1836" t="s">
        <v>227</v>
      </c>
      <c r="C1836" t="s">
        <v>30</v>
      </c>
      <c r="D1836" t="s">
        <v>228</v>
      </c>
      <c r="E1836">
        <v>0</v>
      </c>
      <c r="F1836">
        <v>854</v>
      </c>
      <c r="G1836">
        <v>0</v>
      </c>
      <c r="H1836">
        <v>1</v>
      </c>
      <c r="I1836">
        <v>0</v>
      </c>
      <c r="J1836">
        <v>0</v>
      </c>
      <c r="K1836" s="1">
        <v>46023</v>
      </c>
      <c r="L1836" t="s">
        <v>446</v>
      </c>
      <c r="M1836" t="s">
        <v>444</v>
      </c>
      <c r="N1836" s="2">
        <f>IFERROR(NHS_A_E[[#This Row],[T1_Over4hrs]]/NHS_A_E[[#This Row],[T1_Attendances]], 0)</f>
        <v>0</v>
      </c>
      <c r="O1836">
        <f>NHS_A_E[[#This Row],[T1_Attendances]]+NHS_A_E[[#This Row],[Other_Attendances]]</f>
        <v>854</v>
      </c>
      <c r="P1836">
        <f>MATCH(LEFT(A1836,FIND("-",A1836)-1),{"April","May","June","July","August","September","October","November","December","January","February","March"},0)</f>
        <v>10</v>
      </c>
      <c r="Q1836" s="3">
        <f t="shared" si="56"/>
        <v>0</v>
      </c>
      <c r="R1836" t="str">
        <f t="shared" si="57"/>
        <v>January</v>
      </c>
    </row>
    <row r="1837" spans="1:18" x14ac:dyDescent="0.35">
      <c r="A1837" t="s">
        <v>445</v>
      </c>
      <c r="B1837" t="s">
        <v>247</v>
      </c>
      <c r="C1837" t="s">
        <v>15</v>
      </c>
      <c r="D1837" t="s">
        <v>248</v>
      </c>
      <c r="E1837">
        <v>0</v>
      </c>
      <c r="F1837">
        <v>4866</v>
      </c>
      <c r="G1837">
        <v>0</v>
      </c>
      <c r="H1837">
        <v>227</v>
      </c>
      <c r="I1837">
        <v>0</v>
      </c>
      <c r="J1837">
        <v>0</v>
      </c>
      <c r="K1837" s="1">
        <v>46023</v>
      </c>
      <c r="L1837" t="s">
        <v>446</v>
      </c>
      <c r="M1837" t="s">
        <v>444</v>
      </c>
      <c r="N1837" s="2">
        <f>IFERROR(NHS_A_E[[#This Row],[T1_Over4hrs]]/NHS_A_E[[#This Row],[T1_Attendances]], 0)</f>
        <v>0</v>
      </c>
      <c r="O1837">
        <f>NHS_A_E[[#This Row],[T1_Attendances]]+NHS_A_E[[#This Row],[Other_Attendances]]</f>
        <v>4866</v>
      </c>
      <c r="P1837">
        <f>MATCH(LEFT(A1837,FIND("-",A1837)-1),{"April","May","June","July","August","September","October","November","December","January","February","March"},0)</f>
        <v>10</v>
      </c>
      <c r="Q1837" s="3">
        <f t="shared" si="56"/>
        <v>0</v>
      </c>
      <c r="R1837" t="str">
        <f t="shared" si="57"/>
        <v>January</v>
      </c>
    </row>
    <row r="1838" spans="1:18" x14ac:dyDescent="0.35">
      <c r="A1838" t="s">
        <v>445</v>
      </c>
      <c r="B1838" t="s">
        <v>301</v>
      </c>
      <c r="C1838" t="s">
        <v>30</v>
      </c>
      <c r="D1838" t="s">
        <v>302</v>
      </c>
      <c r="E1838">
        <v>0</v>
      </c>
      <c r="F1838">
        <v>2775</v>
      </c>
      <c r="G1838">
        <v>0</v>
      </c>
      <c r="H1838">
        <v>281</v>
      </c>
      <c r="I1838">
        <v>0</v>
      </c>
      <c r="J1838">
        <v>0</v>
      </c>
      <c r="K1838" s="1">
        <v>46023</v>
      </c>
      <c r="L1838" t="s">
        <v>446</v>
      </c>
      <c r="M1838" t="s">
        <v>444</v>
      </c>
      <c r="N1838" s="2">
        <f>IFERROR(NHS_A_E[[#This Row],[T1_Over4hrs]]/NHS_A_E[[#This Row],[T1_Attendances]], 0)</f>
        <v>0</v>
      </c>
      <c r="O1838">
        <f>NHS_A_E[[#This Row],[T1_Attendances]]+NHS_A_E[[#This Row],[Other_Attendances]]</f>
        <v>2775</v>
      </c>
      <c r="P1838">
        <f>MATCH(LEFT(A1838,FIND("-",A1838)-1),{"April","May","June","July","August","September","October","November","December","January","February","March"},0)</f>
        <v>10</v>
      </c>
      <c r="Q1838" s="3">
        <f t="shared" si="56"/>
        <v>0</v>
      </c>
      <c r="R1838" t="str">
        <f t="shared" si="57"/>
        <v>January</v>
      </c>
    </row>
    <row r="1839" spans="1:18" x14ac:dyDescent="0.35">
      <c r="A1839" t="s">
        <v>445</v>
      </c>
      <c r="B1839" t="s">
        <v>273</v>
      </c>
      <c r="C1839" t="s">
        <v>30</v>
      </c>
      <c r="D1839" t="s">
        <v>274</v>
      </c>
      <c r="E1839">
        <v>4314</v>
      </c>
      <c r="F1839">
        <v>0</v>
      </c>
      <c r="G1839">
        <v>2554</v>
      </c>
      <c r="H1839">
        <v>0</v>
      </c>
      <c r="I1839">
        <v>254</v>
      </c>
      <c r="J1839">
        <v>384</v>
      </c>
      <c r="K1839" s="1">
        <v>46023</v>
      </c>
      <c r="L1839" t="s">
        <v>446</v>
      </c>
      <c r="M1839" t="s">
        <v>444</v>
      </c>
      <c r="N1839" s="2">
        <f>IFERROR(NHS_A_E[[#This Row],[T1_Over4hrs]]/NHS_A_E[[#This Row],[T1_Attendances]], 0)</f>
        <v>0.5920259619842374</v>
      </c>
      <c r="O1839">
        <f>NHS_A_E[[#This Row],[T1_Attendances]]+NHS_A_E[[#This Row],[Other_Attendances]]</f>
        <v>4314</v>
      </c>
      <c r="P1839">
        <f>MATCH(LEFT(A1839,FIND("-",A1839)-1),{"April","May","June","July","August","September","October","November","December","January","February","March"},0)</f>
        <v>10</v>
      </c>
      <c r="Q1839" s="3">
        <f t="shared" si="56"/>
        <v>8.9012517385257298E-2</v>
      </c>
      <c r="R1839" t="str">
        <f t="shared" si="57"/>
        <v>January</v>
      </c>
    </row>
    <row r="1840" spans="1:18" x14ac:dyDescent="0.35">
      <c r="A1840" t="s">
        <v>445</v>
      </c>
      <c r="B1840" t="s">
        <v>241</v>
      </c>
      <c r="C1840" t="s">
        <v>40</v>
      </c>
      <c r="D1840" t="s">
        <v>242</v>
      </c>
      <c r="E1840">
        <v>0</v>
      </c>
      <c r="F1840">
        <v>0</v>
      </c>
      <c r="G1840">
        <v>0</v>
      </c>
      <c r="H1840">
        <v>0</v>
      </c>
      <c r="I1840">
        <v>0</v>
      </c>
      <c r="J1840">
        <v>0</v>
      </c>
      <c r="K1840" s="1">
        <v>46023</v>
      </c>
      <c r="L1840" t="s">
        <v>446</v>
      </c>
      <c r="M1840" t="s">
        <v>444</v>
      </c>
      <c r="N1840" s="2">
        <f>IFERROR(NHS_A_E[[#This Row],[T1_Over4hrs]]/NHS_A_E[[#This Row],[T1_Attendances]], 0)</f>
        <v>0</v>
      </c>
      <c r="O1840">
        <f>NHS_A_E[[#This Row],[T1_Attendances]]+NHS_A_E[[#This Row],[Other_Attendances]]</f>
        <v>0</v>
      </c>
      <c r="P1840">
        <f>MATCH(LEFT(A1840,FIND("-",A1840)-1),{"April","May","June","July","August","September","October","November","December","January","February","March"},0)</f>
        <v>10</v>
      </c>
      <c r="Q1840" s="3">
        <f t="shared" si="56"/>
        <v>0</v>
      </c>
      <c r="R1840" t="str">
        <f t="shared" si="57"/>
        <v>January</v>
      </c>
    </row>
    <row r="1841" spans="1:18" x14ac:dyDescent="0.35">
      <c r="A1841" t="s">
        <v>445</v>
      </c>
      <c r="B1841" t="s">
        <v>207</v>
      </c>
      <c r="C1841" t="s">
        <v>15</v>
      </c>
      <c r="D1841" t="s">
        <v>208</v>
      </c>
      <c r="E1841">
        <v>27280</v>
      </c>
      <c r="F1841">
        <v>1692</v>
      </c>
      <c r="G1841">
        <v>11503</v>
      </c>
      <c r="H1841">
        <v>221</v>
      </c>
      <c r="I1841">
        <v>952</v>
      </c>
      <c r="J1841">
        <v>1196</v>
      </c>
      <c r="K1841" s="1">
        <v>46023</v>
      </c>
      <c r="L1841" t="s">
        <v>446</v>
      </c>
      <c r="M1841" t="s">
        <v>444</v>
      </c>
      <c r="N1841" s="2">
        <f>IFERROR(NHS_A_E[[#This Row],[T1_Over4hrs]]/NHS_A_E[[#This Row],[T1_Attendances]], 0)</f>
        <v>0.42166422287390032</v>
      </c>
      <c r="O1841">
        <f>NHS_A_E[[#This Row],[T1_Attendances]]+NHS_A_E[[#This Row],[Other_Attendances]]</f>
        <v>28972</v>
      </c>
      <c r="P1841">
        <f>MATCH(LEFT(A1841,FIND("-",A1841)-1),{"April","May","June","July","August","September","October","November","December","January","February","March"},0)</f>
        <v>10</v>
      </c>
      <c r="Q1841" s="3">
        <f t="shared" si="56"/>
        <v>4.3841642228739E-2</v>
      </c>
      <c r="R1841" t="str">
        <f t="shared" si="57"/>
        <v>January</v>
      </c>
    </row>
    <row r="1842" spans="1:18" x14ac:dyDescent="0.35">
      <c r="A1842" t="s">
        <v>445</v>
      </c>
      <c r="B1842" t="s">
        <v>409</v>
      </c>
      <c r="C1842" t="s">
        <v>15</v>
      </c>
      <c r="D1842" t="s">
        <v>410</v>
      </c>
      <c r="E1842">
        <v>18969</v>
      </c>
      <c r="F1842">
        <v>1934</v>
      </c>
      <c r="G1842">
        <v>5286</v>
      </c>
      <c r="H1842">
        <v>25</v>
      </c>
      <c r="I1842">
        <v>910</v>
      </c>
      <c r="J1842">
        <v>629</v>
      </c>
      <c r="K1842" s="1">
        <v>46023</v>
      </c>
      <c r="L1842" t="s">
        <v>446</v>
      </c>
      <c r="M1842" t="s">
        <v>444</v>
      </c>
      <c r="N1842" s="2">
        <f>IFERROR(NHS_A_E[[#This Row],[T1_Over4hrs]]/NHS_A_E[[#This Row],[T1_Attendances]], 0)</f>
        <v>0.27866519057409456</v>
      </c>
      <c r="O1842">
        <f>NHS_A_E[[#This Row],[T1_Attendances]]+NHS_A_E[[#This Row],[Other_Attendances]]</f>
        <v>20903</v>
      </c>
      <c r="P1842">
        <f>MATCH(LEFT(A1842,FIND("-",A1842)-1),{"April","May","June","July","August","September","October","November","December","January","February","March"},0)</f>
        <v>10</v>
      </c>
      <c r="Q1842" s="3">
        <f t="shared" si="56"/>
        <v>3.3159365280194003E-2</v>
      </c>
      <c r="R1842" t="str">
        <f t="shared" si="57"/>
        <v>January</v>
      </c>
    </row>
    <row r="1843" spans="1:18" x14ac:dyDescent="0.35">
      <c r="A1843" t="s">
        <v>445</v>
      </c>
      <c r="B1843" t="s">
        <v>440</v>
      </c>
      <c r="C1843" t="s">
        <v>15</v>
      </c>
      <c r="D1843" t="s">
        <v>441</v>
      </c>
      <c r="E1843">
        <v>0</v>
      </c>
      <c r="F1843">
        <v>1059</v>
      </c>
      <c r="G1843">
        <v>0</v>
      </c>
      <c r="H1843">
        <v>0</v>
      </c>
      <c r="I1843">
        <v>0</v>
      </c>
      <c r="J1843">
        <v>0</v>
      </c>
      <c r="K1843" s="1">
        <v>46023</v>
      </c>
      <c r="L1843" t="s">
        <v>446</v>
      </c>
      <c r="M1843" t="s">
        <v>444</v>
      </c>
      <c r="N1843" s="2">
        <f>IFERROR(NHS_A_E[[#This Row],[T1_Over4hrs]]/NHS_A_E[[#This Row],[T1_Attendances]], 0)</f>
        <v>0</v>
      </c>
      <c r="O1843">
        <f>NHS_A_E[[#This Row],[T1_Attendances]]+NHS_A_E[[#This Row],[Other_Attendances]]</f>
        <v>1059</v>
      </c>
      <c r="P1843">
        <f>MATCH(LEFT(A1843,FIND("-",A1843)-1),{"April","May","June","July","August","September","October","November","December","January","February","March"},0)</f>
        <v>10</v>
      </c>
      <c r="Q1843" s="3">
        <f t="shared" si="56"/>
        <v>0</v>
      </c>
      <c r="R1843" t="str">
        <f t="shared" si="57"/>
        <v>January</v>
      </c>
    </row>
    <row r="1844" spans="1:18" x14ac:dyDescent="0.35">
      <c r="A1844" t="s">
        <v>445</v>
      </c>
      <c r="B1844" t="s">
        <v>279</v>
      </c>
      <c r="C1844" t="s">
        <v>15</v>
      </c>
      <c r="D1844" t="s">
        <v>280</v>
      </c>
      <c r="E1844">
        <v>0</v>
      </c>
      <c r="F1844">
        <v>2724</v>
      </c>
      <c r="G1844">
        <v>0</v>
      </c>
      <c r="H1844">
        <v>22</v>
      </c>
      <c r="I1844">
        <v>0</v>
      </c>
      <c r="J1844">
        <v>0</v>
      </c>
      <c r="K1844" s="1">
        <v>46023</v>
      </c>
      <c r="L1844" t="s">
        <v>446</v>
      </c>
      <c r="M1844" t="s">
        <v>444</v>
      </c>
      <c r="N1844" s="2">
        <f>IFERROR(NHS_A_E[[#This Row],[T1_Over4hrs]]/NHS_A_E[[#This Row],[T1_Attendances]], 0)</f>
        <v>0</v>
      </c>
      <c r="O1844">
        <f>NHS_A_E[[#This Row],[T1_Attendances]]+NHS_A_E[[#This Row],[Other_Attendances]]</f>
        <v>2724</v>
      </c>
      <c r="P1844">
        <f>MATCH(LEFT(A1844,FIND("-",A1844)-1),{"April","May","June","July","August","September","October","November","December","January","February","March"},0)</f>
        <v>10</v>
      </c>
      <c r="Q1844" s="3">
        <f t="shared" si="56"/>
        <v>0</v>
      </c>
      <c r="R1844" t="str">
        <f t="shared" si="57"/>
        <v>January</v>
      </c>
    </row>
    <row r="1845" spans="1:18" x14ac:dyDescent="0.35">
      <c r="A1845" t="s">
        <v>445</v>
      </c>
      <c r="B1845" t="s">
        <v>277</v>
      </c>
      <c r="C1845" t="s">
        <v>15</v>
      </c>
      <c r="D1845" t="s">
        <v>278</v>
      </c>
      <c r="E1845">
        <v>0</v>
      </c>
      <c r="F1845">
        <v>2350</v>
      </c>
      <c r="G1845">
        <v>0</v>
      </c>
      <c r="H1845">
        <v>28</v>
      </c>
      <c r="I1845">
        <v>0</v>
      </c>
      <c r="J1845">
        <v>0</v>
      </c>
      <c r="K1845" s="1">
        <v>46023</v>
      </c>
      <c r="L1845" t="s">
        <v>446</v>
      </c>
      <c r="M1845" t="s">
        <v>444</v>
      </c>
      <c r="N1845" s="2">
        <f>IFERROR(NHS_A_E[[#This Row],[T1_Over4hrs]]/NHS_A_E[[#This Row],[T1_Attendances]], 0)</f>
        <v>0</v>
      </c>
      <c r="O1845">
        <f>NHS_A_E[[#This Row],[T1_Attendances]]+NHS_A_E[[#This Row],[Other_Attendances]]</f>
        <v>2350</v>
      </c>
      <c r="P1845">
        <f>MATCH(LEFT(A1845,FIND("-",A1845)-1),{"April","May","June","July","August","September","October","November","December","January","February","March"},0)</f>
        <v>10</v>
      </c>
      <c r="Q1845" s="3">
        <f t="shared" si="56"/>
        <v>0</v>
      </c>
      <c r="R1845" t="str">
        <f t="shared" si="57"/>
        <v>January</v>
      </c>
    </row>
    <row r="1846" spans="1:18" x14ac:dyDescent="0.35">
      <c r="A1846" t="s">
        <v>445</v>
      </c>
      <c r="B1846" t="s">
        <v>331</v>
      </c>
      <c r="C1846" t="s">
        <v>15</v>
      </c>
      <c r="D1846" t="s">
        <v>332</v>
      </c>
      <c r="E1846">
        <v>0</v>
      </c>
      <c r="F1846">
        <v>5146</v>
      </c>
      <c r="G1846">
        <v>0</v>
      </c>
      <c r="H1846">
        <v>71</v>
      </c>
      <c r="I1846">
        <v>0</v>
      </c>
      <c r="J1846">
        <v>0</v>
      </c>
      <c r="K1846" s="1">
        <v>46023</v>
      </c>
      <c r="L1846" t="s">
        <v>446</v>
      </c>
      <c r="M1846" t="s">
        <v>444</v>
      </c>
      <c r="N1846" s="2">
        <f>IFERROR(NHS_A_E[[#This Row],[T1_Over4hrs]]/NHS_A_E[[#This Row],[T1_Attendances]], 0)</f>
        <v>0</v>
      </c>
      <c r="O1846">
        <f>NHS_A_E[[#This Row],[T1_Attendances]]+NHS_A_E[[#This Row],[Other_Attendances]]</f>
        <v>5146</v>
      </c>
      <c r="P1846">
        <f>MATCH(LEFT(A1846,FIND("-",A1846)-1),{"April","May","June","July","August","September","October","November","December","January","February","March"},0)</f>
        <v>10</v>
      </c>
      <c r="Q1846" s="3">
        <f t="shared" si="56"/>
        <v>0</v>
      </c>
      <c r="R1846" t="str">
        <f t="shared" si="57"/>
        <v>January</v>
      </c>
    </row>
    <row r="1847" spans="1:18" x14ac:dyDescent="0.35">
      <c r="A1847" t="s">
        <v>445</v>
      </c>
      <c r="B1847" t="s">
        <v>303</v>
      </c>
      <c r="C1847" t="s">
        <v>23</v>
      </c>
      <c r="D1847" t="s">
        <v>304</v>
      </c>
      <c r="E1847">
        <v>0</v>
      </c>
      <c r="F1847">
        <v>2871</v>
      </c>
      <c r="G1847">
        <v>0</v>
      </c>
      <c r="H1847">
        <v>0</v>
      </c>
      <c r="I1847">
        <v>0</v>
      </c>
      <c r="J1847">
        <v>0</v>
      </c>
      <c r="K1847" s="1">
        <v>46023</v>
      </c>
      <c r="L1847" t="s">
        <v>446</v>
      </c>
      <c r="M1847" t="s">
        <v>444</v>
      </c>
      <c r="N1847" s="2">
        <f>IFERROR(NHS_A_E[[#This Row],[T1_Over4hrs]]/NHS_A_E[[#This Row],[T1_Attendances]], 0)</f>
        <v>0</v>
      </c>
      <c r="O1847">
        <f>NHS_A_E[[#This Row],[T1_Attendances]]+NHS_A_E[[#This Row],[Other_Attendances]]</f>
        <v>2871</v>
      </c>
      <c r="P1847">
        <f>MATCH(LEFT(A1847,FIND("-",A1847)-1),{"April","May","June","July","August","September","October","November","December","January","February","March"},0)</f>
        <v>10</v>
      </c>
      <c r="Q1847" s="3">
        <f t="shared" si="56"/>
        <v>0</v>
      </c>
      <c r="R1847" t="str">
        <f t="shared" si="57"/>
        <v>January</v>
      </c>
    </row>
    <row r="1848" spans="1:18" x14ac:dyDescent="0.35">
      <c r="A1848" t="s">
        <v>445</v>
      </c>
      <c r="B1848" t="s">
        <v>201</v>
      </c>
      <c r="C1848" t="s">
        <v>20</v>
      </c>
      <c r="D1848" t="s">
        <v>202</v>
      </c>
      <c r="E1848">
        <v>0</v>
      </c>
      <c r="F1848">
        <v>1859</v>
      </c>
      <c r="G1848">
        <v>0</v>
      </c>
      <c r="H1848">
        <v>27</v>
      </c>
      <c r="I1848">
        <v>0</v>
      </c>
      <c r="J1848">
        <v>0</v>
      </c>
      <c r="K1848" s="1">
        <v>46023</v>
      </c>
      <c r="L1848" t="s">
        <v>446</v>
      </c>
      <c r="M1848" t="s">
        <v>444</v>
      </c>
      <c r="N1848" s="2">
        <f>IFERROR(NHS_A_E[[#This Row],[T1_Over4hrs]]/NHS_A_E[[#This Row],[T1_Attendances]], 0)</f>
        <v>0</v>
      </c>
      <c r="O1848">
        <f>NHS_A_E[[#This Row],[T1_Attendances]]+NHS_A_E[[#This Row],[Other_Attendances]]</f>
        <v>1859</v>
      </c>
      <c r="P1848">
        <f>MATCH(LEFT(A1848,FIND("-",A1848)-1),{"April","May","June","July","August","September","October","November","December","January","February","March"},0)</f>
        <v>10</v>
      </c>
      <c r="Q1848" s="3">
        <f t="shared" si="56"/>
        <v>0</v>
      </c>
      <c r="R1848" t="str">
        <f t="shared" si="57"/>
        <v>January</v>
      </c>
    </row>
    <row r="1849" spans="1:18" x14ac:dyDescent="0.35">
      <c r="A1849" t="s">
        <v>445</v>
      </c>
      <c r="B1849" t="s">
        <v>327</v>
      </c>
      <c r="C1849" t="s">
        <v>40</v>
      </c>
      <c r="D1849" t="s">
        <v>328</v>
      </c>
      <c r="E1849">
        <v>0</v>
      </c>
      <c r="F1849">
        <v>6814</v>
      </c>
      <c r="G1849">
        <v>0</v>
      </c>
      <c r="H1849">
        <v>212</v>
      </c>
      <c r="I1849">
        <v>0</v>
      </c>
      <c r="J1849">
        <v>0</v>
      </c>
      <c r="K1849" s="1">
        <v>46023</v>
      </c>
      <c r="L1849" t="s">
        <v>446</v>
      </c>
      <c r="M1849" t="s">
        <v>444</v>
      </c>
      <c r="N1849" s="2">
        <f>IFERROR(NHS_A_E[[#This Row],[T1_Over4hrs]]/NHS_A_E[[#This Row],[T1_Attendances]], 0)</f>
        <v>0</v>
      </c>
      <c r="O1849">
        <f>NHS_A_E[[#This Row],[T1_Attendances]]+NHS_A_E[[#This Row],[Other_Attendances]]</f>
        <v>6814</v>
      </c>
      <c r="P1849">
        <f>MATCH(LEFT(A1849,FIND("-",A1849)-1),{"April","May","June","July","August","September","October","November","December","January","February","March"},0)</f>
        <v>10</v>
      </c>
      <c r="Q1849" s="3">
        <f t="shared" si="56"/>
        <v>0</v>
      </c>
      <c r="R1849" t="str">
        <f t="shared" si="57"/>
        <v>January</v>
      </c>
    </row>
    <row r="1850" spans="1:18" x14ac:dyDescent="0.35">
      <c r="A1850" t="s">
        <v>445</v>
      </c>
      <c r="B1850" t="s">
        <v>363</v>
      </c>
      <c r="C1850" t="s">
        <v>40</v>
      </c>
      <c r="D1850" t="s">
        <v>364</v>
      </c>
      <c r="E1850">
        <v>13731</v>
      </c>
      <c r="F1850">
        <v>5143</v>
      </c>
      <c r="G1850">
        <v>6952</v>
      </c>
      <c r="H1850">
        <v>56</v>
      </c>
      <c r="I1850">
        <v>865</v>
      </c>
      <c r="J1850">
        <v>1431</v>
      </c>
      <c r="K1850" s="1">
        <v>46023</v>
      </c>
      <c r="L1850" t="s">
        <v>446</v>
      </c>
      <c r="M1850" t="s">
        <v>444</v>
      </c>
      <c r="N1850" s="2">
        <f>IFERROR(NHS_A_E[[#This Row],[T1_Over4hrs]]/NHS_A_E[[#This Row],[T1_Attendances]], 0)</f>
        <v>0.50629961401208945</v>
      </c>
      <c r="O1850">
        <f>NHS_A_E[[#This Row],[T1_Attendances]]+NHS_A_E[[#This Row],[Other_Attendances]]</f>
        <v>18874</v>
      </c>
      <c r="P1850">
        <f>MATCH(LEFT(A1850,FIND("-",A1850)-1),{"April","May","June","July","August","September","October","November","December","January","February","March"},0)</f>
        <v>10</v>
      </c>
      <c r="Q1850" s="3">
        <f t="shared" si="56"/>
        <v>0.10421673585317894</v>
      </c>
      <c r="R1850" t="str">
        <f t="shared" si="57"/>
        <v>January</v>
      </c>
    </row>
    <row r="1851" spans="1:18" x14ac:dyDescent="0.35">
      <c r="A1851" t="s">
        <v>445</v>
      </c>
      <c r="B1851" t="s">
        <v>293</v>
      </c>
      <c r="C1851" t="s">
        <v>20</v>
      </c>
      <c r="D1851" t="s">
        <v>294</v>
      </c>
      <c r="E1851">
        <v>0</v>
      </c>
      <c r="F1851">
        <v>0</v>
      </c>
      <c r="G1851">
        <v>0</v>
      </c>
      <c r="H1851">
        <v>0</v>
      </c>
      <c r="I1851">
        <v>0</v>
      </c>
      <c r="J1851">
        <v>0</v>
      </c>
      <c r="K1851" s="1">
        <v>46023</v>
      </c>
      <c r="L1851" t="s">
        <v>446</v>
      </c>
      <c r="M1851" t="s">
        <v>444</v>
      </c>
      <c r="N1851" s="2">
        <f>IFERROR(NHS_A_E[[#This Row],[T1_Over4hrs]]/NHS_A_E[[#This Row],[T1_Attendances]], 0)</f>
        <v>0</v>
      </c>
      <c r="O1851">
        <f>NHS_A_E[[#This Row],[T1_Attendances]]+NHS_A_E[[#This Row],[Other_Attendances]]</f>
        <v>0</v>
      </c>
      <c r="P1851">
        <f>MATCH(LEFT(A1851,FIND("-",A1851)-1),{"April","May","June","July","August","September","October","November","December","January","February","March"},0)</f>
        <v>10</v>
      </c>
      <c r="Q1851" s="3">
        <f t="shared" si="56"/>
        <v>0</v>
      </c>
      <c r="R1851" t="str">
        <f t="shared" si="57"/>
        <v>January</v>
      </c>
    </row>
    <row r="1852" spans="1:18" x14ac:dyDescent="0.35">
      <c r="A1852" t="s">
        <v>445</v>
      </c>
      <c r="B1852" t="s">
        <v>289</v>
      </c>
      <c r="C1852" t="s">
        <v>30</v>
      </c>
      <c r="D1852" t="s">
        <v>290</v>
      </c>
      <c r="E1852">
        <v>0</v>
      </c>
      <c r="F1852">
        <v>0</v>
      </c>
      <c r="G1852">
        <v>0</v>
      </c>
      <c r="H1852">
        <v>0</v>
      </c>
      <c r="I1852">
        <v>0</v>
      </c>
      <c r="J1852">
        <v>0</v>
      </c>
      <c r="K1852" s="1">
        <v>46023</v>
      </c>
      <c r="L1852" t="s">
        <v>446</v>
      </c>
      <c r="M1852" t="s">
        <v>444</v>
      </c>
      <c r="N1852" s="2">
        <f>IFERROR(NHS_A_E[[#This Row],[T1_Over4hrs]]/NHS_A_E[[#This Row],[T1_Attendances]], 0)</f>
        <v>0</v>
      </c>
      <c r="O1852">
        <f>NHS_A_E[[#This Row],[T1_Attendances]]+NHS_A_E[[#This Row],[Other_Attendances]]</f>
        <v>0</v>
      </c>
      <c r="P1852">
        <f>MATCH(LEFT(A1852,FIND("-",A1852)-1),{"April","May","June","July","August","September","October","November","December","January","February","March"},0)</f>
        <v>10</v>
      </c>
      <c r="Q1852" s="3">
        <f t="shared" si="56"/>
        <v>0</v>
      </c>
      <c r="R1852" t="str">
        <f t="shared" si="57"/>
        <v>January</v>
      </c>
    </row>
    <row r="1853" spans="1:18" x14ac:dyDescent="0.35">
      <c r="A1853" t="s">
        <v>445</v>
      </c>
      <c r="B1853" t="s">
        <v>249</v>
      </c>
      <c r="C1853" t="s">
        <v>20</v>
      </c>
      <c r="D1853" t="s">
        <v>250</v>
      </c>
      <c r="E1853">
        <v>6524</v>
      </c>
      <c r="F1853">
        <v>3034</v>
      </c>
      <c r="G1853">
        <v>3120</v>
      </c>
      <c r="H1853">
        <v>3</v>
      </c>
      <c r="I1853">
        <v>202</v>
      </c>
      <c r="J1853">
        <v>106</v>
      </c>
      <c r="K1853" s="1">
        <v>46023</v>
      </c>
      <c r="L1853" t="s">
        <v>446</v>
      </c>
      <c r="M1853" t="s">
        <v>444</v>
      </c>
      <c r="N1853" s="2">
        <f>IFERROR(NHS_A_E[[#This Row],[T1_Over4hrs]]/NHS_A_E[[#This Row],[T1_Attendances]], 0)</f>
        <v>0.47823421213979156</v>
      </c>
      <c r="O1853">
        <f>NHS_A_E[[#This Row],[T1_Attendances]]+NHS_A_E[[#This Row],[Other_Attendances]]</f>
        <v>9558</v>
      </c>
      <c r="P1853">
        <f>MATCH(LEFT(A1853,FIND("-",A1853)-1),{"April","May","June","July","August","September","October","November","December","January","February","March"},0)</f>
        <v>10</v>
      </c>
      <c r="Q1853" s="3">
        <f t="shared" si="56"/>
        <v>1.6247700797057021E-2</v>
      </c>
      <c r="R1853" t="str">
        <f t="shared" si="57"/>
        <v>January</v>
      </c>
    </row>
    <row r="1854" spans="1:18" x14ac:dyDescent="0.35">
      <c r="A1854" t="s">
        <v>445</v>
      </c>
      <c r="B1854" t="s">
        <v>287</v>
      </c>
      <c r="C1854" t="s">
        <v>40</v>
      </c>
      <c r="D1854" t="s">
        <v>288</v>
      </c>
      <c r="E1854">
        <v>0</v>
      </c>
      <c r="F1854">
        <v>2840</v>
      </c>
      <c r="G1854">
        <v>0</v>
      </c>
      <c r="H1854">
        <v>0</v>
      </c>
      <c r="I1854">
        <v>0</v>
      </c>
      <c r="J1854">
        <v>0</v>
      </c>
      <c r="K1854" s="1">
        <v>46023</v>
      </c>
      <c r="L1854" t="s">
        <v>446</v>
      </c>
      <c r="M1854" t="s">
        <v>444</v>
      </c>
      <c r="N1854" s="2">
        <f>IFERROR(NHS_A_E[[#This Row],[T1_Over4hrs]]/NHS_A_E[[#This Row],[T1_Attendances]], 0)</f>
        <v>0</v>
      </c>
      <c r="O1854">
        <f>NHS_A_E[[#This Row],[T1_Attendances]]+NHS_A_E[[#This Row],[Other_Attendances]]</f>
        <v>2840</v>
      </c>
      <c r="P1854">
        <f>MATCH(LEFT(A1854,FIND("-",A1854)-1),{"April","May","June","July","August","September","October","November","December","January","February","March"},0)</f>
        <v>10</v>
      </c>
      <c r="Q1854" s="3">
        <f t="shared" si="56"/>
        <v>0</v>
      </c>
      <c r="R1854" t="str">
        <f t="shared" si="57"/>
        <v>January</v>
      </c>
    </row>
    <row r="1855" spans="1:18" x14ac:dyDescent="0.35">
      <c r="A1855" t="s">
        <v>445</v>
      </c>
      <c r="B1855" t="s">
        <v>81</v>
      </c>
      <c r="C1855" t="s">
        <v>63</v>
      </c>
      <c r="D1855" t="s">
        <v>82</v>
      </c>
      <c r="E1855">
        <v>0</v>
      </c>
      <c r="F1855">
        <v>1571</v>
      </c>
      <c r="G1855">
        <v>0</v>
      </c>
      <c r="H1855">
        <v>21</v>
      </c>
      <c r="I1855">
        <v>0</v>
      </c>
      <c r="J1855">
        <v>0</v>
      </c>
      <c r="K1855" s="1">
        <v>46023</v>
      </c>
      <c r="L1855" t="s">
        <v>446</v>
      </c>
      <c r="M1855" t="s">
        <v>444</v>
      </c>
      <c r="N1855" s="2">
        <f>IFERROR(NHS_A_E[[#This Row],[T1_Over4hrs]]/NHS_A_E[[#This Row],[T1_Attendances]], 0)</f>
        <v>0</v>
      </c>
      <c r="O1855">
        <f>NHS_A_E[[#This Row],[T1_Attendances]]+NHS_A_E[[#This Row],[Other_Attendances]]</f>
        <v>1571</v>
      </c>
      <c r="P1855">
        <f>MATCH(LEFT(A1855,FIND("-",A1855)-1),{"April","May","June","July","August","September","October","November","December","January","February","March"},0)</f>
        <v>10</v>
      </c>
      <c r="Q1855" s="3">
        <f t="shared" si="56"/>
        <v>0</v>
      </c>
      <c r="R1855" t="str">
        <f t="shared" si="57"/>
        <v>January</v>
      </c>
    </row>
    <row r="1856" spans="1:18" x14ac:dyDescent="0.35">
      <c r="A1856" t="s">
        <v>445</v>
      </c>
      <c r="B1856" t="s">
        <v>79</v>
      </c>
      <c r="C1856" t="s">
        <v>63</v>
      </c>
      <c r="D1856" t="s">
        <v>80</v>
      </c>
      <c r="E1856">
        <v>0</v>
      </c>
      <c r="F1856">
        <v>2419</v>
      </c>
      <c r="G1856">
        <v>0</v>
      </c>
      <c r="H1856">
        <v>138</v>
      </c>
      <c r="I1856">
        <v>0</v>
      </c>
      <c r="J1856">
        <v>0</v>
      </c>
      <c r="K1856" s="1">
        <v>46023</v>
      </c>
      <c r="L1856" t="s">
        <v>446</v>
      </c>
      <c r="M1856" t="s">
        <v>444</v>
      </c>
      <c r="N1856" s="2">
        <f>IFERROR(NHS_A_E[[#This Row],[T1_Over4hrs]]/NHS_A_E[[#This Row],[T1_Attendances]], 0)</f>
        <v>0</v>
      </c>
      <c r="O1856">
        <f>NHS_A_E[[#This Row],[T1_Attendances]]+NHS_A_E[[#This Row],[Other_Attendances]]</f>
        <v>2419</v>
      </c>
      <c r="P1856">
        <f>MATCH(LEFT(A1856,FIND("-",A1856)-1),{"April","May","June","July","August","September","October","November","December","January","February","March"},0)</f>
        <v>10</v>
      </c>
      <c r="Q1856" s="3">
        <f t="shared" si="56"/>
        <v>0</v>
      </c>
      <c r="R1856" t="str">
        <f t="shared" si="57"/>
        <v>January</v>
      </c>
    </row>
    <row r="1857" spans="1:18" x14ac:dyDescent="0.35">
      <c r="A1857" t="s">
        <v>445</v>
      </c>
      <c r="B1857" t="s">
        <v>77</v>
      </c>
      <c r="C1857" t="s">
        <v>63</v>
      </c>
      <c r="D1857" t="s">
        <v>78</v>
      </c>
      <c r="E1857">
        <v>0</v>
      </c>
      <c r="F1857">
        <v>1283</v>
      </c>
      <c r="G1857">
        <v>0</v>
      </c>
      <c r="H1857">
        <v>23</v>
      </c>
      <c r="I1857">
        <v>0</v>
      </c>
      <c r="J1857">
        <v>0</v>
      </c>
      <c r="K1857" s="1">
        <v>46023</v>
      </c>
      <c r="L1857" t="s">
        <v>446</v>
      </c>
      <c r="M1857" t="s">
        <v>444</v>
      </c>
      <c r="N1857" s="2">
        <f>IFERROR(NHS_A_E[[#This Row],[T1_Over4hrs]]/NHS_A_E[[#This Row],[T1_Attendances]], 0)</f>
        <v>0</v>
      </c>
      <c r="O1857">
        <f>NHS_A_E[[#This Row],[T1_Attendances]]+NHS_A_E[[#This Row],[Other_Attendances]]</f>
        <v>1283</v>
      </c>
      <c r="P1857">
        <f>MATCH(LEFT(A1857,FIND("-",A1857)-1),{"April","May","June","July","August","September","October","November","December","January","February","March"},0)</f>
        <v>10</v>
      </c>
      <c r="Q1857" s="3">
        <f t="shared" si="56"/>
        <v>0</v>
      </c>
      <c r="R1857" t="str">
        <f t="shared" si="57"/>
        <v>January</v>
      </c>
    </row>
    <row r="1858" spans="1:18" x14ac:dyDescent="0.35">
      <c r="A1858" t="s">
        <v>445</v>
      </c>
      <c r="B1858" t="s">
        <v>75</v>
      </c>
      <c r="C1858" t="s">
        <v>63</v>
      </c>
      <c r="D1858" t="s">
        <v>76</v>
      </c>
      <c r="E1858">
        <v>0</v>
      </c>
      <c r="F1858">
        <v>3624</v>
      </c>
      <c r="G1858">
        <v>0</v>
      </c>
      <c r="H1858">
        <v>266</v>
      </c>
      <c r="I1858">
        <v>0</v>
      </c>
      <c r="J1858">
        <v>0</v>
      </c>
      <c r="K1858" s="1">
        <v>46023</v>
      </c>
      <c r="L1858" t="s">
        <v>446</v>
      </c>
      <c r="M1858" t="s">
        <v>444</v>
      </c>
      <c r="N1858" s="2">
        <f>IFERROR(NHS_A_E[[#This Row],[T1_Over4hrs]]/NHS_A_E[[#This Row],[T1_Attendances]], 0)</f>
        <v>0</v>
      </c>
      <c r="O1858">
        <f>NHS_A_E[[#This Row],[T1_Attendances]]+NHS_A_E[[#This Row],[Other_Attendances]]</f>
        <v>3624</v>
      </c>
      <c r="P1858">
        <f>MATCH(LEFT(A1858,FIND("-",A1858)-1),{"April","May","June","July","August","September","October","November","December","January","February","March"},0)</f>
        <v>10</v>
      </c>
      <c r="Q1858" s="3">
        <f t="shared" ref="Q1858:Q1921" si="58">IFERROR(J1858/E1858,0)</f>
        <v>0</v>
      </c>
      <c r="R1858" t="str">
        <f t="shared" ref="R1858:R1921" si="59">TEXT(A1858, "mmmm")</f>
        <v>January</v>
      </c>
    </row>
    <row r="1859" spans="1:18" x14ac:dyDescent="0.35">
      <c r="A1859" t="s">
        <v>445</v>
      </c>
      <c r="B1859" t="s">
        <v>14</v>
      </c>
      <c r="C1859" t="s">
        <v>15</v>
      </c>
      <c r="D1859" t="s">
        <v>16</v>
      </c>
      <c r="E1859">
        <v>0</v>
      </c>
      <c r="F1859">
        <v>2236</v>
      </c>
      <c r="G1859">
        <v>0</v>
      </c>
      <c r="H1859">
        <v>17</v>
      </c>
      <c r="I1859">
        <v>0</v>
      </c>
      <c r="J1859">
        <v>0</v>
      </c>
      <c r="K1859" s="1">
        <v>46023</v>
      </c>
      <c r="L1859" t="s">
        <v>446</v>
      </c>
      <c r="M1859" t="s">
        <v>444</v>
      </c>
      <c r="N1859" s="2">
        <f>IFERROR(NHS_A_E[[#This Row],[T1_Over4hrs]]/NHS_A_E[[#This Row],[T1_Attendances]], 0)</f>
        <v>0</v>
      </c>
      <c r="O1859">
        <f>NHS_A_E[[#This Row],[T1_Attendances]]+NHS_A_E[[#This Row],[Other_Attendances]]</f>
        <v>2236</v>
      </c>
      <c r="P1859">
        <f>MATCH(LEFT(A1859,FIND("-",A1859)-1),{"April","May","June","July","August","September","October","November","December","January","February","March"},0)</f>
        <v>10</v>
      </c>
      <c r="Q1859" s="3">
        <f t="shared" si="58"/>
        <v>0</v>
      </c>
      <c r="R1859" t="str">
        <f t="shared" si="59"/>
        <v>January</v>
      </c>
    </row>
    <row r="1860" spans="1:18" x14ac:dyDescent="0.35">
      <c r="A1860" t="s">
        <v>445</v>
      </c>
      <c r="B1860" t="s">
        <v>420</v>
      </c>
      <c r="C1860" t="s">
        <v>15</v>
      </c>
      <c r="D1860" t="s">
        <v>421</v>
      </c>
      <c r="E1860">
        <v>0</v>
      </c>
      <c r="F1860">
        <v>3162</v>
      </c>
      <c r="G1860">
        <v>0</v>
      </c>
      <c r="H1860">
        <v>0</v>
      </c>
      <c r="I1860">
        <v>0</v>
      </c>
      <c r="J1860">
        <v>0</v>
      </c>
      <c r="K1860" s="1">
        <v>46023</v>
      </c>
      <c r="L1860" t="s">
        <v>446</v>
      </c>
      <c r="M1860" t="s">
        <v>444</v>
      </c>
      <c r="N1860" s="2">
        <f>IFERROR(NHS_A_E[[#This Row],[T1_Over4hrs]]/NHS_A_E[[#This Row],[T1_Attendances]], 0)</f>
        <v>0</v>
      </c>
      <c r="O1860">
        <f>NHS_A_E[[#This Row],[T1_Attendances]]+NHS_A_E[[#This Row],[Other_Attendances]]</f>
        <v>3162</v>
      </c>
      <c r="P1860">
        <f>MATCH(LEFT(A1860,FIND("-",A1860)-1),{"April","May","June","July","August","September","October","November","December","January","February","March"},0)</f>
        <v>10</v>
      </c>
      <c r="Q1860" s="3">
        <f t="shared" si="58"/>
        <v>0</v>
      </c>
      <c r="R1860" t="str">
        <f t="shared" si="59"/>
        <v>January</v>
      </c>
    </row>
    <row r="1861" spans="1:18" x14ac:dyDescent="0.35">
      <c r="A1861" t="s">
        <v>445</v>
      </c>
      <c r="B1861" t="s">
        <v>321</v>
      </c>
      <c r="C1861" t="s">
        <v>20</v>
      </c>
      <c r="D1861" t="s">
        <v>322</v>
      </c>
      <c r="E1861">
        <v>0</v>
      </c>
      <c r="F1861">
        <v>589</v>
      </c>
      <c r="G1861">
        <v>0</v>
      </c>
      <c r="H1861">
        <v>1</v>
      </c>
      <c r="I1861">
        <v>0</v>
      </c>
      <c r="J1861">
        <v>0</v>
      </c>
      <c r="K1861" s="1">
        <v>46023</v>
      </c>
      <c r="L1861" t="s">
        <v>446</v>
      </c>
      <c r="M1861" t="s">
        <v>444</v>
      </c>
      <c r="N1861" s="2">
        <f>IFERROR(NHS_A_E[[#This Row],[T1_Over4hrs]]/NHS_A_E[[#This Row],[T1_Attendances]], 0)</f>
        <v>0</v>
      </c>
      <c r="O1861">
        <f>NHS_A_E[[#This Row],[T1_Attendances]]+NHS_A_E[[#This Row],[Other_Attendances]]</f>
        <v>589</v>
      </c>
      <c r="P1861">
        <f>MATCH(LEFT(A1861,FIND("-",A1861)-1),{"April","May","June","July","August","September","October","November","December","January","February","March"},0)</f>
        <v>10</v>
      </c>
      <c r="Q1861" s="3">
        <f t="shared" si="58"/>
        <v>0</v>
      </c>
      <c r="R1861" t="str">
        <f t="shared" si="59"/>
        <v>January</v>
      </c>
    </row>
    <row r="1862" spans="1:18" x14ac:dyDescent="0.35">
      <c r="A1862" t="s">
        <v>445</v>
      </c>
      <c r="B1862" t="s">
        <v>87</v>
      </c>
      <c r="C1862" t="s">
        <v>23</v>
      </c>
      <c r="D1862" t="s">
        <v>88</v>
      </c>
      <c r="E1862">
        <v>26230</v>
      </c>
      <c r="F1862">
        <v>7495</v>
      </c>
      <c r="G1862">
        <v>11399</v>
      </c>
      <c r="H1862">
        <v>491</v>
      </c>
      <c r="I1862">
        <v>2637</v>
      </c>
      <c r="J1862">
        <v>951</v>
      </c>
      <c r="K1862" s="1">
        <v>46023</v>
      </c>
      <c r="L1862" t="s">
        <v>446</v>
      </c>
      <c r="M1862" t="s">
        <v>444</v>
      </c>
      <c r="N1862" s="2">
        <f>IFERROR(NHS_A_E[[#This Row],[T1_Over4hrs]]/NHS_A_E[[#This Row],[T1_Attendances]], 0)</f>
        <v>0.43457872664887531</v>
      </c>
      <c r="O1862">
        <f>NHS_A_E[[#This Row],[T1_Attendances]]+NHS_A_E[[#This Row],[Other_Attendances]]</f>
        <v>33725</v>
      </c>
      <c r="P1862">
        <f>MATCH(LEFT(A1862,FIND("-",A1862)-1),{"April","May","June","July","August","September","October","November","December","January","February","March"},0)</f>
        <v>10</v>
      </c>
      <c r="Q1862" s="3">
        <f t="shared" si="58"/>
        <v>3.6256195196340067E-2</v>
      </c>
      <c r="R1862" t="str">
        <f t="shared" si="59"/>
        <v>January</v>
      </c>
    </row>
    <row r="1863" spans="1:18" x14ac:dyDescent="0.35">
      <c r="A1863" t="s">
        <v>445</v>
      </c>
      <c r="B1863" t="s">
        <v>281</v>
      </c>
      <c r="C1863" t="s">
        <v>40</v>
      </c>
      <c r="D1863" t="s">
        <v>282</v>
      </c>
      <c r="E1863">
        <v>0</v>
      </c>
      <c r="F1863">
        <v>3507</v>
      </c>
      <c r="G1863">
        <v>0</v>
      </c>
      <c r="H1863">
        <v>0</v>
      </c>
      <c r="I1863">
        <v>0</v>
      </c>
      <c r="J1863">
        <v>0</v>
      </c>
      <c r="K1863" s="1">
        <v>46023</v>
      </c>
      <c r="L1863" t="s">
        <v>446</v>
      </c>
      <c r="M1863" t="s">
        <v>444</v>
      </c>
      <c r="N1863" s="2">
        <f>IFERROR(NHS_A_E[[#This Row],[T1_Over4hrs]]/NHS_A_E[[#This Row],[T1_Attendances]], 0)</f>
        <v>0</v>
      </c>
      <c r="O1863">
        <f>NHS_A_E[[#This Row],[T1_Attendances]]+NHS_A_E[[#This Row],[Other_Attendances]]</f>
        <v>3507</v>
      </c>
      <c r="P1863">
        <f>MATCH(LEFT(A1863,FIND("-",A1863)-1),{"April","May","June","July","August","September","October","November","December","January","February","March"},0)</f>
        <v>10</v>
      </c>
      <c r="Q1863" s="3">
        <f t="shared" si="58"/>
        <v>0</v>
      </c>
      <c r="R1863" t="str">
        <f t="shared" si="59"/>
        <v>January</v>
      </c>
    </row>
    <row r="1864" spans="1:18" x14ac:dyDescent="0.35">
      <c r="A1864" t="s">
        <v>445</v>
      </c>
      <c r="B1864" t="s">
        <v>115</v>
      </c>
      <c r="C1864" t="s">
        <v>40</v>
      </c>
      <c r="D1864" t="s">
        <v>116</v>
      </c>
      <c r="E1864">
        <v>0</v>
      </c>
      <c r="F1864">
        <v>2888</v>
      </c>
      <c r="G1864">
        <v>0</v>
      </c>
      <c r="H1864">
        <v>5</v>
      </c>
      <c r="I1864">
        <v>0</v>
      </c>
      <c r="J1864">
        <v>0</v>
      </c>
      <c r="K1864" s="1">
        <v>46023</v>
      </c>
      <c r="L1864" t="s">
        <v>446</v>
      </c>
      <c r="M1864" t="s">
        <v>444</v>
      </c>
      <c r="N1864" s="2">
        <f>IFERROR(NHS_A_E[[#This Row],[T1_Over4hrs]]/NHS_A_E[[#This Row],[T1_Attendances]], 0)</f>
        <v>0</v>
      </c>
      <c r="O1864">
        <f>NHS_A_E[[#This Row],[T1_Attendances]]+NHS_A_E[[#This Row],[Other_Attendances]]</f>
        <v>2888</v>
      </c>
      <c r="P1864">
        <f>MATCH(LEFT(A1864,FIND("-",A1864)-1),{"April","May","June","July","August","September","October","November","December","January","February","March"},0)</f>
        <v>10</v>
      </c>
      <c r="Q1864" s="3">
        <f t="shared" si="58"/>
        <v>0</v>
      </c>
      <c r="R1864" t="str">
        <f t="shared" si="59"/>
        <v>January</v>
      </c>
    </row>
    <row r="1865" spans="1:18" x14ac:dyDescent="0.35">
      <c r="A1865" t="s">
        <v>445</v>
      </c>
      <c r="B1865" t="s">
        <v>299</v>
      </c>
      <c r="C1865" t="s">
        <v>63</v>
      </c>
      <c r="D1865" t="s">
        <v>300</v>
      </c>
      <c r="E1865">
        <v>15944</v>
      </c>
      <c r="F1865">
        <v>0</v>
      </c>
      <c r="G1865">
        <v>2970</v>
      </c>
      <c r="H1865">
        <v>0</v>
      </c>
      <c r="I1865">
        <v>1617</v>
      </c>
      <c r="J1865">
        <v>145</v>
      </c>
      <c r="K1865" s="1">
        <v>46023</v>
      </c>
      <c r="L1865" t="s">
        <v>446</v>
      </c>
      <c r="M1865" t="s">
        <v>444</v>
      </c>
      <c r="N1865" s="2">
        <f>IFERROR(NHS_A_E[[#This Row],[T1_Over4hrs]]/NHS_A_E[[#This Row],[T1_Attendances]], 0)</f>
        <v>0.18627696939287505</v>
      </c>
      <c r="O1865">
        <f>NHS_A_E[[#This Row],[T1_Attendances]]+NHS_A_E[[#This Row],[Other_Attendances]]</f>
        <v>15944</v>
      </c>
      <c r="P1865">
        <f>MATCH(LEFT(A1865,FIND("-",A1865)-1),{"April","May","June","July","August","September","October","November","December","January","February","March"},0)</f>
        <v>10</v>
      </c>
      <c r="Q1865" s="3">
        <f t="shared" si="58"/>
        <v>9.0943301555444049E-3</v>
      </c>
      <c r="R1865" t="str">
        <f t="shared" si="59"/>
        <v>January</v>
      </c>
    </row>
    <row r="1866" spans="1:18" x14ac:dyDescent="0.35">
      <c r="A1866" t="s">
        <v>445</v>
      </c>
      <c r="B1866" t="s">
        <v>313</v>
      </c>
      <c r="C1866" t="s">
        <v>20</v>
      </c>
      <c r="D1866" t="s">
        <v>314</v>
      </c>
      <c r="E1866">
        <v>0</v>
      </c>
      <c r="F1866">
        <v>0</v>
      </c>
      <c r="G1866">
        <v>0</v>
      </c>
      <c r="H1866">
        <v>0</v>
      </c>
      <c r="I1866">
        <v>0</v>
      </c>
      <c r="J1866">
        <v>0</v>
      </c>
      <c r="K1866" s="1">
        <v>46023</v>
      </c>
      <c r="L1866" t="s">
        <v>446</v>
      </c>
      <c r="M1866" t="s">
        <v>444</v>
      </c>
      <c r="N1866" s="2">
        <f>IFERROR(NHS_A_E[[#This Row],[T1_Over4hrs]]/NHS_A_E[[#This Row],[T1_Attendances]], 0)</f>
        <v>0</v>
      </c>
      <c r="O1866">
        <f>NHS_A_E[[#This Row],[T1_Attendances]]+NHS_A_E[[#This Row],[Other_Attendances]]</f>
        <v>0</v>
      </c>
      <c r="P1866">
        <f>MATCH(LEFT(A1866,FIND("-",A1866)-1),{"April","May","June","July","August","September","October","November","December","January","February","March"},0)</f>
        <v>10</v>
      </c>
      <c r="Q1866" s="3">
        <f t="shared" si="58"/>
        <v>0</v>
      </c>
      <c r="R1866" t="str">
        <f t="shared" si="59"/>
        <v>January</v>
      </c>
    </row>
    <row r="1867" spans="1:18" x14ac:dyDescent="0.35">
      <c r="A1867" t="s">
        <v>445</v>
      </c>
      <c r="B1867" t="s">
        <v>295</v>
      </c>
      <c r="C1867" t="s">
        <v>15</v>
      </c>
      <c r="D1867" t="s">
        <v>296</v>
      </c>
      <c r="E1867">
        <v>12084</v>
      </c>
      <c r="F1867">
        <v>0</v>
      </c>
      <c r="G1867">
        <v>4458</v>
      </c>
      <c r="H1867">
        <v>0</v>
      </c>
      <c r="I1867">
        <v>515</v>
      </c>
      <c r="J1867">
        <v>783</v>
      </c>
      <c r="K1867" s="1">
        <v>46023</v>
      </c>
      <c r="L1867" t="s">
        <v>446</v>
      </c>
      <c r="M1867" t="s">
        <v>444</v>
      </c>
      <c r="N1867" s="2">
        <f>IFERROR(NHS_A_E[[#This Row],[T1_Over4hrs]]/NHS_A_E[[#This Row],[T1_Attendances]], 0)</f>
        <v>0.36891757696127109</v>
      </c>
      <c r="O1867">
        <f>NHS_A_E[[#This Row],[T1_Attendances]]+NHS_A_E[[#This Row],[Other_Attendances]]</f>
        <v>12084</v>
      </c>
      <c r="P1867">
        <f>MATCH(LEFT(A1867,FIND("-",A1867)-1),{"April","May","June","July","August","September","October","November","December","January","February","March"},0)</f>
        <v>10</v>
      </c>
      <c r="Q1867" s="3">
        <f t="shared" si="58"/>
        <v>6.4796425024826215E-2</v>
      </c>
      <c r="R1867" t="str">
        <f t="shared" si="59"/>
        <v>January</v>
      </c>
    </row>
    <row r="1868" spans="1:18" x14ac:dyDescent="0.35">
      <c r="A1868" t="s">
        <v>445</v>
      </c>
      <c r="B1868" t="s">
        <v>235</v>
      </c>
      <c r="C1868" t="s">
        <v>35</v>
      </c>
      <c r="D1868" t="s">
        <v>236</v>
      </c>
      <c r="E1868">
        <v>11326</v>
      </c>
      <c r="F1868">
        <v>0</v>
      </c>
      <c r="G1868">
        <v>2399</v>
      </c>
      <c r="H1868">
        <v>0</v>
      </c>
      <c r="I1868">
        <v>322</v>
      </c>
      <c r="J1868">
        <v>36</v>
      </c>
      <c r="K1868" s="1">
        <v>46023</v>
      </c>
      <c r="L1868" t="s">
        <v>446</v>
      </c>
      <c r="M1868" t="s">
        <v>444</v>
      </c>
      <c r="N1868" s="2">
        <f>IFERROR(NHS_A_E[[#This Row],[T1_Over4hrs]]/NHS_A_E[[#This Row],[T1_Attendances]], 0)</f>
        <v>0.21181352639943493</v>
      </c>
      <c r="O1868">
        <f>NHS_A_E[[#This Row],[T1_Attendances]]+NHS_A_E[[#This Row],[Other_Attendances]]</f>
        <v>11326</v>
      </c>
      <c r="P1868">
        <f>MATCH(LEFT(A1868,FIND("-",A1868)-1),{"April","May","June","July","August","September","October","November","December","January","February","March"},0)</f>
        <v>10</v>
      </c>
      <c r="Q1868" s="3">
        <f t="shared" si="58"/>
        <v>3.1785272823591734E-3</v>
      </c>
      <c r="R1868" t="str">
        <f t="shared" si="59"/>
        <v>January</v>
      </c>
    </row>
    <row r="1869" spans="1:18" x14ac:dyDescent="0.35">
      <c r="A1869" t="s">
        <v>445</v>
      </c>
      <c r="B1869" t="s">
        <v>335</v>
      </c>
      <c r="C1869" t="s">
        <v>63</v>
      </c>
      <c r="D1869" t="s">
        <v>336</v>
      </c>
      <c r="E1869">
        <v>11310</v>
      </c>
      <c r="F1869">
        <v>5280</v>
      </c>
      <c r="G1869">
        <v>5981</v>
      </c>
      <c r="H1869">
        <v>199</v>
      </c>
      <c r="I1869">
        <v>1220</v>
      </c>
      <c r="J1869">
        <v>0</v>
      </c>
      <c r="K1869" s="1">
        <v>46023</v>
      </c>
      <c r="L1869" t="s">
        <v>446</v>
      </c>
      <c r="M1869" t="s">
        <v>444</v>
      </c>
      <c r="N1869" s="2">
        <f>IFERROR(NHS_A_E[[#This Row],[T1_Over4hrs]]/NHS_A_E[[#This Row],[T1_Attendances]], 0)</f>
        <v>0.52882404951370465</v>
      </c>
      <c r="O1869">
        <f>NHS_A_E[[#This Row],[T1_Attendances]]+NHS_A_E[[#This Row],[Other_Attendances]]</f>
        <v>16590</v>
      </c>
      <c r="P1869">
        <f>MATCH(LEFT(A1869,FIND("-",A1869)-1),{"April","May","June","July","August","September","October","November","December","January","February","March"},0)</f>
        <v>10</v>
      </c>
      <c r="Q1869" s="3">
        <f t="shared" si="58"/>
        <v>0</v>
      </c>
      <c r="R1869" t="str">
        <f t="shared" si="59"/>
        <v>January</v>
      </c>
    </row>
    <row r="1870" spans="1:18" x14ac:dyDescent="0.35">
      <c r="A1870" t="s">
        <v>445</v>
      </c>
      <c r="B1870" t="s">
        <v>145</v>
      </c>
      <c r="C1870" t="s">
        <v>40</v>
      </c>
      <c r="D1870" t="s">
        <v>146</v>
      </c>
      <c r="E1870">
        <v>0</v>
      </c>
      <c r="F1870">
        <v>62</v>
      </c>
      <c r="G1870">
        <v>0</v>
      </c>
      <c r="H1870">
        <v>1</v>
      </c>
      <c r="I1870">
        <v>0</v>
      </c>
      <c r="J1870">
        <v>0</v>
      </c>
      <c r="K1870" s="1">
        <v>46023</v>
      </c>
      <c r="L1870" t="s">
        <v>446</v>
      </c>
      <c r="M1870" t="s">
        <v>444</v>
      </c>
      <c r="N1870" s="2">
        <f>IFERROR(NHS_A_E[[#This Row],[T1_Over4hrs]]/NHS_A_E[[#This Row],[T1_Attendances]], 0)</f>
        <v>0</v>
      </c>
      <c r="O1870">
        <f>NHS_A_E[[#This Row],[T1_Attendances]]+NHS_A_E[[#This Row],[Other_Attendances]]</f>
        <v>62</v>
      </c>
      <c r="P1870">
        <f>MATCH(LEFT(A1870,FIND("-",A1870)-1),{"April","May","June","July","August","September","October","November","December","January","February","March"},0)</f>
        <v>10</v>
      </c>
      <c r="Q1870" s="3">
        <f t="shared" si="58"/>
        <v>0</v>
      </c>
      <c r="R1870" t="str">
        <f t="shared" si="59"/>
        <v>January</v>
      </c>
    </row>
    <row r="1871" spans="1:18" x14ac:dyDescent="0.35">
      <c r="A1871" t="s">
        <v>445</v>
      </c>
      <c r="B1871" t="s">
        <v>143</v>
      </c>
      <c r="C1871" t="s">
        <v>40</v>
      </c>
      <c r="D1871" t="s">
        <v>144</v>
      </c>
      <c r="E1871">
        <v>0</v>
      </c>
      <c r="F1871">
        <v>551</v>
      </c>
      <c r="G1871">
        <v>0</v>
      </c>
      <c r="H1871">
        <v>2</v>
      </c>
      <c r="I1871">
        <v>0</v>
      </c>
      <c r="J1871">
        <v>0</v>
      </c>
      <c r="K1871" s="1">
        <v>46023</v>
      </c>
      <c r="L1871" t="s">
        <v>446</v>
      </c>
      <c r="M1871" t="s">
        <v>444</v>
      </c>
      <c r="N1871" s="2">
        <f>IFERROR(NHS_A_E[[#This Row],[T1_Over4hrs]]/NHS_A_E[[#This Row],[T1_Attendances]], 0)</f>
        <v>0</v>
      </c>
      <c r="O1871">
        <f>NHS_A_E[[#This Row],[T1_Attendances]]+NHS_A_E[[#This Row],[Other_Attendances]]</f>
        <v>551</v>
      </c>
      <c r="P1871">
        <f>MATCH(LEFT(A1871,FIND("-",A1871)-1),{"April","May","June","July","August","September","October","November","December","January","February","March"},0)</f>
        <v>10</v>
      </c>
      <c r="Q1871" s="3">
        <f t="shared" si="58"/>
        <v>0</v>
      </c>
      <c r="R1871" t="str">
        <f t="shared" si="59"/>
        <v>January</v>
      </c>
    </row>
    <row r="1872" spans="1:18" x14ac:dyDescent="0.35">
      <c r="A1872" t="s">
        <v>445</v>
      </c>
      <c r="B1872" t="s">
        <v>141</v>
      </c>
      <c r="C1872" t="s">
        <v>40</v>
      </c>
      <c r="D1872" t="s">
        <v>142</v>
      </c>
      <c r="E1872">
        <v>0</v>
      </c>
      <c r="F1872">
        <v>59</v>
      </c>
      <c r="G1872">
        <v>0</v>
      </c>
      <c r="H1872">
        <v>1</v>
      </c>
      <c r="I1872">
        <v>0</v>
      </c>
      <c r="J1872">
        <v>0</v>
      </c>
      <c r="K1872" s="1">
        <v>46023</v>
      </c>
      <c r="L1872" t="s">
        <v>446</v>
      </c>
      <c r="M1872" t="s">
        <v>444</v>
      </c>
      <c r="N1872" s="2">
        <f>IFERROR(NHS_A_E[[#This Row],[T1_Over4hrs]]/NHS_A_E[[#This Row],[T1_Attendances]], 0)</f>
        <v>0</v>
      </c>
      <c r="O1872">
        <f>NHS_A_E[[#This Row],[T1_Attendances]]+NHS_A_E[[#This Row],[Other_Attendances]]</f>
        <v>59</v>
      </c>
      <c r="P1872">
        <f>MATCH(LEFT(A1872,FIND("-",A1872)-1),{"April","May","June","July","August","September","October","November","December","January","February","March"},0)</f>
        <v>10</v>
      </c>
      <c r="Q1872" s="3">
        <f t="shared" si="58"/>
        <v>0</v>
      </c>
      <c r="R1872" t="str">
        <f t="shared" si="59"/>
        <v>January</v>
      </c>
    </row>
    <row r="1873" spans="1:18" x14ac:dyDescent="0.35">
      <c r="A1873" t="s">
        <v>445</v>
      </c>
      <c r="B1873" t="s">
        <v>139</v>
      </c>
      <c r="C1873" t="s">
        <v>40</v>
      </c>
      <c r="D1873" t="s">
        <v>140</v>
      </c>
      <c r="E1873">
        <v>0</v>
      </c>
      <c r="F1873">
        <v>106</v>
      </c>
      <c r="G1873">
        <v>0</v>
      </c>
      <c r="H1873">
        <v>0</v>
      </c>
      <c r="I1873">
        <v>0</v>
      </c>
      <c r="J1873">
        <v>0</v>
      </c>
      <c r="K1873" s="1">
        <v>46023</v>
      </c>
      <c r="L1873" t="s">
        <v>446</v>
      </c>
      <c r="M1873" t="s">
        <v>444</v>
      </c>
      <c r="N1873" s="2">
        <f>IFERROR(NHS_A_E[[#This Row],[T1_Over4hrs]]/NHS_A_E[[#This Row],[T1_Attendances]], 0)</f>
        <v>0</v>
      </c>
      <c r="O1873">
        <f>NHS_A_E[[#This Row],[T1_Attendances]]+NHS_A_E[[#This Row],[Other_Attendances]]</f>
        <v>106</v>
      </c>
      <c r="P1873">
        <f>MATCH(LEFT(A1873,FIND("-",A1873)-1),{"April","May","June","July","August","September","October","November","December","January","February","March"},0)</f>
        <v>10</v>
      </c>
      <c r="Q1873" s="3">
        <f t="shared" si="58"/>
        <v>0</v>
      </c>
      <c r="R1873" t="str">
        <f t="shared" si="59"/>
        <v>January</v>
      </c>
    </row>
    <row r="1874" spans="1:18" x14ac:dyDescent="0.35">
      <c r="A1874" t="s">
        <v>445</v>
      </c>
      <c r="B1874" t="s">
        <v>137</v>
      </c>
      <c r="C1874" t="s">
        <v>40</v>
      </c>
      <c r="D1874" t="s">
        <v>138</v>
      </c>
      <c r="E1874">
        <v>0</v>
      </c>
      <c r="F1874">
        <v>207</v>
      </c>
      <c r="G1874">
        <v>0</v>
      </c>
      <c r="H1874">
        <v>1</v>
      </c>
      <c r="I1874">
        <v>0</v>
      </c>
      <c r="J1874">
        <v>0</v>
      </c>
      <c r="K1874" s="1">
        <v>46023</v>
      </c>
      <c r="L1874" t="s">
        <v>446</v>
      </c>
      <c r="M1874" t="s">
        <v>444</v>
      </c>
      <c r="N1874" s="2">
        <f>IFERROR(NHS_A_E[[#This Row],[T1_Over4hrs]]/NHS_A_E[[#This Row],[T1_Attendances]], 0)</f>
        <v>0</v>
      </c>
      <c r="O1874">
        <f>NHS_A_E[[#This Row],[T1_Attendances]]+NHS_A_E[[#This Row],[Other_Attendances]]</f>
        <v>207</v>
      </c>
      <c r="P1874">
        <f>MATCH(LEFT(A1874,FIND("-",A1874)-1),{"April","May","June","July","August","September","October","November","December","January","February","March"},0)</f>
        <v>10</v>
      </c>
      <c r="Q1874" s="3">
        <f t="shared" si="58"/>
        <v>0</v>
      </c>
      <c r="R1874" t="str">
        <f t="shared" si="59"/>
        <v>January</v>
      </c>
    </row>
    <row r="1875" spans="1:18" x14ac:dyDescent="0.35">
      <c r="A1875" t="s">
        <v>445</v>
      </c>
      <c r="B1875" t="s">
        <v>135</v>
      </c>
      <c r="C1875" t="s">
        <v>40</v>
      </c>
      <c r="D1875" t="s">
        <v>136</v>
      </c>
      <c r="E1875">
        <v>0</v>
      </c>
      <c r="F1875">
        <v>5147</v>
      </c>
      <c r="G1875">
        <v>0</v>
      </c>
      <c r="H1875">
        <v>37</v>
      </c>
      <c r="I1875">
        <v>0</v>
      </c>
      <c r="J1875">
        <v>0</v>
      </c>
      <c r="K1875" s="1">
        <v>46023</v>
      </c>
      <c r="L1875" t="s">
        <v>446</v>
      </c>
      <c r="M1875" t="s">
        <v>444</v>
      </c>
      <c r="N1875" s="2">
        <f>IFERROR(NHS_A_E[[#This Row],[T1_Over4hrs]]/NHS_A_E[[#This Row],[T1_Attendances]], 0)</f>
        <v>0</v>
      </c>
      <c r="O1875">
        <f>NHS_A_E[[#This Row],[T1_Attendances]]+NHS_A_E[[#This Row],[Other_Attendances]]</f>
        <v>5147</v>
      </c>
      <c r="P1875">
        <f>MATCH(LEFT(A1875,FIND("-",A1875)-1),{"April","May","June","July","August","September","October","November","December","January","February","March"},0)</f>
        <v>10</v>
      </c>
      <c r="Q1875" s="3">
        <f t="shared" si="58"/>
        <v>0</v>
      </c>
      <c r="R1875" t="str">
        <f t="shared" si="59"/>
        <v>January</v>
      </c>
    </row>
    <row r="1876" spans="1:18" x14ac:dyDescent="0.35">
      <c r="A1876" t="s">
        <v>445</v>
      </c>
      <c r="B1876" t="s">
        <v>307</v>
      </c>
      <c r="C1876" t="s">
        <v>40</v>
      </c>
      <c r="D1876" t="s">
        <v>308</v>
      </c>
      <c r="E1876">
        <v>0</v>
      </c>
      <c r="F1876">
        <v>3237</v>
      </c>
      <c r="G1876">
        <v>0</v>
      </c>
      <c r="H1876">
        <v>0</v>
      </c>
      <c r="I1876">
        <v>0</v>
      </c>
      <c r="J1876">
        <v>0</v>
      </c>
      <c r="K1876" s="1">
        <v>46023</v>
      </c>
      <c r="L1876" t="s">
        <v>446</v>
      </c>
      <c r="M1876" t="s">
        <v>444</v>
      </c>
      <c r="N1876" s="2">
        <f>IFERROR(NHS_A_E[[#This Row],[T1_Over4hrs]]/NHS_A_E[[#This Row],[T1_Attendances]], 0)</f>
        <v>0</v>
      </c>
      <c r="O1876">
        <f>NHS_A_E[[#This Row],[T1_Attendances]]+NHS_A_E[[#This Row],[Other_Attendances]]</f>
        <v>3237</v>
      </c>
      <c r="P1876">
        <f>MATCH(LEFT(A1876,FIND("-",A1876)-1),{"April","May","June","July","August","September","October","November","December","January","February","March"},0)</f>
        <v>10</v>
      </c>
      <c r="Q1876" s="3">
        <f t="shared" si="58"/>
        <v>0</v>
      </c>
      <c r="R1876" t="str">
        <f t="shared" si="59"/>
        <v>January</v>
      </c>
    </row>
    <row r="1877" spans="1:18" x14ac:dyDescent="0.35">
      <c r="A1877" t="s">
        <v>445</v>
      </c>
      <c r="B1877" t="s">
        <v>239</v>
      </c>
      <c r="C1877" t="s">
        <v>35</v>
      </c>
      <c r="D1877" t="s">
        <v>240</v>
      </c>
      <c r="E1877">
        <v>0</v>
      </c>
      <c r="F1877">
        <v>897</v>
      </c>
      <c r="G1877">
        <v>0</v>
      </c>
      <c r="H1877">
        <v>0</v>
      </c>
      <c r="I1877">
        <v>0</v>
      </c>
      <c r="J1877">
        <v>0</v>
      </c>
      <c r="K1877" s="1">
        <v>46023</v>
      </c>
      <c r="L1877" t="s">
        <v>446</v>
      </c>
      <c r="M1877" t="s">
        <v>444</v>
      </c>
      <c r="N1877" s="2">
        <f>IFERROR(NHS_A_E[[#This Row],[T1_Over4hrs]]/NHS_A_E[[#This Row],[T1_Attendances]], 0)</f>
        <v>0</v>
      </c>
      <c r="O1877">
        <f>NHS_A_E[[#This Row],[T1_Attendances]]+NHS_A_E[[#This Row],[Other_Attendances]]</f>
        <v>897</v>
      </c>
      <c r="P1877">
        <f>MATCH(LEFT(A1877,FIND("-",A1877)-1),{"April","May","June","July","August","September","October","November","December","January","February","March"},0)</f>
        <v>10</v>
      </c>
      <c r="Q1877" s="3">
        <f t="shared" si="58"/>
        <v>0</v>
      </c>
      <c r="R1877" t="str">
        <f t="shared" si="59"/>
        <v>January</v>
      </c>
    </row>
    <row r="1878" spans="1:18" x14ac:dyDescent="0.35">
      <c r="A1878" t="s">
        <v>445</v>
      </c>
      <c r="B1878" t="s">
        <v>127</v>
      </c>
      <c r="C1878" t="s">
        <v>15</v>
      </c>
      <c r="D1878" t="s">
        <v>128</v>
      </c>
      <c r="E1878">
        <v>0</v>
      </c>
      <c r="F1878">
        <v>1838</v>
      </c>
      <c r="G1878">
        <v>0</v>
      </c>
      <c r="H1878">
        <v>0</v>
      </c>
      <c r="I1878">
        <v>0</v>
      </c>
      <c r="J1878">
        <v>0</v>
      </c>
      <c r="K1878" s="1">
        <v>46023</v>
      </c>
      <c r="L1878" t="s">
        <v>446</v>
      </c>
      <c r="M1878" t="s">
        <v>444</v>
      </c>
      <c r="N1878" s="2">
        <f>IFERROR(NHS_A_E[[#This Row],[T1_Over4hrs]]/NHS_A_E[[#This Row],[T1_Attendances]], 0)</f>
        <v>0</v>
      </c>
      <c r="O1878">
        <f>NHS_A_E[[#This Row],[T1_Attendances]]+NHS_A_E[[#This Row],[Other_Attendances]]</f>
        <v>1838</v>
      </c>
      <c r="P1878">
        <f>MATCH(LEFT(A1878,FIND("-",A1878)-1),{"April","May","June","July","August","September","October","November","December","January","February","March"},0)</f>
        <v>10</v>
      </c>
      <c r="Q1878" s="3">
        <f t="shared" si="58"/>
        <v>0</v>
      </c>
      <c r="R1878" t="str">
        <f t="shared" si="59"/>
        <v>January</v>
      </c>
    </row>
    <row r="1879" spans="1:18" x14ac:dyDescent="0.35">
      <c r="A1879" t="s">
        <v>445</v>
      </c>
      <c r="B1879" t="s">
        <v>367</v>
      </c>
      <c r="C1879" t="s">
        <v>23</v>
      </c>
      <c r="D1879" t="s">
        <v>368</v>
      </c>
      <c r="E1879">
        <v>0</v>
      </c>
      <c r="F1879">
        <v>1040</v>
      </c>
      <c r="G1879">
        <v>0</v>
      </c>
      <c r="H1879">
        <v>7</v>
      </c>
      <c r="I1879">
        <v>0</v>
      </c>
      <c r="J1879">
        <v>0</v>
      </c>
      <c r="K1879" s="1">
        <v>46023</v>
      </c>
      <c r="L1879" t="s">
        <v>446</v>
      </c>
      <c r="M1879" t="s">
        <v>444</v>
      </c>
      <c r="N1879" s="2">
        <f>IFERROR(NHS_A_E[[#This Row],[T1_Over4hrs]]/NHS_A_E[[#This Row],[T1_Attendances]], 0)</f>
        <v>0</v>
      </c>
      <c r="O1879">
        <f>NHS_A_E[[#This Row],[T1_Attendances]]+NHS_A_E[[#This Row],[Other_Attendances]]</f>
        <v>1040</v>
      </c>
      <c r="P1879">
        <f>MATCH(LEFT(A1879,FIND("-",A1879)-1),{"April","May","June","July","August","September","October","November","December","January","February","March"},0)</f>
        <v>10</v>
      </c>
      <c r="Q1879" s="3">
        <f t="shared" si="58"/>
        <v>0</v>
      </c>
      <c r="R1879" t="str">
        <f t="shared" si="59"/>
        <v>January</v>
      </c>
    </row>
    <row r="1880" spans="1:18" x14ac:dyDescent="0.35">
      <c r="A1880" t="s">
        <v>445</v>
      </c>
      <c r="B1880" t="s">
        <v>297</v>
      </c>
      <c r="C1880" t="s">
        <v>15</v>
      </c>
      <c r="D1880" t="s">
        <v>298</v>
      </c>
      <c r="E1880">
        <v>0</v>
      </c>
      <c r="F1880">
        <v>2858</v>
      </c>
      <c r="G1880">
        <v>0</v>
      </c>
      <c r="H1880">
        <v>43</v>
      </c>
      <c r="I1880">
        <v>0</v>
      </c>
      <c r="J1880">
        <v>0</v>
      </c>
      <c r="K1880" s="1">
        <v>46023</v>
      </c>
      <c r="L1880" t="s">
        <v>446</v>
      </c>
      <c r="M1880" t="s">
        <v>444</v>
      </c>
      <c r="N1880" s="2">
        <f>IFERROR(NHS_A_E[[#This Row],[T1_Over4hrs]]/NHS_A_E[[#This Row],[T1_Attendances]], 0)</f>
        <v>0</v>
      </c>
      <c r="O1880">
        <f>NHS_A_E[[#This Row],[T1_Attendances]]+NHS_A_E[[#This Row],[Other_Attendances]]</f>
        <v>2858</v>
      </c>
      <c r="P1880">
        <f>MATCH(LEFT(A1880,FIND("-",A1880)-1),{"April","May","June","July","August","September","October","November","December","January","February","March"},0)</f>
        <v>10</v>
      </c>
      <c r="Q1880" s="3">
        <f t="shared" si="58"/>
        <v>0</v>
      </c>
      <c r="R1880" t="str">
        <f t="shared" si="59"/>
        <v>January</v>
      </c>
    </row>
    <row r="1881" spans="1:18" x14ac:dyDescent="0.35">
      <c r="A1881" t="s">
        <v>445</v>
      </c>
      <c r="B1881" t="s">
        <v>323</v>
      </c>
      <c r="C1881" t="s">
        <v>23</v>
      </c>
      <c r="D1881" t="s">
        <v>324</v>
      </c>
      <c r="E1881">
        <v>8998</v>
      </c>
      <c r="F1881">
        <v>2423</v>
      </c>
      <c r="G1881">
        <v>2254</v>
      </c>
      <c r="H1881">
        <v>0</v>
      </c>
      <c r="I1881">
        <v>511</v>
      </c>
      <c r="J1881">
        <v>322</v>
      </c>
      <c r="K1881" s="1">
        <v>46023</v>
      </c>
      <c r="L1881" t="s">
        <v>446</v>
      </c>
      <c r="M1881" t="s">
        <v>444</v>
      </c>
      <c r="N1881" s="2">
        <f>IFERROR(NHS_A_E[[#This Row],[T1_Over4hrs]]/NHS_A_E[[#This Row],[T1_Attendances]], 0)</f>
        <v>0.25050011113580795</v>
      </c>
      <c r="O1881">
        <f>NHS_A_E[[#This Row],[T1_Attendances]]+NHS_A_E[[#This Row],[Other_Attendances]]</f>
        <v>11421</v>
      </c>
      <c r="P1881">
        <f>MATCH(LEFT(A1881,FIND("-",A1881)-1),{"April","May","June","July","August","September","October","November","December","January","February","March"},0)</f>
        <v>10</v>
      </c>
      <c r="Q1881" s="3">
        <f t="shared" si="58"/>
        <v>3.5785730162258278E-2</v>
      </c>
      <c r="R1881" t="str">
        <f t="shared" si="59"/>
        <v>January</v>
      </c>
    </row>
    <row r="1882" spans="1:18" x14ac:dyDescent="0.35">
      <c r="A1882" t="s">
        <v>445</v>
      </c>
      <c r="B1882" t="s">
        <v>403</v>
      </c>
      <c r="C1882" t="s">
        <v>15</v>
      </c>
      <c r="D1882" t="s">
        <v>404</v>
      </c>
      <c r="E1882">
        <v>0</v>
      </c>
      <c r="F1882">
        <v>1167</v>
      </c>
      <c r="G1882">
        <v>0</v>
      </c>
      <c r="H1882">
        <v>4</v>
      </c>
      <c r="I1882">
        <v>0</v>
      </c>
      <c r="J1882">
        <v>0</v>
      </c>
      <c r="K1882" s="1">
        <v>46023</v>
      </c>
      <c r="L1882" t="s">
        <v>446</v>
      </c>
      <c r="M1882" t="s">
        <v>444</v>
      </c>
      <c r="N1882" s="2">
        <f>IFERROR(NHS_A_E[[#This Row],[T1_Over4hrs]]/NHS_A_E[[#This Row],[T1_Attendances]], 0)</f>
        <v>0</v>
      </c>
      <c r="O1882">
        <f>NHS_A_E[[#This Row],[T1_Attendances]]+NHS_A_E[[#This Row],[Other_Attendances]]</f>
        <v>1167</v>
      </c>
      <c r="P1882">
        <f>MATCH(LEFT(A1882,FIND("-",A1882)-1),{"April","May","June","July","August","September","October","November","December","January","February","March"},0)</f>
        <v>10</v>
      </c>
      <c r="Q1882" s="3">
        <f t="shared" si="58"/>
        <v>0</v>
      </c>
      <c r="R1882" t="str">
        <f t="shared" si="59"/>
        <v>January</v>
      </c>
    </row>
    <row r="1883" spans="1:18" x14ac:dyDescent="0.35">
      <c r="A1883" t="s">
        <v>445</v>
      </c>
      <c r="B1883" t="s">
        <v>315</v>
      </c>
      <c r="C1883" t="s">
        <v>23</v>
      </c>
      <c r="D1883" t="s">
        <v>316</v>
      </c>
      <c r="E1883">
        <v>7247</v>
      </c>
      <c r="F1883">
        <v>1792</v>
      </c>
      <c r="G1883">
        <v>2533</v>
      </c>
      <c r="H1883">
        <v>0</v>
      </c>
      <c r="I1883">
        <v>577</v>
      </c>
      <c r="J1883">
        <v>417</v>
      </c>
      <c r="K1883" s="1">
        <v>46023</v>
      </c>
      <c r="L1883" t="s">
        <v>446</v>
      </c>
      <c r="M1883" t="s">
        <v>444</v>
      </c>
      <c r="N1883" s="2">
        <f>IFERROR(NHS_A_E[[#This Row],[T1_Over4hrs]]/NHS_A_E[[#This Row],[T1_Attendances]], 0)</f>
        <v>0.34952394094107908</v>
      </c>
      <c r="O1883">
        <f>NHS_A_E[[#This Row],[T1_Attendances]]+NHS_A_E[[#This Row],[Other_Attendances]]</f>
        <v>9039</v>
      </c>
      <c r="P1883">
        <f>MATCH(LEFT(A1883,FIND("-",A1883)-1),{"April","May","June","July","August","September","October","November","December","January","February","March"},0)</f>
        <v>10</v>
      </c>
      <c r="Q1883" s="3">
        <f t="shared" si="58"/>
        <v>5.7541051469573619E-2</v>
      </c>
      <c r="R1883" t="str">
        <f t="shared" si="59"/>
        <v>January</v>
      </c>
    </row>
    <row r="1884" spans="1:18" x14ac:dyDescent="0.35">
      <c r="A1884" t="s">
        <v>445</v>
      </c>
      <c r="B1884" t="s">
        <v>229</v>
      </c>
      <c r="C1884" t="s">
        <v>23</v>
      </c>
      <c r="D1884" t="s">
        <v>230</v>
      </c>
      <c r="E1884">
        <v>6576</v>
      </c>
      <c r="F1884">
        <v>1742</v>
      </c>
      <c r="G1884">
        <v>2997</v>
      </c>
      <c r="H1884">
        <v>0</v>
      </c>
      <c r="I1884">
        <v>585</v>
      </c>
      <c r="J1884">
        <v>229</v>
      </c>
      <c r="K1884" s="1">
        <v>46023</v>
      </c>
      <c r="L1884" t="s">
        <v>446</v>
      </c>
      <c r="M1884" t="s">
        <v>444</v>
      </c>
      <c r="N1884" s="2">
        <f>IFERROR(NHS_A_E[[#This Row],[T1_Over4hrs]]/NHS_A_E[[#This Row],[T1_Attendances]], 0)</f>
        <v>0.45574817518248173</v>
      </c>
      <c r="O1884">
        <f>NHS_A_E[[#This Row],[T1_Attendances]]+NHS_A_E[[#This Row],[Other_Attendances]]</f>
        <v>8318</v>
      </c>
      <c r="P1884">
        <f>MATCH(LEFT(A1884,FIND("-",A1884)-1),{"April","May","June","July","August","September","October","November","December","January","February","March"},0)</f>
        <v>10</v>
      </c>
      <c r="Q1884" s="3">
        <f t="shared" si="58"/>
        <v>3.4823600973236009E-2</v>
      </c>
      <c r="R1884" t="str">
        <f t="shared" si="59"/>
        <v>January</v>
      </c>
    </row>
    <row r="1885" spans="1:18" x14ac:dyDescent="0.35">
      <c r="A1885" t="s">
        <v>445</v>
      </c>
      <c r="B1885" t="s">
        <v>161</v>
      </c>
      <c r="C1885" t="s">
        <v>30</v>
      </c>
      <c r="D1885" t="s">
        <v>162</v>
      </c>
      <c r="E1885">
        <v>6966</v>
      </c>
      <c r="F1885">
        <v>2875</v>
      </c>
      <c r="G1885">
        <v>3491</v>
      </c>
      <c r="H1885">
        <v>4</v>
      </c>
      <c r="I1885">
        <v>417</v>
      </c>
      <c r="J1885">
        <v>590</v>
      </c>
      <c r="K1885" s="1">
        <v>46023</v>
      </c>
      <c r="L1885" t="s">
        <v>446</v>
      </c>
      <c r="M1885" t="s">
        <v>444</v>
      </c>
      <c r="N1885" s="2">
        <f>IFERROR(NHS_A_E[[#This Row],[T1_Over4hrs]]/NHS_A_E[[#This Row],[T1_Attendances]], 0)</f>
        <v>0.5011484352569624</v>
      </c>
      <c r="O1885">
        <f>NHS_A_E[[#This Row],[T1_Attendances]]+NHS_A_E[[#This Row],[Other_Attendances]]</f>
        <v>9841</v>
      </c>
      <c r="P1885">
        <f>MATCH(LEFT(A1885,FIND("-",A1885)-1),{"April","May","June","July","August","September","October","November","December","January","February","March"},0)</f>
        <v>10</v>
      </c>
      <c r="Q1885" s="3">
        <f t="shared" si="58"/>
        <v>8.4697100200976164E-2</v>
      </c>
      <c r="R1885" t="str">
        <f t="shared" si="59"/>
        <v>January</v>
      </c>
    </row>
    <row r="1886" spans="1:18" x14ac:dyDescent="0.35">
      <c r="A1886" t="s">
        <v>445</v>
      </c>
      <c r="B1886" t="s">
        <v>385</v>
      </c>
      <c r="C1886" t="s">
        <v>20</v>
      </c>
      <c r="D1886" t="s">
        <v>386</v>
      </c>
      <c r="E1886">
        <v>0</v>
      </c>
      <c r="F1886">
        <v>7859</v>
      </c>
      <c r="G1886">
        <v>0</v>
      </c>
      <c r="H1886">
        <v>116</v>
      </c>
      <c r="I1886">
        <v>0</v>
      </c>
      <c r="J1886">
        <v>0</v>
      </c>
      <c r="K1886" s="1">
        <v>46023</v>
      </c>
      <c r="L1886" t="s">
        <v>446</v>
      </c>
      <c r="M1886" t="s">
        <v>444</v>
      </c>
      <c r="N1886" s="2">
        <f>IFERROR(NHS_A_E[[#This Row],[T1_Over4hrs]]/NHS_A_E[[#This Row],[T1_Attendances]], 0)</f>
        <v>0</v>
      </c>
      <c r="O1886">
        <f>NHS_A_E[[#This Row],[T1_Attendances]]+NHS_A_E[[#This Row],[Other_Attendances]]</f>
        <v>7859</v>
      </c>
      <c r="P1886">
        <f>MATCH(LEFT(A1886,FIND("-",A1886)-1),{"April","May","June","July","August","September","October","November","December","January","February","March"},0)</f>
        <v>10</v>
      </c>
      <c r="Q1886" s="3">
        <f t="shared" si="58"/>
        <v>0</v>
      </c>
      <c r="R1886" t="str">
        <f t="shared" si="59"/>
        <v>January</v>
      </c>
    </row>
    <row r="1887" spans="1:18" x14ac:dyDescent="0.35">
      <c r="A1887" t="s">
        <v>445</v>
      </c>
      <c r="B1887" t="s">
        <v>381</v>
      </c>
      <c r="C1887" t="s">
        <v>40</v>
      </c>
      <c r="D1887" t="s">
        <v>382</v>
      </c>
      <c r="E1887">
        <v>0</v>
      </c>
      <c r="F1887">
        <v>219</v>
      </c>
      <c r="G1887">
        <v>0</v>
      </c>
      <c r="H1887">
        <v>0</v>
      </c>
      <c r="I1887">
        <v>0</v>
      </c>
      <c r="J1887">
        <v>0</v>
      </c>
      <c r="K1887" s="1">
        <v>46023</v>
      </c>
      <c r="L1887" t="s">
        <v>446</v>
      </c>
      <c r="M1887" t="s">
        <v>444</v>
      </c>
      <c r="N1887" s="2">
        <f>IFERROR(NHS_A_E[[#This Row],[T1_Over4hrs]]/NHS_A_E[[#This Row],[T1_Attendances]], 0)</f>
        <v>0</v>
      </c>
      <c r="O1887">
        <f>NHS_A_E[[#This Row],[T1_Attendances]]+NHS_A_E[[#This Row],[Other_Attendances]]</f>
        <v>219</v>
      </c>
      <c r="P1887">
        <f>MATCH(LEFT(A1887,FIND("-",A1887)-1),{"April","May","June","July","August","September","October","November","December","January","February","March"},0)</f>
        <v>10</v>
      </c>
      <c r="Q1887" s="3">
        <f t="shared" si="58"/>
        <v>0</v>
      </c>
      <c r="R1887" t="str">
        <f t="shared" si="59"/>
        <v>January</v>
      </c>
    </row>
    <row r="1888" spans="1:18" x14ac:dyDescent="0.35">
      <c r="A1888" t="s">
        <v>445</v>
      </c>
      <c r="B1888" t="s">
        <v>319</v>
      </c>
      <c r="C1888" t="s">
        <v>63</v>
      </c>
      <c r="D1888" t="s">
        <v>320</v>
      </c>
      <c r="E1888">
        <v>0</v>
      </c>
      <c r="F1888">
        <v>879</v>
      </c>
      <c r="G1888">
        <v>0</v>
      </c>
      <c r="H1888">
        <v>1</v>
      </c>
      <c r="I1888">
        <v>0</v>
      </c>
      <c r="J1888">
        <v>0</v>
      </c>
      <c r="K1888" s="1">
        <v>46023</v>
      </c>
      <c r="L1888" t="s">
        <v>446</v>
      </c>
      <c r="M1888" t="s">
        <v>444</v>
      </c>
      <c r="N1888" s="2">
        <f>IFERROR(NHS_A_E[[#This Row],[T1_Over4hrs]]/NHS_A_E[[#This Row],[T1_Attendances]], 0)</f>
        <v>0</v>
      </c>
      <c r="O1888">
        <f>NHS_A_E[[#This Row],[T1_Attendances]]+NHS_A_E[[#This Row],[Other_Attendances]]</f>
        <v>879</v>
      </c>
      <c r="P1888">
        <f>MATCH(LEFT(A1888,FIND("-",A1888)-1),{"April","May","June","July","August","September","October","November","December","January","February","March"},0)</f>
        <v>10</v>
      </c>
      <c r="Q1888" s="3">
        <f t="shared" si="58"/>
        <v>0</v>
      </c>
      <c r="R1888" t="str">
        <f t="shared" si="59"/>
        <v>January</v>
      </c>
    </row>
    <row r="1889" spans="1:18" x14ac:dyDescent="0.35">
      <c r="A1889" t="s">
        <v>445</v>
      </c>
      <c r="B1889" t="s">
        <v>361</v>
      </c>
      <c r="C1889" t="s">
        <v>40</v>
      </c>
      <c r="D1889" t="s">
        <v>362</v>
      </c>
      <c r="E1889">
        <v>10704</v>
      </c>
      <c r="F1889">
        <v>8591</v>
      </c>
      <c r="G1889">
        <v>4181</v>
      </c>
      <c r="H1889">
        <v>8</v>
      </c>
      <c r="I1889">
        <v>614</v>
      </c>
      <c r="J1889">
        <v>647</v>
      </c>
      <c r="K1889" s="1">
        <v>46023</v>
      </c>
      <c r="L1889" t="s">
        <v>446</v>
      </c>
      <c r="M1889" t="s">
        <v>444</v>
      </c>
      <c r="N1889" s="2">
        <f>IFERROR(NHS_A_E[[#This Row],[T1_Over4hrs]]/NHS_A_E[[#This Row],[T1_Attendances]], 0)</f>
        <v>0.39060164424514199</v>
      </c>
      <c r="O1889">
        <f>NHS_A_E[[#This Row],[T1_Attendances]]+NHS_A_E[[#This Row],[Other_Attendances]]</f>
        <v>19295</v>
      </c>
      <c r="P1889">
        <f>MATCH(LEFT(A1889,FIND("-",A1889)-1),{"April","May","June","July","August","September","October","November","December","January","February","March"},0)</f>
        <v>10</v>
      </c>
      <c r="Q1889" s="3">
        <f t="shared" si="58"/>
        <v>6.0444693572496266E-2</v>
      </c>
      <c r="R1889" t="str">
        <f t="shared" si="59"/>
        <v>January</v>
      </c>
    </row>
    <row r="1890" spans="1:18" x14ac:dyDescent="0.35">
      <c r="A1890" t="s">
        <v>445</v>
      </c>
      <c r="B1890" t="s">
        <v>371</v>
      </c>
      <c r="C1890" t="s">
        <v>35</v>
      </c>
      <c r="D1890" t="s">
        <v>372</v>
      </c>
      <c r="E1890">
        <v>5428</v>
      </c>
      <c r="F1890">
        <v>6679</v>
      </c>
      <c r="G1890">
        <v>2710</v>
      </c>
      <c r="H1890">
        <v>26</v>
      </c>
      <c r="I1890">
        <v>622</v>
      </c>
      <c r="J1890">
        <v>34</v>
      </c>
      <c r="K1890" s="1">
        <v>46023</v>
      </c>
      <c r="L1890" t="s">
        <v>446</v>
      </c>
      <c r="M1890" t="s">
        <v>444</v>
      </c>
      <c r="N1890" s="2">
        <f>IFERROR(NHS_A_E[[#This Row],[T1_Over4hrs]]/NHS_A_E[[#This Row],[T1_Attendances]], 0)</f>
        <v>0.49926308032424466</v>
      </c>
      <c r="O1890">
        <f>NHS_A_E[[#This Row],[T1_Attendances]]+NHS_A_E[[#This Row],[Other_Attendances]]</f>
        <v>12107</v>
      </c>
      <c r="P1890">
        <f>MATCH(LEFT(A1890,FIND("-",A1890)-1),{"April","May","June","July","August","September","October","November","December","January","February","March"},0)</f>
        <v>10</v>
      </c>
      <c r="Q1890" s="3">
        <f t="shared" si="58"/>
        <v>6.263817243920413E-3</v>
      </c>
      <c r="R1890" t="str">
        <f t="shared" si="59"/>
        <v>January</v>
      </c>
    </row>
    <row r="1891" spans="1:18" x14ac:dyDescent="0.35">
      <c r="A1891" t="s">
        <v>445</v>
      </c>
      <c r="B1891" t="s">
        <v>351</v>
      </c>
      <c r="C1891" t="s">
        <v>63</v>
      </c>
      <c r="D1891" t="s">
        <v>352</v>
      </c>
      <c r="E1891">
        <v>9631</v>
      </c>
      <c r="F1891">
        <v>7061</v>
      </c>
      <c r="G1891">
        <v>5647</v>
      </c>
      <c r="H1891">
        <v>40</v>
      </c>
      <c r="I1891">
        <v>676</v>
      </c>
      <c r="J1891">
        <v>1139</v>
      </c>
      <c r="K1891" s="1">
        <v>46023</v>
      </c>
      <c r="L1891" t="s">
        <v>446</v>
      </c>
      <c r="M1891" t="s">
        <v>444</v>
      </c>
      <c r="N1891" s="2">
        <f>IFERROR(NHS_A_E[[#This Row],[T1_Over4hrs]]/NHS_A_E[[#This Row],[T1_Attendances]], 0)</f>
        <v>0.58633579067594221</v>
      </c>
      <c r="O1891">
        <f>NHS_A_E[[#This Row],[T1_Attendances]]+NHS_A_E[[#This Row],[Other_Attendances]]</f>
        <v>16692</v>
      </c>
      <c r="P1891">
        <f>MATCH(LEFT(A1891,FIND("-",A1891)-1),{"April","May","June","July","August","September","October","November","December","January","February","March"},0)</f>
        <v>10</v>
      </c>
      <c r="Q1891" s="3">
        <f t="shared" si="58"/>
        <v>0.11826393936247534</v>
      </c>
      <c r="R1891" t="str">
        <f t="shared" si="59"/>
        <v>January</v>
      </c>
    </row>
    <row r="1892" spans="1:18" x14ac:dyDescent="0.35">
      <c r="A1892" t="s">
        <v>445</v>
      </c>
      <c r="B1892" t="s">
        <v>29</v>
      </c>
      <c r="C1892" t="s">
        <v>30</v>
      </c>
      <c r="D1892" t="s">
        <v>31</v>
      </c>
      <c r="E1892">
        <v>16038</v>
      </c>
      <c r="F1892">
        <v>7822</v>
      </c>
      <c r="G1892">
        <v>8285</v>
      </c>
      <c r="H1892">
        <v>287</v>
      </c>
      <c r="I1892">
        <v>739</v>
      </c>
      <c r="J1892">
        <v>1485</v>
      </c>
      <c r="K1892" s="1">
        <v>46023</v>
      </c>
      <c r="L1892" t="s">
        <v>446</v>
      </c>
      <c r="M1892" t="s">
        <v>444</v>
      </c>
      <c r="N1892" s="2">
        <f>IFERROR(NHS_A_E[[#This Row],[T1_Over4hrs]]/NHS_A_E[[#This Row],[T1_Attendances]], 0)</f>
        <v>0.51658560917820173</v>
      </c>
      <c r="O1892">
        <f>NHS_A_E[[#This Row],[T1_Attendances]]+NHS_A_E[[#This Row],[Other_Attendances]]</f>
        <v>23860</v>
      </c>
      <c r="P1892">
        <f>MATCH(LEFT(A1892,FIND("-",A1892)-1),{"April","May","June","July","August","September","October","November","December","January","February","March"},0)</f>
        <v>10</v>
      </c>
      <c r="Q1892" s="3">
        <f t="shared" si="58"/>
        <v>9.2592592592592587E-2</v>
      </c>
      <c r="R1892" t="str">
        <f t="shared" si="59"/>
        <v>January</v>
      </c>
    </row>
    <row r="1893" spans="1:18" x14ac:dyDescent="0.35">
      <c r="A1893" t="s">
        <v>445</v>
      </c>
      <c r="B1893" t="s">
        <v>395</v>
      </c>
      <c r="C1893" t="s">
        <v>23</v>
      </c>
      <c r="D1893" t="s">
        <v>396</v>
      </c>
      <c r="E1893">
        <v>7780</v>
      </c>
      <c r="F1893">
        <v>907</v>
      </c>
      <c r="G1893">
        <v>2804</v>
      </c>
      <c r="H1893">
        <v>0</v>
      </c>
      <c r="I1893">
        <v>473</v>
      </c>
      <c r="J1893">
        <v>622</v>
      </c>
      <c r="K1893" s="1">
        <v>46023</v>
      </c>
      <c r="L1893" t="s">
        <v>446</v>
      </c>
      <c r="M1893" t="s">
        <v>444</v>
      </c>
      <c r="N1893" s="2">
        <f>IFERROR(NHS_A_E[[#This Row],[T1_Over4hrs]]/NHS_A_E[[#This Row],[T1_Attendances]], 0)</f>
        <v>0.36041131105398455</v>
      </c>
      <c r="O1893">
        <f>NHS_A_E[[#This Row],[T1_Attendances]]+NHS_A_E[[#This Row],[Other_Attendances]]</f>
        <v>8687</v>
      </c>
      <c r="P1893">
        <f>MATCH(LEFT(A1893,FIND("-",A1893)-1),{"April","May","June","July","August","September","October","November","December","January","February","March"},0)</f>
        <v>10</v>
      </c>
      <c r="Q1893" s="3">
        <f t="shared" si="58"/>
        <v>7.9948586118251924E-2</v>
      </c>
      <c r="R1893" t="str">
        <f t="shared" si="59"/>
        <v>January</v>
      </c>
    </row>
    <row r="1894" spans="1:18" x14ac:dyDescent="0.35">
      <c r="A1894" t="s">
        <v>445</v>
      </c>
      <c r="B1894" t="s">
        <v>379</v>
      </c>
      <c r="C1894" t="s">
        <v>63</v>
      </c>
      <c r="D1894" t="s">
        <v>380</v>
      </c>
      <c r="E1894">
        <v>0</v>
      </c>
      <c r="F1894">
        <v>2462</v>
      </c>
      <c r="G1894">
        <v>0</v>
      </c>
      <c r="H1894">
        <v>9</v>
      </c>
      <c r="I1894">
        <v>0</v>
      </c>
      <c r="J1894">
        <v>0</v>
      </c>
      <c r="K1894" s="1">
        <v>46023</v>
      </c>
      <c r="L1894" t="s">
        <v>446</v>
      </c>
      <c r="M1894" t="s">
        <v>444</v>
      </c>
      <c r="N1894" s="2">
        <f>IFERROR(NHS_A_E[[#This Row],[T1_Over4hrs]]/NHS_A_E[[#This Row],[T1_Attendances]], 0)</f>
        <v>0</v>
      </c>
      <c r="O1894">
        <f>NHS_A_E[[#This Row],[T1_Attendances]]+NHS_A_E[[#This Row],[Other_Attendances]]</f>
        <v>2462</v>
      </c>
      <c r="P1894">
        <f>MATCH(LEFT(A1894,FIND("-",A1894)-1),{"April","May","June","July","August","September","October","November","December","January","February","March"},0)</f>
        <v>10</v>
      </c>
      <c r="Q1894" s="3">
        <f t="shared" si="58"/>
        <v>0</v>
      </c>
      <c r="R1894" t="str">
        <f t="shared" si="59"/>
        <v>January</v>
      </c>
    </row>
    <row r="1895" spans="1:18" x14ac:dyDescent="0.35">
      <c r="A1895" t="s">
        <v>445</v>
      </c>
      <c r="B1895" t="s">
        <v>125</v>
      </c>
      <c r="C1895" t="s">
        <v>35</v>
      </c>
      <c r="D1895" t="s">
        <v>126</v>
      </c>
      <c r="E1895">
        <v>0</v>
      </c>
      <c r="F1895">
        <v>11622</v>
      </c>
      <c r="G1895">
        <v>0</v>
      </c>
      <c r="H1895">
        <v>195</v>
      </c>
      <c r="I1895">
        <v>0</v>
      </c>
      <c r="J1895">
        <v>0</v>
      </c>
      <c r="K1895" s="1">
        <v>46023</v>
      </c>
      <c r="L1895" t="s">
        <v>446</v>
      </c>
      <c r="M1895" t="s">
        <v>444</v>
      </c>
      <c r="N1895" s="2">
        <f>IFERROR(NHS_A_E[[#This Row],[T1_Over4hrs]]/NHS_A_E[[#This Row],[T1_Attendances]], 0)</f>
        <v>0</v>
      </c>
      <c r="O1895">
        <f>NHS_A_E[[#This Row],[T1_Attendances]]+NHS_A_E[[#This Row],[Other_Attendances]]</f>
        <v>11622</v>
      </c>
      <c r="P1895">
        <f>MATCH(LEFT(A1895,FIND("-",A1895)-1),{"April","May","June","July","August","September","October","November","December","January","February","March"},0)</f>
        <v>10</v>
      </c>
      <c r="Q1895" s="3">
        <f t="shared" si="58"/>
        <v>0</v>
      </c>
      <c r="R1895" t="str">
        <f t="shared" si="59"/>
        <v>January</v>
      </c>
    </row>
    <row r="1896" spans="1:18" x14ac:dyDescent="0.35">
      <c r="A1896" t="s">
        <v>445</v>
      </c>
      <c r="B1896" t="s">
        <v>205</v>
      </c>
      <c r="C1896" t="s">
        <v>35</v>
      </c>
      <c r="D1896" t="s">
        <v>206</v>
      </c>
      <c r="E1896">
        <v>12325</v>
      </c>
      <c r="F1896">
        <v>6817</v>
      </c>
      <c r="G1896">
        <v>5303</v>
      </c>
      <c r="H1896">
        <v>302</v>
      </c>
      <c r="I1896">
        <v>564</v>
      </c>
      <c r="J1896">
        <v>0</v>
      </c>
      <c r="K1896" s="1">
        <v>46023</v>
      </c>
      <c r="L1896" t="s">
        <v>446</v>
      </c>
      <c r="M1896" t="s">
        <v>444</v>
      </c>
      <c r="N1896" s="2">
        <f>IFERROR(NHS_A_E[[#This Row],[T1_Over4hrs]]/NHS_A_E[[#This Row],[T1_Attendances]], 0)</f>
        <v>0.43026369168356998</v>
      </c>
      <c r="O1896">
        <f>NHS_A_E[[#This Row],[T1_Attendances]]+NHS_A_E[[#This Row],[Other_Attendances]]</f>
        <v>19142</v>
      </c>
      <c r="P1896">
        <f>MATCH(LEFT(A1896,FIND("-",A1896)-1),{"April","May","June","July","August","September","October","November","December","January","February","March"},0)</f>
        <v>10</v>
      </c>
      <c r="Q1896" s="3">
        <f t="shared" si="58"/>
        <v>0</v>
      </c>
      <c r="R1896" t="str">
        <f t="shared" si="59"/>
        <v>January</v>
      </c>
    </row>
    <row r="1897" spans="1:18" x14ac:dyDescent="0.35">
      <c r="A1897" t="s">
        <v>445</v>
      </c>
      <c r="B1897" t="s">
        <v>203</v>
      </c>
      <c r="C1897" t="s">
        <v>40</v>
      </c>
      <c r="D1897" t="s">
        <v>204</v>
      </c>
      <c r="E1897">
        <v>0</v>
      </c>
      <c r="F1897">
        <v>0</v>
      </c>
      <c r="G1897">
        <v>0</v>
      </c>
      <c r="H1897">
        <v>0</v>
      </c>
      <c r="I1897">
        <v>0</v>
      </c>
      <c r="J1897">
        <v>0</v>
      </c>
      <c r="K1897" s="1">
        <v>46023</v>
      </c>
      <c r="L1897" t="s">
        <v>446</v>
      </c>
      <c r="M1897" t="s">
        <v>444</v>
      </c>
      <c r="N1897" s="2">
        <f>IFERROR(NHS_A_E[[#This Row],[T1_Over4hrs]]/NHS_A_E[[#This Row],[T1_Attendances]], 0)</f>
        <v>0</v>
      </c>
      <c r="O1897">
        <f>NHS_A_E[[#This Row],[T1_Attendances]]+NHS_A_E[[#This Row],[Other_Attendances]]</f>
        <v>0</v>
      </c>
      <c r="P1897">
        <f>MATCH(LEFT(A1897,FIND("-",A1897)-1),{"April","May","June","July","August","September","October","November","December","January","February","March"},0)</f>
        <v>10</v>
      </c>
      <c r="Q1897" s="3">
        <f t="shared" si="58"/>
        <v>0</v>
      </c>
      <c r="R1897" t="str">
        <f t="shared" si="59"/>
        <v>January</v>
      </c>
    </row>
    <row r="1898" spans="1:18" x14ac:dyDescent="0.35">
      <c r="A1898" t="s">
        <v>445</v>
      </c>
      <c r="B1898" t="s">
        <v>377</v>
      </c>
      <c r="C1898" t="s">
        <v>63</v>
      </c>
      <c r="D1898" t="s">
        <v>378</v>
      </c>
      <c r="E1898">
        <v>16197</v>
      </c>
      <c r="F1898">
        <v>6201</v>
      </c>
      <c r="G1898">
        <v>6542</v>
      </c>
      <c r="H1898">
        <v>266</v>
      </c>
      <c r="I1898">
        <v>2350</v>
      </c>
      <c r="J1898">
        <v>1038</v>
      </c>
      <c r="K1898" s="1">
        <v>46023</v>
      </c>
      <c r="L1898" t="s">
        <v>446</v>
      </c>
      <c r="M1898" t="s">
        <v>444</v>
      </c>
      <c r="N1898" s="2">
        <f>IFERROR(NHS_A_E[[#This Row],[T1_Over4hrs]]/NHS_A_E[[#This Row],[T1_Attendances]], 0)</f>
        <v>0.40390195715255911</v>
      </c>
      <c r="O1898">
        <f>NHS_A_E[[#This Row],[T1_Attendances]]+NHS_A_E[[#This Row],[Other_Attendances]]</f>
        <v>22398</v>
      </c>
      <c r="P1898">
        <f>MATCH(LEFT(A1898,FIND("-",A1898)-1),{"April","May","June","July","August","September","October","November","December","January","February","March"},0)</f>
        <v>10</v>
      </c>
      <c r="Q1898" s="3">
        <f t="shared" si="58"/>
        <v>6.4085941841081684E-2</v>
      </c>
      <c r="R1898" t="str">
        <f t="shared" si="59"/>
        <v>January</v>
      </c>
    </row>
    <row r="1899" spans="1:18" x14ac:dyDescent="0.35">
      <c r="A1899" t="s">
        <v>445</v>
      </c>
      <c r="B1899" t="s">
        <v>373</v>
      </c>
      <c r="C1899" t="s">
        <v>40</v>
      </c>
      <c r="D1899" t="s">
        <v>374</v>
      </c>
      <c r="E1899">
        <v>12595</v>
      </c>
      <c r="F1899">
        <v>9116</v>
      </c>
      <c r="G1899">
        <v>7716</v>
      </c>
      <c r="H1899">
        <v>1611</v>
      </c>
      <c r="I1899">
        <v>164</v>
      </c>
      <c r="J1899">
        <v>1027</v>
      </c>
      <c r="K1899" s="1">
        <v>46023</v>
      </c>
      <c r="L1899" t="s">
        <v>446</v>
      </c>
      <c r="M1899" t="s">
        <v>444</v>
      </c>
      <c r="N1899" s="2">
        <f>IFERROR(NHS_A_E[[#This Row],[T1_Over4hrs]]/NHS_A_E[[#This Row],[T1_Attendances]], 0)</f>
        <v>0.61262405716554191</v>
      </c>
      <c r="O1899">
        <f>NHS_A_E[[#This Row],[T1_Attendances]]+NHS_A_E[[#This Row],[Other_Attendances]]</f>
        <v>21711</v>
      </c>
      <c r="P1899">
        <f>MATCH(LEFT(A1899,FIND("-",A1899)-1),{"April","May","June","July","August","September","October","November","December","January","February","March"},0)</f>
        <v>10</v>
      </c>
      <c r="Q1899" s="3">
        <f t="shared" si="58"/>
        <v>8.1540293767368002E-2</v>
      </c>
      <c r="R1899" t="str">
        <f t="shared" si="59"/>
        <v>January</v>
      </c>
    </row>
    <row r="1900" spans="1:18" x14ac:dyDescent="0.35">
      <c r="A1900" t="s">
        <v>445</v>
      </c>
      <c r="B1900" t="s">
        <v>189</v>
      </c>
      <c r="C1900" t="s">
        <v>30</v>
      </c>
      <c r="D1900" t="s">
        <v>190</v>
      </c>
      <c r="E1900">
        <v>6660</v>
      </c>
      <c r="F1900">
        <v>2682</v>
      </c>
      <c r="G1900">
        <v>3450</v>
      </c>
      <c r="H1900">
        <v>27</v>
      </c>
      <c r="I1900">
        <v>499</v>
      </c>
      <c r="J1900">
        <v>1063</v>
      </c>
      <c r="K1900" s="1">
        <v>46023</v>
      </c>
      <c r="L1900" t="s">
        <v>446</v>
      </c>
      <c r="M1900" t="s">
        <v>444</v>
      </c>
      <c r="N1900" s="2">
        <f>IFERROR(NHS_A_E[[#This Row],[T1_Over4hrs]]/NHS_A_E[[#This Row],[T1_Attendances]], 0)</f>
        <v>0.51801801801801806</v>
      </c>
      <c r="O1900">
        <f>NHS_A_E[[#This Row],[T1_Attendances]]+NHS_A_E[[#This Row],[Other_Attendances]]</f>
        <v>9342</v>
      </c>
      <c r="P1900">
        <f>MATCH(LEFT(A1900,FIND("-",A1900)-1),{"April","May","June","July","August","September","October","November","December","January","February","March"},0)</f>
        <v>10</v>
      </c>
      <c r="Q1900" s="3">
        <f t="shared" si="58"/>
        <v>0.1596096096096096</v>
      </c>
      <c r="R1900" t="str">
        <f t="shared" si="59"/>
        <v>January</v>
      </c>
    </row>
    <row r="1901" spans="1:18" x14ac:dyDescent="0.35">
      <c r="A1901" t="s">
        <v>445</v>
      </c>
      <c r="B1901" t="s">
        <v>185</v>
      </c>
      <c r="C1901" t="s">
        <v>23</v>
      </c>
      <c r="D1901" t="s">
        <v>437</v>
      </c>
      <c r="E1901">
        <v>9586</v>
      </c>
      <c r="F1901">
        <v>8414</v>
      </c>
      <c r="G1901">
        <v>5582</v>
      </c>
      <c r="H1901">
        <v>63</v>
      </c>
      <c r="I1901">
        <v>698</v>
      </c>
      <c r="J1901">
        <v>334</v>
      </c>
      <c r="K1901" s="1">
        <v>46023</v>
      </c>
      <c r="L1901" t="s">
        <v>446</v>
      </c>
      <c r="M1901" t="s">
        <v>444</v>
      </c>
      <c r="N1901" s="2">
        <f>IFERROR(NHS_A_E[[#This Row],[T1_Over4hrs]]/NHS_A_E[[#This Row],[T1_Attendances]], 0)</f>
        <v>0.58230753181723349</v>
      </c>
      <c r="O1901">
        <f>NHS_A_E[[#This Row],[T1_Attendances]]+NHS_A_E[[#This Row],[Other_Attendances]]</f>
        <v>18000</v>
      </c>
      <c r="P1901">
        <f>MATCH(LEFT(A1901,FIND("-",A1901)-1),{"April","May","June","July","August","September","October","November","December","January","February","March"},0)</f>
        <v>10</v>
      </c>
      <c r="Q1901" s="3">
        <f t="shared" si="58"/>
        <v>3.4842478614646358E-2</v>
      </c>
      <c r="R1901" t="str">
        <f t="shared" si="59"/>
        <v>January</v>
      </c>
    </row>
    <row r="1902" spans="1:18" x14ac:dyDescent="0.35">
      <c r="A1902" t="s">
        <v>445</v>
      </c>
      <c r="B1902" t="s">
        <v>183</v>
      </c>
      <c r="C1902" t="s">
        <v>23</v>
      </c>
      <c r="D1902" t="s">
        <v>184</v>
      </c>
      <c r="E1902">
        <v>8781</v>
      </c>
      <c r="F1902">
        <v>7633</v>
      </c>
      <c r="G1902">
        <v>3035</v>
      </c>
      <c r="H1902">
        <v>114</v>
      </c>
      <c r="I1902">
        <v>913</v>
      </c>
      <c r="J1902">
        <v>14</v>
      </c>
      <c r="K1902" s="1">
        <v>46023</v>
      </c>
      <c r="L1902" t="s">
        <v>446</v>
      </c>
      <c r="M1902" t="s">
        <v>444</v>
      </c>
      <c r="N1902" s="2">
        <f>IFERROR(NHS_A_E[[#This Row],[T1_Over4hrs]]/NHS_A_E[[#This Row],[T1_Attendances]], 0)</f>
        <v>0.34563261587518507</v>
      </c>
      <c r="O1902">
        <f>NHS_A_E[[#This Row],[T1_Attendances]]+NHS_A_E[[#This Row],[Other_Attendances]]</f>
        <v>16414</v>
      </c>
      <c r="P1902">
        <f>MATCH(LEFT(A1902,FIND("-",A1902)-1),{"April","May","June","July","August","September","October","November","December","January","February","March"},0)</f>
        <v>10</v>
      </c>
      <c r="Q1902" s="3">
        <f t="shared" si="58"/>
        <v>1.5943514406104088E-3</v>
      </c>
      <c r="R1902" t="str">
        <f t="shared" si="59"/>
        <v>January</v>
      </c>
    </row>
    <row r="1903" spans="1:18" x14ac:dyDescent="0.35">
      <c r="A1903" t="s">
        <v>445</v>
      </c>
      <c r="B1903" t="s">
        <v>177</v>
      </c>
      <c r="C1903" t="s">
        <v>63</v>
      </c>
      <c r="D1903" t="s">
        <v>178</v>
      </c>
      <c r="E1903">
        <v>10124</v>
      </c>
      <c r="F1903">
        <v>4130</v>
      </c>
      <c r="G1903">
        <v>5408</v>
      </c>
      <c r="H1903">
        <v>315</v>
      </c>
      <c r="I1903">
        <v>798</v>
      </c>
      <c r="J1903">
        <v>856</v>
      </c>
      <c r="K1903" s="1">
        <v>46023</v>
      </c>
      <c r="L1903" t="s">
        <v>446</v>
      </c>
      <c r="M1903" t="s">
        <v>444</v>
      </c>
      <c r="N1903" s="2">
        <f>IFERROR(NHS_A_E[[#This Row],[T1_Over4hrs]]/NHS_A_E[[#This Row],[T1_Attendances]], 0)</f>
        <v>0.53417621493480838</v>
      </c>
      <c r="O1903">
        <f>NHS_A_E[[#This Row],[T1_Attendances]]+NHS_A_E[[#This Row],[Other_Attendances]]</f>
        <v>14254</v>
      </c>
      <c r="P1903">
        <f>MATCH(LEFT(A1903,FIND("-",A1903)-1),{"April","May","June","July","August","September","October","November","December","January","February","March"},0)</f>
        <v>10</v>
      </c>
      <c r="Q1903" s="3">
        <f t="shared" si="58"/>
        <v>8.4551560647965235E-2</v>
      </c>
      <c r="R1903" t="str">
        <f t="shared" si="59"/>
        <v>January</v>
      </c>
    </row>
    <row r="1904" spans="1:18" x14ac:dyDescent="0.35">
      <c r="A1904" t="s">
        <v>445</v>
      </c>
      <c r="B1904" t="s">
        <v>169</v>
      </c>
      <c r="C1904" t="s">
        <v>20</v>
      </c>
      <c r="D1904" t="s">
        <v>170</v>
      </c>
      <c r="E1904">
        <v>9077</v>
      </c>
      <c r="F1904">
        <v>0</v>
      </c>
      <c r="G1904">
        <v>3607</v>
      </c>
      <c r="H1904">
        <v>0</v>
      </c>
      <c r="I1904">
        <v>523</v>
      </c>
      <c r="J1904">
        <v>564</v>
      </c>
      <c r="K1904" s="1">
        <v>46023</v>
      </c>
      <c r="L1904" t="s">
        <v>446</v>
      </c>
      <c r="M1904" t="s">
        <v>444</v>
      </c>
      <c r="N1904" s="2">
        <f>IFERROR(NHS_A_E[[#This Row],[T1_Over4hrs]]/NHS_A_E[[#This Row],[T1_Attendances]], 0)</f>
        <v>0.39737798832213284</v>
      </c>
      <c r="O1904">
        <f>NHS_A_E[[#This Row],[T1_Attendances]]+NHS_A_E[[#This Row],[Other_Attendances]]</f>
        <v>9077</v>
      </c>
      <c r="P1904">
        <f>MATCH(LEFT(A1904,FIND("-",A1904)-1),{"April","May","June","July","August","September","October","November","December","January","February","March"},0)</f>
        <v>10</v>
      </c>
      <c r="Q1904" s="3">
        <f t="shared" si="58"/>
        <v>6.2135066651977523E-2</v>
      </c>
      <c r="R1904" t="str">
        <f t="shared" si="59"/>
        <v>January</v>
      </c>
    </row>
    <row r="1905" spans="1:18" x14ac:dyDescent="0.35">
      <c r="A1905" t="s">
        <v>445</v>
      </c>
      <c r="B1905" t="s">
        <v>317</v>
      </c>
      <c r="C1905" t="s">
        <v>63</v>
      </c>
      <c r="D1905" t="s">
        <v>318</v>
      </c>
      <c r="E1905">
        <v>7582</v>
      </c>
      <c r="F1905">
        <v>8848</v>
      </c>
      <c r="G1905">
        <v>4082</v>
      </c>
      <c r="H1905">
        <v>457</v>
      </c>
      <c r="I1905">
        <v>587</v>
      </c>
      <c r="J1905">
        <v>58</v>
      </c>
      <c r="K1905" s="1">
        <v>46023</v>
      </c>
      <c r="L1905" t="s">
        <v>446</v>
      </c>
      <c r="M1905" t="s">
        <v>444</v>
      </c>
      <c r="N1905" s="2">
        <f>IFERROR(NHS_A_E[[#This Row],[T1_Over4hrs]]/NHS_A_E[[#This Row],[T1_Attendances]], 0)</f>
        <v>0.53838037457135324</v>
      </c>
      <c r="O1905">
        <f>NHS_A_E[[#This Row],[T1_Attendances]]+NHS_A_E[[#This Row],[Other_Attendances]]</f>
        <v>16430</v>
      </c>
      <c r="P1905">
        <f>MATCH(LEFT(A1905,FIND("-",A1905)-1),{"April","May","June","July","August","September","October","November","December","January","February","March"},0)</f>
        <v>10</v>
      </c>
      <c r="Q1905" s="3">
        <f t="shared" si="58"/>
        <v>7.6496966499604328E-3</v>
      </c>
      <c r="R1905" t="str">
        <f t="shared" si="59"/>
        <v>January</v>
      </c>
    </row>
    <row r="1906" spans="1:18" x14ac:dyDescent="0.35">
      <c r="A1906" t="s">
        <v>445</v>
      </c>
      <c r="B1906" t="s">
        <v>131</v>
      </c>
      <c r="C1906" t="s">
        <v>40</v>
      </c>
      <c r="D1906" t="s">
        <v>132</v>
      </c>
      <c r="E1906">
        <v>18570</v>
      </c>
      <c r="F1906">
        <v>8577</v>
      </c>
      <c r="G1906">
        <v>9681</v>
      </c>
      <c r="H1906">
        <v>3</v>
      </c>
      <c r="I1906">
        <v>1085</v>
      </c>
      <c r="J1906">
        <v>1544</v>
      </c>
      <c r="K1906" s="1">
        <v>46023</v>
      </c>
      <c r="L1906" t="s">
        <v>446</v>
      </c>
      <c r="M1906" t="s">
        <v>444</v>
      </c>
      <c r="N1906" s="2">
        <f>IFERROR(NHS_A_E[[#This Row],[T1_Over4hrs]]/NHS_A_E[[#This Row],[T1_Attendances]], 0)</f>
        <v>0.52132471728594509</v>
      </c>
      <c r="O1906">
        <f>NHS_A_E[[#This Row],[T1_Attendances]]+NHS_A_E[[#This Row],[Other_Attendances]]</f>
        <v>27147</v>
      </c>
      <c r="P1906">
        <f>MATCH(LEFT(A1906,FIND("-",A1906)-1),{"April","May","June","July","August","September","October","November","December","January","February","March"},0)</f>
        <v>10</v>
      </c>
      <c r="Q1906" s="3">
        <f t="shared" si="58"/>
        <v>8.3144857296715127E-2</v>
      </c>
      <c r="R1906" t="str">
        <f t="shared" si="59"/>
        <v>January</v>
      </c>
    </row>
    <row r="1907" spans="1:18" x14ac:dyDescent="0.35">
      <c r="A1907" t="s">
        <v>445</v>
      </c>
      <c r="B1907" t="s">
        <v>221</v>
      </c>
      <c r="C1907" t="s">
        <v>63</v>
      </c>
      <c r="D1907" t="s">
        <v>222</v>
      </c>
      <c r="E1907">
        <v>10331</v>
      </c>
      <c r="F1907">
        <v>12185</v>
      </c>
      <c r="G1907">
        <v>3062</v>
      </c>
      <c r="H1907">
        <v>0</v>
      </c>
      <c r="I1907">
        <v>99</v>
      </c>
      <c r="J1907">
        <v>0</v>
      </c>
      <c r="K1907" s="1">
        <v>46023</v>
      </c>
      <c r="L1907" t="s">
        <v>446</v>
      </c>
      <c r="M1907" t="s">
        <v>444</v>
      </c>
      <c r="N1907" s="2">
        <f>IFERROR(NHS_A_E[[#This Row],[T1_Over4hrs]]/NHS_A_E[[#This Row],[T1_Attendances]], 0)</f>
        <v>0.29638950730810182</v>
      </c>
      <c r="O1907">
        <f>NHS_A_E[[#This Row],[T1_Attendances]]+NHS_A_E[[#This Row],[Other_Attendances]]</f>
        <v>22516</v>
      </c>
      <c r="P1907">
        <f>MATCH(LEFT(A1907,FIND("-",A1907)-1),{"April","May","June","July","August","September","October","November","December","January","February","March"},0)</f>
        <v>10</v>
      </c>
      <c r="Q1907" s="3">
        <f t="shared" si="58"/>
        <v>0</v>
      </c>
      <c r="R1907" t="str">
        <f t="shared" si="59"/>
        <v>January</v>
      </c>
    </row>
    <row r="1908" spans="1:18" x14ac:dyDescent="0.35">
      <c r="A1908" t="s">
        <v>445</v>
      </c>
      <c r="B1908" t="s">
        <v>165</v>
      </c>
      <c r="C1908" t="s">
        <v>63</v>
      </c>
      <c r="D1908" t="s">
        <v>166</v>
      </c>
      <c r="E1908">
        <v>11948</v>
      </c>
      <c r="F1908">
        <v>7137</v>
      </c>
      <c r="G1908">
        <v>5103</v>
      </c>
      <c r="H1908">
        <v>135</v>
      </c>
      <c r="I1908">
        <v>669</v>
      </c>
      <c r="J1908">
        <v>26</v>
      </c>
      <c r="K1908" s="1">
        <v>46023</v>
      </c>
      <c r="L1908" t="s">
        <v>446</v>
      </c>
      <c r="M1908" t="s">
        <v>444</v>
      </c>
      <c r="N1908" s="2">
        <f>IFERROR(NHS_A_E[[#This Row],[T1_Over4hrs]]/NHS_A_E[[#This Row],[T1_Attendances]], 0)</f>
        <v>0.42710077000334784</v>
      </c>
      <c r="O1908">
        <f>NHS_A_E[[#This Row],[T1_Attendances]]+NHS_A_E[[#This Row],[Other_Attendances]]</f>
        <v>19085</v>
      </c>
      <c r="P1908">
        <f>MATCH(LEFT(A1908,FIND("-",A1908)-1),{"April","May","June","July","August","September","October","November","December","January","February","March"},0)</f>
        <v>10</v>
      </c>
      <c r="Q1908" s="3">
        <f t="shared" si="58"/>
        <v>2.1760964178105121E-3</v>
      </c>
      <c r="R1908" t="str">
        <f t="shared" si="59"/>
        <v>January</v>
      </c>
    </row>
    <row r="1909" spans="1:18" x14ac:dyDescent="0.35">
      <c r="A1909" t="s">
        <v>445</v>
      </c>
      <c r="B1909" t="s">
        <v>157</v>
      </c>
      <c r="C1909" t="s">
        <v>40</v>
      </c>
      <c r="D1909" t="s">
        <v>158</v>
      </c>
      <c r="E1909">
        <v>33649</v>
      </c>
      <c r="F1909">
        <v>3187</v>
      </c>
      <c r="G1909">
        <v>14514</v>
      </c>
      <c r="H1909">
        <v>33</v>
      </c>
      <c r="I1909">
        <v>2517</v>
      </c>
      <c r="J1909">
        <v>2076</v>
      </c>
      <c r="K1909" s="1">
        <v>46023</v>
      </c>
      <c r="L1909" t="s">
        <v>446</v>
      </c>
      <c r="M1909" t="s">
        <v>444</v>
      </c>
      <c r="N1909" s="2">
        <f>IFERROR(NHS_A_E[[#This Row],[T1_Over4hrs]]/NHS_A_E[[#This Row],[T1_Attendances]], 0)</f>
        <v>0.43133525513388216</v>
      </c>
      <c r="O1909">
        <f>NHS_A_E[[#This Row],[T1_Attendances]]+NHS_A_E[[#This Row],[Other_Attendances]]</f>
        <v>36836</v>
      </c>
      <c r="P1909">
        <f>MATCH(LEFT(A1909,FIND("-",A1909)-1),{"April","May","June","July","August","September","October","November","December","January","February","March"},0)</f>
        <v>10</v>
      </c>
      <c r="Q1909" s="3">
        <f t="shared" si="58"/>
        <v>6.169574132960861E-2</v>
      </c>
      <c r="R1909" t="str">
        <f t="shared" si="59"/>
        <v>January</v>
      </c>
    </row>
    <row r="1910" spans="1:18" x14ac:dyDescent="0.35">
      <c r="A1910" t="s">
        <v>445</v>
      </c>
      <c r="B1910" t="s">
        <v>62</v>
      </c>
      <c r="C1910" t="s">
        <v>63</v>
      </c>
      <c r="D1910" t="s">
        <v>64</v>
      </c>
      <c r="E1910">
        <v>18079</v>
      </c>
      <c r="F1910">
        <v>10990</v>
      </c>
      <c r="G1910">
        <v>7513</v>
      </c>
      <c r="H1910">
        <v>339</v>
      </c>
      <c r="I1910">
        <v>1129</v>
      </c>
      <c r="J1910">
        <v>1030</v>
      </c>
      <c r="K1910" s="1">
        <v>46023</v>
      </c>
      <c r="L1910" t="s">
        <v>446</v>
      </c>
      <c r="M1910" t="s">
        <v>444</v>
      </c>
      <c r="N1910" s="2">
        <f>IFERROR(NHS_A_E[[#This Row],[T1_Over4hrs]]/NHS_A_E[[#This Row],[T1_Attendances]], 0)</f>
        <v>0.41556502018916974</v>
      </c>
      <c r="O1910">
        <f>NHS_A_E[[#This Row],[T1_Attendances]]+NHS_A_E[[#This Row],[Other_Attendances]]</f>
        <v>29069</v>
      </c>
      <c r="P1910">
        <f>MATCH(LEFT(A1910,FIND("-",A1910)-1),{"April","May","June","July","August","September","October","November","December","January","February","March"},0)</f>
        <v>10</v>
      </c>
      <c r="Q1910" s="3">
        <f t="shared" si="58"/>
        <v>5.697217766469384E-2</v>
      </c>
      <c r="R1910" t="str">
        <f t="shared" si="59"/>
        <v>January</v>
      </c>
    </row>
    <row r="1911" spans="1:18" x14ac:dyDescent="0.35">
      <c r="A1911" t="s">
        <v>445</v>
      </c>
      <c r="B1911" t="s">
        <v>60</v>
      </c>
      <c r="C1911" t="s">
        <v>35</v>
      </c>
      <c r="D1911" t="s">
        <v>61</v>
      </c>
      <c r="E1911">
        <v>20360</v>
      </c>
      <c r="F1911">
        <v>6587</v>
      </c>
      <c r="G1911">
        <v>6068</v>
      </c>
      <c r="H1911">
        <v>197</v>
      </c>
      <c r="I1911">
        <v>1360</v>
      </c>
      <c r="J1911">
        <v>54</v>
      </c>
      <c r="K1911" s="1">
        <v>46023</v>
      </c>
      <c r="L1911" t="s">
        <v>446</v>
      </c>
      <c r="M1911" t="s">
        <v>444</v>
      </c>
      <c r="N1911" s="2">
        <f>IFERROR(NHS_A_E[[#This Row],[T1_Over4hrs]]/NHS_A_E[[#This Row],[T1_Attendances]], 0)</f>
        <v>0.29803536345776033</v>
      </c>
      <c r="O1911">
        <f>NHS_A_E[[#This Row],[T1_Attendances]]+NHS_A_E[[#This Row],[Other_Attendances]]</f>
        <v>26947</v>
      </c>
      <c r="P1911">
        <f>MATCH(LEFT(A1911,FIND("-",A1911)-1),{"April","May","June","July","August","September","October","November","December","January","February","March"},0)</f>
        <v>10</v>
      </c>
      <c r="Q1911" s="3">
        <f t="shared" si="58"/>
        <v>2.6522593320235754E-3</v>
      </c>
      <c r="R1911" t="str">
        <f t="shared" si="59"/>
        <v>January</v>
      </c>
    </row>
    <row r="1912" spans="1:18" x14ac:dyDescent="0.35">
      <c r="A1912" t="s">
        <v>445</v>
      </c>
      <c r="B1912" t="s">
        <v>129</v>
      </c>
      <c r="C1912" t="s">
        <v>63</v>
      </c>
      <c r="D1912" t="s">
        <v>130</v>
      </c>
      <c r="E1912">
        <v>13844</v>
      </c>
      <c r="F1912">
        <v>3975</v>
      </c>
      <c r="G1912">
        <v>5716</v>
      </c>
      <c r="H1912">
        <v>2</v>
      </c>
      <c r="I1912">
        <v>1288</v>
      </c>
      <c r="J1912">
        <v>339</v>
      </c>
      <c r="K1912" s="1">
        <v>46023</v>
      </c>
      <c r="L1912" t="s">
        <v>446</v>
      </c>
      <c r="M1912" t="s">
        <v>444</v>
      </c>
      <c r="N1912" s="2">
        <f>IFERROR(NHS_A_E[[#This Row],[T1_Over4hrs]]/NHS_A_E[[#This Row],[T1_Attendances]], 0)</f>
        <v>0.41288644900317828</v>
      </c>
      <c r="O1912">
        <f>NHS_A_E[[#This Row],[T1_Attendances]]+NHS_A_E[[#This Row],[Other_Attendances]]</f>
        <v>17819</v>
      </c>
      <c r="P1912">
        <f>MATCH(LEFT(A1912,FIND("-",A1912)-1),{"April","May","June","July","August","September","October","November","December","January","February","March"},0)</f>
        <v>10</v>
      </c>
      <c r="Q1912" s="3">
        <f t="shared" si="58"/>
        <v>2.4487142444380237E-2</v>
      </c>
      <c r="R1912" t="str">
        <f t="shared" si="59"/>
        <v>January</v>
      </c>
    </row>
    <row r="1913" spans="1:18" x14ac:dyDescent="0.35">
      <c r="A1913" t="s">
        <v>445</v>
      </c>
      <c r="B1913" t="s">
        <v>50</v>
      </c>
      <c r="C1913" t="s">
        <v>15</v>
      </c>
      <c r="D1913" t="s">
        <v>51</v>
      </c>
      <c r="E1913">
        <v>11427</v>
      </c>
      <c r="F1913">
        <v>3776</v>
      </c>
      <c r="G1913">
        <v>3042</v>
      </c>
      <c r="H1913">
        <v>28</v>
      </c>
      <c r="I1913">
        <v>536</v>
      </c>
      <c r="J1913">
        <v>502</v>
      </c>
      <c r="K1913" s="1">
        <v>46023</v>
      </c>
      <c r="L1913" t="s">
        <v>446</v>
      </c>
      <c r="M1913" t="s">
        <v>444</v>
      </c>
      <c r="N1913" s="2">
        <f>IFERROR(NHS_A_E[[#This Row],[T1_Over4hrs]]/NHS_A_E[[#This Row],[T1_Attendances]], 0)</f>
        <v>0.26621160409556316</v>
      </c>
      <c r="O1913">
        <f>NHS_A_E[[#This Row],[T1_Attendances]]+NHS_A_E[[#This Row],[Other_Attendances]]</f>
        <v>15203</v>
      </c>
      <c r="P1913">
        <f>MATCH(LEFT(A1913,FIND("-",A1913)-1),{"April","May","June","July","August","September","October","November","December","January","February","March"},0)</f>
        <v>10</v>
      </c>
      <c r="Q1913" s="3">
        <f t="shared" si="58"/>
        <v>4.3931040518071236E-2</v>
      </c>
      <c r="R1913" t="str">
        <f t="shared" si="59"/>
        <v>January</v>
      </c>
    </row>
    <row r="1914" spans="1:18" x14ac:dyDescent="0.35">
      <c r="A1914" t="s">
        <v>445</v>
      </c>
      <c r="B1914" t="s">
        <v>213</v>
      </c>
      <c r="C1914" t="s">
        <v>23</v>
      </c>
      <c r="D1914" t="s">
        <v>214</v>
      </c>
      <c r="E1914">
        <v>11197</v>
      </c>
      <c r="F1914">
        <v>5116</v>
      </c>
      <c r="G1914">
        <v>5218</v>
      </c>
      <c r="H1914">
        <v>110</v>
      </c>
      <c r="I1914">
        <v>538</v>
      </c>
      <c r="J1914">
        <v>729</v>
      </c>
      <c r="K1914" s="1">
        <v>46023</v>
      </c>
      <c r="L1914" t="s">
        <v>446</v>
      </c>
      <c r="M1914" t="s">
        <v>444</v>
      </c>
      <c r="N1914" s="2">
        <f>IFERROR(NHS_A_E[[#This Row],[T1_Over4hrs]]/NHS_A_E[[#This Row],[T1_Attendances]], 0)</f>
        <v>0.46601768330802895</v>
      </c>
      <c r="O1914">
        <f>NHS_A_E[[#This Row],[T1_Attendances]]+NHS_A_E[[#This Row],[Other_Attendances]]</f>
        <v>16313</v>
      </c>
      <c r="P1914">
        <f>MATCH(LEFT(A1914,FIND("-",A1914)-1),{"April","May","June","July","August","September","October","November","December","January","February","March"},0)</f>
        <v>10</v>
      </c>
      <c r="Q1914" s="3">
        <f t="shared" si="58"/>
        <v>6.5106725015629183E-2</v>
      </c>
      <c r="R1914" t="str">
        <f t="shared" si="59"/>
        <v>January</v>
      </c>
    </row>
    <row r="1915" spans="1:18" x14ac:dyDescent="0.35">
      <c r="A1915" t="s">
        <v>445</v>
      </c>
      <c r="B1915" t="s">
        <v>357</v>
      </c>
      <c r="C1915" t="s">
        <v>20</v>
      </c>
      <c r="D1915" t="s">
        <v>358</v>
      </c>
      <c r="E1915">
        <v>6337</v>
      </c>
      <c r="F1915">
        <v>5333</v>
      </c>
      <c r="G1915">
        <v>3548</v>
      </c>
      <c r="H1915">
        <v>339</v>
      </c>
      <c r="I1915">
        <v>527</v>
      </c>
      <c r="J1915">
        <v>463</v>
      </c>
      <c r="K1915" s="1">
        <v>46023</v>
      </c>
      <c r="L1915" t="s">
        <v>446</v>
      </c>
      <c r="M1915" t="s">
        <v>444</v>
      </c>
      <c r="N1915" s="2">
        <f>IFERROR(NHS_A_E[[#This Row],[T1_Over4hrs]]/NHS_A_E[[#This Row],[T1_Attendances]], 0)</f>
        <v>0.55988638156856552</v>
      </c>
      <c r="O1915">
        <f>NHS_A_E[[#This Row],[T1_Attendances]]+NHS_A_E[[#This Row],[Other_Attendances]]</f>
        <v>11670</v>
      </c>
      <c r="P1915">
        <f>MATCH(LEFT(A1915,FIND("-",A1915)-1),{"April","May","June","July","August","September","October","November","December","January","February","March"},0)</f>
        <v>10</v>
      </c>
      <c r="Q1915" s="3">
        <f t="shared" si="58"/>
        <v>7.306296354741991E-2</v>
      </c>
      <c r="R1915" t="str">
        <f t="shared" si="59"/>
        <v>January</v>
      </c>
    </row>
    <row r="1916" spans="1:18" x14ac:dyDescent="0.35">
      <c r="A1916" t="s">
        <v>445</v>
      </c>
      <c r="B1916" t="s">
        <v>103</v>
      </c>
      <c r="C1916" t="s">
        <v>20</v>
      </c>
      <c r="D1916" t="s">
        <v>104</v>
      </c>
      <c r="E1916">
        <v>11844</v>
      </c>
      <c r="F1916">
        <v>9157</v>
      </c>
      <c r="G1916">
        <v>6579</v>
      </c>
      <c r="H1916">
        <v>309</v>
      </c>
      <c r="I1916">
        <v>839</v>
      </c>
      <c r="J1916">
        <v>330</v>
      </c>
      <c r="K1916" s="1">
        <v>46023</v>
      </c>
      <c r="L1916" t="s">
        <v>446</v>
      </c>
      <c r="M1916" t="s">
        <v>444</v>
      </c>
      <c r="N1916" s="2">
        <f>IFERROR(NHS_A_E[[#This Row],[T1_Over4hrs]]/NHS_A_E[[#This Row],[T1_Attendances]], 0)</f>
        <v>0.55547112462006076</v>
      </c>
      <c r="O1916">
        <f>NHS_A_E[[#This Row],[T1_Attendances]]+NHS_A_E[[#This Row],[Other_Attendances]]</f>
        <v>21001</v>
      </c>
      <c r="P1916">
        <f>MATCH(LEFT(A1916,FIND("-",A1916)-1),{"April","May","June","July","August","September","October","November","December","January","February","March"},0)</f>
        <v>10</v>
      </c>
      <c r="Q1916" s="3">
        <f t="shared" si="58"/>
        <v>2.7862208713272545E-2</v>
      </c>
      <c r="R1916" t="str">
        <f t="shared" si="59"/>
        <v>January</v>
      </c>
    </row>
    <row r="1917" spans="1:18" x14ac:dyDescent="0.35">
      <c r="A1917" t="s">
        <v>445</v>
      </c>
      <c r="B1917" t="s">
        <v>217</v>
      </c>
      <c r="C1917" t="s">
        <v>15</v>
      </c>
      <c r="D1917" t="s">
        <v>218</v>
      </c>
      <c r="E1917">
        <v>10362</v>
      </c>
      <c r="F1917">
        <v>4004</v>
      </c>
      <c r="G1917">
        <v>6010</v>
      </c>
      <c r="H1917">
        <v>279</v>
      </c>
      <c r="I1917">
        <v>429</v>
      </c>
      <c r="J1917">
        <v>53</v>
      </c>
      <c r="K1917" s="1">
        <v>46023</v>
      </c>
      <c r="L1917" t="s">
        <v>446</v>
      </c>
      <c r="M1917" t="s">
        <v>444</v>
      </c>
      <c r="N1917" s="2">
        <f>IFERROR(NHS_A_E[[#This Row],[T1_Over4hrs]]/NHS_A_E[[#This Row],[T1_Attendances]], 0)</f>
        <v>0.58000386025863737</v>
      </c>
      <c r="O1917">
        <f>NHS_A_E[[#This Row],[T1_Attendances]]+NHS_A_E[[#This Row],[Other_Attendances]]</f>
        <v>14366</v>
      </c>
      <c r="P1917">
        <f>MATCH(LEFT(A1917,FIND("-",A1917)-1),{"April","May","June","July","August","September","October","November","December","January","February","March"},0)</f>
        <v>10</v>
      </c>
      <c r="Q1917" s="3">
        <f t="shared" si="58"/>
        <v>5.1148426944605287E-3</v>
      </c>
      <c r="R1917" t="str">
        <f t="shared" si="59"/>
        <v>January</v>
      </c>
    </row>
    <row r="1918" spans="1:18" x14ac:dyDescent="0.35">
      <c r="A1918" t="s">
        <v>445</v>
      </c>
      <c r="B1918" t="s">
        <v>179</v>
      </c>
      <c r="C1918" t="s">
        <v>40</v>
      </c>
      <c r="D1918" t="s">
        <v>180</v>
      </c>
      <c r="E1918">
        <v>17164</v>
      </c>
      <c r="F1918">
        <v>4565</v>
      </c>
      <c r="G1918">
        <v>7743</v>
      </c>
      <c r="H1918">
        <v>357</v>
      </c>
      <c r="I1918">
        <v>655</v>
      </c>
      <c r="J1918">
        <v>1595</v>
      </c>
      <c r="K1918" s="1">
        <v>46023</v>
      </c>
      <c r="L1918" t="s">
        <v>446</v>
      </c>
      <c r="M1918" t="s">
        <v>444</v>
      </c>
      <c r="N1918" s="2">
        <f>IFERROR(NHS_A_E[[#This Row],[T1_Over4hrs]]/NHS_A_E[[#This Row],[T1_Attendances]], 0)</f>
        <v>0.45111862036821254</v>
      </c>
      <c r="O1918">
        <f>NHS_A_E[[#This Row],[T1_Attendances]]+NHS_A_E[[#This Row],[Other_Attendances]]</f>
        <v>21729</v>
      </c>
      <c r="P1918">
        <f>MATCH(LEFT(A1918,FIND("-",A1918)-1),{"April","May","June","July","August","September","October","November","December","January","February","March"},0)</f>
        <v>10</v>
      </c>
      <c r="Q1918" s="3">
        <f t="shared" si="58"/>
        <v>9.2927056630156143E-2</v>
      </c>
      <c r="R1918" t="str">
        <f t="shared" si="59"/>
        <v>January</v>
      </c>
    </row>
    <row r="1919" spans="1:18" x14ac:dyDescent="0.35">
      <c r="A1919" t="s">
        <v>445</v>
      </c>
      <c r="B1919" t="s">
        <v>339</v>
      </c>
      <c r="C1919" t="s">
        <v>20</v>
      </c>
      <c r="D1919" t="s">
        <v>340</v>
      </c>
      <c r="E1919">
        <v>15960</v>
      </c>
      <c r="F1919">
        <v>0</v>
      </c>
      <c r="G1919">
        <v>6011</v>
      </c>
      <c r="H1919">
        <v>0</v>
      </c>
      <c r="I1919">
        <v>1077</v>
      </c>
      <c r="J1919">
        <v>793</v>
      </c>
      <c r="K1919" s="1">
        <v>46023</v>
      </c>
      <c r="L1919" t="s">
        <v>446</v>
      </c>
      <c r="M1919" t="s">
        <v>444</v>
      </c>
      <c r="N1919" s="2">
        <f>IFERROR(NHS_A_E[[#This Row],[T1_Over4hrs]]/NHS_A_E[[#This Row],[T1_Attendances]], 0)</f>
        <v>0.37662907268170426</v>
      </c>
      <c r="O1919">
        <f>NHS_A_E[[#This Row],[T1_Attendances]]+NHS_A_E[[#This Row],[Other_Attendances]]</f>
        <v>15960</v>
      </c>
      <c r="P1919">
        <f>MATCH(LEFT(A1919,FIND("-",A1919)-1),{"April","May","June","July","August","September","October","November","December","January","February","March"},0)</f>
        <v>10</v>
      </c>
      <c r="Q1919" s="3">
        <f t="shared" si="58"/>
        <v>4.9686716791979953E-2</v>
      </c>
      <c r="R1919" t="str">
        <f t="shared" si="59"/>
        <v>January</v>
      </c>
    </row>
    <row r="1920" spans="1:18" x14ac:dyDescent="0.35">
      <c r="A1920" t="s">
        <v>445</v>
      </c>
      <c r="B1920" t="s">
        <v>309</v>
      </c>
      <c r="C1920" t="s">
        <v>30</v>
      </c>
      <c r="D1920" t="s">
        <v>310</v>
      </c>
      <c r="E1920">
        <v>0</v>
      </c>
      <c r="F1920">
        <v>1552</v>
      </c>
      <c r="G1920">
        <v>0</v>
      </c>
      <c r="H1920">
        <v>4</v>
      </c>
      <c r="I1920">
        <v>0</v>
      </c>
      <c r="J1920">
        <v>0</v>
      </c>
      <c r="K1920" s="1">
        <v>46023</v>
      </c>
      <c r="L1920" t="s">
        <v>446</v>
      </c>
      <c r="M1920" t="s">
        <v>444</v>
      </c>
      <c r="N1920" s="2">
        <f>IFERROR(NHS_A_E[[#This Row],[T1_Over4hrs]]/NHS_A_E[[#This Row],[T1_Attendances]], 0)</f>
        <v>0</v>
      </c>
      <c r="O1920">
        <f>NHS_A_E[[#This Row],[T1_Attendances]]+NHS_A_E[[#This Row],[Other_Attendances]]</f>
        <v>1552</v>
      </c>
      <c r="P1920">
        <f>MATCH(LEFT(A1920,FIND("-",A1920)-1),{"April","May","June","July","August","September","October","November","December","January","February","March"},0)</f>
        <v>10</v>
      </c>
      <c r="Q1920" s="3">
        <f t="shared" si="58"/>
        <v>0</v>
      </c>
      <c r="R1920" t="str">
        <f t="shared" si="59"/>
        <v>January</v>
      </c>
    </row>
    <row r="1921" spans="1:18" x14ac:dyDescent="0.35">
      <c r="A1921" t="s">
        <v>445</v>
      </c>
      <c r="B1921" t="s">
        <v>283</v>
      </c>
      <c r="C1921" t="s">
        <v>15</v>
      </c>
      <c r="D1921" t="s">
        <v>284</v>
      </c>
      <c r="E1921">
        <v>0</v>
      </c>
      <c r="F1921">
        <v>2705</v>
      </c>
      <c r="G1921">
        <v>0</v>
      </c>
      <c r="H1921">
        <v>13</v>
      </c>
      <c r="I1921">
        <v>0</v>
      </c>
      <c r="J1921">
        <v>0</v>
      </c>
      <c r="K1921" s="1">
        <v>46023</v>
      </c>
      <c r="L1921" t="s">
        <v>446</v>
      </c>
      <c r="M1921" t="s">
        <v>444</v>
      </c>
      <c r="N1921" s="2">
        <f>IFERROR(NHS_A_E[[#This Row],[T1_Over4hrs]]/NHS_A_E[[#This Row],[T1_Attendances]], 0)</f>
        <v>0</v>
      </c>
      <c r="O1921">
        <f>NHS_A_E[[#This Row],[T1_Attendances]]+NHS_A_E[[#This Row],[Other_Attendances]]</f>
        <v>2705</v>
      </c>
      <c r="P1921">
        <f>MATCH(LEFT(A1921,FIND("-",A1921)-1),{"April","May","June","July","August","September","October","November","December","January","February","March"},0)</f>
        <v>10</v>
      </c>
      <c r="Q1921" s="3">
        <f t="shared" si="58"/>
        <v>0</v>
      </c>
      <c r="R1921" t="str">
        <f t="shared" si="59"/>
        <v>January</v>
      </c>
    </row>
    <row r="1922" spans="1:18" x14ac:dyDescent="0.35">
      <c r="A1922" t="s">
        <v>445</v>
      </c>
      <c r="B1922" t="s">
        <v>149</v>
      </c>
      <c r="C1922" t="s">
        <v>15</v>
      </c>
      <c r="D1922" t="s">
        <v>150</v>
      </c>
      <c r="E1922">
        <v>10780</v>
      </c>
      <c r="F1922">
        <v>3094</v>
      </c>
      <c r="G1922">
        <v>4300</v>
      </c>
      <c r="H1922">
        <v>0</v>
      </c>
      <c r="I1922">
        <v>719</v>
      </c>
      <c r="J1922">
        <v>1400</v>
      </c>
      <c r="K1922" s="1">
        <v>46023</v>
      </c>
      <c r="L1922" t="s">
        <v>446</v>
      </c>
      <c r="M1922" t="s">
        <v>444</v>
      </c>
      <c r="N1922" s="2">
        <f>IFERROR(NHS_A_E[[#This Row],[T1_Over4hrs]]/NHS_A_E[[#This Row],[T1_Attendances]], 0)</f>
        <v>0.39888682745825604</v>
      </c>
      <c r="O1922">
        <f>NHS_A_E[[#This Row],[T1_Attendances]]+NHS_A_E[[#This Row],[Other_Attendances]]</f>
        <v>13874</v>
      </c>
      <c r="P1922">
        <f>MATCH(LEFT(A1922,FIND("-",A1922)-1),{"April","May","June","July","August","September","October","November","December","January","February","March"},0)</f>
        <v>10</v>
      </c>
      <c r="Q1922" s="3">
        <f t="shared" ref="Q1922:Q1985" si="60">IFERROR(J1922/E1922,0)</f>
        <v>0.12987012987012986</v>
      </c>
      <c r="R1922" t="str">
        <f t="shared" ref="R1922:R1985" si="61">TEXT(A1922, "mmmm")</f>
        <v>January</v>
      </c>
    </row>
    <row r="1923" spans="1:18" x14ac:dyDescent="0.35">
      <c r="A1923" t="s">
        <v>445</v>
      </c>
      <c r="B1923" t="s">
        <v>305</v>
      </c>
      <c r="C1923" t="s">
        <v>30</v>
      </c>
      <c r="D1923" t="s">
        <v>306</v>
      </c>
      <c r="E1923">
        <v>0</v>
      </c>
      <c r="F1923">
        <v>1700</v>
      </c>
      <c r="G1923">
        <v>0</v>
      </c>
      <c r="H1923">
        <v>0</v>
      </c>
      <c r="I1923">
        <v>0</v>
      </c>
      <c r="J1923">
        <v>0</v>
      </c>
      <c r="K1923" s="1">
        <v>46023</v>
      </c>
      <c r="L1923" t="s">
        <v>446</v>
      </c>
      <c r="M1923" t="s">
        <v>444</v>
      </c>
      <c r="N1923" s="2">
        <f>IFERROR(NHS_A_E[[#This Row],[T1_Over4hrs]]/NHS_A_E[[#This Row],[T1_Attendances]], 0)</f>
        <v>0</v>
      </c>
      <c r="O1923">
        <f>NHS_A_E[[#This Row],[T1_Attendances]]+NHS_A_E[[#This Row],[Other_Attendances]]</f>
        <v>1700</v>
      </c>
      <c r="P1923">
        <f>MATCH(LEFT(A1923,FIND("-",A1923)-1),{"April","May","June","July","August","September","October","November","December","January","February","March"},0)</f>
        <v>10</v>
      </c>
      <c r="Q1923" s="3">
        <f t="shared" si="60"/>
        <v>0</v>
      </c>
      <c r="R1923" t="str">
        <f t="shared" si="61"/>
        <v>January</v>
      </c>
    </row>
    <row r="1924" spans="1:18" x14ac:dyDescent="0.35">
      <c r="A1924" t="s">
        <v>445</v>
      </c>
      <c r="B1924" t="s">
        <v>89</v>
      </c>
      <c r="C1924" t="s">
        <v>35</v>
      </c>
      <c r="D1924" t="s">
        <v>90</v>
      </c>
      <c r="E1924">
        <v>27220</v>
      </c>
      <c r="F1924">
        <v>15730</v>
      </c>
      <c r="G1924">
        <v>9515</v>
      </c>
      <c r="H1924">
        <v>1108</v>
      </c>
      <c r="I1924">
        <v>739</v>
      </c>
      <c r="J1924">
        <v>2508</v>
      </c>
      <c r="K1924" s="1">
        <v>46023</v>
      </c>
      <c r="L1924" t="s">
        <v>446</v>
      </c>
      <c r="M1924" t="s">
        <v>444</v>
      </c>
      <c r="N1924" s="2">
        <f>IFERROR(NHS_A_E[[#This Row],[T1_Over4hrs]]/NHS_A_E[[#This Row],[T1_Attendances]], 0)</f>
        <v>0.34955914768552537</v>
      </c>
      <c r="O1924">
        <f>NHS_A_E[[#This Row],[T1_Attendances]]+NHS_A_E[[#This Row],[Other_Attendances]]</f>
        <v>42950</v>
      </c>
      <c r="P1924">
        <f>MATCH(LEFT(A1924,FIND("-",A1924)-1),{"April","May","June","July","August","September","October","November","December","January","February","March"},0)</f>
        <v>10</v>
      </c>
      <c r="Q1924" s="3">
        <f t="shared" si="60"/>
        <v>9.2138133725202062E-2</v>
      </c>
      <c r="R1924" t="str">
        <f t="shared" si="61"/>
        <v>January</v>
      </c>
    </row>
    <row r="1925" spans="1:18" x14ac:dyDescent="0.35">
      <c r="A1925" t="s">
        <v>445</v>
      </c>
      <c r="B1925" t="s">
        <v>151</v>
      </c>
      <c r="C1925" t="s">
        <v>30</v>
      </c>
      <c r="D1925" t="s">
        <v>152</v>
      </c>
      <c r="E1925">
        <v>26583</v>
      </c>
      <c r="F1925">
        <v>9672</v>
      </c>
      <c r="G1925">
        <v>10504</v>
      </c>
      <c r="H1925">
        <v>266</v>
      </c>
      <c r="I1925">
        <v>893</v>
      </c>
      <c r="J1925">
        <v>1610</v>
      </c>
      <c r="K1925" s="1">
        <v>46023</v>
      </c>
      <c r="L1925" t="s">
        <v>446</v>
      </c>
      <c r="M1925" t="s">
        <v>444</v>
      </c>
      <c r="N1925" s="2">
        <f>IFERROR(NHS_A_E[[#This Row],[T1_Over4hrs]]/NHS_A_E[[#This Row],[T1_Attendances]], 0)</f>
        <v>0.39513975096866416</v>
      </c>
      <c r="O1925">
        <f>NHS_A_E[[#This Row],[T1_Attendances]]+NHS_A_E[[#This Row],[Other_Attendances]]</f>
        <v>36255</v>
      </c>
      <c r="P1925">
        <f>MATCH(LEFT(A1925,FIND("-",A1925)-1),{"April","May","June","July","August","September","October","November","December","January","February","March"},0)</f>
        <v>10</v>
      </c>
      <c r="Q1925" s="3">
        <f t="shared" si="60"/>
        <v>6.0565022758906066E-2</v>
      </c>
      <c r="R1925" t="str">
        <f t="shared" si="61"/>
        <v>January</v>
      </c>
    </row>
    <row r="1926" spans="1:18" x14ac:dyDescent="0.35">
      <c r="A1926" t="s">
        <v>445</v>
      </c>
      <c r="B1926" t="s">
        <v>83</v>
      </c>
      <c r="C1926" t="s">
        <v>35</v>
      </c>
      <c r="D1926" t="s">
        <v>84</v>
      </c>
      <c r="E1926">
        <v>13710</v>
      </c>
      <c r="F1926">
        <v>15810</v>
      </c>
      <c r="G1926">
        <v>7893</v>
      </c>
      <c r="H1926">
        <v>624</v>
      </c>
      <c r="I1926">
        <v>802</v>
      </c>
      <c r="J1926">
        <v>776</v>
      </c>
      <c r="K1926" s="1">
        <v>46023</v>
      </c>
      <c r="L1926" t="s">
        <v>446</v>
      </c>
      <c r="M1926" t="s">
        <v>444</v>
      </c>
      <c r="N1926" s="2">
        <f>IFERROR(NHS_A_E[[#This Row],[T1_Over4hrs]]/NHS_A_E[[#This Row],[T1_Attendances]], 0)</f>
        <v>0.57571115973741793</v>
      </c>
      <c r="O1926">
        <f>NHS_A_E[[#This Row],[T1_Attendances]]+NHS_A_E[[#This Row],[Other_Attendances]]</f>
        <v>29520</v>
      </c>
      <c r="P1926">
        <f>MATCH(LEFT(A1926,FIND("-",A1926)-1),{"April","May","June","July","August","September","October","November","December","January","February","March"},0)</f>
        <v>10</v>
      </c>
      <c r="Q1926" s="3">
        <f t="shared" si="60"/>
        <v>5.6601021152443469E-2</v>
      </c>
      <c r="R1926" t="str">
        <f t="shared" si="61"/>
        <v>January</v>
      </c>
    </row>
    <row r="1927" spans="1:18" x14ac:dyDescent="0.35">
      <c r="A1927" t="s">
        <v>445</v>
      </c>
      <c r="B1927" t="s">
        <v>155</v>
      </c>
      <c r="C1927" t="s">
        <v>15</v>
      </c>
      <c r="D1927" t="s">
        <v>156</v>
      </c>
      <c r="E1927">
        <v>11180</v>
      </c>
      <c r="F1927">
        <v>2623</v>
      </c>
      <c r="G1927">
        <v>4292</v>
      </c>
      <c r="H1927">
        <v>0</v>
      </c>
      <c r="I1927">
        <v>336</v>
      </c>
      <c r="J1927">
        <v>11</v>
      </c>
      <c r="K1927" s="1">
        <v>46023</v>
      </c>
      <c r="L1927" t="s">
        <v>446</v>
      </c>
      <c r="M1927" t="s">
        <v>444</v>
      </c>
      <c r="N1927" s="2">
        <f>IFERROR(NHS_A_E[[#This Row],[T1_Over4hrs]]/NHS_A_E[[#This Row],[T1_Attendances]], 0)</f>
        <v>0.38389982110912346</v>
      </c>
      <c r="O1927">
        <f>NHS_A_E[[#This Row],[T1_Attendances]]+NHS_A_E[[#This Row],[Other_Attendances]]</f>
        <v>13803</v>
      </c>
      <c r="P1927">
        <f>MATCH(LEFT(A1927,FIND("-",A1927)-1),{"April","May","June","July","August","September","October","November","December","January","February","March"},0)</f>
        <v>10</v>
      </c>
      <c r="Q1927" s="3">
        <f t="shared" si="60"/>
        <v>9.838998211091235E-4</v>
      </c>
      <c r="R1927" t="str">
        <f t="shared" si="61"/>
        <v>January</v>
      </c>
    </row>
    <row r="1928" spans="1:18" x14ac:dyDescent="0.35">
      <c r="A1928" t="s">
        <v>445</v>
      </c>
      <c r="B1928" t="s">
        <v>211</v>
      </c>
      <c r="C1928" t="s">
        <v>30</v>
      </c>
      <c r="D1928" t="s">
        <v>212</v>
      </c>
      <c r="E1928">
        <v>7867</v>
      </c>
      <c r="F1928">
        <v>2784</v>
      </c>
      <c r="G1928">
        <v>4561</v>
      </c>
      <c r="H1928">
        <v>79</v>
      </c>
      <c r="I1928">
        <v>412</v>
      </c>
      <c r="J1928">
        <v>1051</v>
      </c>
      <c r="K1928" s="1">
        <v>46023</v>
      </c>
      <c r="L1928" t="s">
        <v>446</v>
      </c>
      <c r="M1928" t="s">
        <v>444</v>
      </c>
      <c r="N1928" s="2">
        <f>IFERROR(NHS_A_E[[#This Row],[T1_Over4hrs]]/NHS_A_E[[#This Row],[T1_Attendances]], 0)</f>
        <v>0.57976356934028217</v>
      </c>
      <c r="O1928">
        <f>NHS_A_E[[#This Row],[T1_Attendances]]+NHS_A_E[[#This Row],[Other_Attendances]]</f>
        <v>10651</v>
      </c>
      <c r="P1928">
        <f>MATCH(LEFT(A1928,FIND("-",A1928)-1),{"April","May","June","July","August","September","October","November","December","January","February","March"},0)</f>
        <v>10</v>
      </c>
      <c r="Q1928" s="3">
        <f t="shared" si="60"/>
        <v>0.13359603406635312</v>
      </c>
      <c r="R1928" t="str">
        <f t="shared" si="61"/>
        <v>January</v>
      </c>
    </row>
    <row r="1929" spans="1:18" x14ac:dyDescent="0.35">
      <c r="A1929" t="s">
        <v>445</v>
      </c>
      <c r="B1929" t="s">
        <v>243</v>
      </c>
      <c r="C1929" t="s">
        <v>23</v>
      </c>
      <c r="D1929" t="s">
        <v>244</v>
      </c>
      <c r="E1929">
        <v>0</v>
      </c>
      <c r="F1929">
        <v>1941</v>
      </c>
      <c r="G1929">
        <v>0</v>
      </c>
      <c r="H1929">
        <v>37</v>
      </c>
      <c r="I1929">
        <v>0</v>
      </c>
      <c r="J1929">
        <v>0</v>
      </c>
      <c r="K1929" s="1">
        <v>46023</v>
      </c>
      <c r="L1929" t="s">
        <v>446</v>
      </c>
      <c r="M1929" t="s">
        <v>444</v>
      </c>
      <c r="N1929" s="2">
        <f>IFERROR(NHS_A_E[[#This Row],[T1_Over4hrs]]/NHS_A_E[[#This Row],[T1_Attendances]], 0)</f>
        <v>0</v>
      </c>
      <c r="O1929">
        <f>NHS_A_E[[#This Row],[T1_Attendances]]+NHS_A_E[[#This Row],[Other_Attendances]]</f>
        <v>1941</v>
      </c>
      <c r="P1929">
        <f>MATCH(LEFT(A1929,FIND("-",A1929)-1),{"April","May","June","July","August","September","October","November","December","January","February","March"},0)</f>
        <v>10</v>
      </c>
      <c r="Q1929" s="3">
        <f t="shared" si="60"/>
        <v>0</v>
      </c>
      <c r="R1929" t="str">
        <f t="shared" si="61"/>
        <v>January</v>
      </c>
    </row>
    <row r="1930" spans="1:18" x14ac:dyDescent="0.35">
      <c r="A1930" t="s">
        <v>445</v>
      </c>
      <c r="B1930" t="s">
        <v>267</v>
      </c>
      <c r="C1930" t="s">
        <v>15</v>
      </c>
      <c r="D1930" t="s">
        <v>268</v>
      </c>
      <c r="E1930">
        <v>0</v>
      </c>
      <c r="F1930">
        <v>6460</v>
      </c>
      <c r="G1930">
        <v>0</v>
      </c>
      <c r="H1930">
        <v>38</v>
      </c>
      <c r="I1930">
        <v>0</v>
      </c>
      <c r="J1930">
        <v>0</v>
      </c>
      <c r="K1930" s="1">
        <v>46023</v>
      </c>
      <c r="L1930" t="s">
        <v>446</v>
      </c>
      <c r="M1930" t="s">
        <v>444</v>
      </c>
      <c r="N1930" s="2">
        <f>IFERROR(NHS_A_E[[#This Row],[T1_Over4hrs]]/NHS_A_E[[#This Row],[T1_Attendances]], 0)</f>
        <v>0</v>
      </c>
      <c r="O1930">
        <f>NHS_A_E[[#This Row],[T1_Attendances]]+NHS_A_E[[#This Row],[Other_Attendances]]</f>
        <v>6460</v>
      </c>
      <c r="P1930">
        <f>MATCH(LEFT(A1930,FIND("-",A1930)-1),{"April","May","June","July","August","September","October","November","December","January","February","March"},0)</f>
        <v>10</v>
      </c>
      <c r="Q1930" s="3">
        <f t="shared" si="60"/>
        <v>0</v>
      </c>
      <c r="R1930" t="str">
        <f t="shared" si="61"/>
        <v>January</v>
      </c>
    </row>
    <row r="1931" spans="1:18" x14ac:dyDescent="0.35">
      <c r="A1931" t="s">
        <v>445</v>
      </c>
      <c r="B1931" t="s">
        <v>223</v>
      </c>
      <c r="C1931" t="s">
        <v>15</v>
      </c>
      <c r="D1931" t="s">
        <v>224</v>
      </c>
      <c r="E1931">
        <v>12324</v>
      </c>
      <c r="F1931">
        <v>3448</v>
      </c>
      <c r="G1931">
        <v>3953</v>
      </c>
      <c r="H1931">
        <v>53</v>
      </c>
      <c r="I1931">
        <v>620</v>
      </c>
      <c r="J1931">
        <v>23</v>
      </c>
      <c r="K1931" s="1">
        <v>46023</v>
      </c>
      <c r="L1931" t="s">
        <v>446</v>
      </c>
      <c r="M1931" t="s">
        <v>444</v>
      </c>
      <c r="N1931" s="2">
        <f>IFERROR(NHS_A_E[[#This Row],[T1_Over4hrs]]/NHS_A_E[[#This Row],[T1_Attendances]], 0)</f>
        <v>0.32075624797143787</v>
      </c>
      <c r="O1931">
        <f>NHS_A_E[[#This Row],[T1_Attendances]]+NHS_A_E[[#This Row],[Other_Attendances]]</f>
        <v>15772</v>
      </c>
      <c r="P1931">
        <f>MATCH(LEFT(A1931,FIND("-",A1931)-1),{"April","May","June","July","August","September","October","November","December","January","February","March"},0)</f>
        <v>10</v>
      </c>
      <c r="Q1931" s="3">
        <f t="shared" si="60"/>
        <v>1.8662771827328789E-3</v>
      </c>
      <c r="R1931" t="str">
        <f t="shared" si="61"/>
        <v>January</v>
      </c>
    </row>
    <row r="1932" spans="1:18" x14ac:dyDescent="0.35">
      <c r="A1932" t="s">
        <v>445</v>
      </c>
      <c r="B1932" t="s">
        <v>405</v>
      </c>
      <c r="C1932" t="s">
        <v>15</v>
      </c>
      <c r="D1932" t="s">
        <v>406</v>
      </c>
      <c r="E1932">
        <v>9581</v>
      </c>
      <c r="F1932">
        <v>5547</v>
      </c>
      <c r="G1932">
        <v>4097</v>
      </c>
      <c r="H1932">
        <v>766</v>
      </c>
      <c r="I1932">
        <v>312</v>
      </c>
      <c r="J1932">
        <v>869</v>
      </c>
      <c r="K1932" s="1">
        <v>46023</v>
      </c>
      <c r="L1932" t="s">
        <v>446</v>
      </c>
      <c r="M1932" t="s">
        <v>444</v>
      </c>
      <c r="N1932" s="2">
        <f>IFERROR(NHS_A_E[[#This Row],[T1_Over4hrs]]/NHS_A_E[[#This Row],[T1_Attendances]], 0)</f>
        <v>0.42761715896044256</v>
      </c>
      <c r="O1932">
        <f>NHS_A_E[[#This Row],[T1_Attendances]]+NHS_A_E[[#This Row],[Other_Attendances]]</f>
        <v>15128</v>
      </c>
      <c r="P1932">
        <f>MATCH(LEFT(A1932,FIND("-",A1932)-1),{"April","May","June","July","August","September","October","November","December","January","February","March"},0)</f>
        <v>10</v>
      </c>
      <c r="Q1932" s="3">
        <f t="shared" si="60"/>
        <v>9.0700344431687716E-2</v>
      </c>
      <c r="R1932" t="str">
        <f t="shared" si="61"/>
        <v>January</v>
      </c>
    </row>
    <row r="1933" spans="1:18" x14ac:dyDescent="0.35">
      <c r="A1933" t="s">
        <v>445</v>
      </c>
      <c r="B1933" t="s">
        <v>44</v>
      </c>
      <c r="C1933" t="s">
        <v>40</v>
      </c>
      <c r="D1933" t="s">
        <v>45</v>
      </c>
      <c r="E1933">
        <v>12635</v>
      </c>
      <c r="F1933">
        <v>5726</v>
      </c>
      <c r="G1933">
        <v>5477</v>
      </c>
      <c r="H1933">
        <v>88</v>
      </c>
      <c r="I1933">
        <v>46</v>
      </c>
      <c r="J1933">
        <v>8</v>
      </c>
      <c r="K1933" s="1">
        <v>46023</v>
      </c>
      <c r="L1933" t="s">
        <v>446</v>
      </c>
      <c r="M1933" t="s">
        <v>444</v>
      </c>
      <c r="N1933" s="2">
        <f>IFERROR(NHS_A_E[[#This Row],[T1_Over4hrs]]/NHS_A_E[[#This Row],[T1_Attendances]], 0)</f>
        <v>0.43347843292441629</v>
      </c>
      <c r="O1933">
        <f>NHS_A_E[[#This Row],[T1_Attendances]]+NHS_A_E[[#This Row],[Other_Attendances]]</f>
        <v>18361</v>
      </c>
      <c r="P1933">
        <f>MATCH(LEFT(A1933,FIND("-",A1933)-1),{"April","May","June","July","August","September","October","November","December","January","February","March"},0)</f>
        <v>10</v>
      </c>
      <c r="Q1933" s="3">
        <f t="shared" si="60"/>
        <v>6.3316185199841705E-4</v>
      </c>
      <c r="R1933" t="str">
        <f t="shared" si="61"/>
        <v>January</v>
      </c>
    </row>
    <row r="1934" spans="1:18" x14ac:dyDescent="0.35">
      <c r="A1934" t="s">
        <v>445</v>
      </c>
      <c r="B1934" t="s">
        <v>215</v>
      </c>
      <c r="C1934" t="s">
        <v>35</v>
      </c>
      <c r="D1934" t="s">
        <v>216</v>
      </c>
      <c r="E1934">
        <v>9068</v>
      </c>
      <c r="F1934">
        <v>3932</v>
      </c>
      <c r="G1934">
        <v>3013</v>
      </c>
      <c r="H1934">
        <v>119</v>
      </c>
      <c r="I1934">
        <v>432</v>
      </c>
      <c r="J1934">
        <v>697</v>
      </c>
      <c r="K1934" s="1">
        <v>46023</v>
      </c>
      <c r="L1934" t="s">
        <v>446</v>
      </c>
      <c r="M1934" t="s">
        <v>444</v>
      </c>
      <c r="N1934" s="2">
        <f>IFERROR(NHS_A_E[[#This Row],[T1_Over4hrs]]/NHS_A_E[[#This Row],[T1_Attendances]], 0)</f>
        <v>0.3322673136303485</v>
      </c>
      <c r="O1934">
        <f>NHS_A_E[[#This Row],[T1_Attendances]]+NHS_A_E[[#This Row],[Other_Attendances]]</f>
        <v>13000</v>
      </c>
      <c r="P1934">
        <f>MATCH(LEFT(A1934,FIND("-",A1934)-1),{"April","May","June","July","August","September","October","November","December","January","February","March"},0)</f>
        <v>10</v>
      </c>
      <c r="Q1934" s="3">
        <f t="shared" si="60"/>
        <v>7.6863696515218349E-2</v>
      </c>
      <c r="R1934" t="str">
        <f t="shared" si="61"/>
        <v>January</v>
      </c>
    </row>
    <row r="1935" spans="1:18" x14ac:dyDescent="0.35">
      <c r="A1935" t="s">
        <v>445</v>
      </c>
      <c r="B1935" t="s">
        <v>111</v>
      </c>
      <c r="C1935" t="s">
        <v>40</v>
      </c>
      <c r="D1935" t="s">
        <v>112</v>
      </c>
      <c r="E1935">
        <v>0</v>
      </c>
      <c r="F1935">
        <v>561</v>
      </c>
      <c r="G1935">
        <v>0</v>
      </c>
      <c r="H1935">
        <v>0</v>
      </c>
      <c r="I1935">
        <v>0</v>
      </c>
      <c r="J1935">
        <v>0</v>
      </c>
      <c r="K1935" s="1">
        <v>46023</v>
      </c>
      <c r="L1935" t="s">
        <v>446</v>
      </c>
      <c r="M1935" t="s">
        <v>444</v>
      </c>
      <c r="N1935" s="2">
        <f>IFERROR(NHS_A_E[[#This Row],[T1_Over4hrs]]/NHS_A_E[[#This Row],[T1_Attendances]], 0)</f>
        <v>0</v>
      </c>
      <c r="O1935">
        <f>NHS_A_E[[#This Row],[T1_Attendances]]+NHS_A_E[[#This Row],[Other_Attendances]]</f>
        <v>561</v>
      </c>
      <c r="P1935">
        <f>MATCH(LEFT(A1935,FIND("-",A1935)-1),{"April","May","June","July","August","September","October","November","December","January","February","March"},0)</f>
        <v>10</v>
      </c>
      <c r="Q1935" s="3">
        <f t="shared" si="60"/>
        <v>0</v>
      </c>
      <c r="R1935" t="str">
        <f t="shared" si="61"/>
        <v>January</v>
      </c>
    </row>
    <row r="1936" spans="1:18" x14ac:dyDescent="0.35">
      <c r="A1936" t="s">
        <v>445</v>
      </c>
      <c r="B1936" t="s">
        <v>133</v>
      </c>
      <c r="C1936" t="s">
        <v>15</v>
      </c>
      <c r="D1936" t="s">
        <v>134</v>
      </c>
      <c r="E1936">
        <v>0</v>
      </c>
      <c r="F1936">
        <v>1325</v>
      </c>
      <c r="G1936">
        <v>0</v>
      </c>
      <c r="H1936">
        <v>14</v>
      </c>
      <c r="I1936">
        <v>0</v>
      </c>
      <c r="J1936">
        <v>0</v>
      </c>
      <c r="K1936" s="1">
        <v>46023</v>
      </c>
      <c r="L1936" t="s">
        <v>446</v>
      </c>
      <c r="M1936" t="s">
        <v>444</v>
      </c>
      <c r="N1936" s="2">
        <f>IFERROR(NHS_A_E[[#This Row],[T1_Over4hrs]]/NHS_A_E[[#This Row],[T1_Attendances]], 0)</f>
        <v>0</v>
      </c>
      <c r="O1936">
        <f>NHS_A_E[[#This Row],[T1_Attendances]]+NHS_A_E[[#This Row],[Other_Attendances]]</f>
        <v>1325</v>
      </c>
      <c r="P1936">
        <f>MATCH(LEFT(A1936,FIND("-",A1936)-1),{"April","May","June","July","August","September","October","November","December","January","February","March"},0)</f>
        <v>10</v>
      </c>
      <c r="Q1936" s="3">
        <f t="shared" si="60"/>
        <v>0</v>
      </c>
      <c r="R1936" t="str">
        <f t="shared" si="61"/>
        <v>January</v>
      </c>
    </row>
    <row r="1937" spans="1:18" x14ac:dyDescent="0.35">
      <c r="A1937" t="s">
        <v>445</v>
      </c>
      <c r="B1937" t="s">
        <v>171</v>
      </c>
      <c r="C1937" t="s">
        <v>35</v>
      </c>
      <c r="D1937" t="s">
        <v>172</v>
      </c>
      <c r="E1937">
        <v>11244</v>
      </c>
      <c r="F1937">
        <v>2167</v>
      </c>
      <c r="G1937">
        <v>3440</v>
      </c>
      <c r="H1937">
        <v>203</v>
      </c>
      <c r="I1937">
        <v>580</v>
      </c>
      <c r="J1937">
        <v>913</v>
      </c>
      <c r="K1937" s="1">
        <v>46023</v>
      </c>
      <c r="L1937" t="s">
        <v>446</v>
      </c>
      <c r="M1937" t="s">
        <v>444</v>
      </c>
      <c r="N1937" s="2">
        <f>IFERROR(NHS_A_E[[#This Row],[T1_Over4hrs]]/NHS_A_E[[#This Row],[T1_Attendances]], 0)</f>
        <v>0.30594094628246177</v>
      </c>
      <c r="O1937">
        <f>NHS_A_E[[#This Row],[T1_Attendances]]+NHS_A_E[[#This Row],[Other_Attendances]]</f>
        <v>13411</v>
      </c>
      <c r="P1937">
        <f>MATCH(LEFT(A1937,FIND("-",A1937)-1),{"April","May","June","July","August","September","October","November","December","January","February","March"},0)</f>
        <v>10</v>
      </c>
      <c r="Q1937" s="3">
        <f t="shared" si="60"/>
        <v>8.1198861615083606E-2</v>
      </c>
      <c r="R1937" t="str">
        <f t="shared" si="61"/>
        <v>January</v>
      </c>
    </row>
    <row r="1938" spans="1:18" x14ac:dyDescent="0.35">
      <c r="A1938" t="s">
        <v>445</v>
      </c>
      <c r="B1938" t="s">
        <v>58</v>
      </c>
      <c r="C1938" t="s">
        <v>40</v>
      </c>
      <c r="D1938" t="s">
        <v>59</v>
      </c>
      <c r="E1938">
        <v>4501</v>
      </c>
      <c r="F1938">
        <v>0</v>
      </c>
      <c r="G1938">
        <v>1009</v>
      </c>
      <c r="H1938">
        <v>0</v>
      </c>
      <c r="I1938">
        <v>33</v>
      </c>
      <c r="J1938">
        <v>4</v>
      </c>
      <c r="K1938" s="1">
        <v>46023</v>
      </c>
      <c r="L1938" t="s">
        <v>446</v>
      </c>
      <c r="M1938" t="s">
        <v>444</v>
      </c>
      <c r="N1938" s="2">
        <f>IFERROR(NHS_A_E[[#This Row],[T1_Over4hrs]]/NHS_A_E[[#This Row],[T1_Attendances]], 0)</f>
        <v>0.22417240613197068</v>
      </c>
      <c r="O1938">
        <f>NHS_A_E[[#This Row],[T1_Attendances]]+NHS_A_E[[#This Row],[Other_Attendances]]</f>
        <v>4501</v>
      </c>
      <c r="P1938">
        <f>MATCH(LEFT(A1938,FIND("-",A1938)-1),{"April","May","June","July","August","September","October","November","December","January","February","March"},0)</f>
        <v>10</v>
      </c>
      <c r="Q1938" s="3">
        <f t="shared" si="60"/>
        <v>8.8869140191068653E-4</v>
      </c>
      <c r="R1938" t="str">
        <f t="shared" si="61"/>
        <v>January</v>
      </c>
    </row>
    <row r="1939" spans="1:18" x14ac:dyDescent="0.35">
      <c r="A1939" t="s">
        <v>445</v>
      </c>
      <c r="B1939" t="s">
        <v>173</v>
      </c>
      <c r="C1939" t="s">
        <v>23</v>
      </c>
      <c r="D1939" t="s">
        <v>174</v>
      </c>
      <c r="E1939">
        <v>12503</v>
      </c>
      <c r="F1939">
        <v>7372</v>
      </c>
      <c r="G1939">
        <v>4255</v>
      </c>
      <c r="H1939">
        <v>1</v>
      </c>
      <c r="I1939">
        <v>652</v>
      </c>
      <c r="J1939">
        <v>555</v>
      </c>
      <c r="K1939" s="1">
        <v>46023</v>
      </c>
      <c r="L1939" t="s">
        <v>446</v>
      </c>
      <c r="M1939" t="s">
        <v>444</v>
      </c>
      <c r="N1939" s="2">
        <f>IFERROR(NHS_A_E[[#This Row],[T1_Over4hrs]]/NHS_A_E[[#This Row],[T1_Attendances]], 0)</f>
        <v>0.34031832360233544</v>
      </c>
      <c r="O1939">
        <f>NHS_A_E[[#This Row],[T1_Attendances]]+NHS_A_E[[#This Row],[Other_Attendances]]</f>
        <v>19875</v>
      </c>
      <c r="P1939">
        <f>MATCH(LEFT(A1939,FIND("-",A1939)-1),{"April","May","June","July","August","September","October","November","December","January","February","March"},0)</f>
        <v>10</v>
      </c>
      <c r="Q1939" s="3">
        <f t="shared" si="60"/>
        <v>4.4389346556826359E-2</v>
      </c>
      <c r="R1939" t="str">
        <f t="shared" si="61"/>
        <v>January</v>
      </c>
    </row>
    <row r="1940" spans="1:18" x14ac:dyDescent="0.35">
      <c r="A1940" t="s">
        <v>445</v>
      </c>
      <c r="B1940" t="s">
        <v>25</v>
      </c>
      <c r="C1940" t="s">
        <v>15</v>
      </c>
      <c r="D1940" t="s">
        <v>26</v>
      </c>
      <c r="E1940">
        <v>0</v>
      </c>
      <c r="F1940">
        <v>11207</v>
      </c>
      <c r="G1940">
        <v>0</v>
      </c>
      <c r="H1940">
        <v>126</v>
      </c>
      <c r="I1940">
        <v>0</v>
      </c>
      <c r="J1940">
        <v>0</v>
      </c>
      <c r="K1940" s="1">
        <v>46023</v>
      </c>
      <c r="L1940" t="s">
        <v>446</v>
      </c>
      <c r="M1940" t="s">
        <v>444</v>
      </c>
      <c r="N1940" s="2">
        <f>IFERROR(NHS_A_E[[#This Row],[T1_Over4hrs]]/NHS_A_E[[#This Row],[T1_Attendances]], 0)</f>
        <v>0</v>
      </c>
      <c r="O1940">
        <f>NHS_A_E[[#This Row],[T1_Attendances]]+NHS_A_E[[#This Row],[Other_Attendances]]</f>
        <v>11207</v>
      </c>
      <c r="P1940">
        <f>MATCH(LEFT(A1940,FIND("-",A1940)-1),{"April","May","June","July","August","September","October","November","December","January","February","March"},0)</f>
        <v>10</v>
      </c>
      <c r="Q1940" s="3">
        <f t="shared" si="60"/>
        <v>0</v>
      </c>
      <c r="R1940" t="str">
        <f t="shared" si="61"/>
        <v>January</v>
      </c>
    </row>
    <row r="1941" spans="1:18" x14ac:dyDescent="0.35">
      <c r="A1941" t="s">
        <v>445</v>
      </c>
      <c r="B1941" t="s">
        <v>411</v>
      </c>
      <c r="C1941" t="s">
        <v>35</v>
      </c>
      <c r="D1941" t="s">
        <v>412</v>
      </c>
      <c r="E1941">
        <v>9222</v>
      </c>
      <c r="F1941">
        <v>0</v>
      </c>
      <c r="G1941">
        <v>2870</v>
      </c>
      <c r="H1941">
        <v>0</v>
      </c>
      <c r="I1941">
        <v>179</v>
      </c>
      <c r="J1941">
        <v>376</v>
      </c>
      <c r="K1941" s="1">
        <v>46023</v>
      </c>
      <c r="L1941" t="s">
        <v>446</v>
      </c>
      <c r="M1941" t="s">
        <v>444</v>
      </c>
      <c r="N1941" s="2">
        <f>IFERROR(NHS_A_E[[#This Row],[T1_Over4hrs]]/NHS_A_E[[#This Row],[T1_Attendances]], 0)</f>
        <v>0.31121231836911734</v>
      </c>
      <c r="O1941">
        <f>NHS_A_E[[#This Row],[T1_Attendances]]+NHS_A_E[[#This Row],[Other_Attendances]]</f>
        <v>9222</v>
      </c>
      <c r="P1941">
        <f>MATCH(LEFT(A1941,FIND("-",A1941)-1),{"April","May","June","July","August","September","October","November","December","January","February","March"},0)</f>
        <v>10</v>
      </c>
      <c r="Q1941" s="3">
        <f t="shared" si="60"/>
        <v>4.0772066796790282E-2</v>
      </c>
      <c r="R1941" t="str">
        <f t="shared" si="61"/>
        <v>January</v>
      </c>
    </row>
    <row r="1942" spans="1:18" x14ac:dyDescent="0.35">
      <c r="A1942" t="s">
        <v>445</v>
      </c>
      <c r="B1942" t="s">
        <v>415</v>
      </c>
      <c r="C1942" t="s">
        <v>35</v>
      </c>
      <c r="D1942" t="s">
        <v>416</v>
      </c>
      <c r="E1942">
        <v>16373</v>
      </c>
      <c r="F1942">
        <v>9168</v>
      </c>
      <c r="G1942">
        <v>7823</v>
      </c>
      <c r="H1942">
        <v>637</v>
      </c>
      <c r="I1942">
        <v>1503</v>
      </c>
      <c r="J1942">
        <v>1145</v>
      </c>
      <c r="K1942" s="1">
        <v>46023</v>
      </c>
      <c r="L1942" t="s">
        <v>446</v>
      </c>
      <c r="M1942" t="s">
        <v>444</v>
      </c>
      <c r="N1942" s="2">
        <f>IFERROR(NHS_A_E[[#This Row],[T1_Over4hrs]]/NHS_A_E[[#This Row],[T1_Attendances]], 0)</f>
        <v>0.4777988151224577</v>
      </c>
      <c r="O1942">
        <f>NHS_A_E[[#This Row],[T1_Attendances]]+NHS_A_E[[#This Row],[Other_Attendances]]</f>
        <v>25541</v>
      </c>
      <c r="P1942">
        <f>MATCH(LEFT(A1942,FIND("-",A1942)-1),{"April","May","June","July","August","September","October","November","December","January","February","March"},0)</f>
        <v>10</v>
      </c>
      <c r="Q1942" s="3">
        <f t="shared" si="60"/>
        <v>6.9932205460208882E-2</v>
      </c>
      <c r="R1942" t="str">
        <f t="shared" si="61"/>
        <v>January</v>
      </c>
    </row>
    <row r="1943" spans="1:18" x14ac:dyDescent="0.35">
      <c r="A1943" t="s">
        <v>445</v>
      </c>
      <c r="B1943" t="s">
        <v>191</v>
      </c>
      <c r="C1943" t="s">
        <v>15</v>
      </c>
      <c r="D1943" t="s">
        <v>192</v>
      </c>
      <c r="E1943">
        <v>9503</v>
      </c>
      <c r="F1943">
        <v>2017</v>
      </c>
      <c r="G1943">
        <v>4576</v>
      </c>
      <c r="H1943">
        <v>41</v>
      </c>
      <c r="I1943">
        <v>225</v>
      </c>
      <c r="J1943">
        <v>197</v>
      </c>
      <c r="K1943" s="1">
        <v>46023</v>
      </c>
      <c r="L1943" t="s">
        <v>446</v>
      </c>
      <c r="M1943" t="s">
        <v>444</v>
      </c>
      <c r="N1943" s="2">
        <f>IFERROR(NHS_A_E[[#This Row],[T1_Over4hrs]]/NHS_A_E[[#This Row],[T1_Attendances]], 0)</f>
        <v>0.48153214774281805</v>
      </c>
      <c r="O1943">
        <f>NHS_A_E[[#This Row],[T1_Attendances]]+NHS_A_E[[#This Row],[Other_Attendances]]</f>
        <v>11520</v>
      </c>
      <c r="P1943">
        <f>MATCH(LEFT(A1943,FIND("-",A1943)-1),{"April","May","June","July","August","September","October","November","December","January","February","March"},0)</f>
        <v>10</v>
      </c>
      <c r="Q1943" s="3">
        <f t="shared" si="60"/>
        <v>2.0730295696095968E-2</v>
      </c>
      <c r="R1943" t="str">
        <f t="shared" si="61"/>
        <v>January</v>
      </c>
    </row>
    <row r="1944" spans="1:18" x14ac:dyDescent="0.35">
      <c r="A1944" t="s">
        <v>445</v>
      </c>
      <c r="B1944" t="s">
        <v>187</v>
      </c>
      <c r="C1944" t="s">
        <v>30</v>
      </c>
      <c r="D1944" t="s">
        <v>188</v>
      </c>
      <c r="E1944">
        <v>8068</v>
      </c>
      <c r="F1944">
        <v>979</v>
      </c>
      <c r="G1944">
        <v>3478</v>
      </c>
      <c r="H1944">
        <v>69</v>
      </c>
      <c r="I1944">
        <v>655</v>
      </c>
      <c r="J1944">
        <v>564</v>
      </c>
      <c r="K1944" s="1">
        <v>46023</v>
      </c>
      <c r="L1944" t="s">
        <v>446</v>
      </c>
      <c r="M1944" t="s">
        <v>444</v>
      </c>
      <c r="N1944" s="2">
        <f>IFERROR(NHS_A_E[[#This Row],[T1_Over4hrs]]/NHS_A_E[[#This Row],[T1_Attendances]], 0)</f>
        <v>0.43108577094695094</v>
      </c>
      <c r="O1944">
        <f>NHS_A_E[[#This Row],[T1_Attendances]]+NHS_A_E[[#This Row],[Other_Attendances]]</f>
        <v>9047</v>
      </c>
      <c r="P1944">
        <f>MATCH(LEFT(A1944,FIND("-",A1944)-1),{"April","May","June","July","August","September","October","November","December","January","February","March"},0)</f>
        <v>10</v>
      </c>
      <c r="Q1944" s="3">
        <f t="shared" si="60"/>
        <v>6.9905800694100143E-2</v>
      </c>
      <c r="R1944" t="str">
        <f t="shared" si="61"/>
        <v>January</v>
      </c>
    </row>
    <row r="1945" spans="1:18" x14ac:dyDescent="0.35">
      <c r="A1945" t="s">
        <v>445</v>
      </c>
      <c r="B1945" t="s">
        <v>181</v>
      </c>
      <c r="C1945" t="s">
        <v>40</v>
      </c>
      <c r="D1945" t="s">
        <v>182</v>
      </c>
      <c r="E1945">
        <v>22688</v>
      </c>
      <c r="F1945">
        <v>0</v>
      </c>
      <c r="G1945">
        <v>9253</v>
      </c>
      <c r="H1945">
        <v>0</v>
      </c>
      <c r="I1945">
        <v>1467</v>
      </c>
      <c r="J1945">
        <v>1017</v>
      </c>
      <c r="K1945" s="1">
        <v>46023</v>
      </c>
      <c r="L1945" t="s">
        <v>446</v>
      </c>
      <c r="M1945" t="s">
        <v>444</v>
      </c>
      <c r="N1945" s="2">
        <f>IFERROR(NHS_A_E[[#This Row],[T1_Over4hrs]]/NHS_A_E[[#This Row],[T1_Attendances]], 0)</f>
        <v>0.40783674188998592</v>
      </c>
      <c r="O1945">
        <f>NHS_A_E[[#This Row],[T1_Attendances]]+NHS_A_E[[#This Row],[Other_Attendances]]</f>
        <v>22688</v>
      </c>
      <c r="P1945">
        <f>MATCH(LEFT(A1945,FIND("-",A1945)-1),{"April","May","June","July","August","September","October","November","December","January","February","March"},0)</f>
        <v>10</v>
      </c>
      <c r="Q1945" s="3">
        <f t="shared" si="60"/>
        <v>4.4825458392101551E-2</v>
      </c>
      <c r="R1945" t="str">
        <f t="shared" si="61"/>
        <v>January</v>
      </c>
    </row>
    <row r="1946" spans="1:18" x14ac:dyDescent="0.35">
      <c r="A1946" t="s">
        <v>445</v>
      </c>
      <c r="B1946" t="s">
        <v>175</v>
      </c>
      <c r="C1946" t="s">
        <v>63</v>
      </c>
      <c r="D1946" t="s">
        <v>176</v>
      </c>
      <c r="E1946">
        <v>5067</v>
      </c>
      <c r="F1946">
        <v>10971</v>
      </c>
      <c r="G1946">
        <v>3116</v>
      </c>
      <c r="H1946">
        <v>31</v>
      </c>
      <c r="I1946">
        <v>353</v>
      </c>
      <c r="J1946">
        <v>65</v>
      </c>
      <c r="K1946" s="1">
        <v>46023</v>
      </c>
      <c r="L1946" t="s">
        <v>446</v>
      </c>
      <c r="M1946" t="s">
        <v>444</v>
      </c>
      <c r="N1946" s="2">
        <f>IFERROR(NHS_A_E[[#This Row],[T1_Over4hrs]]/NHS_A_E[[#This Row],[T1_Attendances]], 0)</f>
        <v>0.61495954213538584</v>
      </c>
      <c r="O1946">
        <f>NHS_A_E[[#This Row],[T1_Attendances]]+NHS_A_E[[#This Row],[Other_Attendances]]</f>
        <v>16038</v>
      </c>
      <c r="P1946">
        <f>MATCH(LEFT(A1946,FIND("-",A1946)-1),{"April","May","June","July","August","September","October","November","December","January","February","March"},0)</f>
        <v>10</v>
      </c>
      <c r="Q1946" s="3">
        <f t="shared" si="60"/>
        <v>1.2828103414249063E-2</v>
      </c>
      <c r="R1946" t="str">
        <f t="shared" si="61"/>
        <v>January</v>
      </c>
    </row>
    <row r="1947" spans="1:18" x14ac:dyDescent="0.35">
      <c r="A1947" t="s">
        <v>445</v>
      </c>
      <c r="B1947" t="s">
        <v>123</v>
      </c>
      <c r="C1947" t="s">
        <v>15</v>
      </c>
      <c r="D1947" t="s">
        <v>124</v>
      </c>
      <c r="E1947">
        <v>13369</v>
      </c>
      <c r="F1947">
        <v>11794</v>
      </c>
      <c r="G1947">
        <v>6172</v>
      </c>
      <c r="H1947">
        <v>364</v>
      </c>
      <c r="I1947">
        <v>511</v>
      </c>
      <c r="J1947">
        <v>1208</v>
      </c>
      <c r="K1947" s="1">
        <v>46023</v>
      </c>
      <c r="L1947" t="s">
        <v>446</v>
      </c>
      <c r="M1947" t="s">
        <v>444</v>
      </c>
      <c r="N1947" s="2">
        <f>IFERROR(NHS_A_E[[#This Row],[T1_Over4hrs]]/NHS_A_E[[#This Row],[T1_Attendances]], 0)</f>
        <v>0.4616650460019448</v>
      </c>
      <c r="O1947">
        <f>NHS_A_E[[#This Row],[T1_Attendances]]+NHS_A_E[[#This Row],[Other_Attendances]]</f>
        <v>25163</v>
      </c>
      <c r="P1947">
        <f>MATCH(LEFT(A1947,FIND("-",A1947)-1),{"April","May","June","July","August","September","October","November","December","January","February","March"},0)</f>
        <v>10</v>
      </c>
      <c r="Q1947" s="3">
        <f t="shared" si="60"/>
        <v>9.0358291570050112E-2</v>
      </c>
      <c r="R1947" t="str">
        <f t="shared" si="61"/>
        <v>January</v>
      </c>
    </row>
    <row r="1948" spans="1:18" x14ac:dyDescent="0.35">
      <c r="A1948" t="s">
        <v>445</v>
      </c>
      <c r="B1948" t="s">
        <v>69</v>
      </c>
      <c r="C1948" t="s">
        <v>20</v>
      </c>
      <c r="D1948" t="s">
        <v>70</v>
      </c>
      <c r="E1948">
        <v>13205</v>
      </c>
      <c r="F1948">
        <v>0</v>
      </c>
      <c r="G1948">
        <v>5315</v>
      </c>
      <c r="H1948">
        <v>0</v>
      </c>
      <c r="I1948">
        <v>318</v>
      </c>
      <c r="J1948">
        <v>543</v>
      </c>
      <c r="K1948" s="1">
        <v>46023</v>
      </c>
      <c r="L1948" t="s">
        <v>446</v>
      </c>
      <c r="M1948" t="s">
        <v>444</v>
      </c>
      <c r="N1948" s="2">
        <f>IFERROR(NHS_A_E[[#This Row],[T1_Over4hrs]]/NHS_A_E[[#This Row],[T1_Attendances]], 0)</f>
        <v>0.40249905338886788</v>
      </c>
      <c r="O1948">
        <f>NHS_A_E[[#This Row],[T1_Attendances]]+NHS_A_E[[#This Row],[Other_Attendances]]</f>
        <v>13205</v>
      </c>
      <c r="P1948">
        <f>MATCH(LEFT(A1948,FIND("-",A1948)-1),{"April","May","June","July","August","September","October","November","December","January","February","March"},0)</f>
        <v>10</v>
      </c>
      <c r="Q1948" s="3">
        <f t="shared" si="60"/>
        <v>4.1120787580461948E-2</v>
      </c>
      <c r="R1948" t="str">
        <f t="shared" si="61"/>
        <v>January</v>
      </c>
    </row>
    <row r="1949" spans="1:18" x14ac:dyDescent="0.35">
      <c r="A1949" t="s">
        <v>445</v>
      </c>
      <c r="B1949" t="s">
        <v>65</v>
      </c>
      <c r="C1949" t="s">
        <v>30</v>
      </c>
      <c r="D1949" t="s">
        <v>447</v>
      </c>
      <c r="E1949">
        <v>7503</v>
      </c>
      <c r="F1949">
        <v>4746</v>
      </c>
      <c r="G1949">
        <v>4108</v>
      </c>
      <c r="H1949">
        <v>99</v>
      </c>
      <c r="I1949">
        <v>540</v>
      </c>
      <c r="J1949">
        <v>567</v>
      </c>
      <c r="K1949" s="1">
        <v>46023</v>
      </c>
      <c r="L1949" t="s">
        <v>446</v>
      </c>
      <c r="M1949" t="s">
        <v>444</v>
      </c>
      <c r="N1949" s="2">
        <f>IFERROR(NHS_A_E[[#This Row],[T1_Over4hrs]]/NHS_A_E[[#This Row],[T1_Attendances]], 0)</f>
        <v>0.54751432760229246</v>
      </c>
      <c r="O1949">
        <f>NHS_A_E[[#This Row],[T1_Attendances]]+NHS_A_E[[#This Row],[Other_Attendances]]</f>
        <v>12249</v>
      </c>
      <c r="P1949">
        <f>MATCH(LEFT(A1949,FIND("-",A1949)-1),{"April","May","June","July","August","September","October","November","December","January","February","March"},0)</f>
        <v>10</v>
      </c>
      <c r="Q1949" s="3">
        <f t="shared" si="60"/>
        <v>7.5569772091163528E-2</v>
      </c>
      <c r="R1949" t="str">
        <f t="shared" si="61"/>
        <v>January</v>
      </c>
    </row>
    <row r="1950" spans="1:18" x14ac:dyDescent="0.35">
      <c r="A1950" t="s">
        <v>445</v>
      </c>
      <c r="B1950" t="s">
        <v>253</v>
      </c>
      <c r="C1950" t="s">
        <v>63</v>
      </c>
      <c r="D1950" t="s">
        <v>254</v>
      </c>
      <c r="E1950">
        <v>5916</v>
      </c>
      <c r="F1950">
        <v>4193</v>
      </c>
      <c r="G1950">
        <v>3081</v>
      </c>
      <c r="H1950">
        <v>38</v>
      </c>
      <c r="I1950">
        <v>1068</v>
      </c>
      <c r="J1950">
        <v>12</v>
      </c>
      <c r="K1950" s="1">
        <v>46023</v>
      </c>
      <c r="L1950" t="s">
        <v>446</v>
      </c>
      <c r="M1950" t="s">
        <v>444</v>
      </c>
      <c r="N1950" s="2">
        <f>IFERROR(NHS_A_E[[#This Row],[T1_Over4hrs]]/NHS_A_E[[#This Row],[T1_Attendances]], 0)</f>
        <v>0.52079107505070998</v>
      </c>
      <c r="O1950">
        <f>NHS_A_E[[#This Row],[T1_Attendances]]+NHS_A_E[[#This Row],[Other_Attendances]]</f>
        <v>10109</v>
      </c>
      <c r="P1950">
        <f>MATCH(LEFT(A1950,FIND("-",A1950)-1),{"April","May","June","July","August","September","October","November","December","January","February","March"},0)</f>
        <v>10</v>
      </c>
      <c r="Q1950" s="3">
        <f t="shared" si="60"/>
        <v>2.0283975659229209E-3</v>
      </c>
      <c r="R1950" t="str">
        <f t="shared" si="61"/>
        <v>January</v>
      </c>
    </row>
    <row r="1951" spans="1:18" x14ac:dyDescent="0.35">
      <c r="A1951" t="s">
        <v>445</v>
      </c>
      <c r="B1951" t="s">
        <v>56</v>
      </c>
      <c r="C1951" t="s">
        <v>20</v>
      </c>
      <c r="D1951" t="s">
        <v>57</v>
      </c>
      <c r="E1951">
        <v>4691</v>
      </c>
      <c r="F1951">
        <v>2028</v>
      </c>
      <c r="G1951">
        <v>2163</v>
      </c>
      <c r="H1951">
        <v>0</v>
      </c>
      <c r="I1951">
        <v>434</v>
      </c>
      <c r="J1951">
        <v>171</v>
      </c>
      <c r="K1951" s="1">
        <v>46023</v>
      </c>
      <c r="L1951" t="s">
        <v>446</v>
      </c>
      <c r="M1951" t="s">
        <v>444</v>
      </c>
      <c r="N1951" s="2">
        <f>IFERROR(NHS_A_E[[#This Row],[T1_Over4hrs]]/NHS_A_E[[#This Row],[T1_Attendances]], 0)</f>
        <v>0.46109571519931786</v>
      </c>
      <c r="O1951">
        <f>NHS_A_E[[#This Row],[T1_Attendances]]+NHS_A_E[[#This Row],[Other_Attendances]]</f>
        <v>6719</v>
      </c>
      <c r="P1951">
        <f>MATCH(LEFT(A1951,FIND("-",A1951)-1),{"April","May","June","July","August","September","October","November","December","January","February","March"},0)</f>
        <v>10</v>
      </c>
      <c r="Q1951" s="3">
        <f t="shared" si="60"/>
        <v>3.6452781922830954E-2</v>
      </c>
      <c r="R1951" t="str">
        <f t="shared" si="61"/>
        <v>January</v>
      </c>
    </row>
    <row r="1952" spans="1:18" x14ac:dyDescent="0.35">
      <c r="A1952" t="s">
        <v>445</v>
      </c>
      <c r="B1952" t="s">
        <v>52</v>
      </c>
      <c r="C1952" t="s">
        <v>40</v>
      </c>
      <c r="D1952" t="s">
        <v>53</v>
      </c>
      <c r="E1952">
        <v>10676</v>
      </c>
      <c r="F1952">
        <v>2109</v>
      </c>
      <c r="G1952">
        <v>4333</v>
      </c>
      <c r="H1952">
        <v>82</v>
      </c>
      <c r="I1952">
        <v>407</v>
      </c>
      <c r="J1952">
        <v>923</v>
      </c>
      <c r="K1952" s="1">
        <v>46023</v>
      </c>
      <c r="L1952" t="s">
        <v>446</v>
      </c>
      <c r="M1952" t="s">
        <v>444</v>
      </c>
      <c r="N1952" s="2">
        <f>IFERROR(NHS_A_E[[#This Row],[T1_Over4hrs]]/NHS_A_E[[#This Row],[T1_Attendances]], 0)</f>
        <v>0.40586361933308357</v>
      </c>
      <c r="O1952">
        <f>NHS_A_E[[#This Row],[T1_Attendances]]+NHS_A_E[[#This Row],[Other_Attendances]]</f>
        <v>12785</v>
      </c>
      <c r="P1952">
        <f>MATCH(LEFT(A1952,FIND("-",A1952)-1),{"April","May","June","July","August","September","October","November","December","January","February","March"},0)</f>
        <v>10</v>
      </c>
      <c r="Q1952" s="3">
        <f t="shared" si="60"/>
        <v>8.6455601348819786E-2</v>
      </c>
      <c r="R1952" t="str">
        <f t="shared" si="61"/>
        <v>January</v>
      </c>
    </row>
    <row r="1953" spans="1:18" x14ac:dyDescent="0.35">
      <c r="A1953" t="s">
        <v>445</v>
      </c>
      <c r="B1953" t="s">
        <v>359</v>
      </c>
      <c r="C1953" t="s">
        <v>40</v>
      </c>
      <c r="D1953" t="s">
        <v>360</v>
      </c>
      <c r="E1953">
        <v>9849</v>
      </c>
      <c r="F1953">
        <v>3832</v>
      </c>
      <c r="G1953">
        <v>3750</v>
      </c>
      <c r="H1953">
        <v>62</v>
      </c>
      <c r="I1953">
        <v>2570</v>
      </c>
      <c r="J1953">
        <v>117</v>
      </c>
      <c r="K1953" s="1">
        <v>46023</v>
      </c>
      <c r="L1953" t="s">
        <v>446</v>
      </c>
      <c r="M1953" t="s">
        <v>444</v>
      </c>
      <c r="N1953" s="2">
        <f>IFERROR(NHS_A_E[[#This Row],[T1_Over4hrs]]/NHS_A_E[[#This Row],[T1_Attendances]], 0)</f>
        <v>0.38074931465123363</v>
      </c>
      <c r="O1953">
        <f>NHS_A_E[[#This Row],[T1_Attendances]]+NHS_A_E[[#This Row],[Other_Attendances]]</f>
        <v>13681</v>
      </c>
      <c r="P1953">
        <f>MATCH(LEFT(A1953,FIND("-",A1953)-1),{"April","May","June","July","August","September","October","November","December","January","February","March"},0)</f>
        <v>10</v>
      </c>
      <c r="Q1953" s="3">
        <f t="shared" si="60"/>
        <v>1.1879378617118489E-2</v>
      </c>
      <c r="R1953" t="str">
        <f t="shared" si="61"/>
        <v>January</v>
      </c>
    </row>
    <row r="1954" spans="1:18" x14ac:dyDescent="0.35">
      <c r="A1954" t="s">
        <v>445</v>
      </c>
      <c r="B1954" t="s">
        <v>355</v>
      </c>
      <c r="C1954" t="s">
        <v>30</v>
      </c>
      <c r="D1954" t="s">
        <v>356</v>
      </c>
      <c r="E1954">
        <v>8359</v>
      </c>
      <c r="F1954">
        <v>2894</v>
      </c>
      <c r="G1954">
        <v>4561</v>
      </c>
      <c r="H1954">
        <v>119</v>
      </c>
      <c r="I1954">
        <v>232</v>
      </c>
      <c r="J1954">
        <v>904</v>
      </c>
      <c r="K1954" s="1">
        <v>46023</v>
      </c>
      <c r="L1954" t="s">
        <v>446</v>
      </c>
      <c r="M1954" t="s">
        <v>444</v>
      </c>
      <c r="N1954" s="2">
        <f>IFERROR(NHS_A_E[[#This Row],[T1_Over4hrs]]/NHS_A_E[[#This Row],[T1_Attendances]], 0)</f>
        <v>0.54563943055389397</v>
      </c>
      <c r="O1954">
        <f>NHS_A_E[[#This Row],[T1_Attendances]]+NHS_A_E[[#This Row],[Other_Attendances]]</f>
        <v>11253</v>
      </c>
      <c r="P1954">
        <f>MATCH(LEFT(A1954,FIND("-",A1954)-1),{"April","May","June","July","August","September","October","November","December","January","February","March"},0)</f>
        <v>10</v>
      </c>
      <c r="Q1954" s="3">
        <f t="shared" si="60"/>
        <v>0.10814690752482355</v>
      </c>
      <c r="R1954" t="str">
        <f t="shared" si="61"/>
        <v>January</v>
      </c>
    </row>
    <row r="1955" spans="1:18" x14ac:dyDescent="0.35">
      <c r="A1955" t="s">
        <v>445</v>
      </c>
      <c r="B1955" t="s">
        <v>48</v>
      </c>
      <c r="C1955" t="s">
        <v>40</v>
      </c>
      <c r="D1955" t="s">
        <v>49</v>
      </c>
      <c r="E1955">
        <v>7067</v>
      </c>
      <c r="F1955">
        <v>1614</v>
      </c>
      <c r="G1955">
        <v>2268</v>
      </c>
      <c r="H1955">
        <v>24</v>
      </c>
      <c r="I1955">
        <v>347</v>
      </c>
      <c r="J1955">
        <v>568</v>
      </c>
      <c r="K1955" s="1">
        <v>46023</v>
      </c>
      <c r="L1955" t="s">
        <v>446</v>
      </c>
      <c r="M1955" t="s">
        <v>444</v>
      </c>
      <c r="N1955" s="2">
        <f>IFERROR(NHS_A_E[[#This Row],[T1_Over4hrs]]/NHS_A_E[[#This Row],[T1_Attendances]], 0)</f>
        <v>0.32092825810103298</v>
      </c>
      <c r="O1955">
        <f>NHS_A_E[[#This Row],[T1_Attendances]]+NHS_A_E[[#This Row],[Other_Attendances]]</f>
        <v>8681</v>
      </c>
      <c r="P1955">
        <f>MATCH(LEFT(A1955,FIND("-",A1955)-1),{"April","May","June","July","August","September","October","November","December","January","February","March"},0)</f>
        <v>10</v>
      </c>
      <c r="Q1955" s="3">
        <f t="shared" si="60"/>
        <v>8.0373567284562047E-2</v>
      </c>
      <c r="R1955" t="str">
        <f t="shared" si="61"/>
        <v>January</v>
      </c>
    </row>
    <row r="1956" spans="1:18" x14ac:dyDescent="0.35">
      <c r="A1956" t="s">
        <v>445</v>
      </c>
      <c r="B1956" t="s">
        <v>353</v>
      </c>
      <c r="C1956" t="s">
        <v>40</v>
      </c>
      <c r="D1956" t="s">
        <v>354</v>
      </c>
      <c r="E1956">
        <v>11174</v>
      </c>
      <c r="F1956">
        <v>6458</v>
      </c>
      <c r="G1956">
        <v>4222</v>
      </c>
      <c r="H1956">
        <v>259</v>
      </c>
      <c r="I1956">
        <v>838</v>
      </c>
      <c r="J1956">
        <v>718</v>
      </c>
      <c r="K1956" s="1">
        <v>46023</v>
      </c>
      <c r="L1956" t="s">
        <v>446</v>
      </c>
      <c r="M1956" t="s">
        <v>444</v>
      </c>
      <c r="N1956" s="2">
        <f>IFERROR(NHS_A_E[[#This Row],[T1_Over4hrs]]/NHS_A_E[[#This Row],[T1_Attendances]], 0)</f>
        <v>0.3778414175765169</v>
      </c>
      <c r="O1956">
        <f>NHS_A_E[[#This Row],[T1_Attendances]]+NHS_A_E[[#This Row],[Other_Attendances]]</f>
        <v>17632</v>
      </c>
      <c r="P1956">
        <f>MATCH(LEFT(A1956,FIND("-",A1956)-1),{"April","May","June","July","August","September","October","November","December","January","February","March"},0)</f>
        <v>10</v>
      </c>
      <c r="Q1956" s="3">
        <f t="shared" si="60"/>
        <v>6.4256309289421873E-2</v>
      </c>
      <c r="R1956" t="str">
        <f t="shared" si="61"/>
        <v>January</v>
      </c>
    </row>
    <row r="1957" spans="1:18" x14ac:dyDescent="0.35">
      <c r="A1957" t="s">
        <v>445</v>
      </c>
      <c r="B1957" t="s">
        <v>233</v>
      </c>
      <c r="C1957" t="s">
        <v>30</v>
      </c>
      <c r="D1957" t="s">
        <v>234</v>
      </c>
      <c r="E1957">
        <v>5364</v>
      </c>
      <c r="F1957">
        <v>2417</v>
      </c>
      <c r="G1957">
        <v>2934</v>
      </c>
      <c r="H1957">
        <v>417</v>
      </c>
      <c r="I1957">
        <v>262</v>
      </c>
      <c r="J1957">
        <v>865</v>
      </c>
      <c r="K1957" s="1">
        <v>46023</v>
      </c>
      <c r="L1957" t="s">
        <v>446</v>
      </c>
      <c r="M1957" t="s">
        <v>444</v>
      </c>
      <c r="N1957" s="2">
        <f>IFERROR(NHS_A_E[[#This Row],[T1_Over4hrs]]/NHS_A_E[[#This Row],[T1_Attendances]], 0)</f>
        <v>0.54697986577181212</v>
      </c>
      <c r="O1957">
        <f>NHS_A_E[[#This Row],[T1_Attendances]]+NHS_A_E[[#This Row],[Other_Attendances]]</f>
        <v>7781</v>
      </c>
      <c r="P1957">
        <f>MATCH(LEFT(A1957,FIND("-",A1957)-1),{"April","May","June","July","August","September","October","November","December","January","February","March"},0)</f>
        <v>10</v>
      </c>
      <c r="Q1957" s="3">
        <f t="shared" si="60"/>
        <v>0.16126025354213275</v>
      </c>
      <c r="R1957" t="str">
        <f t="shared" si="61"/>
        <v>January</v>
      </c>
    </row>
    <row r="1958" spans="1:18" x14ac:dyDescent="0.35">
      <c r="A1958" t="s">
        <v>445</v>
      </c>
      <c r="B1958" t="s">
        <v>107</v>
      </c>
      <c r="C1958" t="s">
        <v>63</v>
      </c>
      <c r="D1958" t="s">
        <v>108</v>
      </c>
      <c r="E1958">
        <v>9248</v>
      </c>
      <c r="F1958">
        <v>6863</v>
      </c>
      <c r="G1958">
        <v>5409</v>
      </c>
      <c r="H1958">
        <v>375</v>
      </c>
      <c r="I1958">
        <v>1527</v>
      </c>
      <c r="J1958">
        <v>16</v>
      </c>
      <c r="K1958" s="1">
        <v>46023</v>
      </c>
      <c r="L1958" t="s">
        <v>446</v>
      </c>
      <c r="M1958" t="s">
        <v>444</v>
      </c>
      <c r="N1958" s="2">
        <f>IFERROR(NHS_A_E[[#This Row],[T1_Over4hrs]]/NHS_A_E[[#This Row],[T1_Attendances]], 0)</f>
        <v>0.58488321799307963</v>
      </c>
      <c r="O1958">
        <f>NHS_A_E[[#This Row],[T1_Attendances]]+NHS_A_E[[#This Row],[Other_Attendances]]</f>
        <v>16111</v>
      </c>
      <c r="P1958">
        <f>MATCH(LEFT(A1958,FIND("-",A1958)-1),{"April","May","June","July","August","September","October","November","December","January","February","March"},0)</f>
        <v>10</v>
      </c>
      <c r="Q1958" s="3">
        <f t="shared" si="60"/>
        <v>1.7301038062283738E-3</v>
      </c>
      <c r="R1958" t="str">
        <f t="shared" si="61"/>
        <v>January</v>
      </c>
    </row>
    <row r="1959" spans="1:18" x14ac:dyDescent="0.35">
      <c r="A1959" t="s">
        <v>445</v>
      </c>
      <c r="B1959" t="s">
        <v>159</v>
      </c>
      <c r="C1959" t="s">
        <v>40</v>
      </c>
      <c r="D1959" t="s">
        <v>160</v>
      </c>
      <c r="E1959">
        <v>5497</v>
      </c>
      <c r="F1959">
        <v>5460</v>
      </c>
      <c r="G1959">
        <v>4006</v>
      </c>
      <c r="H1959">
        <v>54</v>
      </c>
      <c r="I1959">
        <v>767</v>
      </c>
      <c r="J1959">
        <v>628</v>
      </c>
      <c r="K1959" s="1">
        <v>46023</v>
      </c>
      <c r="L1959" t="s">
        <v>446</v>
      </c>
      <c r="M1959" t="s">
        <v>444</v>
      </c>
      <c r="N1959" s="2">
        <f>IFERROR(NHS_A_E[[#This Row],[T1_Over4hrs]]/NHS_A_E[[#This Row],[T1_Attendances]], 0)</f>
        <v>0.72876114244133161</v>
      </c>
      <c r="O1959">
        <f>NHS_A_E[[#This Row],[T1_Attendances]]+NHS_A_E[[#This Row],[Other_Attendances]]</f>
        <v>10957</v>
      </c>
      <c r="P1959">
        <f>MATCH(LEFT(A1959,FIND("-",A1959)-1),{"April","May","June","July","August","September","October","November","December","January","February","March"},0)</f>
        <v>10</v>
      </c>
      <c r="Q1959" s="3">
        <f t="shared" si="60"/>
        <v>0.11424413316354375</v>
      </c>
      <c r="R1959" t="str">
        <f t="shared" si="61"/>
        <v>January</v>
      </c>
    </row>
    <row r="1960" spans="1:18" x14ac:dyDescent="0.35">
      <c r="A1960" t="s">
        <v>445</v>
      </c>
      <c r="B1960" t="s">
        <v>101</v>
      </c>
      <c r="C1960" t="s">
        <v>63</v>
      </c>
      <c r="D1960" t="s">
        <v>102</v>
      </c>
      <c r="E1960">
        <v>9772</v>
      </c>
      <c r="F1960">
        <v>0</v>
      </c>
      <c r="G1960">
        <v>3420</v>
      </c>
      <c r="H1960">
        <v>0</v>
      </c>
      <c r="I1960">
        <v>1099</v>
      </c>
      <c r="J1960">
        <v>112</v>
      </c>
      <c r="K1960" s="1">
        <v>46023</v>
      </c>
      <c r="L1960" t="s">
        <v>446</v>
      </c>
      <c r="M1960" t="s">
        <v>444</v>
      </c>
      <c r="N1960" s="2">
        <f>IFERROR(NHS_A_E[[#This Row],[T1_Over4hrs]]/NHS_A_E[[#This Row],[T1_Attendances]], 0)</f>
        <v>0.34997953336062221</v>
      </c>
      <c r="O1960">
        <f>NHS_A_E[[#This Row],[T1_Attendances]]+NHS_A_E[[#This Row],[Other_Attendances]]</f>
        <v>9772</v>
      </c>
      <c r="P1960">
        <f>MATCH(LEFT(A1960,FIND("-",A1960)-1),{"April","May","June","July","August","September","October","November","December","January","February","March"},0)</f>
        <v>10</v>
      </c>
      <c r="Q1960" s="3">
        <f t="shared" si="60"/>
        <v>1.1461318051575931E-2</v>
      </c>
      <c r="R1960" t="str">
        <f t="shared" si="61"/>
        <v>January</v>
      </c>
    </row>
    <row r="1961" spans="1:18" x14ac:dyDescent="0.35">
      <c r="A1961" t="s">
        <v>445</v>
      </c>
      <c r="B1961" t="s">
        <v>34</v>
      </c>
      <c r="C1961" t="s">
        <v>35</v>
      </c>
      <c r="D1961" t="s">
        <v>36</v>
      </c>
      <c r="E1961">
        <v>13676</v>
      </c>
      <c r="F1961">
        <v>14091</v>
      </c>
      <c r="G1961">
        <v>6707</v>
      </c>
      <c r="H1961">
        <v>154</v>
      </c>
      <c r="I1961">
        <v>540</v>
      </c>
      <c r="J1961">
        <v>1361</v>
      </c>
      <c r="K1961" s="1">
        <v>46023</v>
      </c>
      <c r="L1961" t="s">
        <v>446</v>
      </c>
      <c r="M1961" t="s">
        <v>444</v>
      </c>
      <c r="N1961" s="2">
        <f>IFERROR(NHS_A_E[[#This Row],[T1_Over4hrs]]/NHS_A_E[[#This Row],[T1_Attendances]], 0)</f>
        <v>0.49042117578239253</v>
      </c>
      <c r="O1961">
        <f>NHS_A_E[[#This Row],[T1_Attendances]]+NHS_A_E[[#This Row],[Other_Attendances]]</f>
        <v>27767</v>
      </c>
      <c r="P1961">
        <f>MATCH(LEFT(A1961,FIND("-",A1961)-1),{"April","May","June","July","August","September","October","November","December","January","February","March"},0)</f>
        <v>10</v>
      </c>
      <c r="Q1961" s="3">
        <f t="shared" si="60"/>
        <v>9.9517402749341913E-2</v>
      </c>
      <c r="R1961" t="str">
        <f t="shared" si="61"/>
        <v>January</v>
      </c>
    </row>
    <row r="1962" spans="1:18" x14ac:dyDescent="0.35">
      <c r="A1962" t="s">
        <v>445</v>
      </c>
      <c r="B1962" t="s">
        <v>32</v>
      </c>
      <c r="C1962" t="s">
        <v>30</v>
      </c>
      <c r="D1962" t="s">
        <v>33</v>
      </c>
      <c r="E1962">
        <v>0</v>
      </c>
      <c r="F1962">
        <v>0</v>
      </c>
      <c r="G1962">
        <v>0</v>
      </c>
      <c r="H1962">
        <v>0</v>
      </c>
      <c r="I1962">
        <v>0</v>
      </c>
      <c r="J1962">
        <v>0</v>
      </c>
      <c r="K1962" s="1">
        <v>46023</v>
      </c>
      <c r="L1962" t="s">
        <v>446</v>
      </c>
      <c r="M1962" t="s">
        <v>444</v>
      </c>
      <c r="N1962" s="2">
        <f>IFERROR(NHS_A_E[[#This Row],[T1_Over4hrs]]/NHS_A_E[[#This Row],[T1_Attendances]], 0)</f>
        <v>0</v>
      </c>
      <c r="O1962">
        <f>NHS_A_E[[#This Row],[T1_Attendances]]+NHS_A_E[[#This Row],[Other_Attendances]]</f>
        <v>0</v>
      </c>
      <c r="P1962">
        <f>MATCH(LEFT(A1962,FIND("-",A1962)-1),{"April","May","June","July","August","September","October","November","December","January","February","March"},0)</f>
        <v>10</v>
      </c>
      <c r="Q1962" s="3">
        <f t="shared" si="60"/>
        <v>0</v>
      </c>
      <c r="R1962" t="str">
        <f t="shared" si="61"/>
        <v>January</v>
      </c>
    </row>
    <row r="1963" spans="1:18" x14ac:dyDescent="0.35">
      <c r="A1963" t="s">
        <v>445</v>
      </c>
      <c r="B1963" t="s">
        <v>99</v>
      </c>
      <c r="C1963" t="s">
        <v>30</v>
      </c>
      <c r="D1963" t="s">
        <v>100</v>
      </c>
      <c r="E1963">
        <v>0</v>
      </c>
      <c r="F1963">
        <v>0</v>
      </c>
      <c r="G1963">
        <v>0</v>
      </c>
      <c r="H1963">
        <v>0</v>
      </c>
      <c r="I1963">
        <v>0</v>
      </c>
      <c r="J1963">
        <v>0</v>
      </c>
      <c r="K1963" s="1">
        <v>46023</v>
      </c>
      <c r="L1963" t="s">
        <v>446</v>
      </c>
      <c r="M1963" t="s">
        <v>444</v>
      </c>
      <c r="N1963" s="2">
        <f>IFERROR(NHS_A_E[[#This Row],[T1_Over4hrs]]/NHS_A_E[[#This Row],[T1_Attendances]], 0)</f>
        <v>0</v>
      </c>
      <c r="O1963">
        <f>NHS_A_E[[#This Row],[T1_Attendances]]+NHS_A_E[[#This Row],[Other_Attendances]]</f>
        <v>0</v>
      </c>
      <c r="P1963">
        <f>MATCH(LEFT(A1963,FIND("-",A1963)-1),{"April","May","June","July","August","September","October","November","December","January","February","March"},0)</f>
        <v>10</v>
      </c>
      <c r="Q1963" s="3">
        <f t="shared" si="60"/>
        <v>0</v>
      </c>
      <c r="R1963" t="str">
        <f t="shared" si="61"/>
        <v>January</v>
      </c>
    </row>
    <row r="1964" spans="1:18" x14ac:dyDescent="0.35">
      <c r="A1964" t="s">
        <v>445</v>
      </c>
      <c r="B1964" t="s">
        <v>195</v>
      </c>
      <c r="C1964" t="s">
        <v>30</v>
      </c>
      <c r="D1964" t="s">
        <v>196</v>
      </c>
      <c r="E1964">
        <v>9001</v>
      </c>
      <c r="F1964">
        <v>9783</v>
      </c>
      <c r="G1964">
        <v>4500</v>
      </c>
      <c r="H1964">
        <v>230</v>
      </c>
      <c r="I1964">
        <v>578</v>
      </c>
      <c r="J1964">
        <v>650</v>
      </c>
      <c r="K1964" s="1">
        <v>46023</v>
      </c>
      <c r="L1964" t="s">
        <v>446</v>
      </c>
      <c r="M1964" t="s">
        <v>444</v>
      </c>
      <c r="N1964" s="2">
        <f>IFERROR(NHS_A_E[[#This Row],[T1_Over4hrs]]/NHS_A_E[[#This Row],[T1_Attendances]], 0)</f>
        <v>0.49994445061659815</v>
      </c>
      <c r="O1964">
        <f>NHS_A_E[[#This Row],[T1_Attendances]]+NHS_A_E[[#This Row],[Other_Attendances]]</f>
        <v>18784</v>
      </c>
      <c r="P1964">
        <f>MATCH(LEFT(A1964,FIND("-",A1964)-1),{"April","May","June","July","August","September","October","November","December","January","February","March"},0)</f>
        <v>10</v>
      </c>
      <c r="Q1964" s="3">
        <f t="shared" si="60"/>
        <v>7.2214198422397513E-2</v>
      </c>
      <c r="R1964" t="str">
        <f t="shared" si="61"/>
        <v>January</v>
      </c>
    </row>
    <row r="1965" spans="1:18" x14ac:dyDescent="0.35">
      <c r="A1965" t="s">
        <v>445</v>
      </c>
      <c r="B1965" t="s">
        <v>42</v>
      </c>
      <c r="C1965" t="s">
        <v>40</v>
      </c>
      <c r="D1965" t="s">
        <v>43</v>
      </c>
      <c r="E1965">
        <v>11441</v>
      </c>
      <c r="F1965">
        <v>5191</v>
      </c>
      <c r="G1965">
        <v>4631</v>
      </c>
      <c r="H1965">
        <v>473</v>
      </c>
      <c r="I1965">
        <v>837</v>
      </c>
      <c r="J1965">
        <v>689</v>
      </c>
      <c r="K1965" s="1">
        <v>46023</v>
      </c>
      <c r="L1965" t="s">
        <v>446</v>
      </c>
      <c r="M1965" t="s">
        <v>444</v>
      </c>
      <c r="N1965" s="2">
        <f>IFERROR(NHS_A_E[[#This Row],[T1_Over4hrs]]/NHS_A_E[[#This Row],[T1_Attendances]], 0)</f>
        <v>0.40477231011275239</v>
      </c>
      <c r="O1965">
        <f>NHS_A_E[[#This Row],[T1_Attendances]]+NHS_A_E[[#This Row],[Other_Attendances]]</f>
        <v>16632</v>
      </c>
      <c r="P1965">
        <f>MATCH(LEFT(A1965,FIND("-",A1965)-1),{"April","May","June","July","August","September","October","November","December","January","February","March"},0)</f>
        <v>10</v>
      </c>
      <c r="Q1965" s="3">
        <f t="shared" si="60"/>
        <v>6.0222008565684819E-2</v>
      </c>
      <c r="R1965" t="str">
        <f t="shared" si="61"/>
        <v>January</v>
      </c>
    </row>
    <row r="1966" spans="1:18" x14ac:dyDescent="0.35">
      <c r="A1966" t="s">
        <v>445</v>
      </c>
      <c r="B1966" t="s">
        <v>153</v>
      </c>
      <c r="C1966" t="s">
        <v>30</v>
      </c>
      <c r="D1966" t="s">
        <v>154</v>
      </c>
      <c r="E1966">
        <v>12016</v>
      </c>
      <c r="F1966">
        <v>3179</v>
      </c>
      <c r="G1966">
        <v>4833</v>
      </c>
      <c r="H1966">
        <v>132</v>
      </c>
      <c r="I1966">
        <v>1163</v>
      </c>
      <c r="J1966">
        <v>523</v>
      </c>
      <c r="K1966" s="1">
        <v>46023</v>
      </c>
      <c r="L1966" t="s">
        <v>446</v>
      </c>
      <c r="M1966" t="s">
        <v>444</v>
      </c>
      <c r="N1966" s="2">
        <f>IFERROR(NHS_A_E[[#This Row],[T1_Over4hrs]]/NHS_A_E[[#This Row],[T1_Attendances]], 0)</f>
        <v>0.40221371504660453</v>
      </c>
      <c r="O1966">
        <f>NHS_A_E[[#This Row],[T1_Attendances]]+NHS_A_E[[#This Row],[Other_Attendances]]</f>
        <v>15195</v>
      </c>
      <c r="P1966">
        <f>MATCH(LEFT(A1966,FIND("-",A1966)-1),{"April","May","June","July","August","September","October","November","December","January","February","March"},0)</f>
        <v>10</v>
      </c>
      <c r="Q1966" s="3">
        <f t="shared" si="60"/>
        <v>4.352529960053262E-2</v>
      </c>
      <c r="R1966" t="str">
        <f t="shared" si="61"/>
        <v>January</v>
      </c>
    </row>
    <row r="1967" spans="1:18" x14ac:dyDescent="0.35">
      <c r="A1967" t="s">
        <v>445</v>
      </c>
      <c r="B1967" t="s">
        <v>199</v>
      </c>
      <c r="C1967" t="s">
        <v>40</v>
      </c>
      <c r="D1967" t="s">
        <v>200</v>
      </c>
      <c r="E1967">
        <v>10549</v>
      </c>
      <c r="F1967">
        <v>2471</v>
      </c>
      <c r="G1967">
        <v>5992</v>
      </c>
      <c r="H1967">
        <v>349</v>
      </c>
      <c r="I1967">
        <v>470</v>
      </c>
      <c r="J1967">
        <v>1601</v>
      </c>
      <c r="K1967" s="1">
        <v>46023</v>
      </c>
      <c r="L1967" t="s">
        <v>446</v>
      </c>
      <c r="M1967" t="s">
        <v>444</v>
      </c>
      <c r="N1967" s="2">
        <f>IFERROR(NHS_A_E[[#This Row],[T1_Over4hrs]]/NHS_A_E[[#This Row],[T1_Attendances]], 0)</f>
        <v>0.56801592568015924</v>
      </c>
      <c r="O1967">
        <f>NHS_A_E[[#This Row],[T1_Attendances]]+NHS_A_E[[#This Row],[Other_Attendances]]</f>
        <v>13020</v>
      </c>
      <c r="P1967">
        <f>MATCH(LEFT(A1967,FIND("-",A1967)-1),{"April","May","June","July","August","September","October","November","December","January","February","March"},0)</f>
        <v>10</v>
      </c>
      <c r="Q1967" s="3">
        <f t="shared" si="60"/>
        <v>0.15176794008910796</v>
      </c>
      <c r="R1967" t="str">
        <f t="shared" si="61"/>
        <v>January</v>
      </c>
    </row>
    <row r="1968" spans="1:18" x14ac:dyDescent="0.35">
      <c r="A1968" t="s">
        <v>445</v>
      </c>
      <c r="B1968" t="s">
        <v>401</v>
      </c>
      <c r="C1968" t="s">
        <v>35</v>
      </c>
      <c r="D1968" t="s">
        <v>402</v>
      </c>
      <c r="E1968">
        <v>13686</v>
      </c>
      <c r="F1968">
        <v>5047</v>
      </c>
      <c r="G1968">
        <v>4963</v>
      </c>
      <c r="H1968">
        <v>0</v>
      </c>
      <c r="I1968">
        <v>224</v>
      </c>
      <c r="J1968">
        <v>814</v>
      </c>
      <c r="K1968" s="1">
        <v>46023</v>
      </c>
      <c r="L1968" t="s">
        <v>446</v>
      </c>
      <c r="M1968" t="s">
        <v>444</v>
      </c>
      <c r="N1968" s="2">
        <f>IFERROR(NHS_A_E[[#This Row],[T1_Over4hrs]]/NHS_A_E[[#This Row],[T1_Attendances]], 0)</f>
        <v>0.36263334794680696</v>
      </c>
      <c r="O1968">
        <f>NHS_A_E[[#This Row],[T1_Attendances]]+NHS_A_E[[#This Row],[Other_Attendances]]</f>
        <v>18733</v>
      </c>
      <c r="P1968">
        <f>MATCH(LEFT(A1968,FIND("-",A1968)-1),{"April","May","June","July","August","September","October","November","December","January","February","March"},0)</f>
        <v>10</v>
      </c>
      <c r="Q1968" s="3">
        <f t="shared" si="60"/>
        <v>5.9476837644308049E-2</v>
      </c>
      <c r="R1968" t="str">
        <f t="shared" si="61"/>
        <v>January</v>
      </c>
    </row>
    <row r="1969" spans="1:18" x14ac:dyDescent="0.35">
      <c r="A1969" t="s">
        <v>445</v>
      </c>
      <c r="B1969" t="s">
        <v>37</v>
      </c>
      <c r="C1969" t="s">
        <v>35</v>
      </c>
      <c r="D1969" t="s">
        <v>38</v>
      </c>
      <c r="E1969">
        <v>16319</v>
      </c>
      <c r="F1969">
        <v>16090</v>
      </c>
      <c r="G1969">
        <v>8960</v>
      </c>
      <c r="H1969">
        <v>423</v>
      </c>
      <c r="I1969">
        <v>1147</v>
      </c>
      <c r="J1969">
        <v>943</v>
      </c>
      <c r="K1969" s="1">
        <v>46023</v>
      </c>
      <c r="L1969" t="s">
        <v>446</v>
      </c>
      <c r="M1969" t="s">
        <v>444</v>
      </c>
      <c r="N1969" s="2">
        <f>IFERROR(NHS_A_E[[#This Row],[T1_Over4hrs]]/NHS_A_E[[#This Row],[T1_Attendances]], 0)</f>
        <v>0.54905325081193701</v>
      </c>
      <c r="O1969">
        <f>NHS_A_E[[#This Row],[T1_Attendances]]+NHS_A_E[[#This Row],[Other_Attendances]]</f>
        <v>32409</v>
      </c>
      <c r="P1969">
        <f>MATCH(LEFT(A1969,FIND("-",A1969)-1),{"April","May","June","July","August","September","October","November","December","January","February","March"},0)</f>
        <v>10</v>
      </c>
      <c r="Q1969" s="3">
        <f t="shared" si="60"/>
        <v>5.7785403517372387E-2</v>
      </c>
      <c r="R1969" t="str">
        <f t="shared" si="61"/>
        <v>January</v>
      </c>
    </row>
    <row r="1970" spans="1:18" x14ac:dyDescent="0.35">
      <c r="A1970" t="s">
        <v>445</v>
      </c>
      <c r="B1970" t="s">
        <v>105</v>
      </c>
      <c r="C1970" t="s">
        <v>15</v>
      </c>
      <c r="D1970" t="s">
        <v>106</v>
      </c>
      <c r="E1970">
        <v>11380</v>
      </c>
      <c r="F1970">
        <v>0</v>
      </c>
      <c r="G1970">
        <v>4182</v>
      </c>
      <c r="H1970">
        <v>0</v>
      </c>
      <c r="I1970">
        <v>438</v>
      </c>
      <c r="J1970">
        <v>11</v>
      </c>
      <c r="K1970" s="1">
        <v>46023</v>
      </c>
      <c r="L1970" t="s">
        <v>446</v>
      </c>
      <c r="M1970" t="s">
        <v>444</v>
      </c>
      <c r="N1970" s="2">
        <f>IFERROR(NHS_A_E[[#This Row],[T1_Over4hrs]]/NHS_A_E[[#This Row],[T1_Attendances]], 0)</f>
        <v>0.36748681898066782</v>
      </c>
      <c r="O1970">
        <f>NHS_A_E[[#This Row],[T1_Attendances]]+NHS_A_E[[#This Row],[Other_Attendances]]</f>
        <v>11380</v>
      </c>
      <c r="P1970">
        <f>MATCH(LEFT(A1970,FIND("-",A1970)-1),{"April","May","June","July","August","September","October","November","December","January","February","March"},0)</f>
        <v>10</v>
      </c>
      <c r="Q1970" s="3">
        <f t="shared" si="60"/>
        <v>9.6660808435852373E-4</v>
      </c>
      <c r="R1970" t="str">
        <f t="shared" si="61"/>
        <v>January</v>
      </c>
    </row>
    <row r="1971" spans="1:18" x14ac:dyDescent="0.35">
      <c r="A1971" t="s">
        <v>445</v>
      </c>
      <c r="B1971" t="s">
        <v>393</v>
      </c>
      <c r="C1971" t="s">
        <v>23</v>
      </c>
      <c r="D1971" t="s">
        <v>394</v>
      </c>
      <c r="E1971">
        <v>15653</v>
      </c>
      <c r="F1971">
        <v>4714</v>
      </c>
      <c r="G1971">
        <v>6612</v>
      </c>
      <c r="H1971">
        <v>140</v>
      </c>
      <c r="I1971">
        <v>554</v>
      </c>
      <c r="J1971">
        <v>1056</v>
      </c>
      <c r="K1971" s="1">
        <v>46023</v>
      </c>
      <c r="L1971" t="s">
        <v>446</v>
      </c>
      <c r="M1971" t="s">
        <v>444</v>
      </c>
      <c r="N1971" s="2">
        <f>IFERROR(NHS_A_E[[#This Row],[T1_Over4hrs]]/NHS_A_E[[#This Row],[T1_Attendances]], 0)</f>
        <v>0.42241103941736408</v>
      </c>
      <c r="O1971">
        <f>NHS_A_E[[#This Row],[T1_Attendances]]+NHS_A_E[[#This Row],[Other_Attendances]]</f>
        <v>20367</v>
      </c>
      <c r="P1971">
        <f>MATCH(LEFT(A1971,FIND("-",A1971)-1),{"April","May","June","July","August","September","October","November","December","January","February","March"},0)</f>
        <v>10</v>
      </c>
      <c r="Q1971" s="3">
        <f t="shared" si="60"/>
        <v>6.7463106113843985E-2</v>
      </c>
      <c r="R1971" t="str">
        <f t="shared" si="61"/>
        <v>January</v>
      </c>
    </row>
    <row r="1972" spans="1:18" x14ac:dyDescent="0.35">
      <c r="A1972" t="s">
        <v>445</v>
      </c>
      <c r="B1972" t="s">
        <v>231</v>
      </c>
      <c r="C1972" t="s">
        <v>63</v>
      </c>
      <c r="D1972" t="s">
        <v>232</v>
      </c>
      <c r="E1972">
        <v>9365</v>
      </c>
      <c r="F1972">
        <v>0</v>
      </c>
      <c r="G1972">
        <v>3429</v>
      </c>
      <c r="H1972">
        <v>0</v>
      </c>
      <c r="I1972">
        <v>915</v>
      </c>
      <c r="J1972">
        <v>19</v>
      </c>
      <c r="K1972" s="1">
        <v>46023</v>
      </c>
      <c r="L1972" t="s">
        <v>446</v>
      </c>
      <c r="M1972" t="s">
        <v>444</v>
      </c>
      <c r="N1972" s="2">
        <f>IFERROR(NHS_A_E[[#This Row],[T1_Over4hrs]]/NHS_A_E[[#This Row],[T1_Attendances]], 0)</f>
        <v>0.36615056059797119</v>
      </c>
      <c r="O1972">
        <f>NHS_A_E[[#This Row],[T1_Attendances]]+NHS_A_E[[#This Row],[Other_Attendances]]</f>
        <v>9365</v>
      </c>
      <c r="P1972">
        <f>MATCH(LEFT(A1972,FIND("-",A1972)-1),{"April","May","June","July","August","September","October","November","December","January","February","March"},0)</f>
        <v>10</v>
      </c>
      <c r="Q1972" s="3">
        <f t="shared" si="60"/>
        <v>2.0288307528029898E-3</v>
      </c>
      <c r="R1972" t="str">
        <f t="shared" si="61"/>
        <v>January</v>
      </c>
    </row>
    <row r="1973" spans="1:18" x14ac:dyDescent="0.35">
      <c r="A1973" t="s">
        <v>445</v>
      </c>
      <c r="B1973" t="s">
        <v>95</v>
      </c>
      <c r="C1973" t="s">
        <v>23</v>
      </c>
      <c r="D1973" t="s">
        <v>96</v>
      </c>
      <c r="E1973">
        <v>8057</v>
      </c>
      <c r="F1973">
        <v>5444</v>
      </c>
      <c r="G1973">
        <v>3997</v>
      </c>
      <c r="H1973">
        <v>164</v>
      </c>
      <c r="I1973">
        <v>935</v>
      </c>
      <c r="J1973">
        <v>0</v>
      </c>
      <c r="K1973" s="1">
        <v>46023</v>
      </c>
      <c r="L1973" t="s">
        <v>446</v>
      </c>
      <c r="M1973" t="s">
        <v>444</v>
      </c>
      <c r="N1973" s="2">
        <f>IFERROR(NHS_A_E[[#This Row],[T1_Over4hrs]]/NHS_A_E[[#This Row],[T1_Attendances]], 0)</f>
        <v>0.49609035621198955</v>
      </c>
      <c r="O1973">
        <f>NHS_A_E[[#This Row],[T1_Attendances]]+NHS_A_E[[#This Row],[Other_Attendances]]</f>
        <v>13501</v>
      </c>
      <c r="P1973">
        <f>MATCH(LEFT(A1973,FIND("-",A1973)-1),{"April","May","June","July","August","September","October","November","December","January","February","March"},0)</f>
        <v>10</v>
      </c>
      <c r="Q1973" s="3">
        <f t="shared" si="60"/>
        <v>0</v>
      </c>
      <c r="R1973" t="str">
        <f t="shared" si="61"/>
        <v>January</v>
      </c>
    </row>
    <row r="1974" spans="1:18" x14ac:dyDescent="0.35">
      <c r="A1974" t="s">
        <v>445</v>
      </c>
      <c r="B1974" t="s">
        <v>19</v>
      </c>
      <c r="C1974" t="s">
        <v>20</v>
      </c>
      <c r="D1974" t="s">
        <v>21</v>
      </c>
      <c r="E1974">
        <v>8979</v>
      </c>
      <c r="F1974">
        <v>0</v>
      </c>
      <c r="G1974">
        <v>4112</v>
      </c>
      <c r="H1974">
        <v>0</v>
      </c>
      <c r="I1974">
        <v>1058</v>
      </c>
      <c r="J1974">
        <v>328</v>
      </c>
      <c r="K1974" s="1">
        <v>46023</v>
      </c>
      <c r="L1974" t="s">
        <v>446</v>
      </c>
      <c r="M1974" t="s">
        <v>444</v>
      </c>
      <c r="N1974" s="2">
        <f>IFERROR(NHS_A_E[[#This Row],[T1_Over4hrs]]/NHS_A_E[[#This Row],[T1_Attendances]], 0)</f>
        <v>0.45795745628689166</v>
      </c>
      <c r="O1974">
        <f>NHS_A_E[[#This Row],[T1_Attendances]]+NHS_A_E[[#This Row],[Other_Attendances]]</f>
        <v>8979</v>
      </c>
      <c r="P1974">
        <f>MATCH(LEFT(A1974,FIND("-",A1974)-1),{"April","May","June","July","August","September","October","November","December","January","February","March"},0)</f>
        <v>10</v>
      </c>
      <c r="Q1974" s="3">
        <f t="shared" si="60"/>
        <v>3.6529680365296802E-2</v>
      </c>
      <c r="R1974" t="str">
        <f t="shared" si="61"/>
        <v>January</v>
      </c>
    </row>
    <row r="1975" spans="1:18" x14ac:dyDescent="0.35">
      <c r="A1975" t="s">
        <v>445</v>
      </c>
      <c r="B1975" t="s">
        <v>347</v>
      </c>
      <c r="C1975" t="s">
        <v>63</v>
      </c>
      <c r="D1975" t="s">
        <v>348</v>
      </c>
      <c r="E1975">
        <v>6127</v>
      </c>
      <c r="F1975">
        <v>0</v>
      </c>
      <c r="G1975">
        <v>2600</v>
      </c>
      <c r="H1975">
        <v>0</v>
      </c>
      <c r="I1975">
        <v>576</v>
      </c>
      <c r="J1975">
        <v>301</v>
      </c>
      <c r="K1975" s="1">
        <v>46023</v>
      </c>
      <c r="L1975" t="s">
        <v>446</v>
      </c>
      <c r="M1975" t="s">
        <v>444</v>
      </c>
      <c r="N1975" s="2">
        <f>IFERROR(NHS_A_E[[#This Row],[T1_Over4hrs]]/NHS_A_E[[#This Row],[T1_Attendances]], 0)</f>
        <v>0.42435123225069366</v>
      </c>
      <c r="O1975">
        <f>NHS_A_E[[#This Row],[T1_Attendances]]+NHS_A_E[[#This Row],[Other_Attendances]]</f>
        <v>6127</v>
      </c>
      <c r="P1975">
        <f>MATCH(LEFT(A1975,FIND("-",A1975)-1),{"April","May","June","July","August","September","October","November","December","January","February","March"},0)</f>
        <v>10</v>
      </c>
      <c r="Q1975" s="3">
        <f t="shared" si="60"/>
        <v>4.9126815733637995E-2</v>
      </c>
      <c r="R1975" t="str">
        <f t="shared" si="61"/>
        <v>January</v>
      </c>
    </row>
    <row r="1976" spans="1:18" x14ac:dyDescent="0.35">
      <c r="A1976" t="s">
        <v>445</v>
      </c>
      <c r="B1976" t="s">
        <v>93</v>
      </c>
      <c r="C1976" t="s">
        <v>63</v>
      </c>
      <c r="D1976" t="s">
        <v>94</v>
      </c>
      <c r="E1976">
        <v>10943</v>
      </c>
      <c r="F1976">
        <v>6263</v>
      </c>
      <c r="G1976">
        <v>6338</v>
      </c>
      <c r="H1976">
        <v>231</v>
      </c>
      <c r="I1976">
        <v>795</v>
      </c>
      <c r="J1976">
        <v>930</v>
      </c>
      <c r="K1976" s="1">
        <v>46023</v>
      </c>
      <c r="L1976" t="s">
        <v>446</v>
      </c>
      <c r="M1976" t="s">
        <v>444</v>
      </c>
      <c r="N1976" s="2">
        <f>IFERROR(NHS_A_E[[#This Row],[T1_Over4hrs]]/NHS_A_E[[#This Row],[T1_Attendances]], 0)</f>
        <v>0.57918303938590876</v>
      </c>
      <c r="O1976">
        <f>NHS_A_E[[#This Row],[T1_Attendances]]+NHS_A_E[[#This Row],[Other_Attendances]]</f>
        <v>17206</v>
      </c>
      <c r="P1976">
        <f>MATCH(LEFT(A1976,FIND("-",A1976)-1),{"April","May","June","July","August","September","October","November","December","January","February","March"},0)</f>
        <v>10</v>
      </c>
      <c r="Q1976" s="3">
        <f t="shared" si="60"/>
        <v>8.4985835694050993E-2</v>
      </c>
      <c r="R1976" t="str">
        <f t="shared" si="61"/>
        <v>January</v>
      </c>
    </row>
    <row r="1977" spans="1:18" x14ac:dyDescent="0.35">
      <c r="A1977" t="s">
        <v>445</v>
      </c>
      <c r="B1977" t="s">
        <v>345</v>
      </c>
      <c r="C1977" t="s">
        <v>23</v>
      </c>
      <c r="D1977" t="s">
        <v>346</v>
      </c>
      <c r="E1977">
        <v>17269</v>
      </c>
      <c r="F1977">
        <v>9170</v>
      </c>
      <c r="G1977">
        <v>6734</v>
      </c>
      <c r="H1977">
        <v>0</v>
      </c>
      <c r="I1977">
        <v>82</v>
      </c>
      <c r="J1977">
        <v>92</v>
      </c>
      <c r="K1977" s="1">
        <v>46023</v>
      </c>
      <c r="L1977" t="s">
        <v>446</v>
      </c>
      <c r="M1977" t="s">
        <v>444</v>
      </c>
      <c r="N1977" s="2">
        <f>IFERROR(NHS_A_E[[#This Row],[T1_Over4hrs]]/NHS_A_E[[#This Row],[T1_Attendances]], 0)</f>
        <v>0.38994730441832187</v>
      </c>
      <c r="O1977">
        <f>NHS_A_E[[#This Row],[T1_Attendances]]+NHS_A_E[[#This Row],[Other_Attendances]]</f>
        <v>26439</v>
      </c>
      <c r="P1977">
        <f>MATCH(LEFT(A1977,FIND("-",A1977)-1),{"April","May","June","July","August","September","October","November","December","January","February","March"},0)</f>
        <v>10</v>
      </c>
      <c r="Q1977" s="3">
        <f t="shared" si="60"/>
        <v>5.3274654004285132E-3</v>
      </c>
      <c r="R1977" t="str">
        <f t="shared" si="61"/>
        <v>January</v>
      </c>
    </row>
    <row r="1978" spans="1:18" x14ac:dyDescent="0.35">
      <c r="A1978" t="s">
        <v>445</v>
      </c>
      <c r="B1978" t="s">
        <v>91</v>
      </c>
      <c r="C1978" t="s">
        <v>30</v>
      </c>
      <c r="D1978" t="s">
        <v>92</v>
      </c>
      <c r="E1978">
        <v>17418</v>
      </c>
      <c r="F1978">
        <v>7205</v>
      </c>
      <c r="G1978">
        <v>6696</v>
      </c>
      <c r="H1978">
        <v>72</v>
      </c>
      <c r="I1978">
        <v>410</v>
      </c>
      <c r="J1978">
        <v>573</v>
      </c>
      <c r="K1978" s="1">
        <v>46023</v>
      </c>
      <c r="L1978" t="s">
        <v>446</v>
      </c>
      <c r="M1978" t="s">
        <v>444</v>
      </c>
      <c r="N1978" s="2">
        <f>IFERROR(NHS_A_E[[#This Row],[T1_Over4hrs]]/NHS_A_E[[#This Row],[T1_Attendances]], 0)</f>
        <v>0.38442990010334138</v>
      </c>
      <c r="O1978">
        <f>NHS_A_E[[#This Row],[T1_Attendances]]+NHS_A_E[[#This Row],[Other_Attendances]]</f>
        <v>24623</v>
      </c>
      <c r="P1978">
        <f>MATCH(LEFT(A1978,FIND("-",A1978)-1),{"April","May","June","July","August","September","October","November","December","January","February","March"},0)</f>
        <v>10</v>
      </c>
      <c r="Q1978" s="3">
        <f t="shared" si="60"/>
        <v>3.2897003100241129E-2</v>
      </c>
      <c r="R1978" t="str">
        <f t="shared" si="61"/>
        <v>January</v>
      </c>
    </row>
    <row r="1979" spans="1:18" x14ac:dyDescent="0.35">
      <c r="A1979" t="s">
        <v>445</v>
      </c>
      <c r="B1979" t="s">
        <v>341</v>
      </c>
      <c r="C1979" t="s">
        <v>40</v>
      </c>
      <c r="D1979" t="s">
        <v>342</v>
      </c>
      <c r="E1979">
        <v>9620</v>
      </c>
      <c r="F1979">
        <v>3656</v>
      </c>
      <c r="G1979">
        <v>3986</v>
      </c>
      <c r="H1979">
        <v>41</v>
      </c>
      <c r="I1979">
        <v>1063</v>
      </c>
      <c r="J1979">
        <v>729</v>
      </c>
      <c r="K1979" s="1">
        <v>46023</v>
      </c>
      <c r="L1979" t="s">
        <v>446</v>
      </c>
      <c r="M1979" t="s">
        <v>444</v>
      </c>
      <c r="N1979" s="2">
        <f>IFERROR(NHS_A_E[[#This Row],[T1_Over4hrs]]/NHS_A_E[[#This Row],[T1_Attendances]], 0)</f>
        <v>0.41434511434511434</v>
      </c>
      <c r="O1979">
        <f>NHS_A_E[[#This Row],[T1_Attendances]]+NHS_A_E[[#This Row],[Other_Attendances]]</f>
        <v>13276</v>
      </c>
      <c r="P1979">
        <f>MATCH(LEFT(A1979,FIND("-",A1979)-1),{"April","May","June","July","August","September","October","November","December","January","February","March"},0)</f>
        <v>10</v>
      </c>
      <c r="Q1979" s="3">
        <f t="shared" si="60"/>
        <v>7.5779625779625784E-2</v>
      </c>
      <c r="R1979" t="str">
        <f t="shared" si="61"/>
        <v>January</v>
      </c>
    </row>
    <row r="1980" spans="1:18" x14ac:dyDescent="0.35">
      <c r="A1980" t="s">
        <v>445</v>
      </c>
      <c r="B1980" t="s">
        <v>389</v>
      </c>
      <c r="C1980" t="s">
        <v>20</v>
      </c>
      <c r="D1980" t="s">
        <v>390</v>
      </c>
      <c r="E1980">
        <v>4499</v>
      </c>
      <c r="F1980">
        <v>0</v>
      </c>
      <c r="G1980">
        <v>1806</v>
      </c>
      <c r="H1980">
        <v>0</v>
      </c>
      <c r="I1980">
        <v>229</v>
      </c>
      <c r="J1980">
        <v>114</v>
      </c>
      <c r="K1980" s="1">
        <v>46023</v>
      </c>
      <c r="L1980" t="s">
        <v>446</v>
      </c>
      <c r="M1980" t="s">
        <v>444</v>
      </c>
      <c r="N1980" s="2">
        <f>IFERROR(NHS_A_E[[#This Row],[T1_Over4hrs]]/NHS_A_E[[#This Row],[T1_Attendances]], 0)</f>
        <v>0.40142253834185376</v>
      </c>
      <c r="O1980">
        <f>NHS_A_E[[#This Row],[T1_Attendances]]+NHS_A_E[[#This Row],[Other_Attendances]]</f>
        <v>4499</v>
      </c>
      <c r="P1980">
        <f>MATCH(LEFT(A1980,FIND("-",A1980)-1),{"April","May","June","July","August","September","October","November","December","January","February","March"},0)</f>
        <v>10</v>
      </c>
      <c r="Q1980" s="3">
        <f t="shared" si="60"/>
        <v>2.5338964214269837E-2</v>
      </c>
      <c r="R1980" t="str">
        <f t="shared" si="61"/>
        <v>January</v>
      </c>
    </row>
    <row r="1981" spans="1:18" x14ac:dyDescent="0.35">
      <c r="A1981" t="s">
        <v>445</v>
      </c>
      <c r="B1981" t="s">
        <v>251</v>
      </c>
      <c r="C1981" t="s">
        <v>35</v>
      </c>
      <c r="D1981" t="s">
        <v>252</v>
      </c>
      <c r="E1981">
        <v>7010</v>
      </c>
      <c r="F1981">
        <v>7978</v>
      </c>
      <c r="G1981">
        <v>4131</v>
      </c>
      <c r="H1981">
        <v>412</v>
      </c>
      <c r="I1981">
        <v>176</v>
      </c>
      <c r="J1981">
        <v>667</v>
      </c>
      <c r="K1981" s="1">
        <v>46023</v>
      </c>
      <c r="L1981" t="s">
        <v>446</v>
      </c>
      <c r="M1981" t="s">
        <v>444</v>
      </c>
      <c r="N1981" s="2">
        <f>IFERROR(NHS_A_E[[#This Row],[T1_Over4hrs]]/NHS_A_E[[#This Row],[T1_Attendances]], 0)</f>
        <v>0.58930099857346652</v>
      </c>
      <c r="O1981">
        <f>NHS_A_E[[#This Row],[T1_Attendances]]+NHS_A_E[[#This Row],[Other_Attendances]]</f>
        <v>14988</v>
      </c>
      <c r="P1981">
        <f>MATCH(LEFT(A1981,FIND("-",A1981)-1),{"April","May","June","July","August","September","October","November","December","January","February","March"},0)</f>
        <v>10</v>
      </c>
      <c r="Q1981" s="3">
        <f t="shared" si="60"/>
        <v>9.5149786019971469E-2</v>
      </c>
      <c r="R1981" t="str">
        <f t="shared" si="61"/>
        <v>January</v>
      </c>
    </row>
    <row r="1982" spans="1:18" x14ac:dyDescent="0.35">
      <c r="A1982" t="s">
        <v>445</v>
      </c>
      <c r="B1982" t="s">
        <v>387</v>
      </c>
      <c r="C1982" t="s">
        <v>35</v>
      </c>
      <c r="D1982" t="s">
        <v>388</v>
      </c>
      <c r="E1982">
        <v>0</v>
      </c>
      <c r="F1982">
        <v>1623</v>
      </c>
      <c r="G1982">
        <v>0</v>
      </c>
      <c r="H1982">
        <v>40</v>
      </c>
      <c r="I1982">
        <v>0</v>
      </c>
      <c r="J1982">
        <v>0</v>
      </c>
      <c r="K1982" s="1">
        <v>46023</v>
      </c>
      <c r="L1982" t="s">
        <v>446</v>
      </c>
      <c r="M1982" t="s">
        <v>444</v>
      </c>
      <c r="N1982" s="2">
        <f>IFERROR(NHS_A_E[[#This Row],[T1_Over4hrs]]/NHS_A_E[[#This Row],[T1_Attendances]], 0)</f>
        <v>0</v>
      </c>
      <c r="O1982">
        <f>NHS_A_E[[#This Row],[T1_Attendances]]+NHS_A_E[[#This Row],[Other_Attendances]]</f>
        <v>1623</v>
      </c>
      <c r="P1982">
        <f>MATCH(LEFT(A1982,FIND("-",A1982)-1),{"April","May","June","July","August","September","October","November","December","January","February","March"},0)</f>
        <v>10</v>
      </c>
      <c r="Q1982" s="3">
        <f t="shared" si="60"/>
        <v>0</v>
      </c>
      <c r="R1982" t="str">
        <f t="shared" si="61"/>
        <v>January</v>
      </c>
    </row>
    <row r="1983" spans="1:18" x14ac:dyDescent="0.35">
      <c r="A1983" t="s">
        <v>445</v>
      </c>
      <c r="B1983" t="s">
        <v>117</v>
      </c>
      <c r="C1983" t="s">
        <v>15</v>
      </c>
      <c r="D1983" t="s">
        <v>436</v>
      </c>
      <c r="E1983">
        <v>6755</v>
      </c>
      <c r="F1983">
        <v>1891</v>
      </c>
      <c r="G1983">
        <v>2764</v>
      </c>
      <c r="H1983">
        <v>0</v>
      </c>
      <c r="I1983">
        <v>543</v>
      </c>
      <c r="J1983">
        <v>136</v>
      </c>
      <c r="K1983" s="1">
        <v>46023</v>
      </c>
      <c r="L1983" t="s">
        <v>446</v>
      </c>
      <c r="M1983" t="s">
        <v>444</v>
      </c>
      <c r="N1983" s="2">
        <f>IFERROR(NHS_A_E[[#This Row],[T1_Over4hrs]]/NHS_A_E[[#This Row],[T1_Attendances]], 0)</f>
        <v>0.40917838638045889</v>
      </c>
      <c r="O1983">
        <f>NHS_A_E[[#This Row],[T1_Attendances]]+NHS_A_E[[#This Row],[Other_Attendances]]</f>
        <v>8646</v>
      </c>
      <c r="P1983">
        <f>MATCH(LEFT(A1983,FIND("-",A1983)-1),{"April","May","June","July","August","September","October","November","December","January","February","March"},0)</f>
        <v>10</v>
      </c>
      <c r="Q1983" s="3">
        <f t="shared" si="60"/>
        <v>2.0133234641006661E-2</v>
      </c>
      <c r="R1983" t="str">
        <f t="shared" si="61"/>
        <v>January</v>
      </c>
    </row>
    <row r="1984" spans="1:18" x14ac:dyDescent="0.35">
      <c r="A1984" t="s">
        <v>445</v>
      </c>
      <c r="B1984" t="s">
        <v>209</v>
      </c>
      <c r="C1984" t="s">
        <v>35</v>
      </c>
      <c r="D1984" t="s">
        <v>210</v>
      </c>
      <c r="E1984">
        <v>26186</v>
      </c>
      <c r="F1984">
        <v>17829</v>
      </c>
      <c r="G1984">
        <v>11785</v>
      </c>
      <c r="H1984">
        <v>1166</v>
      </c>
      <c r="I1984">
        <v>1058</v>
      </c>
      <c r="J1984">
        <v>1352</v>
      </c>
      <c r="K1984" s="1">
        <v>46023</v>
      </c>
      <c r="L1984" t="s">
        <v>446</v>
      </c>
      <c r="M1984" t="s">
        <v>444</v>
      </c>
      <c r="N1984" s="2">
        <f>IFERROR(NHS_A_E[[#This Row],[T1_Over4hrs]]/NHS_A_E[[#This Row],[T1_Attendances]], 0)</f>
        <v>0.45004964484839227</v>
      </c>
      <c r="O1984">
        <f>NHS_A_E[[#This Row],[T1_Attendances]]+NHS_A_E[[#This Row],[Other_Attendances]]</f>
        <v>44015</v>
      </c>
      <c r="P1984">
        <f>MATCH(LEFT(A1984,FIND("-",A1984)-1),{"April","May","June","July","August","September","October","November","December","January","February","March"},0)</f>
        <v>10</v>
      </c>
      <c r="Q1984" s="3">
        <f t="shared" si="60"/>
        <v>5.163064232796151E-2</v>
      </c>
      <c r="R1984" t="str">
        <f t="shared" si="61"/>
        <v>January</v>
      </c>
    </row>
    <row r="1985" spans="1:18" x14ac:dyDescent="0.35">
      <c r="A1985" t="s">
        <v>445</v>
      </c>
      <c r="B1985" t="s">
        <v>73</v>
      </c>
      <c r="C1985" t="s">
        <v>15</v>
      </c>
      <c r="D1985" t="s">
        <v>74</v>
      </c>
      <c r="E1985">
        <v>4083</v>
      </c>
      <c r="F1985">
        <v>1414</v>
      </c>
      <c r="G1985">
        <v>1710</v>
      </c>
      <c r="H1985">
        <v>102</v>
      </c>
      <c r="I1985">
        <v>287</v>
      </c>
      <c r="J1985">
        <v>307</v>
      </c>
      <c r="K1985" s="1">
        <v>46023</v>
      </c>
      <c r="L1985" t="s">
        <v>446</v>
      </c>
      <c r="M1985" t="s">
        <v>444</v>
      </c>
      <c r="N1985" s="2">
        <f>IFERROR(NHS_A_E[[#This Row],[T1_Over4hrs]]/NHS_A_E[[#This Row],[T1_Attendances]], 0)</f>
        <v>0.41880969875091845</v>
      </c>
      <c r="O1985">
        <f>NHS_A_E[[#This Row],[T1_Attendances]]+NHS_A_E[[#This Row],[Other_Attendances]]</f>
        <v>5497</v>
      </c>
      <c r="P1985">
        <f>MATCH(LEFT(A1985,FIND("-",A1985)-1),{"April","May","June","July","August","September","October","November","December","January","February","March"},0)</f>
        <v>10</v>
      </c>
      <c r="Q1985" s="3">
        <f t="shared" si="60"/>
        <v>7.5189811413176585E-2</v>
      </c>
      <c r="R1985" t="str">
        <f t="shared" si="61"/>
        <v>January</v>
      </c>
    </row>
    <row r="1986" spans="1:18" x14ac:dyDescent="0.35">
      <c r="A1986" t="s">
        <v>445</v>
      </c>
      <c r="B1986" t="s">
        <v>265</v>
      </c>
      <c r="C1986" t="s">
        <v>35</v>
      </c>
      <c r="D1986" t="s">
        <v>266</v>
      </c>
      <c r="E1986">
        <v>0</v>
      </c>
      <c r="F1986">
        <v>2911</v>
      </c>
      <c r="G1986">
        <v>0</v>
      </c>
      <c r="H1986">
        <v>13</v>
      </c>
      <c r="I1986">
        <v>0</v>
      </c>
      <c r="J1986">
        <v>0</v>
      </c>
      <c r="K1986" s="1">
        <v>46023</v>
      </c>
      <c r="L1986" t="s">
        <v>446</v>
      </c>
      <c r="M1986" t="s">
        <v>444</v>
      </c>
      <c r="N1986" s="2">
        <f>IFERROR(NHS_A_E[[#This Row],[T1_Over4hrs]]/NHS_A_E[[#This Row],[T1_Attendances]], 0)</f>
        <v>0</v>
      </c>
      <c r="O1986">
        <f>NHS_A_E[[#This Row],[T1_Attendances]]+NHS_A_E[[#This Row],[Other_Attendances]]</f>
        <v>2911</v>
      </c>
      <c r="P1986">
        <f>MATCH(LEFT(A1986,FIND("-",A1986)-1),{"April","May","June","July","August","September","October","November","December","January","February","March"},0)</f>
        <v>10</v>
      </c>
      <c r="Q1986" s="3">
        <f t="shared" ref="Q1986:Q2049" si="62">IFERROR(J1986/E1986,0)</f>
        <v>0</v>
      </c>
      <c r="R1986" t="str">
        <f t="shared" ref="R1986:R2049" si="63">TEXT(A1986, "mmmm")</f>
        <v>January</v>
      </c>
    </row>
    <row r="1987" spans="1:18" x14ac:dyDescent="0.35">
      <c r="A1987" t="s">
        <v>445</v>
      </c>
      <c r="B1987" t="s">
        <v>263</v>
      </c>
      <c r="C1987" t="s">
        <v>35</v>
      </c>
      <c r="D1987" t="s">
        <v>264</v>
      </c>
      <c r="E1987">
        <v>0</v>
      </c>
      <c r="F1987">
        <v>2520</v>
      </c>
      <c r="G1987">
        <v>0</v>
      </c>
      <c r="H1987">
        <v>10</v>
      </c>
      <c r="I1987">
        <v>0</v>
      </c>
      <c r="J1987">
        <v>0</v>
      </c>
      <c r="K1987" s="1">
        <v>46023</v>
      </c>
      <c r="L1987" t="s">
        <v>446</v>
      </c>
      <c r="M1987" t="s">
        <v>444</v>
      </c>
      <c r="N1987" s="2">
        <f>IFERROR(NHS_A_E[[#This Row],[T1_Over4hrs]]/NHS_A_E[[#This Row],[T1_Attendances]], 0)</f>
        <v>0</v>
      </c>
      <c r="O1987">
        <f>NHS_A_E[[#This Row],[T1_Attendances]]+NHS_A_E[[#This Row],[Other_Attendances]]</f>
        <v>2520</v>
      </c>
      <c r="P1987">
        <f>MATCH(LEFT(A1987,FIND("-",A1987)-1),{"April","May","June","July","August","September","October","November","December","January","February","March"},0)</f>
        <v>10</v>
      </c>
      <c r="Q1987" s="3">
        <f t="shared" si="62"/>
        <v>0</v>
      </c>
      <c r="R1987" t="str">
        <f t="shared" si="63"/>
        <v>January</v>
      </c>
    </row>
    <row r="1988" spans="1:18" x14ac:dyDescent="0.35">
      <c r="A1988" t="s">
        <v>445</v>
      </c>
      <c r="B1988" t="s">
        <v>261</v>
      </c>
      <c r="C1988" t="s">
        <v>15</v>
      </c>
      <c r="D1988" t="s">
        <v>262</v>
      </c>
      <c r="E1988">
        <v>0</v>
      </c>
      <c r="F1988">
        <v>4990</v>
      </c>
      <c r="G1988">
        <v>0</v>
      </c>
      <c r="H1988">
        <v>0</v>
      </c>
      <c r="I1988">
        <v>0</v>
      </c>
      <c r="J1988">
        <v>0</v>
      </c>
      <c r="K1988" s="1">
        <v>46023</v>
      </c>
      <c r="L1988" t="s">
        <v>446</v>
      </c>
      <c r="M1988" t="s">
        <v>444</v>
      </c>
      <c r="N1988" s="2">
        <f>IFERROR(NHS_A_E[[#This Row],[T1_Over4hrs]]/NHS_A_E[[#This Row],[T1_Attendances]], 0)</f>
        <v>0</v>
      </c>
      <c r="O1988">
        <f>NHS_A_E[[#This Row],[T1_Attendances]]+NHS_A_E[[#This Row],[Other_Attendances]]</f>
        <v>4990</v>
      </c>
      <c r="P1988">
        <f>MATCH(LEFT(A1988,FIND("-",A1988)-1),{"April","May","June","July","August","September","October","November","December","January","February","March"},0)</f>
        <v>10</v>
      </c>
      <c r="Q1988" s="3">
        <f t="shared" si="62"/>
        <v>0</v>
      </c>
      <c r="R1988" t="str">
        <f t="shared" si="63"/>
        <v>January</v>
      </c>
    </row>
    <row r="1989" spans="1:18" x14ac:dyDescent="0.35">
      <c r="A1989" t="s">
        <v>445</v>
      </c>
      <c r="B1989" t="s">
        <v>197</v>
      </c>
      <c r="C1989" t="s">
        <v>63</v>
      </c>
      <c r="D1989" t="s">
        <v>198</v>
      </c>
      <c r="E1989">
        <v>12948</v>
      </c>
      <c r="F1989">
        <v>3631</v>
      </c>
      <c r="G1989">
        <v>5904</v>
      </c>
      <c r="H1989">
        <v>0</v>
      </c>
      <c r="I1989">
        <v>2176</v>
      </c>
      <c r="J1989">
        <v>45</v>
      </c>
      <c r="K1989" s="1">
        <v>46023</v>
      </c>
      <c r="L1989" t="s">
        <v>446</v>
      </c>
      <c r="M1989" t="s">
        <v>444</v>
      </c>
      <c r="N1989" s="2">
        <f>IFERROR(NHS_A_E[[#This Row],[T1_Over4hrs]]/NHS_A_E[[#This Row],[T1_Attendances]], 0)</f>
        <v>0.45597775718257644</v>
      </c>
      <c r="O1989">
        <f>NHS_A_E[[#This Row],[T1_Attendances]]+NHS_A_E[[#This Row],[Other_Attendances]]</f>
        <v>16579</v>
      </c>
      <c r="P1989">
        <f>MATCH(LEFT(A1989,FIND("-",A1989)-1),{"April","May","June","July","August","September","October","November","December","January","February","March"},0)</f>
        <v>10</v>
      </c>
      <c r="Q1989" s="3">
        <f t="shared" si="62"/>
        <v>3.4754402224281742E-3</v>
      </c>
      <c r="R1989" t="str">
        <f t="shared" si="63"/>
        <v>January</v>
      </c>
    </row>
    <row r="1990" spans="1:18" x14ac:dyDescent="0.35">
      <c r="A1990" t="s">
        <v>445</v>
      </c>
      <c r="B1990" t="s">
        <v>325</v>
      </c>
      <c r="C1990" t="s">
        <v>40</v>
      </c>
      <c r="D1990" t="s">
        <v>326</v>
      </c>
      <c r="E1990">
        <v>0</v>
      </c>
      <c r="F1990">
        <v>7660</v>
      </c>
      <c r="G1990">
        <v>0</v>
      </c>
      <c r="H1990">
        <v>146</v>
      </c>
      <c r="I1990">
        <v>0</v>
      </c>
      <c r="J1990">
        <v>0</v>
      </c>
      <c r="K1990" s="1">
        <v>46023</v>
      </c>
      <c r="L1990" t="s">
        <v>446</v>
      </c>
      <c r="M1990" t="s">
        <v>444</v>
      </c>
      <c r="N1990" s="2">
        <f>IFERROR(NHS_A_E[[#This Row],[T1_Over4hrs]]/NHS_A_E[[#This Row],[T1_Attendances]], 0)</f>
        <v>0</v>
      </c>
      <c r="O1990">
        <f>NHS_A_E[[#This Row],[T1_Attendances]]+NHS_A_E[[#This Row],[Other_Attendances]]</f>
        <v>7660</v>
      </c>
      <c r="P1990">
        <f>MATCH(LEFT(A1990,FIND("-",A1990)-1),{"April","May","June","July","August","September","October","November","December","January","February","March"},0)</f>
        <v>10</v>
      </c>
      <c r="Q1990" s="3">
        <f t="shared" si="62"/>
        <v>0</v>
      </c>
      <c r="R1990" t="str">
        <f t="shared" si="63"/>
        <v>January</v>
      </c>
    </row>
    <row r="1991" spans="1:18" x14ac:dyDescent="0.35">
      <c r="A1991" t="s">
        <v>448</v>
      </c>
      <c r="B1991" t="s">
        <v>285</v>
      </c>
      <c r="C1991" t="s">
        <v>40</v>
      </c>
      <c r="D1991" t="s">
        <v>286</v>
      </c>
      <c r="E1991">
        <v>0</v>
      </c>
      <c r="F1991">
        <v>295</v>
      </c>
      <c r="G1991">
        <v>0</v>
      </c>
      <c r="H1991">
        <v>0</v>
      </c>
      <c r="I1991">
        <v>0</v>
      </c>
      <c r="J1991">
        <v>0</v>
      </c>
      <c r="K1991" s="1">
        <v>46054</v>
      </c>
      <c r="L1991" t="s">
        <v>446</v>
      </c>
      <c r="M1991" t="s">
        <v>444</v>
      </c>
      <c r="N1991" s="2">
        <f>IFERROR(NHS_A_E[[#This Row],[T1_Over4hrs]]/NHS_A_E[[#This Row],[T1_Attendances]], 0)</f>
        <v>0</v>
      </c>
      <c r="O1991">
        <f>NHS_A_E[[#This Row],[T1_Attendances]]+NHS_A_E[[#This Row],[Other_Attendances]]</f>
        <v>295</v>
      </c>
      <c r="P1991">
        <f>MATCH(LEFT(A1991,FIND("-",A1991)-1),{"April","May","June","July","August","September","October","November","December","January","February","March"},0)</f>
        <v>11</v>
      </c>
      <c r="Q1991" s="3">
        <f t="shared" si="62"/>
        <v>0</v>
      </c>
      <c r="R1991" t="str">
        <f t="shared" si="63"/>
        <v>February</v>
      </c>
    </row>
    <row r="1992" spans="1:18" x14ac:dyDescent="0.35">
      <c r="A1992" t="s">
        <v>448</v>
      </c>
      <c r="B1992" t="s">
        <v>397</v>
      </c>
      <c r="C1992" t="s">
        <v>63</v>
      </c>
      <c r="D1992" t="s">
        <v>398</v>
      </c>
      <c r="E1992">
        <v>0</v>
      </c>
      <c r="F1992">
        <v>360</v>
      </c>
      <c r="G1992">
        <v>0</v>
      </c>
      <c r="H1992">
        <v>0</v>
      </c>
      <c r="I1992">
        <v>0</v>
      </c>
      <c r="J1992">
        <v>0</v>
      </c>
      <c r="K1992" s="1">
        <v>46054</v>
      </c>
      <c r="L1992" t="s">
        <v>446</v>
      </c>
      <c r="M1992" t="s">
        <v>444</v>
      </c>
      <c r="N1992" s="2">
        <f>IFERROR(NHS_A_E[[#This Row],[T1_Over4hrs]]/NHS_A_E[[#This Row],[T1_Attendances]], 0)</f>
        <v>0</v>
      </c>
      <c r="O1992">
        <f>NHS_A_E[[#This Row],[T1_Attendances]]+NHS_A_E[[#This Row],[Other_Attendances]]</f>
        <v>360</v>
      </c>
      <c r="P1992">
        <f>MATCH(LEFT(A1992,FIND("-",A1992)-1),{"April","May","June","July","August","September","October","November","December","January","February","March"},0)</f>
        <v>11</v>
      </c>
      <c r="Q1992" s="3">
        <f t="shared" si="62"/>
        <v>0</v>
      </c>
      <c r="R1992" t="str">
        <f t="shared" si="63"/>
        <v>February</v>
      </c>
    </row>
    <row r="1993" spans="1:18" x14ac:dyDescent="0.35">
      <c r="A1993" t="s">
        <v>448</v>
      </c>
      <c r="B1993" t="s">
        <v>135</v>
      </c>
      <c r="C1993" t="s">
        <v>40</v>
      </c>
      <c r="D1993" t="s">
        <v>136</v>
      </c>
      <c r="E1993">
        <v>0</v>
      </c>
      <c r="F1993">
        <v>4952</v>
      </c>
      <c r="G1993">
        <v>0</v>
      </c>
      <c r="H1993">
        <v>30</v>
      </c>
      <c r="I1993">
        <v>0</v>
      </c>
      <c r="J1993">
        <v>0</v>
      </c>
      <c r="K1993" s="1">
        <v>46054</v>
      </c>
      <c r="L1993" t="s">
        <v>446</v>
      </c>
      <c r="M1993" t="s">
        <v>444</v>
      </c>
      <c r="N1993" s="2">
        <f>IFERROR(NHS_A_E[[#This Row],[T1_Over4hrs]]/NHS_A_E[[#This Row],[T1_Attendances]], 0)</f>
        <v>0</v>
      </c>
      <c r="O1993">
        <f>NHS_A_E[[#This Row],[T1_Attendances]]+NHS_A_E[[#This Row],[Other_Attendances]]</f>
        <v>4952</v>
      </c>
      <c r="P1993">
        <f>MATCH(LEFT(A1993,FIND("-",A1993)-1),{"April","May","June","July","August","September","October","November","December","January","February","March"},0)</f>
        <v>11</v>
      </c>
      <c r="Q1993" s="3">
        <f t="shared" si="62"/>
        <v>0</v>
      </c>
      <c r="R1993" t="str">
        <f t="shared" si="63"/>
        <v>February</v>
      </c>
    </row>
    <row r="1994" spans="1:18" x14ac:dyDescent="0.35">
      <c r="A1994" t="s">
        <v>448</v>
      </c>
      <c r="B1994" t="s">
        <v>137</v>
      </c>
      <c r="C1994" t="s">
        <v>40</v>
      </c>
      <c r="D1994" t="s">
        <v>138</v>
      </c>
      <c r="E1994">
        <v>0</v>
      </c>
      <c r="F1994">
        <v>168</v>
      </c>
      <c r="G1994">
        <v>0</v>
      </c>
      <c r="H1994">
        <v>0</v>
      </c>
      <c r="I1994">
        <v>0</v>
      </c>
      <c r="J1994">
        <v>0</v>
      </c>
      <c r="K1994" s="1">
        <v>46054</v>
      </c>
      <c r="L1994" t="s">
        <v>446</v>
      </c>
      <c r="M1994" t="s">
        <v>444</v>
      </c>
      <c r="N1994" s="2">
        <f>IFERROR(NHS_A_E[[#This Row],[T1_Over4hrs]]/NHS_A_E[[#This Row],[T1_Attendances]], 0)</f>
        <v>0</v>
      </c>
      <c r="O1994">
        <f>NHS_A_E[[#This Row],[T1_Attendances]]+NHS_A_E[[#This Row],[Other_Attendances]]</f>
        <v>168</v>
      </c>
      <c r="P1994">
        <f>MATCH(LEFT(A1994,FIND("-",A1994)-1),{"April","May","June","July","August","September","October","November","December","January","February","March"},0)</f>
        <v>11</v>
      </c>
      <c r="Q1994" s="3">
        <f t="shared" si="62"/>
        <v>0</v>
      </c>
      <c r="R1994" t="str">
        <f t="shared" si="63"/>
        <v>February</v>
      </c>
    </row>
    <row r="1995" spans="1:18" x14ac:dyDescent="0.35">
      <c r="A1995" t="s">
        <v>448</v>
      </c>
      <c r="B1995" t="s">
        <v>139</v>
      </c>
      <c r="C1995" t="s">
        <v>40</v>
      </c>
      <c r="D1995" t="s">
        <v>140</v>
      </c>
      <c r="E1995">
        <v>0</v>
      </c>
      <c r="F1995">
        <v>116</v>
      </c>
      <c r="G1995">
        <v>0</v>
      </c>
      <c r="H1995">
        <v>0</v>
      </c>
      <c r="I1995">
        <v>0</v>
      </c>
      <c r="J1995">
        <v>0</v>
      </c>
      <c r="K1995" s="1">
        <v>46054</v>
      </c>
      <c r="L1995" t="s">
        <v>446</v>
      </c>
      <c r="M1995" t="s">
        <v>444</v>
      </c>
      <c r="N1995" s="2">
        <f>IFERROR(NHS_A_E[[#This Row],[T1_Over4hrs]]/NHS_A_E[[#This Row],[T1_Attendances]], 0)</f>
        <v>0</v>
      </c>
      <c r="O1995">
        <f>NHS_A_E[[#This Row],[T1_Attendances]]+NHS_A_E[[#This Row],[Other_Attendances]]</f>
        <v>116</v>
      </c>
      <c r="P1995">
        <f>MATCH(LEFT(A1995,FIND("-",A1995)-1),{"April","May","June","July","August","September","October","November","December","January","February","March"},0)</f>
        <v>11</v>
      </c>
      <c r="Q1995" s="3">
        <f t="shared" si="62"/>
        <v>0</v>
      </c>
      <c r="R1995" t="str">
        <f t="shared" si="63"/>
        <v>February</v>
      </c>
    </row>
    <row r="1996" spans="1:18" x14ac:dyDescent="0.35">
      <c r="A1996" t="s">
        <v>448</v>
      </c>
      <c r="B1996" t="s">
        <v>141</v>
      </c>
      <c r="C1996" t="s">
        <v>40</v>
      </c>
      <c r="D1996" t="s">
        <v>142</v>
      </c>
      <c r="E1996">
        <v>0</v>
      </c>
      <c r="F1996">
        <v>40</v>
      </c>
      <c r="G1996">
        <v>0</v>
      </c>
      <c r="H1996">
        <v>0</v>
      </c>
      <c r="I1996">
        <v>0</v>
      </c>
      <c r="J1996">
        <v>0</v>
      </c>
      <c r="K1996" s="1">
        <v>46054</v>
      </c>
      <c r="L1996" t="s">
        <v>446</v>
      </c>
      <c r="M1996" t="s">
        <v>444</v>
      </c>
      <c r="N1996" s="2">
        <f>IFERROR(NHS_A_E[[#This Row],[T1_Over4hrs]]/NHS_A_E[[#This Row],[T1_Attendances]], 0)</f>
        <v>0</v>
      </c>
      <c r="O1996">
        <f>NHS_A_E[[#This Row],[T1_Attendances]]+NHS_A_E[[#This Row],[Other_Attendances]]</f>
        <v>40</v>
      </c>
      <c r="P1996">
        <f>MATCH(LEFT(A1996,FIND("-",A1996)-1),{"April","May","June","July","August","September","October","November","December","January","February","March"},0)</f>
        <v>11</v>
      </c>
      <c r="Q1996" s="3">
        <f t="shared" si="62"/>
        <v>0</v>
      </c>
      <c r="R1996" t="str">
        <f t="shared" si="63"/>
        <v>February</v>
      </c>
    </row>
    <row r="1997" spans="1:18" x14ac:dyDescent="0.35">
      <c r="A1997" t="s">
        <v>448</v>
      </c>
      <c r="B1997" t="s">
        <v>143</v>
      </c>
      <c r="C1997" t="s">
        <v>40</v>
      </c>
      <c r="D1997" t="s">
        <v>144</v>
      </c>
      <c r="E1997">
        <v>0</v>
      </c>
      <c r="F1997">
        <v>484</v>
      </c>
      <c r="G1997">
        <v>0</v>
      </c>
      <c r="H1997">
        <v>2</v>
      </c>
      <c r="I1997">
        <v>0</v>
      </c>
      <c r="J1997">
        <v>0</v>
      </c>
      <c r="K1997" s="1">
        <v>46054</v>
      </c>
      <c r="L1997" t="s">
        <v>446</v>
      </c>
      <c r="M1997" t="s">
        <v>444</v>
      </c>
      <c r="N1997" s="2">
        <f>IFERROR(NHS_A_E[[#This Row],[T1_Over4hrs]]/NHS_A_E[[#This Row],[T1_Attendances]], 0)</f>
        <v>0</v>
      </c>
      <c r="O1997">
        <f>NHS_A_E[[#This Row],[T1_Attendances]]+NHS_A_E[[#This Row],[Other_Attendances]]</f>
        <v>484</v>
      </c>
      <c r="P1997">
        <f>MATCH(LEFT(A1997,FIND("-",A1997)-1),{"April","May","June","July","August","September","October","November","December","January","February","March"},0)</f>
        <v>11</v>
      </c>
      <c r="Q1997" s="3">
        <f t="shared" si="62"/>
        <v>0</v>
      </c>
      <c r="R1997" t="str">
        <f t="shared" si="63"/>
        <v>February</v>
      </c>
    </row>
    <row r="1998" spans="1:18" x14ac:dyDescent="0.35">
      <c r="A1998" t="s">
        <v>448</v>
      </c>
      <c r="B1998" t="s">
        <v>145</v>
      </c>
      <c r="C1998" t="s">
        <v>40</v>
      </c>
      <c r="D1998" t="s">
        <v>146</v>
      </c>
      <c r="E1998">
        <v>0</v>
      </c>
      <c r="F1998">
        <v>53</v>
      </c>
      <c r="G1998">
        <v>0</v>
      </c>
      <c r="H1998">
        <v>0</v>
      </c>
      <c r="I1998">
        <v>0</v>
      </c>
      <c r="J1998">
        <v>0</v>
      </c>
      <c r="K1998" s="1">
        <v>46054</v>
      </c>
      <c r="L1998" t="s">
        <v>446</v>
      </c>
      <c r="M1998" t="s">
        <v>444</v>
      </c>
      <c r="N1998" s="2">
        <f>IFERROR(NHS_A_E[[#This Row],[T1_Over4hrs]]/NHS_A_E[[#This Row],[T1_Attendances]], 0)</f>
        <v>0</v>
      </c>
      <c r="O1998">
        <f>NHS_A_E[[#This Row],[T1_Attendances]]+NHS_A_E[[#This Row],[Other_Attendances]]</f>
        <v>53</v>
      </c>
      <c r="P1998">
        <f>MATCH(LEFT(A1998,FIND("-",A1998)-1),{"April","May","June","July","August","September","October","November","December","January","February","March"},0)</f>
        <v>11</v>
      </c>
      <c r="Q1998" s="3">
        <f t="shared" si="62"/>
        <v>0</v>
      </c>
      <c r="R1998" t="str">
        <f t="shared" si="63"/>
        <v>February</v>
      </c>
    </row>
    <row r="1999" spans="1:18" x14ac:dyDescent="0.35">
      <c r="A1999" t="s">
        <v>448</v>
      </c>
      <c r="B1999" t="s">
        <v>247</v>
      </c>
      <c r="C1999" t="s">
        <v>15</v>
      </c>
      <c r="D1999" t="s">
        <v>248</v>
      </c>
      <c r="E1999">
        <v>0</v>
      </c>
      <c r="F1999">
        <v>4662</v>
      </c>
      <c r="G1999">
        <v>0</v>
      </c>
      <c r="H1999">
        <v>243</v>
      </c>
      <c r="I1999">
        <v>0</v>
      </c>
      <c r="J1999">
        <v>0</v>
      </c>
      <c r="K1999" s="1">
        <v>46054</v>
      </c>
      <c r="L1999" t="s">
        <v>446</v>
      </c>
      <c r="M1999" t="s">
        <v>444</v>
      </c>
      <c r="N1999" s="2">
        <f>IFERROR(NHS_A_E[[#This Row],[T1_Over4hrs]]/NHS_A_E[[#This Row],[T1_Attendances]], 0)</f>
        <v>0</v>
      </c>
      <c r="O1999">
        <f>NHS_A_E[[#This Row],[T1_Attendances]]+NHS_A_E[[#This Row],[Other_Attendances]]</f>
        <v>4662</v>
      </c>
      <c r="P1999">
        <f>MATCH(LEFT(A1999,FIND("-",A1999)-1),{"April","May","June","July","August","September","October","November","December","January","February","March"},0)</f>
        <v>11</v>
      </c>
      <c r="Q1999" s="3">
        <f t="shared" si="62"/>
        <v>0</v>
      </c>
      <c r="R1999" t="str">
        <f t="shared" si="63"/>
        <v>February</v>
      </c>
    </row>
    <row r="2000" spans="1:18" x14ac:dyDescent="0.35">
      <c r="A2000" t="s">
        <v>448</v>
      </c>
      <c r="B2000" t="s">
        <v>335</v>
      </c>
      <c r="C2000" t="s">
        <v>63</v>
      </c>
      <c r="D2000" t="s">
        <v>336</v>
      </c>
      <c r="E2000">
        <v>10371</v>
      </c>
      <c r="F2000">
        <v>5014</v>
      </c>
      <c r="G2000">
        <v>5314</v>
      </c>
      <c r="H2000">
        <v>196</v>
      </c>
      <c r="I2000">
        <v>723</v>
      </c>
      <c r="J2000">
        <v>1</v>
      </c>
      <c r="K2000" s="1">
        <v>46054</v>
      </c>
      <c r="L2000" t="s">
        <v>446</v>
      </c>
      <c r="M2000" t="s">
        <v>444</v>
      </c>
      <c r="N2000" s="2">
        <f>IFERROR(NHS_A_E[[#This Row],[T1_Over4hrs]]/NHS_A_E[[#This Row],[T1_Attendances]], 0)</f>
        <v>0.51239031915919386</v>
      </c>
      <c r="O2000">
        <f>NHS_A_E[[#This Row],[T1_Attendances]]+NHS_A_E[[#This Row],[Other_Attendances]]</f>
        <v>15385</v>
      </c>
      <c r="P2000">
        <f>MATCH(LEFT(A2000,FIND("-",A2000)-1),{"April","May","June","July","August","September","October","November","December","January","February","March"},0)</f>
        <v>11</v>
      </c>
      <c r="Q2000" s="3">
        <f t="shared" si="62"/>
        <v>9.6422717192170472E-5</v>
      </c>
      <c r="R2000" t="str">
        <f t="shared" si="63"/>
        <v>February</v>
      </c>
    </row>
    <row r="2001" spans="1:18" x14ac:dyDescent="0.35">
      <c r="A2001" t="s">
        <v>448</v>
      </c>
      <c r="B2001" t="s">
        <v>209</v>
      </c>
      <c r="C2001" t="s">
        <v>35</v>
      </c>
      <c r="D2001" t="s">
        <v>210</v>
      </c>
      <c r="E2001">
        <v>24013</v>
      </c>
      <c r="F2001">
        <v>15869</v>
      </c>
      <c r="G2001">
        <v>10119</v>
      </c>
      <c r="H2001">
        <v>790</v>
      </c>
      <c r="I2001">
        <v>913</v>
      </c>
      <c r="J2001">
        <v>1271</v>
      </c>
      <c r="K2001" s="1">
        <v>46054</v>
      </c>
      <c r="L2001" t="s">
        <v>446</v>
      </c>
      <c r="M2001" t="s">
        <v>444</v>
      </c>
      <c r="N2001" s="2">
        <f>IFERROR(NHS_A_E[[#This Row],[T1_Over4hrs]]/NHS_A_E[[#This Row],[T1_Attendances]], 0)</f>
        <v>0.42139674343064176</v>
      </c>
      <c r="O2001">
        <f>NHS_A_E[[#This Row],[T1_Attendances]]+NHS_A_E[[#This Row],[Other_Attendances]]</f>
        <v>39882</v>
      </c>
      <c r="P2001">
        <f>MATCH(LEFT(A2001,FIND("-",A2001)-1),{"April","May","June","July","August","September","October","November","December","January","February","March"},0)</f>
        <v>11</v>
      </c>
      <c r="Q2001" s="3">
        <f t="shared" si="62"/>
        <v>5.2929663099154624E-2</v>
      </c>
      <c r="R2001" t="str">
        <f t="shared" si="63"/>
        <v>February</v>
      </c>
    </row>
    <row r="2002" spans="1:18" x14ac:dyDescent="0.35">
      <c r="A2002" t="s">
        <v>448</v>
      </c>
      <c r="B2002" t="s">
        <v>205</v>
      </c>
      <c r="C2002" t="s">
        <v>35</v>
      </c>
      <c r="D2002" t="s">
        <v>206</v>
      </c>
      <c r="E2002">
        <v>11379</v>
      </c>
      <c r="F2002">
        <v>6043</v>
      </c>
      <c r="G2002">
        <v>4645</v>
      </c>
      <c r="H2002">
        <v>245</v>
      </c>
      <c r="I2002">
        <v>494</v>
      </c>
      <c r="J2002">
        <v>0</v>
      </c>
      <c r="K2002" s="1">
        <v>46054</v>
      </c>
      <c r="L2002" t="s">
        <v>446</v>
      </c>
      <c r="M2002" t="s">
        <v>444</v>
      </c>
      <c r="N2002" s="2">
        <f>IFERROR(NHS_A_E[[#This Row],[T1_Over4hrs]]/NHS_A_E[[#This Row],[T1_Attendances]], 0)</f>
        <v>0.40820810264522367</v>
      </c>
      <c r="O2002">
        <f>NHS_A_E[[#This Row],[T1_Attendances]]+NHS_A_E[[#This Row],[Other_Attendances]]</f>
        <v>17422</v>
      </c>
      <c r="P2002">
        <f>MATCH(LEFT(A2002,FIND("-",A2002)-1),{"April","May","June","July","August","September","October","November","December","January","February","March"},0)</f>
        <v>11</v>
      </c>
      <c r="Q2002" s="3">
        <f t="shared" si="62"/>
        <v>0</v>
      </c>
      <c r="R2002" t="str">
        <f t="shared" si="63"/>
        <v>February</v>
      </c>
    </row>
    <row r="2003" spans="1:18" x14ac:dyDescent="0.35">
      <c r="A2003" t="s">
        <v>448</v>
      </c>
      <c r="B2003" t="s">
        <v>371</v>
      </c>
      <c r="C2003" t="s">
        <v>35</v>
      </c>
      <c r="D2003" t="s">
        <v>372</v>
      </c>
      <c r="E2003">
        <v>4633</v>
      </c>
      <c r="F2003">
        <v>5942</v>
      </c>
      <c r="G2003">
        <v>1969</v>
      </c>
      <c r="H2003">
        <v>23</v>
      </c>
      <c r="I2003">
        <v>520</v>
      </c>
      <c r="J2003">
        <v>18</v>
      </c>
      <c r="K2003" s="1">
        <v>46054</v>
      </c>
      <c r="L2003" t="s">
        <v>446</v>
      </c>
      <c r="M2003" t="s">
        <v>444</v>
      </c>
      <c r="N2003" s="2">
        <f>IFERROR(NHS_A_E[[#This Row],[T1_Over4hrs]]/NHS_A_E[[#This Row],[T1_Attendances]], 0)</f>
        <v>0.42499460392834015</v>
      </c>
      <c r="O2003">
        <f>NHS_A_E[[#This Row],[T1_Attendances]]+NHS_A_E[[#This Row],[Other_Attendances]]</f>
        <v>10575</v>
      </c>
      <c r="P2003">
        <f>MATCH(LEFT(A2003,FIND("-",A2003)-1),{"April","May","June","July","August","September","October","November","December","January","February","March"},0)</f>
        <v>11</v>
      </c>
      <c r="Q2003" s="3">
        <f t="shared" si="62"/>
        <v>3.8851715950787825E-3</v>
      </c>
      <c r="R2003" t="str">
        <f t="shared" si="63"/>
        <v>February</v>
      </c>
    </row>
    <row r="2004" spans="1:18" x14ac:dyDescent="0.35">
      <c r="A2004" t="s">
        <v>448</v>
      </c>
      <c r="B2004" t="s">
        <v>93</v>
      </c>
      <c r="C2004" t="s">
        <v>63</v>
      </c>
      <c r="D2004" t="s">
        <v>94</v>
      </c>
      <c r="E2004">
        <v>10322</v>
      </c>
      <c r="F2004">
        <v>5851</v>
      </c>
      <c r="G2004">
        <v>5614</v>
      </c>
      <c r="H2004">
        <v>248</v>
      </c>
      <c r="I2004">
        <v>760</v>
      </c>
      <c r="J2004">
        <v>406</v>
      </c>
      <c r="K2004" s="1">
        <v>46054</v>
      </c>
      <c r="L2004" t="s">
        <v>446</v>
      </c>
      <c r="M2004" t="s">
        <v>444</v>
      </c>
      <c r="N2004" s="2">
        <f>IFERROR(NHS_A_E[[#This Row],[T1_Over4hrs]]/NHS_A_E[[#This Row],[T1_Attendances]], 0)</f>
        <v>0.54388684363495443</v>
      </c>
      <c r="O2004">
        <f>NHS_A_E[[#This Row],[T1_Attendances]]+NHS_A_E[[#This Row],[Other_Attendances]]</f>
        <v>16173</v>
      </c>
      <c r="P2004">
        <f>MATCH(LEFT(A2004,FIND("-",A2004)-1),{"April","May","June","July","August","September","October","November","December","January","February","March"},0)</f>
        <v>11</v>
      </c>
      <c r="Q2004" s="3">
        <f t="shared" si="62"/>
        <v>3.9333462507266034E-2</v>
      </c>
      <c r="R2004" t="str">
        <f t="shared" si="63"/>
        <v>February</v>
      </c>
    </row>
    <row r="2005" spans="1:18" x14ac:dyDescent="0.35">
      <c r="A2005" t="s">
        <v>448</v>
      </c>
      <c r="B2005" t="s">
        <v>347</v>
      </c>
      <c r="C2005" t="s">
        <v>63</v>
      </c>
      <c r="D2005" t="s">
        <v>348</v>
      </c>
      <c r="E2005">
        <v>5277</v>
      </c>
      <c r="F2005">
        <v>0</v>
      </c>
      <c r="G2005">
        <v>2307</v>
      </c>
      <c r="H2005">
        <v>0</v>
      </c>
      <c r="I2005">
        <v>419</v>
      </c>
      <c r="J2005">
        <v>262</v>
      </c>
      <c r="K2005" s="1">
        <v>46054</v>
      </c>
      <c r="L2005" t="s">
        <v>446</v>
      </c>
      <c r="M2005" t="s">
        <v>444</v>
      </c>
      <c r="N2005" s="2">
        <f>IFERROR(NHS_A_E[[#This Row],[T1_Over4hrs]]/NHS_A_E[[#This Row],[T1_Attendances]], 0)</f>
        <v>0.43718021603183627</v>
      </c>
      <c r="O2005">
        <f>NHS_A_E[[#This Row],[T1_Attendances]]+NHS_A_E[[#This Row],[Other_Attendances]]</f>
        <v>5277</v>
      </c>
      <c r="P2005">
        <f>MATCH(LEFT(A2005,FIND("-",A2005)-1),{"April","May","June","July","August","September","October","November","December","January","February","March"},0)</f>
        <v>11</v>
      </c>
      <c r="Q2005" s="3">
        <f t="shared" si="62"/>
        <v>4.9649422020087174E-2</v>
      </c>
      <c r="R2005" t="str">
        <f t="shared" si="63"/>
        <v>February</v>
      </c>
    </row>
    <row r="2006" spans="1:18" x14ac:dyDescent="0.35">
      <c r="A2006" t="s">
        <v>448</v>
      </c>
      <c r="B2006" t="s">
        <v>19</v>
      </c>
      <c r="C2006" t="s">
        <v>20</v>
      </c>
      <c r="D2006" t="s">
        <v>21</v>
      </c>
      <c r="E2006">
        <v>8288</v>
      </c>
      <c r="F2006">
        <v>0</v>
      </c>
      <c r="G2006">
        <v>3645</v>
      </c>
      <c r="H2006">
        <v>0</v>
      </c>
      <c r="I2006">
        <v>806</v>
      </c>
      <c r="J2006">
        <v>219</v>
      </c>
      <c r="K2006" s="1">
        <v>46054</v>
      </c>
      <c r="L2006" t="s">
        <v>446</v>
      </c>
      <c r="M2006" t="s">
        <v>444</v>
      </c>
      <c r="N2006" s="2">
        <f>IFERROR(NHS_A_E[[#This Row],[T1_Over4hrs]]/NHS_A_E[[#This Row],[T1_Attendances]], 0)</f>
        <v>0.43979247104247104</v>
      </c>
      <c r="O2006">
        <f>NHS_A_E[[#This Row],[T1_Attendances]]+NHS_A_E[[#This Row],[Other_Attendances]]</f>
        <v>8288</v>
      </c>
      <c r="P2006">
        <f>MATCH(LEFT(A2006,FIND("-",A2006)-1),{"April","May","June","July","August","September","October","November","December","January","February","March"},0)</f>
        <v>11</v>
      </c>
      <c r="Q2006" s="3">
        <f t="shared" si="62"/>
        <v>2.6423745173745173E-2</v>
      </c>
      <c r="R2006" t="str">
        <f t="shared" si="63"/>
        <v>February</v>
      </c>
    </row>
    <row r="2007" spans="1:18" x14ac:dyDescent="0.35">
      <c r="A2007" t="s">
        <v>448</v>
      </c>
      <c r="B2007" t="s">
        <v>22</v>
      </c>
      <c r="C2007" t="s">
        <v>23</v>
      </c>
      <c r="D2007" t="s">
        <v>24</v>
      </c>
      <c r="E2007">
        <v>10184</v>
      </c>
      <c r="F2007">
        <v>11887</v>
      </c>
      <c r="G2007">
        <v>4342</v>
      </c>
      <c r="H2007">
        <v>999</v>
      </c>
      <c r="I2007">
        <v>768</v>
      </c>
      <c r="J2007">
        <v>559</v>
      </c>
      <c r="K2007" s="1">
        <v>46054</v>
      </c>
      <c r="L2007" t="s">
        <v>446</v>
      </c>
      <c r="M2007" t="s">
        <v>444</v>
      </c>
      <c r="N2007" s="2">
        <f>IFERROR(NHS_A_E[[#This Row],[T1_Over4hrs]]/NHS_A_E[[#This Row],[T1_Attendances]], 0)</f>
        <v>0.42635506677140611</v>
      </c>
      <c r="O2007">
        <f>NHS_A_E[[#This Row],[T1_Attendances]]+NHS_A_E[[#This Row],[Other_Attendances]]</f>
        <v>22071</v>
      </c>
      <c r="P2007">
        <f>MATCH(LEFT(A2007,FIND("-",A2007)-1),{"April","May","June","July","August","September","October","November","December","January","February","March"},0)</f>
        <v>11</v>
      </c>
      <c r="Q2007" s="3">
        <f t="shared" si="62"/>
        <v>5.4890023566378635E-2</v>
      </c>
      <c r="R2007" t="str">
        <f t="shared" si="63"/>
        <v>February</v>
      </c>
    </row>
    <row r="2008" spans="1:18" x14ac:dyDescent="0.35">
      <c r="A2008" t="s">
        <v>448</v>
      </c>
      <c r="B2008" t="s">
        <v>25</v>
      </c>
      <c r="C2008" t="s">
        <v>15</v>
      </c>
      <c r="D2008" t="s">
        <v>26</v>
      </c>
      <c r="E2008">
        <v>0</v>
      </c>
      <c r="F2008">
        <v>10054</v>
      </c>
      <c r="G2008">
        <v>0</v>
      </c>
      <c r="H2008">
        <v>74</v>
      </c>
      <c r="I2008">
        <v>0</v>
      </c>
      <c r="J2008">
        <v>0</v>
      </c>
      <c r="K2008" s="1">
        <v>46054</v>
      </c>
      <c r="L2008" t="s">
        <v>446</v>
      </c>
      <c r="M2008" t="s">
        <v>444</v>
      </c>
      <c r="N2008" s="2">
        <f>IFERROR(NHS_A_E[[#This Row],[T1_Over4hrs]]/NHS_A_E[[#This Row],[T1_Attendances]], 0)</f>
        <v>0</v>
      </c>
      <c r="O2008">
        <f>NHS_A_E[[#This Row],[T1_Attendances]]+NHS_A_E[[#This Row],[Other_Attendances]]</f>
        <v>10054</v>
      </c>
      <c r="P2008">
        <f>MATCH(LEFT(A2008,FIND("-",A2008)-1),{"April","May","June","July","August","September","October","November","December","January","February","March"},0)</f>
        <v>11</v>
      </c>
      <c r="Q2008" s="3">
        <f t="shared" si="62"/>
        <v>0</v>
      </c>
      <c r="R2008" t="str">
        <f t="shared" si="63"/>
        <v>February</v>
      </c>
    </row>
    <row r="2009" spans="1:18" x14ac:dyDescent="0.35">
      <c r="A2009" t="s">
        <v>448</v>
      </c>
      <c r="B2009" t="s">
        <v>29</v>
      </c>
      <c r="C2009" t="s">
        <v>30</v>
      </c>
      <c r="D2009" t="s">
        <v>31</v>
      </c>
      <c r="E2009">
        <v>14733</v>
      </c>
      <c r="F2009">
        <v>7259</v>
      </c>
      <c r="G2009">
        <v>7314</v>
      </c>
      <c r="H2009">
        <v>349</v>
      </c>
      <c r="I2009">
        <v>711</v>
      </c>
      <c r="J2009">
        <v>1234</v>
      </c>
      <c r="K2009" s="1">
        <v>46054</v>
      </c>
      <c r="L2009" t="s">
        <v>446</v>
      </c>
      <c r="M2009" t="s">
        <v>444</v>
      </c>
      <c r="N2009" s="2">
        <f>IFERROR(NHS_A_E[[#This Row],[T1_Over4hrs]]/NHS_A_E[[#This Row],[T1_Attendances]], 0)</f>
        <v>0.49643657096314397</v>
      </c>
      <c r="O2009">
        <f>NHS_A_E[[#This Row],[T1_Attendances]]+NHS_A_E[[#This Row],[Other_Attendances]]</f>
        <v>21992</v>
      </c>
      <c r="P2009">
        <f>MATCH(LEFT(A2009,FIND("-",A2009)-1),{"April","May","June","July","August","September","October","November","December","January","February","March"},0)</f>
        <v>11</v>
      </c>
      <c r="Q2009" s="3">
        <f t="shared" si="62"/>
        <v>8.37575510758162E-2</v>
      </c>
      <c r="R2009" t="str">
        <f t="shared" si="63"/>
        <v>February</v>
      </c>
    </row>
    <row r="2010" spans="1:18" x14ac:dyDescent="0.35">
      <c r="A2010" t="s">
        <v>448</v>
      </c>
      <c r="B2010" t="s">
        <v>32</v>
      </c>
      <c r="C2010" t="s">
        <v>30</v>
      </c>
      <c r="D2010" t="s">
        <v>33</v>
      </c>
      <c r="E2010">
        <v>0</v>
      </c>
      <c r="F2010">
        <v>0</v>
      </c>
      <c r="G2010">
        <v>0</v>
      </c>
      <c r="H2010">
        <v>0</v>
      </c>
      <c r="I2010">
        <v>0</v>
      </c>
      <c r="J2010">
        <v>0</v>
      </c>
      <c r="K2010" s="1">
        <v>46054</v>
      </c>
      <c r="L2010" t="s">
        <v>446</v>
      </c>
      <c r="M2010" t="s">
        <v>444</v>
      </c>
      <c r="N2010" s="2">
        <f>IFERROR(NHS_A_E[[#This Row],[T1_Over4hrs]]/NHS_A_E[[#This Row],[T1_Attendances]], 0)</f>
        <v>0</v>
      </c>
      <c r="O2010">
        <f>NHS_A_E[[#This Row],[T1_Attendances]]+NHS_A_E[[#This Row],[Other_Attendances]]</f>
        <v>0</v>
      </c>
      <c r="P2010">
        <f>MATCH(LEFT(A2010,FIND("-",A2010)-1),{"April","May","June","July","August","September","October","November","December","January","February","March"},0)</f>
        <v>11</v>
      </c>
      <c r="Q2010" s="3">
        <f t="shared" si="62"/>
        <v>0</v>
      </c>
      <c r="R2010" t="str">
        <f t="shared" si="63"/>
        <v>February</v>
      </c>
    </row>
    <row r="2011" spans="1:18" x14ac:dyDescent="0.35">
      <c r="A2011" t="s">
        <v>448</v>
      </c>
      <c r="B2011" t="s">
        <v>231</v>
      </c>
      <c r="C2011" t="s">
        <v>63</v>
      </c>
      <c r="D2011" t="s">
        <v>232</v>
      </c>
      <c r="E2011">
        <v>8494</v>
      </c>
      <c r="F2011">
        <v>0</v>
      </c>
      <c r="G2011">
        <v>2102</v>
      </c>
      <c r="H2011">
        <v>0</v>
      </c>
      <c r="I2011">
        <v>372</v>
      </c>
      <c r="J2011">
        <v>1</v>
      </c>
      <c r="K2011" s="1">
        <v>46054</v>
      </c>
      <c r="L2011" t="s">
        <v>446</v>
      </c>
      <c r="M2011" t="s">
        <v>444</v>
      </c>
      <c r="N2011" s="2">
        <f>IFERROR(NHS_A_E[[#This Row],[T1_Over4hrs]]/NHS_A_E[[#This Row],[T1_Attendances]], 0)</f>
        <v>0.24746880150694608</v>
      </c>
      <c r="O2011">
        <f>NHS_A_E[[#This Row],[T1_Attendances]]+NHS_A_E[[#This Row],[Other_Attendances]]</f>
        <v>8494</v>
      </c>
      <c r="P2011">
        <f>MATCH(LEFT(A2011,FIND("-",A2011)-1),{"April","May","June","July","August","September","October","November","December","January","February","March"},0)</f>
        <v>11</v>
      </c>
      <c r="Q2011" s="3">
        <f t="shared" si="62"/>
        <v>1.1773016246762421E-4</v>
      </c>
      <c r="R2011" t="str">
        <f t="shared" si="63"/>
        <v>February</v>
      </c>
    </row>
    <row r="2012" spans="1:18" x14ac:dyDescent="0.35">
      <c r="A2012" t="s">
        <v>448</v>
      </c>
      <c r="B2012" t="s">
        <v>393</v>
      </c>
      <c r="C2012" t="s">
        <v>23</v>
      </c>
      <c r="D2012" t="s">
        <v>394</v>
      </c>
      <c r="E2012">
        <v>14103</v>
      </c>
      <c r="F2012">
        <v>4300</v>
      </c>
      <c r="G2012">
        <v>5984</v>
      </c>
      <c r="H2012">
        <v>192</v>
      </c>
      <c r="I2012">
        <v>501</v>
      </c>
      <c r="J2012">
        <v>921</v>
      </c>
      <c r="K2012" s="1">
        <v>46054</v>
      </c>
      <c r="L2012" t="s">
        <v>446</v>
      </c>
      <c r="M2012" t="s">
        <v>444</v>
      </c>
      <c r="N2012" s="2">
        <f>IFERROR(NHS_A_E[[#This Row],[T1_Over4hrs]]/NHS_A_E[[#This Row],[T1_Attendances]], 0)</f>
        <v>0.42430688505991632</v>
      </c>
      <c r="O2012">
        <f>NHS_A_E[[#This Row],[T1_Attendances]]+NHS_A_E[[#This Row],[Other_Attendances]]</f>
        <v>18403</v>
      </c>
      <c r="P2012">
        <f>MATCH(LEFT(A2012,FIND("-",A2012)-1),{"April","May","June","July","August","September","October","November","December","January","February","March"},0)</f>
        <v>11</v>
      </c>
      <c r="Q2012" s="3">
        <f t="shared" si="62"/>
        <v>6.5305254201233787E-2</v>
      </c>
      <c r="R2012" t="str">
        <f t="shared" si="63"/>
        <v>February</v>
      </c>
    </row>
    <row r="2013" spans="1:18" x14ac:dyDescent="0.35">
      <c r="A2013" t="s">
        <v>448</v>
      </c>
      <c r="B2013" t="s">
        <v>91</v>
      </c>
      <c r="C2013" t="s">
        <v>30</v>
      </c>
      <c r="D2013" t="s">
        <v>92</v>
      </c>
      <c r="E2013">
        <v>15685</v>
      </c>
      <c r="F2013">
        <v>6585</v>
      </c>
      <c r="G2013">
        <v>6218</v>
      </c>
      <c r="H2013">
        <v>88</v>
      </c>
      <c r="I2013">
        <v>389</v>
      </c>
      <c r="J2013">
        <v>480</v>
      </c>
      <c r="K2013" s="1">
        <v>46054</v>
      </c>
      <c r="L2013" t="s">
        <v>446</v>
      </c>
      <c r="M2013" t="s">
        <v>444</v>
      </c>
      <c r="N2013" s="2">
        <f>IFERROR(NHS_A_E[[#This Row],[T1_Over4hrs]]/NHS_A_E[[#This Row],[T1_Attendances]], 0)</f>
        <v>0.39642970991393051</v>
      </c>
      <c r="O2013">
        <f>NHS_A_E[[#This Row],[T1_Attendances]]+NHS_A_E[[#This Row],[Other_Attendances]]</f>
        <v>22270</v>
      </c>
      <c r="P2013">
        <f>MATCH(LEFT(A2013,FIND("-",A2013)-1),{"April","May","June","July","August","September","October","November","December","January","February","March"},0)</f>
        <v>11</v>
      </c>
      <c r="Q2013" s="3">
        <f t="shared" si="62"/>
        <v>3.0602486452024225E-2</v>
      </c>
      <c r="R2013" t="str">
        <f t="shared" si="63"/>
        <v>February</v>
      </c>
    </row>
    <row r="2014" spans="1:18" x14ac:dyDescent="0.35">
      <c r="A2014" t="s">
        <v>448</v>
      </c>
      <c r="B2014" t="s">
        <v>367</v>
      </c>
      <c r="C2014" t="s">
        <v>23</v>
      </c>
      <c r="D2014" t="s">
        <v>368</v>
      </c>
      <c r="E2014">
        <v>0</v>
      </c>
      <c r="F2014">
        <v>1021</v>
      </c>
      <c r="G2014">
        <v>0</v>
      </c>
      <c r="H2014">
        <v>10</v>
      </c>
      <c r="I2014">
        <v>0</v>
      </c>
      <c r="J2014">
        <v>0</v>
      </c>
      <c r="K2014" s="1">
        <v>46054</v>
      </c>
      <c r="L2014" t="s">
        <v>446</v>
      </c>
      <c r="M2014" t="s">
        <v>444</v>
      </c>
      <c r="N2014" s="2">
        <f>IFERROR(NHS_A_E[[#This Row],[T1_Over4hrs]]/NHS_A_E[[#This Row],[T1_Attendances]], 0)</f>
        <v>0</v>
      </c>
      <c r="O2014">
        <f>NHS_A_E[[#This Row],[T1_Attendances]]+NHS_A_E[[#This Row],[Other_Attendances]]</f>
        <v>1021</v>
      </c>
      <c r="P2014">
        <f>MATCH(LEFT(A2014,FIND("-",A2014)-1),{"April","May","June","July","August","September","October","November","December","January","February","March"},0)</f>
        <v>11</v>
      </c>
      <c r="Q2014" s="3">
        <f t="shared" si="62"/>
        <v>0</v>
      </c>
      <c r="R2014" t="str">
        <f t="shared" si="63"/>
        <v>February</v>
      </c>
    </row>
    <row r="2015" spans="1:18" x14ac:dyDescent="0.35">
      <c r="A2015" t="s">
        <v>448</v>
      </c>
      <c r="B2015" t="s">
        <v>375</v>
      </c>
      <c r="C2015" t="s">
        <v>40</v>
      </c>
      <c r="D2015" t="s">
        <v>376</v>
      </c>
      <c r="E2015">
        <v>10569</v>
      </c>
      <c r="F2015">
        <v>7702</v>
      </c>
      <c r="G2015">
        <v>5128</v>
      </c>
      <c r="H2015">
        <v>138</v>
      </c>
      <c r="I2015">
        <v>711</v>
      </c>
      <c r="J2015">
        <v>448</v>
      </c>
      <c r="K2015" s="1">
        <v>46054</v>
      </c>
      <c r="L2015" t="s">
        <v>446</v>
      </c>
      <c r="M2015" t="s">
        <v>444</v>
      </c>
      <c r="N2015" s="2">
        <f>IFERROR(NHS_A_E[[#This Row],[T1_Over4hrs]]/NHS_A_E[[#This Row],[T1_Attendances]], 0)</f>
        <v>0.48519254423313463</v>
      </c>
      <c r="O2015">
        <f>NHS_A_E[[#This Row],[T1_Attendances]]+NHS_A_E[[#This Row],[Other_Attendances]]</f>
        <v>18271</v>
      </c>
      <c r="P2015">
        <f>MATCH(LEFT(A2015,FIND("-",A2015)-1),{"April","May","June","July","August","September","October","November","December","January","February","March"},0)</f>
        <v>11</v>
      </c>
      <c r="Q2015" s="3">
        <f t="shared" si="62"/>
        <v>4.23881161888542E-2</v>
      </c>
      <c r="R2015" t="str">
        <f t="shared" si="63"/>
        <v>February</v>
      </c>
    </row>
    <row r="2016" spans="1:18" x14ac:dyDescent="0.35">
      <c r="A2016" t="s">
        <v>448</v>
      </c>
      <c r="B2016" t="s">
        <v>133</v>
      </c>
      <c r="C2016" t="s">
        <v>15</v>
      </c>
      <c r="D2016" t="s">
        <v>134</v>
      </c>
      <c r="E2016">
        <v>0</v>
      </c>
      <c r="F2016">
        <v>1176</v>
      </c>
      <c r="G2016">
        <v>0</v>
      </c>
      <c r="H2016">
        <v>10</v>
      </c>
      <c r="I2016">
        <v>0</v>
      </c>
      <c r="J2016">
        <v>0</v>
      </c>
      <c r="K2016" s="1">
        <v>46054</v>
      </c>
      <c r="L2016" t="s">
        <v>446</v>
      </c>
      <c r="M2016" t="s">
        <v>444</v>
      </c>
      <c r="N2016" s="2">
        <f>IFERROR(NHS_A_E[[#This Row],[T1_Over4hrs]]/NHS_A_E[[#This Row],[T1_Attendances]], 0)</f>
        <v>0</v>
      </c>
      <c r="O2016">
        <f>NHS_A_E[[#This Row],[T1_Attendances]]+NHS_A_E[[#This Row],[Other_Attendances]]</f>
        <v>1176</v>
      </c>
      <c r="P2016">
        <f>MATCH(LEFT(A2016,FIND("-",A2016)-1),{"April","May","June","July","August","September","October","November","December","January","February","March"},0)</f>
        <v>11</v>
      </c>
      <c r="Q2016" s="3">
        <f t="shared" si="62"/>
        <v>0</v>
      </c>
      <c r="R2016" t="str">
        <f t="shared" si="63"/>
        <v>February</v>
      </c>
    </row>
    <row r="2017" spans="1:18" x14ac:dyDescent="0.35">
      <c r="A2017" t="s">
        <v>448</v>
      </c>
      <c r="B2017" t="s">
        <v>333</v>
      </c>
      <c r="C2017" t="s">
        <v>30</v>
      </c>
      <c r="D2017" t="s">
        <v>334</v>
      </c>
      <c r="E2017">
        <v>24273</v>
      </c>
      <c r="F2017">
        <v>9991</v>
      </c>
      <c r="G2017">
        <v>9641</v>
      </c>
      <c r="H2017">
        <v>290</v>
      </c>
      <c r="I2017">
        <v>3528</v>
      </c>
      <c r="J2017">
        <v>83</v>
      </c>
      <c r="K2017" s="1">
        <v>46054</v>
      </c>
      <c r="L2017" t="s">
        <v>446</v>
      </c>
      <c r="M2017" t="s">
        <v>444</v>
      </c>
      <c r="N2017" s="2">
        <f>IFERROR(NHS_A_E[[#This Row],[T1_Over4hrs]]/NHS_A_E[[#This Row],[T1_Attendances]], 0)</f>
        <v>0.39719029374201786</v>
      </c>
      <c r="O2017">
        <f>NHS_A_E[[#This Row],[T1_Attendances]]+NHS_A_E[[#This Row],[Other_Attendances]]</f>
        <v>34264</v>
      </c>
      <c r="P2017">
        <f>MATCH(LEFT(A2017,FIND("-",A2017)-1),{"April","May","June","July","August","September","October","November","December","January","February","March"},0)</f>
        <v>11</v>
      </c>
      <c r="Q2017" s="3">
        <f t="shared" si="62"/>
        <v>3.4194372347876242E-3</v>
      </c>
      <c r="R2017" t="str">
        <f t="shared" si="63"/>
        <v>February</v>
      </c>
    </row>
    <row r="2018" spans="1:18" x14ac:dyDescent="0.35">
      <c r="A2018" t="s">
        <v>448</v>
      </c>
      <c r="B2018" t="s">
        <v>337</v>
      </c>
      <c r="C2018" t="s">
        <v>20</v>
      </c>
      <c r="D2018" t="s">
        <v>338</v>
      </c>
      <c r="E2018">
        <v>13434</v>
      </c>
      <c r="F2018">
        <v>3334</v>
      </c>
      <c r="G2018">
        <v>6069</v>
      </c>
      <c r="H2018">
        <v>0</v>
      </c>
      <c r="I2018">
        <v>997</v>
      </c>
      <c r="J2018">
        <v>454</v>
      </c>
      <c r="K2018" s="1">
        <v>46054</v>
      </c>
      <c r="L2018" t="s">
        <v>446</v>
      </c>
      <c r="M2018" t="s">
        <v>444</v>
      </c>
      <c r="N2018" s="2">
        <f>IFERROR(NHS_A_E[[#This Row],[T1_Over4hrs]]/NHS_A_E[[#This Row],[T1_Attendances]], 0)</f>
        <v>0.4517641804376954</v>
      </c>
      <c r="O2018">
        <f>NHS_A_E[[#This Row],[T1_Attendances]]+NHS_A_E[[#This Row],[Other_Attendances]]</f>
        <v>16768</v>
      </c>
      <c r="P2018">
        <f>MATCH(LEFT(A2018,FIND("-",A2018)-1),{"April","May","June","July","August","September","October","November","December","January","February","March"},0)</f>
        <v>11</v>
      </c>
      <c r="Q2018" s="3">
        <f t="shared" si="62"/>
        <v>3.3794848890873905E-2</v>
      </c>
      <c r="R2018" t="str">
        <f t="shared" si="63"/>
        <v>February</v>
      </c>
    </row>
    <row r="2019" spans="1:18" x14ac:dyDescent="0.35">
      <c r="A2019" t="s">
        <v>448</v>
      </c>
      <c r="B2019" t="s">
        <v>87</v>
      </c>
      <c r="C2019" t="s">
        <v>23</v>
      </c>
      <c r="D2019" t="s">
        <v>88</v>
      </c>
      <c r="E2019">
        <v>24311</v>
      </c>
      <c r="F2019">
        <v>7273</v>
      </c>
      <c r="G2019">
        <v>10563</v>
      </c>
      <c r="H2019">
        <v>269</v>
      </c>
      <c r="I2019">
        <v>2196</v>
      </c>
      <c r="J2019">
        <v>1184</v>
      </c>
      <c r="K2019" s="1">
        <v>46054</v>
      </c>
      <c r="L2019" t="s">
        <v>446</v>
      </c>
      <c r="M2019" t="s">
        <v>444</v>
      </c>
      <c r="N2019" s="2">
        <f>IFERROR(NHS_A_E[[#This Row],[T1_Over4hrs]]/NHS_A_E[[#This Row],[T1_Attendances]], 0)</f>
        <v>0.43449467319320473</v>
      </c>
      <c r="O2019">
        <f>NHS_A_E[[#This Row],[T1_Attendances]]+NHS_A_E[[#This Row],[Other_Attendances]]</f>
        <v>31584</v>
      </c>
      <c r="P2019">
        <f>MATCH(LEFT(A2019,FIND("-",A2019)-1),{"April","May","June","July","August","September","October","November","December","January","February","March"},0)</f>
        <v>11</v>
      </c>
      <c r="Q2019" s="3">
        <f t="shared" si="62"/>
        <v>4.8702233556826131E-2</v>
      </c>
      <c r="R2019" t="str">
        <f t="shared" si="63"/>
        <v>February</v>
      </c>
    </row>
    <row r="2020" spans="1:18" x14ac:dyDescent="0.35">
      <c r="A2020" t="s">
        <v>448</v>
      </c>
      <c r="B2020" t="s">
        <v>251</v>
      </c>
      <c r="C2020" t="s">
        <v>35</v>
      </c>
      <c r="D2020" t="s">
        <v>252</v>
      </c>
      <c r="E2020">
        <v>6356</v>
      </c>
      <c r="F2020">
        <v>7221</v>
      </c>
      <c r="G2020">
        <v>3413</v>
      </c>
      <c r="H2020">
        <v>263</v>
      </c>
      <c r="I2020">
        <v>227</v>
      </c>
      <c r="J2020">
        <v>467</v>
      </c>
      <c r="K2020" s="1">
        <v>46054</v>
      </c>
      <c r="L2020" t="s">
        <v>446</v>
      </c>
      <c r="M2020" t="s">
        <v>444</v>
      </c>
      <c r="N2020" s="2">
        <f>IFERROR(NHS_A_E[[#This Row],[T1_Over4hrs]]/NHS_A_E[[#This Row],[T1_Attendances]], 0)</f>
        <v>0.53697293895531784</v>
      </c>
      <c r="O2020">
        <f>NHS_A_E[[#This Row],[T1_Attendances]]+NHS_A_E[[#This Row],[Other_Attendances]]</f>
        <v>13577</v>
      </c>
      <c r="P2020">
        <f>MATCH(LEFT(A2020,FIND("-",A2020)-1),{"April","May","June","July","August","September","October","November","December","January","February","March"},0)</f>
        <v>11</v>
      </c>
      <c r="Q2020" s="3">
        <f t="shared" si="62"/>
        <v>7.3473882945248578E-2</v>
      </c>
      <c r="R2020" t="str">
        <f t="shared" si="63"/>
        <v>February</v>
      </c>
    </row>
    <row r="2021" spans="1:18" x14ac:dyDescent="0.35">
      <c r="A2021" t="s">
        <v>448</v>
      </c>
      <c r="B2021" t="s">
        <v>229</v>
      </c>
      <c r="C2021" t="s">
        <v>23</v>
      </c>
      <c r="D2021" t="s">
        <v>230</v>
      </c>
      <c r="E2021">
        <v>6151</v>
      </c>
      <c r="F2021">
        <v>1807</v>
      </c>
      <c r="G2021">
        <v>2827</v>
      </c>
      <c r="H2021">
        <v>0</v>
      </c>
      <c r="I2021">
        <v>720</v>
      </c>
      <c r="J2021">
        <v>131</v>
      </c>
      <c r="K2021" s="1">
        <v>46054</v>
      </c>
      <c r="L2021" t="s">
        <v>446</v>
      </c>
      <c r="M2021" t="s">
        <v>444</v>
      </c>
      <c r="N2021" s="2">
        <f>IFERROR(NHS_A_E[[#This Row],[T1_Over4hrs]]/NHS_A_E[[#This Row],[T1_Attendances]], 0)</f>
        <v>0.45960006503007639</v>
      </c>
      <c r="O2021">
        <f>NHS_A_E[[#This Row],[T1_Attendances]]+NHS_A_E[[#This Row],[Other_Attendances]]</f>
        <v>7958</v>
      </c>
      <c r="P2021">
        <f>MATCH(LEFT(A2021,FIND("-",A2021)-1),{"April","May","June","July","August","September","October","November","December","January","February","March"},0)</f>
        <v>11</v>
      </c>
      <c r="Q2021" s="3">
        <f t="shared" si="62"/>
        <v>2.1297350024386277E-2</v>
      </c>
      <c r="R2021" t="str">
        <f t="shared" si="63"/>
        <v>February</v>
      </c>
    </row>
    <row r="2022" spans="1:18" x14ac:dyDescent="0.35">
      <c r="A2022" t="s">
        <v>448</v>
      </c>
      <c r="B2022" t="s">
        <v>95</v>
      </c>
      <c r="C2022" t="s">
        <v>23</v>
      </c>
      <c r="D2022" t="s">
        <v>96</v>
      </c>
      <c r="E2022">
        <v>7474</v>
      </c>
      <c r="F2022">
        <v>4949</v>
      </c>
      <c r="G2022">
        <v>3776</v>
      </c>
      <c r="H2022">
        <v>126</v>
      </c>
      <c r="I2022">
        <v>607</v>
      </c>
      <c r="J2022">
        <v>0</v>
      </c>
      <c r="K2022" s="1">
        <v>46054</v>
      </c>
      <c r="L2022" t="s">
        <v>446</v>
      </c>
      <c r="M2022" t="s">
        <v>444</v>
      </c>
      <c r="N2022" s="2">
        <f>IFERROR(NHS_A_E[[#This Row],[T1_Over4hrs]]/NHS_A_E[[#This Row],[T1_Attendances]], 0)</f>
        <v>0.50521808937650525</v>
      </c>
      <c r="O2022">
        <f>NHS_A_E[[#This Row],[T1_Attendances]]+NHS_A_E[[#This Row],[Other_Attendances]]</f>
        <v>12423</v>
      </c>
      <c r="P2022">
        <f>MATCH(LEFT(A2022,FIND("-",A2022)-1),{"April","May","June","July","August","September","October","November","December","January","February","March"},0)</f>
        <v>11</v>
      </c>
      <c r="Q2022" s="3">
        <f t="shared" si="62"/>
        <v>0</v>
      </c>
      <c r="R2022" t="str">
        <f t="shared" si="63"/>
        <v>February</v>
      </c>
    </row>
    <row r="2023" spans="1:18" x14ac:dyDescent="0.35">
      <c r="A2023" t="s">
        <v>448</v>
      </c>
      <c r="B2023" t="s">
        <v>27</v>
      </c>
      <c r="C2023" t="s">
        <v>20</v>
      </c>
      <c r="D2023" t="s">
        <v>28</v>
      </c>
      <c r="E2023">
        <v>6239</v>
      </c>
      <c r="F2023">
        <v>9986</v>
      </c>
      <c r="G2023">
        <v>3619</v>
      </c>
      <c r="H2023">
        <v>513</v>
      </c>
      <c r="I2023">
        <v>663</v>
      </c>
      <c r="J2023">
        <v>529</v>
      </c>
      <c r="K2023" s="1">
        <v>46054</v>
      </c>
      <c r="L2023" t="s">
        <v>446</v>
      </c>
      <c r="M2023" t="s">
        <v>444</v>
      </c>
      <c r="N2023" s="2">
        <f>IFERROR(NHS_A_E[[#This Row],[T1_Over4hrs]]/NHS_A_E[[#This Row],[T1_Attendances]], 0)</f>
        <v>0.58006090719666614</v>
      </c>
      <c r="O2023">
        <f>NHS_A_E[[#This Row],[T1_Attendances]]+NHS_A_E[[#This Row],[Other_Attendances]]</f>
        <v>16225</v>
      </c>
      <c r="P2023">
        <f>MATCH(LEFT(A2023,FIND("-",A2023)-1),{"April","May","June","July","August","September","October","November","December","January","February","March"},0)</f>
        <v>11</v>
      </c>
      <c r="Q2023" s="3">
        <f t="shared" si="62"/>
        <v>8.478922904311588E-2</v>
      </c>
      <c r="R2023" t="str">
        <f t="shared" si="63"/>
        <v>February</v>
      </c>
    </row>
    <row r="2024" spans="1:18" x14ac:dyDescent="0.35">
      <c r="A2024" t="s">
        <v>448</v>
      </c>
      <c r="B2024" t="s">
        <v>34</v>
      </c>
      <c r="C2024" t="s">
        <v>35</v>
      </c>
      <c r="D2024" t="s">
        <v>36</v>
      </c>
      <c r="E2024">
        <v>12627</v>
      </c>
      <c r="F2024">
        <v>13122</v>
      </c>
      <c r="G2024">
        <v>5281</v>
      </c>
      <c r="H2024">
        <v>155</v>
      </c>
      <c r="I2024">
        <v>564</v>
      </c>
      <c r="J2024">
        <v>628</v>
      </c>
      <c r="K2024" s="1">
        <v>46054</v>
      </c>
      <c r="L2024" t="s">
        <v>446</v>
      </c>
      <c r="M2024" t="s">
        <v>444</v>
      </c>
      <c r="N2024" s="2">
        <f>IFERROR(NHS_A_E[[#This Row],[T1_Over4hrs]]/NHS_A_E[[#This Row],[T1_Attendances]], 0)</f>
        <v>0.41823077532272113</v>
      </c>
      <c r="O2024">
        <f>NHS_A_E[[#This Row],[T1_Attendances]]+NHS_A_E[[#This Row],[Other_Attendances]]</f>
        <v>25749</v>
      </c>
      <c r="P2024">
        <f>MATCH(LEFT(A2024,FIND("-",A2024)-1),{"April","May","June","July","August","September","October","November","December","January","February","March"},0)</f>
        <v>11</v>
      </c>
      <c r="Q2024" s="3">
        <f t="shared" si="62"/>
        <v>4.9734695493783163E-2</v>
      </c>
      <c r="R2024" t="str">
        <f t="shared" si="63"/>
        <v>February</v>
      </c>
    </row>
    <row r="2025" spans="1:18" x14ac:dyDescent="0.35">
      <c r="A2025" t="s">
        <v>448</v>
      </c>
      <c r="B2025" t="s">
        <v>101</v>
      </c>
      <c r="C2025" t="s">
        <v>63</v>
      </c>
      <c r="D2025" t="s">
        <v>102</v>
      </c>
      <c r="E2025">
        <v>8770</v>
      </c>
      <c r="F2025">
        <v>0</v>
      </c>
      <c r="G2025">
        <v>2958</v>
      </c>
      <c r="H2025">
        <v>0</v>
      </c>
      <c r="I2025">
        <v>903</v>
      </c>
      <c r="J2025">
        <v>54</v>
      </c>
      <c r="K2025" s="1">
        <v>46054</v>
      </c>
      <c r="L2025" t="s">
        <v>446</v>
      </c>
      <c r="M2025" t="s">
        <v>444</v>
      </c>
      <c r="N2025" s="2">
        <f>IFERROR(NHS_A_E[[#This Row],[T1_Over4hrs]]/NHS_A_E[[#This Row],[T1_Attendances]], 0)</f>
        <v>0.33728620296465223</v>
      </c>
      <c r="O2025">
        <f>NHS_A_E[[#This Row],[T1_Attendances]]+NHS_A_E[[#This Row],[Other_Attendances]]</f>
        <v>8770</v>
      </c>
      <c r="P2025">
        <f>MATCH(LEFT(A2025,FIND("-",A2025)-1),{"April","May","June","July","August","September","October","November","December","January","February","March"},0)</f>
        <v>11</v>
      </c>
      <c r="Q2025" s="3">
        <f t="shared" si="62"/>
        <v>6.1573546180159634E-3</v>
      </c>
      <c r="R2025" t="str">
        <f t="shared" si="63"/>
        <v>February</v>
      </c>
    </row>
    <row r="2026" spans="1:18" x14ac:dyDescent="0.35">
      <c r="A2026" t="s">
        <v>448</v>
      </c>
      <c r="B2026" t="s">
        <v>159</v>
      </c>
      <c r="C2026" t="s">
        <v>40</v>
      </c>
      <c r="D2026" t="s">
        <v>160</v>
      </c>
      <c r="E2026">
        <v>6796</v>
      </c>
      <c r="F2026">
        <v>5530</v>
      </c>
      <c r="G2026">
        <v>3794</v>
      </c>
      <c r="H2026">
        <v>38</v>
      </c>
      <c r="I2026">
        <v>558</v>
      </c>
      <c r="J2026">
        <v>523</v>
      </c>
      <c r="K2026" s="1">
        <v>46054</v>
      </c>
      <c r="L2026" t="s">
        <v>446</v>
      </c>
      <c r="M2026" t="s">
        <v>444</v>
      </c>
      <c r="N2026" s="2">
        <f>IFERROR(NHS_A_E[[#This Row],[T1_Over4hrs]]/NHS_A_E[[#This Row],[T1_Attendances]], 0)</f>
        <v>0.55826957033549152</v>
      </c>
      <c r="O2026">
        <f>NHS_A_E[[#This Row],[T1_Attendances]]+NHS_A_E[[#This Row],[Other_Attendances]]</f>
        <v>12326</v>
      </c>
      <c r="P2026">
        <f>MATCH(LEFT(A2026,FIND("-",A2026)-1),{"April","May","June","July","August","September","October","November","December","January","February","March"},0)</f>
        <v>11</v>
      </c>
      <c r="Q2026" s="3">
        <f t="shared" si="62"/>
        <v>7.6957033549146556E-2</v>
      </c>
      <c r="R2026" t="str">
        <f t="shared" si="63"/>
        <v>February</v>
      </c>
    </row>
    <row r="2027" spans="1:18" x14ac:dyDescent="0.35">
      <c r="A2027" t="s">
        <v>448</v>
      </c>
      <c r="B2027" t="s">
        <v>395</v>
      </c>
      <c r="C2027" t="s">
        <v>23</v>
      </c>
      <c r="D2027" t="s">
        <v>396</v>
      </c>
      <c r="E2027">
        <v>7170</v>
      </c>
      <c r="F2027">
        <v>874</v>
      </c>
      <c r="G2027">
        <v>2577</v>
      </c>
      <c r="H2027">
        <v>0</v>
      </c>
      <c r="I2027">
        <v>428</v>
      </c>
      <c r="J2027">
        <v>546</v>
      </c>
      <c r="K2027" s="1">
        <v>46054</v>
      </c>
      <c r="L2027" t="s">
        <v>446</v>
      </c>
      <c r="M2027" t="s">
        <v>444</v>
      </c>
      <c r="N2027" s="2">
        <f>IFERROR(NHS_A_E[[#This Row],[T1_Over4hrs]]/NHS_A_E[[#This Row],[T1_Attendances]], 0)</f>
        <v>0.35941422594142258</v>
      </c>
      <c r="O2027">
        <f>NHS_A_E[[#This Row],[T1_Attendances]]+NHS_A_E[[#This Row],[Other_Attendances]]</f>
        <v>8044</v>
      </c>
      <c r="P2027">
        <f>MATCH(LEFT(A2027,FIND("-",A2027)-1),{"April","May","June","July","August","September","October","November","December","January","February","March"},0)</f>
        <v>11</v>
      </c>
      <c r="Q2027" s="3">
        <f t="shared" si="62"/>
        <v>7.6150627615062763E-2</v>
      </c>
      <c r="R2027" t="str">
        <f t="shared" si="63"/>
        <v>February</v>
      </c>
    </row>
    <row r="2028" spans="1:18" x14ac:dyDescent="0.35">
      <c r="A2028" t="s">
        <v>448</v>
      </c>
      <c r="B2028" t="s">
        <v>107</v>
      </c>
      <c r="C2028" t="s">
        <v>63</v>
      </c>
      <c r="D2028" t="s">
        <v>108</v>
      </c>
      <c r="E2028">
        <v>8037</v>
      </c>
      <c r="F2028">
        <v>6654</v>
      </c>
      <c r="G2028">
        <v>4030</v>
      </c>
      <c r="H2028">
        <v>215</v>
      </c>
      <c r="I2028">
        <v>935</v>
      </c>
      <c r="J2028">
        <v>4</v>
      </c>
      <c r="K2028" s="1">
        <v>46054</v>
      </c>
      <c r="L2028" t="s">
        <v>446</v>
      </c>
      <c r="M2028" t="s">
        <v>444</v>
      </c>
      <c r="N2028" s="2">
        <f>IFERROR(NHS_A_E[[#This Row],[T1_Over4hrs]]/NHS_A_E[[#This Row],[T1_Attendances]], 0)</f>
        <v>0.5014308821699639</v>
      </c>
      <c r="O2028">
        <f>NHS_A_E[[#This Row],[T1_Attendances]]+NHS_A_E[[#This Row],[Other_Attendances]]</f>
        <v>14691</v>
      </c>
      <c r="P2028">
        <f>MATCH(LEFT(A2028,FIND("-",A2028)-1),{"April","May","June","July","August","September","October","November","December","January","February","March"},0)</f>
        <v>11</v>
      </c>
      <c r="Q2028" s="3">
        <f t="shared" si="62"/>
        <v>4.9769814607440591E-4</v>
      </c>
      <c r="R2028" t="str">
        <f t="shared" si="63"/>
        <v>February</v>
      </c>
    </row>
    <row r="2029" spans="1:18" x14ac:dyDescent="0.35">
      <c r="A2029" t="s">
        <v>448</v>
      </c>
      <c r="B2029" t="s">
        <v>109</v>
      </c>
      <c r="C2029" t="s">
        <v>35</v>
      </c>
      <c r="D2029" t="s">
        <v>110</v>
      </c>
      <c r="E2029">
        <v>9456</v>
      </c>
      <c r="F2029">
        <v>6214</v>
      </c>
      <c r="G2029">
        <v>3677</v>
      </c>
      <c r="H2029">
        <v>115</v>
      </c>
      <c r="I2029">
        <v>167</v>
      </c>
      <c r="J2029">
        <v>67</v>
      </c>
      <c r="K2029" s="1">
        <v>46054</v>
      </c>
      <c r="L2029" t="s">
        <v>446</v>
      </c>
      <c r="M2029" t="s">
        <v>444</v>
      </c>
      <c r="N2029" s="2">
        <f>IFERROR(NHS_A_E[[#This Row],[T1_Over4hrs]]/NHS_A_E[[#This Row],[T1_Attendances]], 0)</f>
        <v>0.38885363790186123</v>
      </c>
      <c r="O2029">
        <f>NHS_A_E[[#This Row],[T1_Attendances]]+NHS_A_E[[#This Row],[Other_Attendances]]</f>
        <v>15670</v>
      </c>
      <c r="P2029">
        <f>MATCH(LEFT(A2029,FIND("-",A2029)-1),{"April","May","June","July","August","September","October","November","December","January","February","March"},0)</f>
        <v>11</v>
      </c>
      <c r="Q2029" s="3">
        <f t="shared" si="62"/>
        <v>7.0854483925549914E-3</v>
      </c>
      <c r="R2029" t="str">
        <f t="shared" si="63"/>
        <v>February</v>
      </c>
    </row>
    <row r="2030" spans="1:18" x14ac:dyDescent="0.35">
      <c r="A2030" t="s">
        <v>448</v>
      </c>
      <c r="B2030" t="s">
        <v>46</v>
      </c>
      <c r="C2030" t="s">
        <v>40</v>
      </c>
      <c r="D2030" t="s">
        <v>47</v>
      </c>
      <c r="E2030">
        <v>0</v>
      </c>
      <c r="F2030">
        <v>0</v>
      </c>
      <c r="G2030">
        <v>0</v>
      </c>
      <c r="H2030">
        <v>0</v>
      </c>
      <c r="I2030">
        <v>0</v>
      </c>
      <c r="J2030">
        <v>0</v>
      </c>
      <c r="K2030" s="1">
        <v>46054</v>
      </c>
      <c r="L2030" t="s">
        <v>446</v>
      </c>
      <c r="M2030" t="s">
        <v>444</v>
      </c>
      <c r="N2030" s="2">
        <f>IFERROR(NHS_A_E[[#This Row],[T1_Over4hrs]]/NHS_A_E[[#This Row],[T1_Attendances]], 0)</f>
        <v>0</v>
      </c>
      <c r="O2030">
        <f>NHS_A_E[[#This Row],[T1_Attendances]]+NHS_A_E[[#This Row],[Other_Attendances]]</f>
        <v>0</v>
      </c>
      <c r="P2030">
        <f>MATCH(LEFT(A2030,FIND("-",A2030)-1),{"April","May","June","July","August","September","October","November","December","January","February","March"},0)</f>
        <v>11</v>
      </c>
      <c r="Q2030" s="3">
        <f t="shared" si="62"/>
        <v>0</v>
      </c>
      <c r="R2030" t="str">
        <f t="shared" si="63"/>
        <v>February</v>
      </c>
    </row>
    <row r="2031" spans="1:18" x14ac:dyDescent="0.35">
      <c r="A2031" t="s">
        <v>448</v>
      </c>
      <c r="B2031" t="s">
        <v>357</v>
      </c>
      <c r="C2031" t="s">
        <v>20</v>
      </c>
      <c r="D2031" t="s">
        <v>358</v>
      </c>
      <c r="E2031">
        <v>5608</v>
      </c>
      <c r="F2031">
        <v>4955</v>
      </c>
      <c r="G2031">
        <v>2936</v>
      </c>
      <c r="H2031">
        <v>322</v>
      </c>
      <c r="I2031">
        <v>364</v>
      </c>
      <c r="J2031">
        <v>444</v>
      </c>
      <c r="K2031" s="1">
        <v>46054</v>
      </c>
      <c r="L2031" t="s">
        <v>446</v>
      </c>
      <c r="M2031" t="s">
        <v>444</v>
      </c>
      <c r="N2031" s="2">
        <f>IFERROR(NHS_A_E[[#This Row],[T1_Over4hrs]]/NHS_A_E[[#This Row],[T1_Attendances]], 0)</f>
        <v>0.52353780313837373</v>
      </c>
      <c r="O2031">
        <f>NHS_A_E[[#This Row],[T1_Attendances]]+NHS_A_E[[#This Row],[Other_Attendances]]</f>
        <v>10563</v>
      </c>
      <c r="P2031">
        <f>MATCH(LEFT(A2031,FIND("-",A2031)-1),{"April","May","June","July","August","September","October","November","December","January","February","March"},0)</f>
        <v>11</v>
      </c>
      <c r="Q2031" s="3">
        <f t="shared" si="62"/>
        <v>7.9172610556348069E-2</v>
      </c>
      <c r="R2031" t="str">
        <f t="shared" si="63"/>
        <v>February</v>
      </c>
    </row>
    <row r="2032" spans="1:18" x14ac:dyDescent="0.35">
      <c r="A2032" t="s">
        <v>448</v>
      </c>
      <c r="B2032" t="s">
        <v>359</v>
      </c>
      <c r="C2032" t="s">
        <v>40</v>
      </c>
      <c r="D2032" t="s">
        <v>360</v>
      </c>
      <c r="E2032">
        <v>8946</v>
      </c>
      <c r="F2032">
        <v>3879</v>
      </c>
      <c r="G2032">
        <v>3063</v>
      </c>
      <c r="H2032">
        <v>62</v>
      </c>
      <c r="I2032">
        <v>2445</v>
      </c>
      <c r="J2032">
        <v>178</v>
      </c>
      <c r="K2032" s="1">
        <v>46054</v>
      </c>
      <c r="L2032" t="s">
        <v>446</v>
      </c>
      <c r="M2032" t="s">
        <v>444</v>
      </c>
      <c r="N2032" s="2">
        <f>IFERROR(NHS_A_E[[#This Row],[T1_Over4hrs]]/NHS_A_E[[#This Row],[T1_Attendances]], 0)</f>
        <v>0.34238765928906773</v>
      </c>
      <c r="O2032">
        <f>NHS_A_E[[#This Row],[T1_Attendances]]+NHS_A_E[[#This Row],[Other_Attendances]]</f>
        <v>12825</v>
      </c>
      <c r="P2032">
        <f>MATCH(LEFT(A2032,FIND("-",A2032)-1),{"April","May","June","July","August","September","October","November","December","January","February","March"},0)</f>
        <v>11</v>
      </c>
      <c r="Q2032" s="3">
        <f t="shared" si="62"/>
        <v>1.9897160742231166E-2</v>
      </c>
      <c r="R2032" t="str">
        <f t="shared" si="63"/>
        <v>February</v>
      </c>
    </row>
    <row r="2033" spans="1:18" x14ac:dyDescent="0.35">
      <c r="A2033" t="s">
        <v>448</v>
      </c>
      <c r="B2033" t="s">
        <v>56</v>
      </c>
      <c r="C2033" t="s">
        <v>20</v>
      </c>
      <c r="D2033" t="s">
        <v>57</v>
      </c>
      <c r="E2033">
        <v>4191</v>
      </c>
      <c r="F2033">
        <v>1723</v>
      </c>
      <c r="G2033">
        <v>1871</v>
      </c>
      <c r="H2033">
        <v>0</v>
      </c>
      <c r="I2033">
        <v>395</v>
      </c>
      <c r="J2033">
        <v>152</v>
      </c>
      <c r="K2033" s="1">
        <v>46054</v>
      </c>
      <c r="L2033" t="s">
        <v>446</v>
      </c>
      <c r="M2033" t="s">
        <v>444</v>
      </c>
      <c r="N2033" s="2">
        <f>IFERROR(NHS_A_E[[#This Row],[T1_Over4hrs]]/NHS_A_E[[#This Row],[T1_Attendances]], 0)</f>
        <v>0.4464328322596039</v>
      </c>
      <c r="O2033">
        <f>NHS_A_E[[#This Row],[T1_Attendances]]+NHS_A_E[[#This Row],[Other_Attendances]]</f>
        <v>5914</v>
      </c>
      <c r="P2033">
        <f>MATCH(LEFT(A2033,FIND("-",A2033)-1),{"April","May","June","July","August","September","October","November","December","January","February","March"},0)</f>
        <v>11</v>
      </c>
      <c r="Q2033" s="3">
        <f t="shared" si="62"/>
        <v>3.6268193748508711E-2</v>
      </c>
      <c r="R2033" t="str">
        <f t="shared" si="63"/>
        <v>February</v>
      </c>
    </row>
    <row r="2034" spans="1:18" x14ac:dyDescent="0.35">
      <c r="A2034" t="s">
        <v>448</v>
      </c>
      <c r="B2034" t="s">
        <v>403</v>
      </c>
      <c r="C2034" t="s">
        <v>15</v>
      </c>
      <c r="D2034" t="s">
        <v>404</v>
      </c>
      <c r="E2034">
        <v>0</v>
      </c>
      <c r="F2034">
        <v>1109</v>
      </c>
      <c r="G2034">
        <v>0</v>
      </c>
      <c r="H2034">
        <v>13</v>
      </c>
      <c r="I2034">
        <v>0</v>
      </c>
      <c r="J2034">
        <v>0</v>
      </c>
      <c r="K2034" s="1">
        <v>46054</v>
      </c>
      <c r="L2034" t="s">
        <v>446</v>
      </c>
      <c r="M2034" t="s">
        <v>444</v>
      </c>
      <c r="N2034" s="2">
        <f>IFERROR(NHS_A_E[[#This Row],[T1_Over4hrs]]/NHS_A_E[[#This Row],[T1_Attendances]], 0)</f>
        <v>0</v>
      </c>
      <c r="O2034">
        <f>NHS_A_E[[#This Row],[T1_Attendances]]+NHS_A_E[[#This Row],[Other_Attendances]]</f>
        <v>1109</v>
      </c>
      <c r="P2034">
        <f>MATCH(LEFT(A2034,FIND("-",A2034)-1),{"April","May","June","July","August","September","October","November","December","January","February","March"},0)</f>
        <v>11</v>
      </c>
      <c r="Q2034" s="3">
        <f t="shared" si="62"/>
        <v>0</v>
      </c>
      <c r="R2034" t="str">
        <f t="shared" si="63"/>
        <v>February</v>
      </c>
    </row>
    <row r="2035" spans="1:18" x14ac:dyDescent="0.35">
      <c r="A2035" t="s">
        <v>448</v>
      </c>
      <c r="B2035" t="s">
        <v>58</v>
      </c>
      <c r="C2035" t="s">
        <v>40</v>
      </c>
      <c r="D2035" t="s">
        <v>59</v>
      </c>
      <c r="E2035">
        <v>4440</v>
      </c>
      <c r="F2035">
        <v>0</v>
      </c>
      <c r="G2035">
        <v>1021</v>
      </c>
      <c r="H2035">
        <v>0</v>
      </c>
      <c r="I2035">
        <v>34</v>
      </c>
      <c r="J2035">
        <v>1</v>
      </c>
      <c r="K2035" s="1">
        <v>46054</v>
      </c>
      <c r="L2035" t="s">
        <v>446</v>
      </c>
      <c r="M2035" t="s">
        <v>444</v>
      </c>
      <c r="N2035" s="2">
        <f>IFERROR(NHS_A_E[[#This Row],[T1_Over4hrs]]/NHS_A_E[[#This Row],[T1_Attendances]], 0)</f>
        <v>0.22995495495495497</v>
      </c>
      <c r="O2035">
        <f>NHS_A_E[[#This Row],[T1_Attendances]]+NHS_A_E[[#This Row],[Other_Attendances]]</f>
        <v>4440</v>
      </c>
      <c r="P2035">
        <f>MATCH(LEFT(A2035,FIND("-",A2035)-1),{"April","May","June","July","August","September","October","November","December","January","February","March"},0)</f>
        <v>11</v>
      </c>
      <c r="Q2035" s="3">
        <f t="shared" si="62"/>
        <v>2.2522522522522523E-4</v>
      </c>
      <c r="R2035" t="str">
        <f t="shared" si="63"/>
        <v>February</v>
      </c>
    </row>
    <row r="2036" spans="1:18" x14ac:dyDescent="0.35">
      <c r="A2036" t="s">
        <v>448</v>
      </c>
      <c r="B2036" t="s">
        <v>165</v>
      </c>
      <c r="C2036" t="s">
        <v>63</v>
      </c>
      <c r="D2036" t="s">
        <v>166</v>
      </c>
      <c r="E2036">
        <v>10171</v>
      </c>
      <c r="F2036">
        <v>8131</v>
      </c>
      <c r="G2036">
        <v>4926</v>
      </c>
      <c r="H2036">
        <v>172</v>
      </c>
      <c r="I2036">
        <v>627</v>
      </c>
      <c r="J2036">
        <v>63</v>
      </c>
      <c r="K2036" s="1">
        <v>46054</v>
      </c>
      <c r="L2036" t="s">
        <v>446</v>
      </c>
      <c r="M2036" t="s">
        <v>444</v>
      </c>
      <c r="N2036" s="2">
        <f>IFERROR(NHS_A_E[[#This Row],[T1_Over4hrs]]/NHS_A_E[[#This Row],[T1_Attendances]], 0)</f>
        <v>0.48431815947301149</v>
      </c>
      <c r="O2036">
        <f>NHS_A_E[[#This Row],[T1_Attendances]]+NHS_A_E[[#This Row],[Other_Attendances]]</f>
        <v>18302</v>
      </c>
      <c r="P2036">
        <f>MATCH(LEFT(A2036,FIND("-",A2036)-1),{"April","May","June","July","August","September","October","November","December","January","February","March"},0)</f>
        <v>11</v>
      </c>
      <c r="Q2036" s="3">
        <f t="shared" si="62"/>
        <v>6.1940812112869928E-3</v>
      </c>
      <c r="R2036" t="str">
        <f t="shared" si="63"/>
        <v>February</v>
      </c>
    </row>
    <row r="2037" spans="1:18" x14ac:dyDescent="0.35">
      <c r="A2037" t="s">
        <v>448</v>
      </c>
      <c r="B2037" t="s">
        <v>221</v>
      </c>
      <c r="C2037" t="s">
        <v>63</v>
      </c>
      <c r="D2037" t="s">
        <v>222</v>
      </c>
      <c r="E2037">
        <v>9593</v>
      </c>
      <c r="F2037">
        <v>11737</v>
      </c>
      <c r="G2037">
        <v>2664</v>
      </c>
      <c r="H2037">
        <v>3</v>
      </c>
      <c r="I2037">
        <v>45</v>
      </c>
      <c r="J2037">
        <v>0</v>
      </c>
      <c r="K2037" s="1">
        <v>46054</v>
      </c>
      <c r="L2037" t="s">
        <v>446</v>
      </c>
      <c r="M2037" t="s">
        <v>444</v>
      </c>
      <c r="N2037" s="2">
        <f>IFERROR(NHS_A_E[[#This Row],[T1_Over4hrs]]/NHS_A_E[[#This Row],[T1_Attendances]], 0)</f>
        <v>0.27770249139997916</v>
      </c>
      <c r="O2037">
        <f>NHS_A_E[[#This Row],[T1_Attendances]]+NHS_A_E[[#This Row],[Other_Attendances]]</f>
        <v>21330</v>
      </c>
      <c r="P2037">
        <f>MATCH(LEFT(A2037,FIND("-",A2037)-1),{"April","May","June","July","August","September","October","November","December","January","February","March"},0)</f>
        <v>11</v>
      </c>
      <c r="Q2037" s="3">
        <f t="shared" si="62"/>
        <v>0</v>
      </c>
      <c r="R2037" t="str">
        <f t="shared" si="63"/>
        <v>February</v>
      </c>
    </row>
    <row r="2038" spans="1:18" x14ac:dyDescent="0.35">
      <c r="A2038" t="s">
        <v>448</v>
      </c>
      <c r="B2038" t="s">
        <v>213</v>
      </c>
      <c r="C2038" t="s">
        <v>23</v>
      </c>
      <c r="D2038" t="s">
        <v>214</v>
      </c>
      <c r="E2038">
        <v>10319</v>
      </c>
      <c r="F2038">
        <v>4758</v>
      </c>
      <c r="G2038">
        <v>4672</v>
      </c>
      <c r="H2038">
        <v>88</v>
      </c>
      <c r="I2038">
        <v>480</v>
      </c>
      <c r="J2038">
        <v>558</v>
      </c>
      <c r="K2038" s="1">
        <v>46054</v>
      </c>
      <c r="L2038" t="s">
        <v>446</v>
      </c>
      <c r="M2038" t="s">
        <v>444</v>
      </c>
      <c r="N2038" s="2">
        <f>IFERROR(NHS_A_E[[#This Row],[T1_Over4hrs]]/NHS_A_E[[#This Row],[T1_Attendances]], 0)</f>
        <v>0.45275705010175404</v>
      </c>
      <c r="O2038">
        <f>NHS_A_E[[#This Row],[T1_Attendances]]+NHS_A_E[[#This Row],[Other_Attendances]]</f>
        <v>15077</v>
      </c>
      <c r="P2038">
        <f>MATCH(LEFT(A2038,FIND("-",A2038)-1),{"April","May","June","July","August","September","October","November","December","January","February","March"},0)</f>
        <v>11</v>
      </c>
      <c r="Q2038" s="3">
        <f t="shared" si="62"/>
        <v>5.4075007268146139E-2</v>
      </c>
      <c r="R2038" t="str">
        <f t="shared" si="63"/>
        <v>February</v>
      </c>
    </row>
    <row r="2039" spans="1:18" x14ac:dyDescent="0.35">
      <c r="A2039" t="s">
        <v>448</v>
      </c>
      <c r="B2039" t="s">
        <v>105</v>
      </c>
      <c r="C2039" t="s">
        <v>15</v>
      </c>
      <c r="D2039" t="s">
        <v>106</v>
      </c>
      <c r="E2039">
        <v>9612</v>
      </c>
      <c r="F2039">
        <v>0</v>
      </c>
      <c r="G2039">
        <v>2738</v>
      </c>
      <c r="H2039">
        <v>0</v>
      </c>
      <c r="I2039">
        <v>155</v>
      </c>
      <c r="J2039">
        <v>10</v>
      </c>
      <c r="K2039" s="1">
        <v>46054</v>
      </c>
      <c r="L2039" t="s">
        <v>446</v>
      </c>
      <c r="M2039" t="s">
        <v>444</v>
      </c>
      <c r="N2039" s="2">
        <f>IFERROR(NHS_A_E[[#This Row],[T1_Over4hrs]]/NHS_A_E[[#This Row],[T1_Attendances]], 0)</f>
        <v>0.28485226799833541</v>
      </c>
      <c r="O2039">
        <f>NHS_A_E[[#This Row],[T1_Attendances]]+NHS_A_E[[#This Row],[Other_Attendances]]</f>
        <v>9612</v>
      </c>
      <c r="P2039">
        <f>MATCH(LEFT(A2039,FIND("-",A2039)-1),{"April","May","June","July","August","September","October","November","December","January","February","March"},0)</f>
        <v>11</v>
      </c>
      <c r="Q2039" s="3">
        <f t="shared" si="62"/>
        <v>1.0403662089055348E-3</v>
      </c>
      <c r="R2039" t="str">
        <f t="shared" si="63"/>
        <v>February</v>
      </c>
    </row>
    <row r="2040" spans="1:18" x14ac:dyDescent="0.35">
      <c r="A2040" t="s">
        <v>448</v>
      </c>
      <c r="B2040" t="s">
        <v>155</v>
      </c>
      <c r="C2040" t="s">
        <v>15</v>
      </c>
      <c r="D2040" t="s">
        <v>156</v>
      </c>
      <c r="E2040">
        <v>10031</v>
      </c>
      <c r="F2040">
        <v>2376</v>
      </c>
      <c r="G2040">
        <v>3586</v>
      </c>
      <c r="H2040">
        <v>0</v>
      </c>
      <c r="I2040">
        <v>783</v>
      </c>
      <c r="J2040">
        <v>52</v>
      </c>
      <c r="K2040" s="1">
        <v>46054</v>
      </c>
      <c r="L2040" t="s">
        <v>446</v>
      </c>
      <c r="M2040" t="s">
        <v>444</v>
      </c>
      <c r="N2040" s="2">
        <f>IFERROR(NHS_A_E[[#This Row],[T1_Over4hrs]]/NHS_A_E[[#This Row],[T1_Attendances]], 0)</f>
        <v>0.3574917754959625</v>
      </c>
      <c r="O2040">
        <f>NHS_A_E[[#This Row],[T1_Attendances]]+NHS_A_E[[#This Row],[Other_Attendances]]</f>
        <v>12407</v>
      </c>
      <c r="P2040">
        <f>MATCH(LEFT(A2040,FIND("-",A2040)-1),{"April","May","June","July","August","September","October","November","December","January","February","March"},0)</f>
        <v>11</v>
      </c>
      <c r="Q2040" s="3">
        <f t="shared" si="62"/>
        <v>5.1839298175655468E-3</v>
      </c>
      <c r="R2040" t="str">
        <f t="shared" si="63"/>
        <v>February</v>
      </c>
    </row>
    <row r="2041" spans="1:18" x14ac:dyDescent="0.35">
      <c r="A2041" t="s">
        <v>448</v>
      </c>
      <c r="B2041" t="s">
        <v>37</v>
      </c>
      <c r="C2041" t="s">
        <v>35</v>
      </c>
      <c r="D2041" t="s">
        <v>38</v>
      </c>
      <c r="E2041">
        <v>14807</v>
      </c>
      <c r="F2041">
        <v>14963</v>
      </c>
      <c r="G2041">
        <v>7625</v>
      </c>
      <c r="H2041">
        <v>234</v>
      </c>
      <c r="I2041">
        <v>1020</v>
      </c>
      <c r="J2041">
        <v>703</v>
      </c>
      <c r="K2041" s="1">
        <v>46054</v>
      </c>
      <c r="L2041" t="s">
        <v>446</v>
      </c>
      <c r="M2041" t="s">
        <v>444</v>
      </c>
      <c r="N2041" s="2">
        <f>IFERROR(NHS_A_E[[#This Row],[T1_Over4hrs]]/NHS_A_E[[#This Row],[T1_Attendances]], 0)</f>
        <v>0.51495914094684947</v>
      </c>
      <c r="O2041">
        <f>NHS_A_E[[#This Row],[T1_Attendances]]+NHS_A_E[[#This Row],[Other_Attendances]]</f>
        <v>29770</v>
      </c>
      <c r="P2041">
        <f>MATCH(LEFT(A2041,FIND("-",A2041)-1),{"April","May","June","July","August","September","October","November","December","January","February","March"},0)</f>
        <v>11</v>
      </c>
      <c r="Q2041" s="3">
        <f t="shared" si="62"/>
        <v>4.7477544404673465E-2</v>
      </c>
      <c r="R2041" t="str">
        <f t="shared" si="63"/>
        <v>February</v>
      </c>
    </row>
    <row r="2042" spans="1:18" x14ac:dyDescent="0.35">
      <c r="A2042" t="s">
        <v>448</v>
      </c>
      <c r="B2042" t="s">
        <v>189</v>
      </c>
      <c r="C2042" t="s">
        <v>30</v>
      </c>
      <c r="D2042" t="s">
        <v>190</v>
      </c>
      <c r="E2042">
        <v>5982</v>
      </c>
      <c r="F2042">
        <v>2469</v>
      </c>
      <c r="G2042">
        <v>3167</v>
      </c>
      <c r="H2042">
        <v>36</v>
      </c>
      <c r="I2042">
        <v>491</v>
      </c>
      <c r="J2042">
        <v>825</v>
      </c>
      <c r="K2042" s="1">
        <v>46054</v>
      </c>
      <c r="L2042" t="s">
        <v>446</v>
      </c>
      <c r="M2042" t="s">
        <v>444</v>
      </c>
      <c r="N2042" s="2">
        <f>IFERROR(NHS_A_E[[#This Row],[T1_Over4hrs]]/NHS_A_E[[#This Row],[T1_Attendances]], 0)</f>
        <v>0.5294215981277165</v>
      </c>
      <c r="O2042">
        <f>NHS_A_E[[#This Row],[T1_Attendances]]+NHS_A_E[[#This Row],[Other_Attendances]]</f>
        <v>8451</v>
      </c>
      <c r="P2042">
        <f>MATCH(LEFT(A2042,FIND("-",A2042)-1),{"April","May","June","July","August","September","October","November","December","January","February","March"},0)</f>
        <v>11</v>
      </c>
      <c r="Q2042" s="3">
        <f t="shared" si="62"/>
        <v>0.137913741223671</v>
      </c>
      <c r="R2042" t="str">
        <f t="shared" si="63"/>
        <v>February</v>
      </c>
    </row>
    <row r="2043" spans="1:18" x14ac:dyDescent="0.35">
      <c r="A2043" t="s">
        <v>448</v>
      </c>
      <c r="B2043" t="s">
        <v>373</v>
      </c>
      <c r="C2043" t="s">
        <v>40</v>
      </c>
      <c r="D2043" t="s">
        <v>374</v>
      </c>
      <c r="E2043">
        <v>11557</v>
      </c>
      <c r="F2043">
        <v>8456</v>
      </c>
      <c r="G2043">
        <v>6776</v>
      </c>
      <c r="H2043">
        <v>1043</v>
      </c>
      <c r="I2043">
        <v>147</v>
      </c>
      <c r="J2043">
        <v>1066</v>
      </c>
      <c r="K2043" s="1">
        <v>46054</v>
      </c>
      <c r="L2043" t="s">
        <v>446</v>
      </c>
      <c r="M2043" t="s">
        <v>444</v>
      </c>
      <c r="N2043" s="2">
        <f>IFERROR(NHS_A_E[[#This Row],[T1_Over4hrs]]/NHS_A_E[[#This Row],[T1_Attendances]], 0)</f>
        <v>0.58631132646880679</v>
      </c>
      <c r="O2043">
        <f>NHS_A_E[[#This Row],[T1_Attendances]]+NHS_A_E[[#This Row],[Other_Attendances]]</f>
        <v>20013</v>
      </c>
      <c r="P2043">
        <f>MATCH(LEFT(A2043,FIND("-",A2043)-1),{"April","May","June","July","August","September","October","November","December","January","February","March"},0)</f>
        <v>11</v>
      </c>
      <c r="Q2043" s="3">
        <f t="shared" si="62"/>
        <v>9.2238470191226093E-2</v>
      </c>
      <c r="R2043" t="str">
        <f t="shared" si="63"/>
        <v>February</v>
      </c>
    </row>
    <row r="2044" spans="1:18" x14ac:dyDescent="0.35">
      <c r="A2044" t="s">
        <v>448</v>
      </c>
      <c r="B2044" t="s">
        <v>191</v>
      </c>
      <c r="C2044" t="s">
        <v>15</v>
      </c>
      <c r="D2044" t="s">
        <v>192</v>
      </c>
      <c r="E2044">
        <v>8832</v>
      </c>
      <c r="F2044">
        <v>1825</v>
      </c>
      <c r="G2044">
        <v>3795</v>
      </c>
      <c r="H2044">
        <v>55</v>
      </c>
      <c r="I2044">
        <v>190</v>
      </c>
      <c r="J2044">
        <v>113</v>
      </c>
      <c r="K2044" s="1">
        <v>46054</v>
      </c>
      <c r="L2044" t="s">
        <v>446</v>
      </c>
      <c r="M2044" t="s">
        <v>444</v>
      </c>
      <c r="N2044" s="2">
        <f>IFERROR(NHS_A_E[[#This Row],[T1_Over4hrs]]/NHS_A_E[[#This Row],[T1_Attendances]], 0)</f>
        <v>0.4296875</v>
      </c>
      <c r="O2044">
        <f>NHS_A_E[[#This Row],[T1_Attendances]]+NHS_A_E[[#This Row],[Other_Attendances]]</f>
        <v>10657</v>
      </c>
      <c r="P2044">
        <f>MATCH(LEFT(A2044,FIND("-",A2044)-1),{"April","May","June","July","August","September","October","November","December","January","February","March"},0)</f>
        <v>11</v>
      </c>
      <c r="Q2044" s="3">
        <f t="shared" si="62"/>
        <v>1.2794384057971014E-2</v>
      </c>
      <c r="R2044" t="str">
        <f t="shared" si="63"/>
        <v>February</v>
      </c>
    </row>
    <row r="2045" spans="1:18" x14ac:dyDescent="0.35">
      <c r="A2045" t="s">
        <v>448</v>
      </c>
      <c r="B2045" t="s">
        <v>195</v>
      </c>
      <c r="C2045" t="s">
        <v>30</v>
      </c>
      <c r="D2045" t="s">
        <v>196</v>
      </c>
      <c r="E2045">
        <v>7953</v>
      </c>
      <c r="F2045">
        <v>9216</v>
      </c>
      <c r="G2045">
        <v>3837</v>
      </c>
      <c r="H2045">
        <v>203</v>
      </c>
      <c r="I2045">
        <v>357</v>
      </c>
      <c r="J2045">
        <v>624</v>
      </c>
      <c r="K2045" s="1">
        <v>46054</v>
      </c>
      <c r="L2045" t="s">
        <v>446</v>
      </c>
      <c r="M2045" t="s">
        <v>444</v>
      </c>
      <c r="N2045" s="2">
        <f>IFERROR(NHS_A_E[[#This Row],[T1_Over4hrs]]/NHS_A_E[[#This Row],[T1_Attendances]], 0)</f>
        <v>0.48245944926442852</v>
      </c>
      <c r="O2045">
        <f>NHS_A_E[[#This Row],[T1_Attendances]]+NHS_A_E[[#This Row],[Other_Attendances]]</f>
        <v>17169</v>
      </c>
      <c r="P2045">
        <f>MATCH(LEFT(A2045,FIND("-",A2045)-1),{"April","May","June","July","August","September","October","November","December","January","February","March"},0)</f>
        <v>11</v>
      </c>
      <c r="Q2045" s="3">
        <f t="shared" si="62"/>
        <v>7.8460958129007927E-2</v>
      </c>
      <c r="R2045" t="str">
        <f t="shared" si="63"/>
        <v>February</v>
      </c>
    </row>
    <row r="2046" spans="1:18" x14ac:dyDescent="0.35">
      <c r="A2046" t="s">
        <v>448</v>
      </c>
      <c r="B2046" t="s">
        <v>153</v>
      </c>
      <c r="C2046" t="s">
        <v>30</v>
      </c>
      <c r="D2046" t="s">
        <v>154</v>
      </c>
      <c r="E2046">
        <v>11011</v>
      </c>
      <c r="F2046">
        <v>2907</v>
      </c>
      <c r="G2046">
        <v>4312</v>
      </c>
      <c r="H2046">
        <v>227</v>
      </c>
      <c r="I2046">
        <v>919</v>
      </c>
      <c r="J2046">
        <v>393</v>
      </c>
      <c r="K2046" s="1">
        <v>46054</v>
      </c>
      <c r="L2046" t="s">
        <v>446</v>
      </c>
      <c r="M2046" t="s">
        <v>444</v>
      </c>
      <c r="N2046" s="2">
        <f>IFERROR(NHS_A_E[[#This Row],[T1_Over4hrs]]/NHS_A_E[[#This Row],[T1_Attendances]], 0)</f>
        <v>0.39160839160839161</v>
      </c>
      <c r="O2046">
        <f>NHS_A_E[[#This Row],[T1_Attendances]]+NHS_A_E[[#This Row],[Other_Attendances]]</f>
        <v>13918</v>
      </c>
      <c r="P2046">
        <f>MATCH(LEFT(A2046,FIND("-",A2046)-1),{"April","May","June","July","August","September","October","November","December","January","February","March"},0)</f>
        <v>11</v>
      </c>
      <c r="Q2046" s="3">
        <f t="shared" si="62"/>
        <v>3.5691581146126604E-2</v>
      </c>
      <c r="R2046" t="str">
        <f t="shared" si="63"/>
        <v>February</v>
      </c>
    </row>
    <row r="2047" spans="1:18" x14ac:dyDescent="0.35">
      <c r="A2047" t="s">
        <v>448</v>
      </c>
      <c r="B2047" t="s">
        <v>237</v>
      </c>
      <c r="C2047" t="s">
        <v>30</v>
      </c>
      <c r="D2047" t="s">
        <v>238</v>
      </c>
      <c r="E2047">
        <v>12044</v>
      </c>
      <c r="F2047">
        <v>10190</v>
      </c>
      <c r="G2047">
        <v>4885</v>
      </c>
      <c r="H2047">
        <v>3</v>
      </c>
      <c r="I2047">
        <v>301</v>
      </c>
      <c r="J2047">
        <v>1059</v>
      </c>
      <c r="K2047" s="1">
        <v>46054</v>
      </c>
      <c r="L2047" t="s">
        <v>446</v>
      </c>
      <c r="M2047" t="s">
        <v>444</v>
      </c>
      <c r="N2047" s="2">
        <f>IFERROR(NHS_A_E[[#This Row],[T1_Over4hrs]]/NHS_A_E[[#This Row],[T1_Attendances]], 0)</f>
        <v>0.40559614745931583</v>
      </c>
      <c r="O2047">
        <f>NHS_A_E[[#This Row],[T1_Attendances]]+NHS_A_E[[#This Row],[Other_Attendances]]</f>
        <v>22234</v>
      </c>
      <c r="P2047">
        <f>MATCH(LEFT(A2047,FIND("-",A2047)-1),{"April","May","June","July","August","September","October","November","December","January","February","March"},0)</f>
        <v>11</v>
      </c>
      <c r="Q2047" s="3">
        <f t="shared" si="62"/>
        <v>8.792759880438393E-2</v>
      </c>
      <c r="R2047" t="str">
        <f t="shared" si="63"/>
        <v>February</v>
      </c>
    </row>
    <row r="2048" spans="1:18" x14ac:dyDescent="0.35">
      <c r="A2048" t="s">
        <v>448</v>
      </c>
      <c r="B2048" t="s">
        <v>199</v>
      </c>
      <c r="C2048" t="s">
        <v>40</v>
      </c>
      <c r="D2048" t="s">
        <v>200</v>
      </c>
      <c r="E2048">
        <v>9920</v>
      </c>
      <c r="F2048">
        <v>2355</v>
      </c>
      <c r="G2048">
        <v>5562</v>
      </c>
      <c r="H2048">
        <v>345</v>
      </c>
      <c r="I2048">
        <v>475</v>
      </c>
      <c r="J2048">
        <v>1366</v>
      </c>
      <c r="K2048" s="1">
        <v>46054</v>
      </c>
      <c r="L2048" t="s">
        <v>446</v>
      </c>
      <c r="M2048" t="s">
        <v>444</v>
      </c>
      <c r="N2048" s="2">
        <f>IFERROR(NHS_A_E[[#This Row],[T1_Over4hrs]]/NHS_A_E[[#This Row],[T1_Attendances]], 0)</f>
        <v>0.56068548387096773</v>
      </c>
      <c r="O2048">
        <f>NHS_A_E[[#This Row],[T1_Attendances]]+NHS_A_E[[#This Row],[Other_Attendances]]</f>
        <v>12275</v>
      </c>
      <c r="P2048">
        <f>MATCH(LEFT(A2048,FIND("-",A2048)-1),{"April","May","June","July","August","September","October","November","December","January","February","March"},0)</f>
        <v>11</v>
      </c>
      <c r="Q2048" s="3">
        <f t="shared" si="62"/>
        <v>0.1377016129032258</v>
      </c>
      <c r="R2048" t="str">
        <f t="shared" si="63"/>
        <v>February</v>
      </c>
    </row>
    <row r="2049" spans="1:18" x14ac:dyDescent="0.35">
      <c r="A2049" t="s">
        <v>448</v>
      </c>
      <c r="B2049" t="s">
        <v>203</v>
      </c>
      <c r="C2049" t="s">
        <v>40</v>
      </c>
      <c r="D2049" t="s">
        <v>204</v>
      </c>
      <c r="E2049">
        <v>0</v>
      </c>
      <c r="F2049">
        <v>0</v>
      </c>
      <c r="G2049">
        <v>0</v>
      </c>
      <c r="H2049">
        <v>0</v>
      </c>
      <c r="I2049">
        <v>0</v>
      </c>
      <c r="J2049">
        <v>0</v>
      </c>
      <c r="K2049" s="1">
        <v>46054</v>
      </c>
      <c r="L2049" t="s">
        <v>446</v>
      </c>
      <c r="M2049" t="s">
        <v>444</v>
      </c>
      <c r="N2049" s="2">
        <f>IFERROR(NHS_A_E[[#This Row],[T1_Over4hrs]]/NHS_A_E[[#This Row],[T1_Attendances]], 0)</f>
        <v>0</v>
      </c>
      <c r="O2049">
        <f>NHS_A_E[[#This Row],[T1_Attendances]]+NHS_A_E[[#This Row],[Other_Attendances]]</f>
        <v>0</v>
      </c>
      <c r="P2049">
        <f>MATCH(LEFT(A2049,FIND("-",A2049)-1),{"April","May","June","July","August","September","October","November","December","January","February","March"},0)</f>
        <v>11</v>
      </c>
      <c r="Q2049" s="3">
        <f t="shared" si="62"/>
        <v>0</v>
      </c>
      <c r="R2049" t="str">
        <f t="shared" si="63"/>
        <v>February</v>
      </c>
    </row>
    <row r="2050" spans="1:18" x14ac:dyDescent="0.35">
      <c r="A2050" t="s">
        <v>448</v>
      </c>
      <c r="B2050" t="s">
        <v>83</v>
      </c>
      <c r="C2050" t="s">
        <v>35</v>
      </c>
      <c r="D2050" t="s">
        <v>84</v>
      </c>
      <c r="E2050">
        <v>12235</v>
      </c>
      <c r="F2050">
        <v>13616</v>
      </c>
      <c r="G2050">
        <v>6214</v>
      </c>
      <c r="H2050">
        <v>223</v>
      </c>
      <c r="I2050">
        <v>619</v>
      </c>
      <c r="J2050">
        <v>374</v>
      </c>
      <c r="K2050" s="1">
        <v>46054</v>
      </c>
      <c r="L2050" t="s">
        <v>446</v>
      </c>
      <c r="M2050" t="s">
        <v>444</v>
      </c>
      <c r="N2050" s="2">
        <f>IFERROR(NHS_A_E[[#This Row],[T1_Over4hrs]]/NHS_A_E[[#This Row],[T1_Attendances]], 0)</f>
        <v>0.50788720882713523</v>
      </c>
      <c r="O2050">
        <f>NHS_A_E[[#This Row],[T1_Attendances]]+NHS_A_E[[#This Row],[Other_Attendances]]</f>
        <v>25851</v>
      </c>
      <c r="P2050">
        <f>MATCH(LEFT(A2050,FIND("-",A2050)-1),{"April","May","June","July","August","September","October","November","December","January","February","March"},0)</f>
        <v>11</v>
      </c>
      <c r="Q2050" s="3">
        <f t="shared" ref="Q2050:Q2113" si="64">IFERROR(J2050/E2050,0)</f>
        <v>3.0568042501021658E-2</v>
      </c>
      <c r="R2050" t="str">
        <f t="shared" ref="R2050:R2113" si="65">TEXT(A2050, "mmmm")</f>
        <v>February</v>
      </c>
    </row>
    <row r="2051" spans="1:18" x14ac:dyDescent="0.35">
      <c r="A2051" t="s">
        <v>448</v>
      </c>
      <c r="B2051" t="s">
        <v>151</v>
      </c>
      <c r="C2051" t="s">
        <v>30</v>
      </c>
      <c r="D2051" t="s">
        <v>152</v>
      </c>
      <c r="E2051">
        <v>23361</v>
      </c>
      <c r="F2051">
        <v>8354</v>
      </c>
      <c r="G2051">
        <v>9499</v>
      </c>
      <c r="H2051">
        <v>324</v>
      </c>
      <c r="I2051">
        <v>807</v>
      </c>
      <c r="J2051">
        <v>1246</v>
      </c>
      <c r="K2051" s="1">
        <v>46054</v>
      </c>
      <c r="L2051" t="s">
        <v>446</v>
      </c>
      <c r="M2051" t="s">
        <v>444</v>
      </c>
      <c r="N2051" s="2">
        <f>IFERROR(NHS_A_E[[#This Row],[T1_Over4hrs]]/NHS_A_E[[#This Row],[T1_Attendances]], 0)</f>
        <v>0.40661786738581396</v>
      </c>
      <c r="O2051">
        <f>NHS_A_E[[#This Row],[T1_Attendances]]+NHS_A_E[[#This Row],[Other_Attendances]]</f>
        <v>31715</v>
      </c>
      <c r="P2051">
        <f>MATCH(LEFT(A2051,FIND("-",A2051)-1),{"April","May","June","July","August","September","October","November","December","January","February","March"},0)</f>
        <v>11</v>
      </c>
      <c r="Q2051" s="3">
        <f t="shared" si="64"/>
        <v>5.3336757844270367E-2</v>
      </c>
      <c r="R2051" t="str">
        <f t="shared" si="65"/>
        <v>February</v>
      </c>
    </row>
    <row r="2052" spans="1:18" x14ac:dyDescent="0.35">
      <c r="A2052" t="s">
        <v>448</v>
      </c>
      <c r="B2052" t="s">
        <v>365</v>
      </c>
      <c r="C2052" t="s">
        <v>35</v>
      </c>
      <c r="D2052" t="s">
        <v>366</v>
      </c>
      <c r="E2052">
        <v>12017</v>
      </c>
      <c r="F2052">
        <v>0</v>
      </c>
      <c r="G2052">
        <v>3222</v>
      </c>
      <c r="H2052">
        <v>0</v>
      </c>
      <c r="I2052">
        <v>391</v>
      </c>
      <c r="J2052">
        <v>287</v>
      </c>
      <c r="K2052" s="1">
        <v>46054</v>
      </c>
      <c r="L2052" t="s">
        <v>446</v>
      </c>
      <c r="M2052" t="s">
        <v>444</v>
      </c>
      <c r="N2052" s="2">
        <f>IFERROR(NHS_A_E[[#This Row],[T1_Over4hrs]]/NHS_A_E[[#This Row],[T1_Attendances]], 0)</f>
        <v>0.26812016310227177</v>
      </c>
      <c r="O2052">
        <f>NHS_A_E[[#This Row],[T1_Attendances]]+NHS_A_E[[#This Row],[Other_Attendances]]</f>
        <v>12017</v>
      </c>
      <c r="P2052">
        <f>MATCH(LEFT(A2052,FIND("-",A2052)-1),{"April","May","June","July","August","September","October","November","December","January","February","March"},0)</f>
        <v>11</v>
      </c>
      <c r="Q2052" s="3">
        <f t="shared" si="64"/>
        <v>2.3882832653740534E-2</v>
      </c>
      <c r="R2052" t="str">
        <f t="shared" si="65"/>
        <v>February</v>
      </c>
    </row>
    <row r="2053" spans="1:18" x14ac:dyDescent="0.35">
      <c r="A2053" t="s">
        <v>448</v>
      </c>
      <c r="B2053" t="s">
        <v>223</v>
      </c>
      <c r="C2053" t="s">
        <v>15</v>
      </c>
      <c r="D2053" t="s">
        <v>224</v>
      </c>
      <c r="E2053">
        <v>10971</v>
      </c>
      <c r="F2053">
        <v>3223</v>
      </c>
      <c r="G2053">
        <v>3002</v>
      </c>
      <c r="H2053">
        <v>50</v>
      </c>
      <c r="I2053">
        <v>305</v>
      </c>
      <c r="J2053">
        <v>0</v>
      </c>
      <c r="K2053" s="1">
        <v>46054</v>
      </c>
      <c r="L2053" t="s">
        <v>446</v>
      </c>
      <c r="M2053" t="s">
        <v>444</v>
      </c>
      <c r="N2053" s="2">
        <f>IFERROR(NHS_A_E[[#This Row],[T1_Over4hrs]]/NHS_A_E[[#This Row],[T1_Attendances]], 0)</f>
        <v>0.27363048035730564</v>
      </c>
      <c r="O2053">
        <f>NHS_A_E[[#This Row],[T1_Attendances]]+NHS_A_E[[#This Row],[Other_Attendances]]</f>
        <v>14194</v>
      </c>
      <c r="P2053">
        <f>MATCH(LEFT(A2053,FIND("-",A2053)-1),{"April","May","June","July","August","September","October","November","December","January","February","March"},0)</f>
        <v>11</v>
      </c>
      <c r="Q2053" s="3">
        <f t="shared" si="64"/>
        <v>0</v>
      </c>
      <c r="R2053" t="str">
        <f t="shared" si="65"/>
        <v>February</v>
      </c>
    </row>
    <row r="2054" spans="1:18" x14ac:dyDescent="0.35">
      <c r="A2054" t="s">
        <v>448</v>
      </c>
      <c r="B2054" t="s">
        <v>125</v>
      </c>
      <c r="C2054" t="s">
        <v>35</v>
      </c>
      <c r="D2054" t="s">
        <v>126</v>
      </c>
      <c r="E2054">
        <v>0</v>
      </c>
      <c r="F2054">
        <v>10763</v>
      </c>
      <c r="G2054">
        <v>0</v>
      </c>
      <c r="H2054">
        <v>153</v>
      </c>
      <c r="I2054">
        <v>0</v>
      </c>
      <c r="J2054">
        <v>0</v>
      </c>
      <c r="K2054" s="1">
        <v>46054</v>
      </c>
      <c r="L2054" t="s">
        <v>446</v>
      </c>
      <c r="M2054" t="s">
        <v>444</v>
      </c>
      <c r="N2054" s="2">
        <f>IFERROR(NHS_A_E[[#This Row],[T1_Over4hrs]]/NHS_A_E[[#This Row],[T1_Attendances]], 0)</f>
        <v>0</v>
      </c>
      <c r="O2054">
        <f>NHS_A_E[[#This Row],[T1_Attendances]]+NHS_A_E[[#This Row],[Other_Attendances]]</f>
        <v>10763</v>
      </c>
      <c r="P2054">
        <f>MATCH(LEFT(A2054,FIND("-",A2054)-1),{"April","May","June","July","August","September","October","November","December","January","February","March"},0)</f>
        <v>11</v>
      </c>
      <c r="Q2054" s="3">
        <f t="shared" si="64"/>
        <v>0</v>
      </c>
      <c r="R2054" t="str">
        <f t="shared" si="65"/>
        <v>February</v>
      </c>
    </row>
    <row r="2055" spans="1:18" x14ac:dyDescent="0.35">
      <c r="A2055" t="s">
        <v>448</v>
      </c>
      <c r="B2055" t="s">
        <v>149</v>
      </c>
      <c r="C2055" t="s">
        <v>15</v>
      </c>
      <c r="D2055" t="s">
        <v>150</v>
      </c>
      <c r="E2055">
        <v>9755</v>
      </c>
      <c r="F2055">
        <v>2840</v>
      </c>
      <c r="G2055">
        <v>3810</v>
      </c>
      <c r="H2055">
        <v>0</v>
      </c>
      <c r="I2055">
        <v>799</v>
      </c>
      <c r="J2055">
        <v>1039</v>
      </c>
      <c r="K2055" s="1">
        <v>46054</v>
      </c>
      <c r="L2055" t="s">
        <v>446</v>
      </c>
      <c r="M2055" t="s">
        <v>444</v>
      </c>
      <c r="N2055" s="2">
        <f>IFERROR(NHS_A_E[[#This Row],[T1_Over4hrs]]/NHS_A_E[[#This Row],[T1_Attendances]], 0)</f>
        <v>0.39056893900563816</v>
      </c>
      <c r="O2055">
        <f>NHS_A_E[[#This Row],[T1_Attendances]]+NHS_A_E[[#This Row],[Other_Attendances]]</f>
        <v>12595</v>
      </c>
      <c r="P2055">
        <f>MATCH(LEFT(A2055,FIND("-",A2055)-1),{"April","May","June","July","August","September","October","November","December","January","February","March"},0)</f>
        <v>11</v>
      </c>
      <c r="Q2055" s="3">
        <f t="shared" si="64"/>
        <v>0.10650948231676063</v>
      </c>
      <c r="R2055" t="str">
        <f t="shared" si="65"/>
        <v>February</v>
      </c>
    </row>
    <row r="2056" spans="1:18" x14ac:dyDescent="0.35">
      <c r="A2056" t="s">
        <v>448</v>
      </c>
      <c r="B2056" t="s">
        <v>243</v>
      </c>
      <c r="C2056" t="s">
        <v>23</v>
      </c>
      <c r="D2056" t="s">
        <v>244</v>
      </c>
      <c r="E2056">
        <v>0</v>
      </c>
      <c r="F2056">
        <v>1792</v>
      </c>
      <c r="G2056">
        <v>0</v>
      </c>
      <c r="H2056">
        <v>110</v>
      </c>
      <c r="I2056">
        <v>0</v>
      </c>
      <c r="J2056">
        <v>0</v>
      </c>
      <c r="K2056" s="1">
        <v>46054</v>
      </c>
      <c r="L2056" t="s">
        <v>446</v>
      </c>
      <c r="M2056" t="s">
        <v>444</v>
      </c>
      <c r="N2056" s="2">
        <f>IFERROR(NHS_A_E[[#This Row],[T1_Over4hrs]]/NHS_A_E[[#This Row],[T1_Attendances]], 0)</f>
        <v>0</v>
      </c>
      <c r="O2056">
        <f>NHS_A_E[[#This Row],[T1_Attendances]]+NHS_A_E[[#This Row],[Other_Attendances]]</f>
        <v>1792</v>
      </c>
      <c r="P2056">
        <f>MATCH(LEFT(A2056,FIND("-",A2056)-1),{"April","May","June","July","August","September","October","November","December","January","February","March"},0)</f>
        <v>11</v>
      </c>
      <c r="Q2056" s="3">
        <f t="shared" si="64"/>
        <v>0</v>
      </c>
      <c r="R2056" t="str">
        <f t="shared" si="65"/>
        <v>February</v>
      </c>
    </row>
    <row r="2057" spans="1:18" x14ac:dyDescent="0.35">
      <c r="A2057" t="s">
        <v>448</v>
      </c>
      <c r="B2057" t="s">
        <v>339</v>
      </c>
      <c r="C2057" t="s">
        <v>20</v>
      </c>
      <c r="D2057" t="s">
        <v>340</v>
      </c>
      <c r="E2057">
        <v>14252</v>
      </c>
      <c r="F2057">
        <v>0</v>
      </c>
      <c r="G2057">
        <v>5165</v>
      </c>
      <c r="H2057">
        <v>0</v>
      </c>
      <c r="I2057">
        <v>979</v>
      </c>
      <c r="J2057">
        <v>440</v>
      </c>
      <c r="K2057" s="1">
        <v>46054</v>
      </c>
      <c r="L2057" t="s">
        <v>446</v>
      </c>
      <c r="M2057" t="s">
        <v>444</v>
      </c>
      <c r="N2057" s="2">
        <f>IFERROR(NHS_A_E[[#This Row],[T1_Over4hrs]]/NHS_A_E[[#This Row],[T1_Attendances]], 0)</f>
        <v>0.3624052764524277</v>
      </c>
      <c r="O2057">
        <f>NHS_A_E[[#This Row],[T1_Attendances]]+NHS_A_E[[#This Row],[Other_Attendances]]</f>
        <v>14252</v>
      </c>
      <c r="P2057">
        <f>MATCH(LEFT(A2057,FIND("-",A2057)-1),{"April","May","June","July","August","September","October","November","December","January","February","March"},0)</f>
        <v>11</v>
      </c>
      <c r="Q2057" s="3">
        <f t="shared" si="64"/>
        <v>3.0872859949480774E-2</v>
      </c>
      <c r="R2057" t="str">
        <f t="shared" si="65"/>
        <v>February</v>
      </c>
    </row>
    <row r="2058" spans="1:18" x14ac:dyDescent="0.35">
      <c r="A2058" t="s">
        <v>448</v>
      </c>
      <c r="B2058" t="s">
        <v>211</v>
      </c>
      <c r="C2058" t="s">
        <v>30</v>
      </c>
      <c r="D2058" t="s">
        <v>212</v>
      </c>
      <c r="E2058">
        <v>6951</v>
      </c>
      <c r="F2058">
        <v>2546</v>
      </c>
      <c r="G2058">
        <v>3741</v>
      </c>
      <c r="H2058">
        <v>67</v>
      </c>
      <c r="I2058">
        <v>440</v>
      </c>
      <c r="J2058">
        <v>758</v>
      </c>
      <c r="K2058" s="1">
        <v>46054</v>
      </c>
      <c r="L2058" t="s">
        <v>446</v>
      </c>
      <c r="M2058" t="s">
        <v>444</v>
      </c>
      <c r="N2058" s="2">
        <f>IFERROR(NHS_A_E[[#This Row],[T1_Over4hrs]]/NHS_A_E[[#This Row],[T1_Attendances]], 0)</f>
        <v>0.53819594302977991</v>
      </c>
      <c r="O2058">
        <f>NHS_A_E[[#This Row],[T1_Attendances]]+NHS_A_E[[#This Row],[Other_Attendances]]</f>
        <v>9497</v>
      </c>
      <c r="P2058">
        <f>MATCH(LEFT(A2058,FIND("-",A2058)-1),{"April","May","June","July","August","September","October","November","December","January","February","March"},0)</f>
        <v>11</v>
      </c>
      <c r="Q2058" s="3">
        <f t="shared" si="64"/>
        <v>0.10904905768954107</v>
      </c>
      <c r="R2058" t="str">
        <f t="shared" si="65"/>
        <v>February</v>
      </c>
    </row>
    <row r="2059" spans="1:18" x14ac:dyDescent="0.35">
      <c r="A2059" t="s">
        <v>448</v>
      </c>
      <c r="B2059" t="s">
        <v>103</v>
      </c>
      <c r="C2059" t="s">
        <v>20</v>
      </c>
      <c r="D2059" t="s">
        <v>104</v>
      </c>
      <c r="E2059">
        <v>10507</v>
      </c>
      <c r="F2059">
        <v>8517</v>
      </c>
      <c r="G2059">
        <v>5465</v>
      </c>
      <c r="H2059">
        <v>220</v>
      </c>
      <c r="I2059">
        <v>552</v>
      </c>
      <c r="J2059">
        <v>196</v>
      </c>
      <c r="K2059" s="1">
        <v>46054</v>
      </c>
      <c r="L2059" t="s">
        <v>446</v>
      </c>
      <c r="M2059" t="s">
        <v>444</v>
      </c>
      <c r="N2059" s="2">
        <f>IFERROR(NHS_A_E[[#This Row],[T1_Over4hrs]]/NHS_A_E[[#This Row],[T1_Attendances]], 0)</f>
        <v>0.52012943751784524</v>
      </c>
      <c r="O2059">
        <f>NHS_A_E[[#This Row],[T1_Attendances]]+NHS_A_E[[#This Row],[Other_Attendances]]</f>
        <v>19024</v>
      </c>
      <c r="P2059">
        <f>MATCH(LEFT(A2059,FIND("-",A2059)-1),{"April","May","June","July","August","September","October","November","December","January","February","March"},0)</f>
        <v>11</v>
      </c>
      <c r="Q2059" s="3">
        <f t="shared" si="64"/>
        <v>1.8654230512991338E-2</v>
      </c>
      <c r="R2059" t="str">
        <f t="shared" si="65"/>
        <v>February</v>
      </c>
    </row>
    <row r="2060" spans="1:18" x14ac:dyDescent="0.35">
      <c r="A2060" t="s">
        <v>448</v>
      </c>
      <c r="B2060" t="s">
        <v>89</v>
      </c>
      <c r="C2060" t="s">
        <v>35</v>
      </c>
      <c r="D2060" t="s">
        <v>90</v>
      </c>
      <c r="E2060">
        <v>24307</v>
      </c>
      <c r="F2060">
        <v>14208</v>
      </c>
      <c r="G2060">
        <v>8072</v>
      </c>
      <c r="H2060">
        <v>871</v>
      </c>
      <c r="I2060">
        <v>836</v>
      </c>
      <c r="J2060">
        <v>1870</v>
      </c>
      <c r="K2060" s="1">
        <v>46054</v>
      </c>
      <c r="L2060" t="s">
        <v>446</v>
      </c>
      <c r="M2060" t="s">
        <v>444</v>
      </c>
      <c r="N2060" s="2">
        <f>IFERROR(NHS_A_E[[#This Row],[T1_Over4hrs]]/NHS_A_E[[#This Row],[T1_Attendances]], 0)</f>
        <v>0.33208540749578308</v>
      </c>
      <c r="O2060">
        <f>NHS_A_E[[#This Row],[T1_Attendances]]+NHS_A_E[[#This Row],[Other_Attendances]]</f>
        <v>38515</v>
      </c>
      <c r="P2060">
        <f>MATCH(LEFT(A2060,FIND("-",A2060)-1),{"April","May","June","July","August","September","October","November","December","January","February","March"},0)</f>
        <v>11</v>
      </c>
      <c r="Q2060" s="3">
        <f t="shared" si="64"/>
        <v>7.6932570864360061E-2</v>
      </c>
      <c r="R2060" t="str">
        <f t="shared" si="65"/>
        <v>February</v>
      </c>
    </row>
    <row r="2061" spans="1:18" x14ac:dyDescent="0.35">
      <c r="A2061" t="s">
        <v>448</v>
      </c>
      <c r="B2061" t="s">
        <v>401</v>
      </c>
      <c r="C2061" t="s">
        <v>35</v>
      </c>
      <c r="D2061" t="s">
        <v>402</v>
      </c>
      <c r="E2061">
        <v>12080</v>
      </c>
      <c r="F2061">
        <v>4618</v>
      </c>
      <c r="G2061">
        <v>4902</v>
      </c>
      <c r="H2061">
        <v>0</v>
      </c>
      <c r="I2061">
        <v>214</v>
      </c>
      <c r="J2061">
        <v>685</v>
      </c>
      <c r="K2061" s="1">
        <v>46054</v>
      </c>
      <c r="L2061" t="s">
        <v>446</v>
      </c>
      <c r="M2061" t="s">
        <v>444</v>
      </c>
      <c r="N2061" s="2">
        <f>IFERROR(NHS_A_E[[#This Row],[T1_Over4hrs]]/NHS_A_E[[#This Row],[T1_Attendances]], 0)</f>
        <v>0.40579470198675499</v>
      </c>
      <c r="O2061">
        <f>NHS_A_E[[#This Row],[T1_Attendances]]+NHS_A_E[[#This Row],[Other_Attendances]]</f>
        <v>16698</v>
      </c>
      <c r="P2061">
        <f>MATCH(LEFT(A2061,FIND("-",A2061)-1),{"April","May","June","July","August","September","October","November","December","January","February","March"},0)</f>
        <v>11</v>
      </c>
      <c r="Q2061" s="3">
        <f t="shared" si="64"/>
        <v>5.6705298013245031E-2</v>
      </c>
      <c r="R2061" t="str">
        <f t="shared" si="65"/>
        <v>February</v>
      </c>
    </row>
    <row r="2062" spans="1:18" x14ac:dyDescent="0.35">
      <c r="A2062" t="s">
        <v>448</v>
      </c>
      <c r="B2062" t="s">
        <v>187</v>
      </c>
      <c r="C2062" t="s">
        <v>30</v>
      </c>
      <c r="D2062" t="s">
        <v>188</v>
      </c>
      <c r="E2062">
        <v>7049</v>
      </c>
      <c r="F2062">
        <v>821</v>
      </c>
      <c r="G2062">
        <v>2811</v>
      </c>
      <c r="H2062">
        <v>38</v>
      </c>
      <c r="I2062">
        <v>528</v>
      </c>
      <c r="J2062">
        <v>380</v>
      </c>
      <c r="K2062" s="1">
        <v>46054</v>
      </c>
      <c r="L2062" t="s">
        <v>446</v>
      </c>
      <c r="M2062" t="s">
        <v>444</v>
      </c>
      <c r="N2062" s="2">
        <f>IFERROR(NHS_A_E[[#This Row],[T1_Over4hrs]]/NHS_A_E[[#This Row],[T1_Attendances]], 0)</f>
        <v>0.3987799687898993</v>
      </c>
      <c r="O2062">
        <f>NHS_A_E[[#This Row],[T1_Attendances]]+NHS_A_E[[#This Row],[Other_Attendances]]</f>
        <v>7870</v>
      </c>
      <c r="P2062">
        <f>MATCH(LEFT(A2062,FIND("-",A2062)-1),{"April","May","June","July","August","September","October","November","December","January","February","March"},0)</f>
        <v>11</v>
      </c>
      <c r="Q2062" s="3">
        <f t="shared" si="64"/>
        <v>5.3908355795148251E-2</v>
      </c>
      <c r="R2062" t="str">
        <f t="shared" si="65"/>
        <v>February</v>
      </c>
    </row>
    <row r="2063" spans="1:18" x14ac:dyDescent="0.35">
      <c r="A2063" t="s">
        <v>448</v>
      </c>
      <c r="B2063" t="s">
        <v>147</v>
      </c>
      <c r="C2063" t="s">
        <v>40</v>
      </c>
      <c r="D2063" t="s">
        <v>148</v>
      </c>
      <c r="E2063">
        <v>0</v>
      </c>
      <c r="F2063">
        <v>1788</v>
      </c>
      <c r="G2063">
        <v>0</v>
      </c>
      <c r="H2063">
        <v>0</v>
      </c>
      <c r="I2063">
        <v>0</v>
      </c>
      <c r="J2063">
        <v>0</v>
      </c>
      <c r="K2063" s="1">
        <v>46054</v>
      </c>
      <c r="L2063" t="s">
        <v>446</v>
      </c>
      <c r="M2063" t="s">
        <v>444</v>
      </c>
      <c r="N2063" s="2">
        <f>IFERROR(NHS_A_E[[#This Row],[T1_Over4hrs]]/NHS_A_E[[#This Row],[T1_Attendances]], 0)</f>
        <v>0</v>
      </c>
      <c r="O2063">
        <f>NHS_A_E[[#This Row],[T1_Attendances]]+NHS_A_E[[#This Row],[Other_Attendances]]</f>
        <v>1788</v>
      </c>
      <c r="P2063">
        <f>MATCH(LEFT(A2063,FIND("-",A2063)-1),{"April","May","June","July","August","September","October","November","December","January","February","March"},0)</f>
        <v>11</v>
      </c>
      <c r="Q2063" s="3">
        <f t="shared" si="64"/>
        <v>0</v>
      </c>
      <c r="R2063" t="str">
        <f t="shared" si="65"/>
        <v>February</v>
      </c>
    </row>
    <row r="2064" spans="1:18" x14ac:dyDescent="0.35">
      <c r="A2064" t="s">
        <v>448</v>
      </c>
      <c r="B2064" t="s">
        <v>185</v>
      </c>
      <c r="C2064" t="s">
        <v>23</v>
      </c>
      <c r="D2064" t="s">
        <v>437</v>
      </c>
      <c r="E2064">
        <v>8724</v>
      </c>
      <c r="F2064">
        <v>7403</v>
      </c>
      <c r="G2064">
        <v>4954</v>
      </c>
      <c r="H2064">
        <v>88</v>
      </c>
      <c r="I2064">
        <v>501</v>
      </c>
      <c r="J2064">
        <v>209</v>
      </c>
      <c r="K2064" s="1">
        <v>46054</v>
      </c>
      <c r="L2064" t="s">
        <v>446</v>
      </c>
      <c r="M2064" t="s">
        <v>444</v>
      </c>
      <c r="N2064" s="2">
        <f>IFERROR(NHS_A_E[[#This Row],[T1_Over4hrs]]/NHS_A_E[[#This Row],[T1_Attendances]], 0)</f>
        <v>0.56785878037597437</v>
      </c>
      <c r="O2064">
        <f>NHS_A_E[[#This Row],[T1_Attendances]]+NHS_A_E[[#This Row],[Other_Attendances]]</f>
        <v>16127</v>
      </c>
      <c r="P2064">
        <f>MATCH(LEFT(A2064,FIND("-",A2064)-1),{"April","May","June","July","August","September","October","November","December","January","February","March"},0)</f>
        <v>11</v>
      </c>
      <c r="Q2064" s="3">
        <f t="shared" si="64"/>
        <v>2.39569005043558E-2</v>
      </c>
      <c r="R2064" t="str">
        <f t="shared" si="65"/>
        <v>February</v>
      </c>
    </row>
    <row r="2065" spans="1:18" x14ac:dyDescent="0.35">
      <c r="A2065" t="s">
        <v>448</v>
      </c>
      <c r="B2065" t="s">
        <v>179</v>
      </c>
      <c r="C2065" t="s">
        <v>40</v>
      </c>
      <c r="D2065" t="s">
        <v>180</v>
      </c>
      <c r="E2065">
        <v>16500</v>
      </c>
      <c r="F2065">
        <v>4132</v>
      </c>
      <c r="G2065">
        <v>6701</v>
      </c>
      <c r="H2065">
        <v>299</v>
      </c>
      <c r="I2065">
        <v>581</v>
      </c>
      <c r="J2065">
        <v>1296</v>
      </c>
      <c r="K2065" s="1">
        <v>46054</v>
      </c>
      <c r="L2065" t="s">
        <v>446</v>
      </c>
      <c r="M2065" t="s">
        <v>444</v>
      </c>
      <c r="N2065" s="2">
        <f>IFERROR(NHS_A_E[[#This Row],[T1_Over4hrs]]/NHS_A_E[[#This Row],[T1_Attendances]], 0)</f>
        <v>0.40612121212121211</v>
      </c>
      <c r="O2065">
        <f>NHS_A_E[[#This Row],[T1_Attendances]]+NHS_A_E[[#This Row],[Other_Attendances]]</f>
        <v>20632</v>
      </c>
      <c r="P2065">
        <f>MATCH(LEFT(A2065,FIND("-",A2065)-1),{"April","May","June","July","August","September","October","November","December","January","February","March"},0)</f>
        <v>11</v>
      </c>
      <c r="Q2065" s="3">
        <f t="shared" si="64"/>
        <v>7.8545454545454543E-2</v>
      </c>
      <c r="R2065" t="str">
        <f t="shared" si="65"/>
        <v>February</v>
      </c>
    </row>
    <row r="2066" spans="1:18" x14ac:dyDescent="0.35">
      <c r="A2066" t="s">
        <v>448</v>
      </c>
      <c r="B2066" t="s">
        <v>215</v>
      </c>
      <c r="C2066" t="s">
        <v>35</v>
      </c>
      <c r="D2066" t="s">
        <v>216</v>
      </c>
      <c r="E2066">
        <v>8228</v>
      </c>
      <c r="F2066">
        <v>3579</v>
      </c>
      <c r="G2066">
        <v>2779</v>
      </c>
      <c r="H2066">
        <v>124</v>
      </c>
      <c r="I2066">
        <v>419</v>
      </c>
      <c r="J2066">
        <v>443</v>
      </c>
      <c r="K2066" s="1">
        <v>46054</v>
      </c>
      <c r="L2066" t="s">
        <v>446</v>
      </c>
      <c r="M2066" t="s">
        <v>444</v>
      </c>
      <c r="N2066" s="2">
        <f>IFERROR(NHS_A_E[[#This Row],[T1_Over4hrs]]/NHS_A_E[[#This Row],[T1_Attendances]], 0)</f>
        <v>0.33774914924647548</v>
      </c>
      <c r="O2066">
        <f>NHS_A_E[[#This Row],[T1_Attendances]]+NHS_A_E[[#This Row],[Other_Attendances]]</f>
        <v>11807</v>
      </c>
      <c r="P2066">
        <f>MATCH(LEFT(A2066,FIND("-",A2066)-1),{"April","May","June","July","August","September","October","November","December","January","February","March"},0)</f>
        <v>11</v>
      </c>
      <c r="Q2066" s="3">
        <f t="shared" si="64"/>
        <v>5.3840544482255712E-2</v>
      </c>
      <c r="R2066" t="str">
        <f t="shared" si="65"/>
        <v>February</v>
      </c>
    </row>
    <row r="2067" spans="1:18" x14ac:dyDescent="0.35">
      <c r="A2067" t="s">
        <v>448</v>
      </c>
      <c r="B2067" t="s">
        <v>273</v>
      </c>
      <c r="C2067" t="s">
        <v>30</v>
      </c>
      <c r="D2067" t="s">
        <v>274</v>
      </c>
      <c r="E2067">
        <v>3856</v>
      </c>
      <c r="F2067">
        <v>0</v>
      </c>
      <c r="G2067">
        <v>2105</v>
      </c>
      <c r="H2067">
        <v>0</v>
      </c>
      <c r="I2067">
        <v>218</v>
      </c>
      <c r="J2067">
        <v>470</v>
      </c>
      <c r="K2067" s="1">
        <v>46054</v>
      </c>
      <c r="L2067" t="s">
        <v>446</v>
      </c>
      <c r="M2067" t="s">
        <v>444</v>
      </c>
      <c r="N2067" s="2">
        <f>IFERROR(NHS_A_E[[#This Row],[T1_Over4hrs]]/NHS_A_E[[#This Row],[T1_Attendances]], 0)</f>
        <v>0.54590248962655596</v>
      </c>
      <c r="O2067">
        <f>NHS_A_E[[#This Row],[T1_Attendances]]+NHS_A_E[[#This Row],[Other_Attendances]]</f>
        <v>3856</v>
      </c>
      <c r="P2067">
        <f>MATCH(LEFT(A2067,FIND("-",A2067)-1),{"April","May","June","July","August","September","October","November","December","January","February","March"},0)</f>
        <v>11</v>
      </c>
      <c r="Q2067" s="3">
        <f t="shared" si="64"/>
        <v>0.12188796680497925</v>
      </c>
      <c r="R2067" t="str">
        <f t="shared" si="65"/>
        <v>February</v>
      </c>
    </row>
    <row r="2068" spans="1:18" x14ac:dyDescent="0.35">
      <c r="A2068" t="s">
        <v>448</v>
      </c>
      <c r="B2068" t="s">
        <v>415</v>
      </c>
      <c r="C2068" t="s">
        <v>35</v>
      </c>
      <c r="D2068" t="s">
        <v>416</v>
      </c>
      <c r="E2068">
        <v>14307</v>
      </c>
      <c r="F2068">
        <v>8138</v>
      </c>
      <c r="G2068">
        <v>6570</v>
      </c>
      <c r="H2068">
        <v>632</v>
      </c>
      <c r="I2068">
        <v>1448</v>
      </c>
      <c r="J2068">
        <v>833</v>
      </c>
      <c r="K2068" s="1">
        <v>46054</v>
      </c>
      <c r="L2068" t="s">
        <v>446</v>
      </c>
      <c r="M2068" t="s">
        <v>444</v>
      </c>
      <c r="N2068" s="2">
        <f>IFERROR(NHS_A_E[[#This Row],[T1_Over4hrs]]/NHS_A_E[[#This Row],[T1_Attendances]], 0)</f>
        <v>0.45921576850492768</v>
      </c>
      <c r="O2068">
        <f>NHS_A_E[[#This Row],[T1_Attendances]]+NHS_A_E[[#This Row],[Other_Attendances]]</f>
        <v>22445</v>
      </c>
      <c r="P2068">
        <f>MATCH(LEFT(A2068,FIND("-",A2068)-1),{"April","May","June","July","August","September","October","November","December","January","February","March"},0)</f>
        <v>11</v>
      </c>
      <c r="Q2068" s="3">
        <f t="shared" si="64"/>
        <v>5.8223247361431467E-2</v>
      </c>
      <c r="R2068" t="str">
        <f t="shared" si="65"/>
        <v>February</v>
      </c>
    </row>
    <row r="2069" spans="1:18" x14ac:dyDescent="0.35">
      <c r="A2069" t="s">
        <v>448</v>
      </c>
      <c r="B2069" t="s">
        <v>42</v>
      </c>
      <c r="C2069" t="s">
        <v>40</v>
      </c>
      <c r="D2069" t="s">
        <v>43</v>
      </c>
      <c r="E2069">
        <v>10460</v>
      </c>
      <c r="F2069">
        <v>4919</v>
      </c>
      <c r="G2069">
        <v>3976</v>
      </c>
      <c r="H2069">
        <v>376</v>
      </c>
      <c r="I2069">
        <v>843</v>
      </c>
      <c r="J2069">
        <v>365</v>
      </c>
      <c r="K2069" s="1">
        <v>46054</v>
      </c>
      <c r="L2069" t="s">
        <v>446</v>
      </c>
      <c r="M2069" t="s">
        <v>444</v>
      </c>
      <c r="N2069" s="2">
        <f>IFERROR(NHS_A_E[[#This Row],[T1_Over4hrs]]/NHS_A_E[[#This Row],[T1_Attendances]], 0)</f>
        <v>0.38011472275334607</v>
      </c>
      <c r="O2069">
        <f>NHS_A_E[[#This Row],[T1_Attendances]]+NHS_A_E[[#This Row],[Other_Attendances]]</f>
        <v>15379</v>
      </c>
      <c r="P2069">
        <f>MATCH(LEFT(A2069,FIND("-",A2069)-1),{"April","May","June","July","August","September","October","November","December","January","February","March"},0)</f>
        <v>11</v>
      </c>
      <c r="Q2069" s="3">
        <f t="shared" si="64"/>
        <v>3.4894837476099429E-2</v>
      </c>
      <c r="R2069" t="str">
        <f t="shared" si="65"/>
        <v>February</v>
      </c>
    </row>
    <row r="2070" spans="1:18" x14ac:dyDescent="0.35">
      <c r="A2070" t="s">
        <v>448</v>
      </c>
      <c r="B2070" t="s">
        <v>411</v>
      </c>
      <c r="C2070" t="s">
        <v>35</v>
      </c>
      <c r="D2070" t="s">
        <v>412</v>
      </c>
      <c r="E2070">
        <v>8193</v>
      </c>
      <c r="F2070">
        <v>0</v>
      </c>
      <c r="G2070">
        <v>2212</v>
      </c>
      <c r="H2070">
        <v>0</v>
      </c>
      <c r="I2070">
        <v>237</v>
      </c>
      <c r="J2070">
        <v>269</v>
      </c>
      <c r="K2070" s="1">
        <v>46054</v>
      </c>
      <c r="L2070" t="s">
        <v>446</v>
      </c>
      <c r="M2070" t="s">
        <v>444</v>
      </c>
      <c r="N2070" s="2">
        <f>IFERROR(NHS_A_E[[#This Row],[T1_Over4hrs]]/NHS_A_E[[#This Row],[T1_Attendances]], 0)</f>
        <v>0.26998657390455266</v>
      </c>
      <c r="O2070">
        <f>NHS_A_E[[#This Row],[T1_Attendances]]+NHS_A_E[[#This Row],[Other_Attendances]]</f>
        <v>8193</v>
      </c>
      <c r="P2070">
        <f>MATCH(LEFT(A2070,FIND("-",A2070)-1),{"April","May","June","July","August","September","October","November","December","January","February","March"},0)</f>
        <v>11</v>
      </c>
      <c r="Q2070" s="3">
        <f t="shared" si="64"/>
        <v>3.2832906139387281E-2</v>
      </c>
      <c r="R2070" t="str">
        <f t="shared" si="65"/>
        <v>February</v>
      </c>
    </row>
    <row r="2071" spans="1:18" x14ac:dyDescent="0.35">
      <c r="A2071" t="s">
        <v>448</v>
      </c>
      <c r="B2071" t="s">
        <v>353</v>
      </c>
      <c r="C2071" t="s">
        <v>40</v>
      </c>
      <c r="D2071" t="s">
        <v>354</v>
      </c>
      <c r="E2071">
        <v>10403</v>
      </c>
      <c r="F2071">
        <v>6123</v>
      </c>
      <c r="G2071">
        <v>3647</v>
      </c>
      <c r="H2071">
        <v>145</v>
      </c>
      <c r="I2071">
        <v>848</v>
      </c>
      <c r="J2071">
        <v>511</v>
      </c>
      <c r="K2071" s="1">
        <v>46054</v>
      </c>
      <c r="L2071" t="s">
        <v>446</v>
      </c>
      <c r="M2071" t="s">
        <v>444</v>
      </c>
      <c r="N2071" s="2">
        <f>IFERROR(NHS_A_E[[#This Row],[T1_Over4hrs]]/NHS_A_E[[#This Row],[T1_Attendances]], 0)</f>
        <v>0.35057195039892336</v>
      </c>
      <c r="O2071">
        <f>NHS_A_E[[#This Row],[T1_Attendances]]+NHS_A_E[[#This Row],[Other_Attendances]]</f>
        <v>16526</v>
      </c>
      <c r="P2071">
        <f>MATCH(LEFT(A2071,FIND("-",A2071)-1),{"April","May","June","July","August","September","October","November","December","January","February","March"},0)</f>
        <v>11</v>
      </c>
      <c r="Q2071" s="3">
        <f t="shared" si="64"/>
        <v>4.912044602518504E-2</v>
      </c>
      <c r="R2071" t="str">
        <f t="shared" si="65"/>
        <v>February</v>
      </c>
    </row>
    <row r="2072" spans="1:18" x14ac:dyDescent="0.35">
      <c r="A2072" t="s">
        <v>448</v>
      </c>
      <c r="B2072" t="s">
        <v>173</v>
      </c>
      <c r="C2072" t="s">
        <v>23</v>
      </c>
      <c r="D2072" t="s">
        <v>174</v>
      </c>
      <c r="E2072">
        <v>11506</v>
      </c>
      <c r="F2072">
        <v>7127</v>
      </c>
      <c r="G2072">
        <v>3622</v>
      </c>
      <c r="H2072">
        <v>4</v>
      </c>
      <c r="I2072">
        <v>648</v>
      </c>
      <c r="J2072">
        <v>410</v>
      </c>
      <c r="K2072" s="1">
        <v>46054</v>
      </c>
      <c r="L2072" t="s">
        <v>446</v>
      </c>
      <c r="M2072" t="s">
        <v>444</v>
      </c>
      <c r="N2072" s="2">
        <f>IFERROR(NHS_A_E[[#This Row],[T1_Over4hrs]]/NHS_A_E[[#This Row],[T1_Attendances]], 0)</f>
        <v>0.31479228228750217</v>
      </c>
      <c r="O2072">
        <f>NHS_A_E[[#This Row],[T1_Attendances]]+NHS_A_E[[#This Row],[Other_Attendances]]</f>
        <v>18633</v>
      </c>
      <c r="P2072">
        <f>MATCH(LEFT(A2072,FIND("-",A2072)-1),{"April","May","June","July","August","September","October","November","December","January","February","March"},0)</f>
        <v>11</v>
      </c>
      <c r="Q2072" s="3">
        <f t="shared" si="64"/>
        <v>3.5633582478706759E-2</v>
      </c>
      <c r="R2072" t="str">
        <f t="shared" si="65"/>
        <v>February</v>
      </c>
    </row>
    <row r="2073" spans="1:18" x14ac:dyDescent="0.35">
      <c r="A2073" t="s">
        <v>448</v>
      </c>
      <c r="B2073" t="s">
        <v>167</v>
      </c>
      <c r="C2073" t="s">
        <v>30</v>
      </c>
      <c r="D2073" t="s">
        <v>168</v>
      </c>
      <c r="E2073">
        <v>7382</v>
      </c>
      <c r="F2073">
        <v>3259</v>
      </c>
      <c r="G2073">
        <v>3575</v>
      </c>
      <c r="H2073">
        <v>275</v>
      </c>
      <c r="I2073">
        <v>363</v>
      </c>
      <c r="J2073">
        <v>483</v>
      </c>
      <c r="K2073" s="1">
        <v>46054</v>
      </c>
      <c r="L2073" t="s">
        <v>446</v>
      </c>
      <c r="M2073" t="s">
        <v>444</v>
      </c>
      <c r="N2073" s="2">
        <f>IFERROR(NHS_A_E[[#This Row],[T1_Over4hrs]]/NHS_A_E[[#This Row],[T1_Attendances]], 0)</f>
        <v>0.48428610132755351</v>
      </c>
      <c r="O2073">
        <f>NHS_A_E[[#This Row],[T1_Attendances]]+NHS_A_E[[#This Row],[Other_Attendances]]</f>
        <v>10641</v>
      </c>
      <c r="P2073">
        <f>MATCH(LEFT(A2073,FIND("-",A2073)-1),{"April","May","June","July","August","September","October","November","December","January","February","March"},0)</f>
        <v>11</v>
      </c>
      <c r="Q2073" s="3">
        <f t="shared" si="64"/>
        <v>6.5429422920617722E-2</v>
      </c>
      <c r="R2073" t="str">
        <f t="shared" si="65"/>
        <v>February</v>
      </c>
    </row>
    <row r="2074" spans="1:18" x14ac:dyDescent="0.35">
      <c r="A2074" t="s">
        <v>448</v>
      </c>
      <c r="B2074" t="s">
        <v>50</v>
      </c>
      <c r="C2074" t="s">
        <v>15</v>
      </c>
      <c r="D2074" t="s">
        <v>51</v>
      </c>
      <c r="E2074">
        <v>10902</v>
      </c>
      <c r="F2074">
        <v>3493</v>
      </c>
      <c r="G2074">
        <v>2879</v>
      </c>
      <c r="H2074">
        <v>37</v>
      </c>
      <c r="I2074">
        <v>612</v>
      </c>
      <c r="J2074">
        <v>344</v>
      </c>
      <c r="K2074" s="1">
        <v>46054</v>
      </c>
      <c r="L2074" t="s">
        <v>446</v>
      </c>
      <c r="M2074" t="s">
        <v>444</v>
      </c>
      <c r="N2074" s="2">
        <f>IFERROR(NHS_A_E[[#This Row],[T1_Over4hrs]]/NHS_A_E[[#This Row],[T1_Attendances]], 0)</f>
        <v>0.26407998532379379</v>
      </c>
      <c r="O2074">
        <f>NHS_A_E[[#This Row],[T1_Attendances]]+NHS_A_E[[#This Row],[Other_Attendances]]</f>
        <v>14395</v>
      </c>
      <c r="P2074">
        <f>MATCH(LEFT(A2074,FIND("-",A2074)-1),{"April","May","June","July","August","September","October","November","December","January","February","March"},0)</f>
        <v>11</v>
      </c>
      <c r="Q2074" s="3">
        <f t="shared" si="64"/>
        <v>3.1553843331498806E-2</v>
      </c>
      <c r="R2074" t="str">
        <f t="shared" si="65"/>
        <v>February</v>
      </c>
    </row>
    <row r="2075" spans="1:18" x14ac:dyDescent="0.35">
      <c r="A2075" t="s">
        <v>448</v>
      </c>
      <c r="B2075" t="s">
        <v>361</v>
      </c>
      <c r="C2075" t="s">
        <v>40</v>
      </c>
      <c r="D2075" t="s">
        <v>362</v>
      </c>
      <c r="E2075">
        <v>9960</v>
      </c>
      <c r="F2075">
        <v>8182</v>
      </c>
      <c r="G2075">
        <v>3820</v>
      </c>
      <c r="H2075">
        <v>7</v>
      </c>
      <c r="I2075">
        <v>569</v>
      </c>
      <c r="J2075">
        <v>504</v>
      </c>
      <c r="K2075" s="1">
        <v>46054</v>
      </c>
      <c r="L2075" t="s">
        <v>446</v>
      </c>
      <c r="M2075" t="s">
        <v>444</v>
      </c>
      <c r="N2075" s="2">
        <f>IFERROR(NHS_A_E[[#This Row],[T1_Over4hrs]]/NHS_A_E[[#This Row],[T1_Attendances]], 0)</f>
        <v>0.38353413654618473</v>
      </c>
      <c r="O2075">
        <f>NHS_A_E[[#This Row],[T1_Attendances]]+NHS_A_E[[#This Row],[Other_Attendances]]</f>
        <v>18142</v>
      </c>
      <c r="P2075">
        <f>MATCH(LEFT(A2075,FIND("-",A2075)-1),{"April","May","June","July","August","September","October","November","December","January","February","March"},0)</f>
        <v>11</v>
      </c>
      <c r="Q2075" s="3">
        <f t="shared" si="64"/>
        <v>5.0602409638554217E-2</v>
      </c>
      <c r="R2075" t="str">
        <f t="shared" si="65"/>
        <v>February</v>
      </c>
    </row>
    <row r="2076" spans="1:18" x14ac:dyDescent="0.35">
      <c r="A2076" t="s">
        <v>448</v>
      </c>
      <c r="B2076" t="s">
        <v>52</v>
      </c>
      <c r="C2076" t="s">
        <v>40</v>
      </c>
      <c r="D2076" t="s">
        <v>53</v>
      </c>
      <c r="E2076">
        <v>9778</v>
      </c>
      <c r="F2076">
        <v>1775</v>
      </c>
      <c r="G2076">
        <v>3806</v>
      </c>
      <c r="H2076">
        <v>15</v>
      </c>
      <c r="I2076">
        <v>349</v>
      </c>
      <c r="J2076">
        <v>856</v>
      </c>
      <c r="K2076" s="1">
        <v>46054</v>
      </c>
      <c r="L2076" t="s">
        <v>446</v>
      </c>
      <c r="M2076" t="s">
        <v>444</v>
      </c>
      <c r="N2076" s="2">
        <f>IFERROR(NHS_A_E[[#This Row],[T1_Over4hrs]]/NHS_A_E[[#This Row],[T1_Attendances]], 0)</f>
        <v>0.38924115361014522</v>
      </c>
      <c r="O2076">
        <f>NHS_A_E[[#This Row],[T1_Attendances]]+NHS_A_E[[#This Row],[Other_Attendances]]</f>
        <v>11553</v>
      </c>
      <c r="P2076">
        <f>MATCH(LEFT(A2076,FIND("-",A2076)-1),{"April","May","June","July","August","September","October","November","December","January","February","March"},0)</f>
        <v>11</v>
      </c>
      <c r="Q2076" s="3">
        <f t="shared" si="64"/>
        <v>8.7543464921251785E-2</v>
      </c>
      <c r="R2076" t="str">
        <f t="shared" si="65"/>
        <v>February</v>
      </c>
    </row>
    <row r="2077" spans="1:18" x14ac:dyDescent="0.35">
      <c r="A2077" t="s">
        <v>448</v>
      </c>
      <c r="B2077" t="s">
        <v>405</v>
      </c>
      <c r="C2077" t="s">
        <v>15</v>
      </c>
      <c r="D2077" t="s">
        <v>406</v>
      </c>
      <c r="E2077">
        <v>8536</v>
      </c>
      <c r="F2077">
        <v>5282</v>
      </c>
      <c r="G2077">
        <v>3136</v>
      </c>
      <c r="H2077">
        <v>851</v>
      </c>
      <c r="I2077">
        <v>227</v>
      </c>
      <c r="J2077">
        <v>817</v>
      </c>
      <c r="K2077" s="1">
        <v>46054</v>
      </c>
      <c r="L2077" t="s">
        <v>446</v>
      </c>
      <c r="M2077" t="s">
        <v>444</v>
      </c>
      <c r="N2077" s="2">
        <f>IFERROR(NHS_A_E[[#This Row],[T1_Over4hrs]]/NHS_A_E[[#This Row],[T1_Attendances]], 0)</f>
        <v>0.36738519212746018</v>
      </c>
      <c r="O2077">
        <f>NHS_A_E[[#This Row],[T1_Attendances]]+NHS_A_E[[#This Row],[Other_Attendances]]</f>
        <v>13818</v>
      </c>
      <c r="P2077">
        <f>MATCH(LEFT(A2077,FIND("-",A2077)-1),{"April","May","June","July","August","September","October","November","December","January","February","March"},0)</f>
        <v>11</v>
      </c>
      <c r="Q2077" s="3">
        <f t="shared" si="64"/>
        <v>9.5712277413308344E-2</v>
      </c>
      <c r="R2077" t="str">
        <f t="shared" si="65"/>
        <v>February</v>
      </c>
    </row>
    <row r="2078" spans="1:18" x14ac:dyDescent="0.35">
      <c r="A2078" t="s">
        <v>448</v>
      </c>
      <c r="B2078" t="s">
        <v>60</v>
      </c>
      <c r="C2078" t="s">
        <v>35</v>
      </c>
      <c r="D2078" t="s">
        <v>61</v>
      </c>
      <c r="E2078">
        <v>18241</v>
      </c>
      <c r="F2078">
        <v>5785</v>
      </c>
      <c r="G2078">
        <v>5070</v>
      </c>
      <c r="H2078">
        <v>234</v>
      </c>
      <c r="I2078">
        <v>913</v>
      </c>
      <c r="J2078">
        <v>43</v>
      </c>
      <c r="K2078" s="1">
        <v>46054</v>
      </c>
      <c r="L2078" t="s">
        <v>446</v>
      </c>
      <c r="M2078" t="s">
        <v>444</v>
      </c>
      <c r="N2078" s="2">
        <f>IFERROR(NHS_A_E[[#This Row],[T1_Over4hrs]]/NHS_A_E[[#This Row],[T1_Attendances]], 0)</f>
        <v>0.27794528808727592</v>
      </c>
      <c r="O2078">
        <f>NHS_A_E[[#This Row],[T1_Attendances]]+NHS_A_E[[#This Row],[Other_Attendances]]</f>
        <v>24026</v>
      </c>
      <c r="P2078">
        <f>MATCH(LEFT(A2078,FIND("-",A2078)-1),{"April","May","June","July","August","September","October","November","December","January","February","March"},0)</f>
        <v>11</v>
      </c>
      <c r="Q2078" s="3">
        <f t="shared" si="64"/>
        <v>2.3573269009374486E-3</v>
      </c>
      <c r="R2078" t="str">
        <f t="shared" si="65"/>
        <v>February</v>
      </c>
    </row>
    <row r="2079" spans="1:18" x14ac:dyDescent="0.35">
      <c r="A2079" t="s">
        <v>448</v>
      </c>
      <c r="B2079" t="s">
        <v>62</v>
      </c>
      <c r="C2079" t="s">
        <v>63</v>
      </c>
      <c r="D2079" t="s">
        <v>64</v>
      </c>
      <c r="E2079">
        <v>16690</v>
      </c>
      <c r="F2079">
        <v>9963</v>
      </c>
      <c r="G2079">
        <v>6740</v>
      </c>
      <c r="H2079">
        <v>254</v>
      </c>
      <c r="I2079">
        <v>1002</v>
      </c>
      <c r="J2079">
        <v>884</v>
      </c>
      <c r="K2079" s="1">
        <v>46054</v>
      </c>
      <c r="L2079" t="s">
        <v>446</v>
      </c>
      <c r="M2079" t="s">
        <v>444</v>
      </c>
      <c r="N2079" s="2">
        <f>IFERROR(NHS_A_E[[#This Row],[T1_Over4hrs]]/NHS_A_E[[#This Row],[T1_Attendances]], 0)</f>
        <v>0.40383463151587778</v>
      </c>
      <c r="O2079">
        <f>NHS_A_E[[#This Row],[T1_Attendances]]+NHS_A_E[[#This Row],[Other_Attendances]]</f>
        <v>26653</v>
      </c>
      <c r="P2079">
        <f>MATCH(LEFT(A2079,FIND("-",A2079)-1),{"April","May","June","July","August","September","October","November","December","January","February","March"},0)</f>
        <v>11</v>
      </c>
      <c r="Q2079" s="3">
        <f t="shared" si="64"/>
        <v>5.2965847813061712E-2</v>
      </c>
      <c r="R2079" t="str">
        <f t="shared" si="65"/>
        <v>February</v>
      </c>
    </row>
    <row r="2080" spans="1:18" x14ac:dyDescent="0.35">
      <c r="A2080" t="s">
        <v>448</v>
      </c>
      <c r="B2080" t="s">
        <v>65</v>
      </c>
      <c r="C2080" t="s">
        <v>30</v>
      </c>
      <c r="D2080" t="s">
        <v>447</v>
      </c>
      <c r="E2080">
        <v>6165</v>
      </c>
      <c r="F2080">
        <v>5182</v>
      </c>
      <c r="G2080">
        <v>3757</v>
      </c>
      <c r="H2080">
        <v>213</v>
      </c>
      <c r="I2080">
        <v>656</v>
      </c>
      <c r="J2080">
        <v>520</v>
      </c>
      <c r="K2080" s="1">
        <v>46054</v>
      </c>
      <c r="L2080" t="s">
        <v>446</v>
      </c>
      <c r="M2080" t="s">
        <v>444</v>
      </c>
      <c r="N2080" s="2">
        <f>IFERROR(NHS_A_E[[#This Row],[T1_Over4hrs]]/NHS_A_E[[#This Row],[T1_Attendances]], 0)</f>
        <v>0.6094079480940795</v>
      </c>
      <c r="O2080">
        <f>NHS_A_E[[#This Row],[T1_Attendances]]+NHS_A_E[[#This Row],[Other_Attendances]]</f>
        <v>11347</v>
      </c>
      <c r="P2080">
        <f>MATCH(LEFT(A2080,FIND("-",A2080)-1),{"April","May","June","July","August","September","October","November","December","January","February","March"},0)</f>
        <v>11</v>
      </c>
      <c r="Q2080" s="3">
        <f t="shared" si="64"/>
        <v>8.4347120843471207E-2</v>
      </c>
      <c r="R2080" t="str">
        <f t="shared" si="65"/>
        <v>February</v>
      </c>
    </row>
    <row r="2081" spans="1:18" x14ac:dyDescent="0.35">
      <c r="A2081" t="s">
        <v>448</v>
      </c>
      <c r="B2081" t="s">
        <v>69</v>
      </c>
      <c r="C2081" t="s">
        <v>20</v>
      </c>
      <c r="D2081" t="s">
        <v>70</v>
      </c>
      <c r="E2081">
        <v>11930</v>
      </c>
      <c r="F2081">
        <v>0</v>
      </c>
      <c r="G2081">
        <v>4489</v>
      </c>
      <c r="H2081">
        <v>0</v>
      </c>
      <c r="I2081">
        <v>219</v>
      </c>
      <c r="J2081">
        <v>510</v>
      </c>
      <c r="K2081" s="1">
        <v>46054</v>
      </c>
      <c r="L2081" t="s">
        <v>446</v>
      </c>
      <c r="M2081" t="s">
        <v>444</v>
      </c>
      <c r="N2081" s="2">
        <f>IFERROR(NHS_A_E[[#This Row],[T1_Over4hrs]]/NHS_A_E[[#This Row],[T1_Attendances]], 0)</f>
        <v>0.37627829002514668</v>
      </c>
      <c r="O2081">
        <f>NHS_A_E[[#This Row],[T1_Attendances]]+NHS_A_E[[#This Row],[Other_Attendances]]</f>
        <v>11930</v>
      </c>
      <c r="P2081">
        <f>MATCH(LEFT(A2081,FIND("-",A2081)-1),{"April","May","June","July","August","September","October","November","December","January","February","March"},0)</f>
        <v>11</v>
      </c>
      <c r="Q2081" s="3">
        <f t="shared" si="64"/>
        <v>4.2749371332774518E-2</v>
      </c>
      <c r="R2081" t="str">
        <f t="shared" si="65"/>
        <v>February</v>
      </c>
    </row>
    <row r="2082" spans="1:18" x14ac:dyDescent="0.35">
      <c r="A2082" t="s">
        <v>448</v>
      </c>
      <c r="B2082" t="s">
        <v>317</v>
      </c>
      <c r="C2082" t="s">
        <v>63</v>
      </c>
      <c r="D2082" t="s">
        <v>318</v>
      </c>
      <c r="E2082">
        <v>7009</v>
      </c>
      <c r="F2082">
        <v>8090</v>
      </c>
      <c r="G2082">
        <v>3486</v>
      </c>
      <c r="H2082">
        <v>319</v>
      </c>
      <c r="I2082">
        <v>372</v>
      </c>
      <c r="J2082">
        <v>35</v>
      </c>
      <c r="K2082" s="1">
        <v>46054</v>
      </c>
      <c r="L2082" t="s">
        <v>446</v>
      </c>
      <c r="M2082" t="s">
        <v>444</v>
      </c>
      <c r="N2082" s="2">
        <f>IFERROR(NHS_A_E[[#This Row],[T1_Over4hrs]]/NHS_A_E[[#This Row],[T1_Attendances]], 0)</f>
        <v>0.49736053645313166</v>
      </c>
      <c r="O2082">
        <f>NHS_A_E[[#This Row],[T1_Attendances]]+NHS_A_E[[#This Row],[Other_Attendances]]</f>
        <v>15099</v>
      </c>
      <c r="P2082">
        <f>MATCH(LEFT(A2082,FIND("-",A2082)-1),{"April","May","June","July","August","September","October","November","December","January","February","March"},0)</f>
        <v>11</v>
      </c>
      <c r="Q2082" s="3">
        <f t="shared" si="64"/>
        <v>4.9935796832643745E-3</v>
      </c>
      <c r="R2082" t="str">
        <f t="shared" si="65"/>
        <v>February</v>
      </c>
    </row>
    <row r="2083" spans="1:18" x14ac:dyDescent="0.35">
      <c r="A2083" t="s">
        <v>448</v>
      </c>
      <c r="B2083" t="s">
        <v>169</v>
      </c>
      <c r="C2083" t="s">
        <v>20</v>
      </c>
      <c r="D2083" t="s">
        <v>170</v>
      </c>
      <c r="E2083">
        <v>8262</v>
      </c>
      <c r="F2083">
        <v>0</v>
      </c>
      <c r="G2083">
        <v>2947</v>
      </c>
      <c r="H2083">
        <v>0</v>
      </c>
      <c r="I2083">
        <v>441</v>
      </c>
      <c r="J2083">
        <v>430</v>
      </c>
      <c r="K2083" s="1">
        <v>46054</v>
      </c>
      <c r="L2083" t="s">
        <v>446</v>
      </c>
      <c r="M2083" t="s">
        <v>444</v>
      </c>
      <c r="N2083" s="2">
        <f>IFERROR(NHS_A_E[[#This Row],[T1_Over4hrs]]/NHS_A_E[[#This Row],[T1_Attendances]], 0)</f>
        <v>0.35669329460179133</v>
      </c>
      <c r="O2083">
        <f>NHS_A_E[[#This Row],[T1_Attendances]]+NHS_A_E[[#This Row],[Other_Attendances]]</f>
        <v>8262</v>
      </c>
      <c r="P2083">
        <f>MATCH(LEFT(A2083,FIND("-",A2083)-1),{"April","May","June","July","August","September","October","November","December","January","February","March"},0)</f>
        <v>11</v>
      </c>
      <c r="Q2083" s="3">
        <f t="shared" si="64"/>
        <v>5.2045509561849432E-2</v>
      </c>
      <c r="R2083" t="str">
        <f t="shared" si="65"/>
        <v>February</v>
      </c>
    </row>
    <row r="2084" spans="1:18" x14ac:dyDescent="0.35">
      <c r="A2084" t="s">
        <v>448</v>
      </c>
      <c r="B2084" t="s">
        <v>171</v>
      </c>
      <c r="C2084" t="s">
        <v>35</v>
      </c>
      <c r="D2084" t="s">
        <v>172</v>
      </c>
      <c r="E2084">
        <v>10245</v>
      </c>
      <c r="F2084">
        <v>1883</v>
      </c>
      <c r="G2084">
        <v>3045</v>
      </c>
      <c r="H2084">
        <v>101</v>
      </c>
      <c r="I2084">
        <v>530</v>
      </c>
      <c r="J2084">
        <v>732</v>
      </c>
      <c r="K2084" s="1">
        <v>46054</v>
      </c>
      <c r="L2084" t="s">
        <v>446</v>
      </c>
      <c r="M2084" t="s">
        <v>444</v>
      </c>
      <c r="N2084" s="2">
        <f>IFERROR(NHS_A_E[[#This Row],[T1_Over4hrs]]/NHS_A_E[[#This Row],[T1_Attendances]], 0)</f>
        <v>0.29721815519765737</v>
      </c>
      <c r="O2084">
        <f>NHS_A_E[[#This Row],[T1_Attendances]]+NHS_A_E[[#This Row],[Other_Attendances]]</f>
        <v>12128</v>
      </c>
      <c r="P2084">
        <f>MATCH(LEFT(A2084,FIND("-",A2084)-1),{"April","May","June","July","August","September","October","November","December","January","February","March"},0)</f>
        <v>11</v>
      </c>
      <c r="Q2084" s="3">
        <f t="shared" si="64"/>
        <v>7.1449487554904836E-2</v>
      </c>
      <c r="R2084" t="str">
        <f t="shared" si="65"/>
        <v>February</v>
      </c>
    </row>
    <row r="2085" spans="1:18" x14ac:dyDescent="0.35">
      <c r="A2085" t="s">
        <v>448</v>
      </c>
      <c r="B2085" t="s">
        <v>123</v>
      </c>
      <c r="C2085" t="s">
        <v>15</v>
      </c>
      <c r="D2085" t="s">
        <v>124</v>
      </c>
      <c r="E2085">
        <v>12507</v>
      </c>
      <c r="F2085">
        <v>10837</v>
      </c>
      <c r="G2085">
        <v>5609</v>
      </c>
      <c r="H2085">
        <v>251</v>
      </c>
      <c r="I2085">
        <v>476</v>
      </c>
      <c r="J2085">
        <v>995</v>
      </c>
      <c r="K2085" s="1">
        <v>46054</v>
      </c>
      <c r="L2085" t="s">
        <v>446</v>
      </c>
      <c r="M2085" t="s">
        <v>444</v>
      </c>
      <c r="N2085" s="2">
        <f>IFERROR(NHS_A_E[[#This Row],[T1_Over4hrs]]/NHS_A_E[[#This Row],[T1_Attendances]], 0)</f>
        <v>0.44846885743983367</v>
      </c>
      <c r="O2085">
        <f>NHS_A_E[[#This Row],[T1_Attendances]]+NHS_A_E[[#This Row],[Other_Attendances]]</f>
        <v>23344</v>
      </c>
      <c r="P2085">
        <f>MATCH(LEFT(A2085,FIND("-",A2085)-1),{"April","May","June","July","August","September","October","November","December","January","February","March"},0)</f>
        <v>11</v>
      </c>
      <c r="Q2085" s="3">
        <f t="shared" si="64"/>
        <v>7.9555448948588792E-2</v>
      </c>
      <c r="R2085" t="str">
        <f t="shared" si="65"/>
        <v>February</v>
      </c>
    </row>
    <row r="2086" spans="1:18" x14ac:dyDescent="0.35">
      <c r="A2086" t="s">
        <v>448</v>
      </c>
      <c r="B2086" t="s">
        <v>177</v>
      </c>
      <c r="C2086" t="s">
        <v>63</v>
      </c>
      <c r="D2086" t="s">
        <v>178</v>
      </c>
      <c r="E2086">
        <v>8887</v>
      </c>
      <c r="F2086">
        <v>3896</v>
      </c>
      <c r="G2086">
        <v>4770</v>
      </c>
      <c r="H2086">
        <v>310</v>
      </c>
      <c r="I2086">
        <v>979</v>
      </c>
      <c r="J2086">
        <v>410</v>
      </c>
      <c r="K2086" s="1">
        <v>46054</v>
      </c>
      <c r="L2086" t="s">
        <v>446</v>
      </c>
      <c r="M2086" t="s">
        <v>444</v>
      </c>
      <c r="N2086" s="2">
        <f>IFERROR(NHS_A_E[[#This Row],[T1_Over4hrs]]/NHS_A_E[[#This Row],[T1_Attendances]], 0)</f>
        <v>0.53673905704962299</v>
      </c>
      <c r="O2086">
        <f>NHS_A_E[[#This Row],[T1_Attendances]]+NHS_A_E[[#This Row],[Other_Attendances]]</f>
        <v>12783</v>
      </c>
      <c r="P2086">
        <f>MATCH(LEFT(A2086,FIND("-",A2086)-1),{"April","May","June","July","August","September","October","November","December","January","February","March"},0)</f>
        <v>11</v>
      </c>
      <c r="Q2086" s="3">
        <f t="shared" si="64"/>
        <v>4.6134803645774727E-2</v>
      </c>
      <c r="R2086" t="str">
        <f t="shared" si="65"/>
        <v>February</v>
      </c>
    </row>
    <row r="2087" spans="1:18" x14ac:dyDescent="0.35">
      <c r="A2087" t="s">
        <v>448</v>
      </c>
      <c r="B2087" t="s">
        <v>183</v>
      </c>
      <c r="C2087" t="s">
        <v>23</v>
      </c>
      <c r="D2087" t="s">
        <v>184</v>
      </c>
      <c r="E2087">
        <v>7839</v>
      </c>
      <c r="F2087">
        <v>6667</v>
      </c>
      <c r="G2087">
        <v>2151</v>
      </c>
      <c r="H2087">
        <v>103</v>
      </c>
      <c r="I2087">
        <v>486</v>
      </c>
      <c r="J2087">
        <v>29</v>
      </c>
      <c r="K2087" s="1">
        <v>46054</v>
      </c>
      <c r="L2087" t="s">
        <v>446</v>
      </c>
      <c r="M2087" t="s">
        <v>444</v>
      </c>
      <c r="N2087" s="2">
        <f>IFERROR(NHS_A_E[[#This Row],[T1_Over4hrs]]/NHS_A_E[[#This Row],[T1_Attendances]], 0)</f>
        <v>0.27439724454649828</v>
      </c>
      <c r="O2087">
        <f>NHS_A_E[[#This Row],[T1_Attendances]]+NHS_A_E[[#This Row],[Other_Attendances]]</f>
        <v>14506</v>
      </c>
      <c r="P2087">
        <f>MATCH(LEFT(A2087,FIND("-",A2087)-1),{"April","May","June","July","August","September","October","November","December","January","February","March"},0)</f>
        <v>11</v>
      </c>
      <c r="Q2087" s="3">
        <f t="shared" si="64"/>
        <v>3.6994514606454904E-3</v>
      </c>
      <c r="R2087" t="str">
        <f t="shared" si="65"/>
        <v>February</v>
      </c>
    </row>
    <row r="2088" spans="1:18" x14ac:dyDescent="0.35">
      <c r="A2088" t="s">
        <v>448</v>
      </c>
      <c r="B2088" t="s">
        <v>265</v>
      </c>
      <c r="C2088" t="s">
        <v>35</v>
      </c>
      <c r="D2088" t="s">
        <v>266</v>
      </c>
      <c r="E2088">
        <v>0</v>
      </c>
      <c r="F2088">
        <v>2599</v>
      </c>
      <c r="G2088">
        <v>0</v>
      </c>
      <c r="H2088">
        <v>11</v>
      </c>
      <c r="I2088">
        <v>0</v>
      </c>
      <c r="J2088">
        <v>0</v>
      </c>
      <c r="K2088" s="1">
        <v>46054</v>
      </c>
      <c r="L2088" t="s">
        <v>446</v>
      </c>
      <c r="M2088" t="s">
        <v>444</v>
      </c>
      <c r="N2088" s="2">
        <f>IFERROR(NHS_A_E[[#This Row],[T1_Over4hrs]]/NHS_A_E[[#This Row],[T1_Attendances]], 0)</f>
        <v>0</v>
      </c>
      <c r="O2088">
        <f>NHS_A_E[[#This Row],[T1_Attendances]]+NHS_A_E[[#This Row],[Other_Attendances]]</f>
        <v>2599</v>
      </c>
      <c r="P2088">
        <f>MATCH(LEFT(A2088,FIND("-",A2088)-1),{"April","May","June","July","August","September","October","November","December","January","February","March"},0)</f>
        <v>11</v>
      </c>
      <c r="Q2088" s="3">
        <f t="shared" si="64"/>
        <v>0</v>
      </c>
      <c r="R2088" t="str">
        <f t="shared" si="65"/>
        <v>February</v>
      </c>
    </row>
    <row r="2089" spans="1:18" x14ac:dyDescent="0.35">
      <c r="A2089" t="s">
        <v>448</v>
      </c>
      <c r="B2089" t="s">
        <v>127</v>
      </c>
      <c r="C2089" t="s">
        <v>15</v>
      </c>
      <c r="D2089" t="s">
        <v>128</v>
      </c>
      <c r="E2089">
        <v>0</v>
      </c>
      <c r="F2089">
        <v>1736</v>
      </c>
      <c r="G2089">
        <v>0</v>
      </c>
      <c r="H2089">
        <v>0</v>
      </c>
      <c r="I2089">
        <v>0</v>
      </c>
      <c r="J2089">
        <v>0</v>
      </c>
      <c r="K2089" s="1">
        <v>46054</v>
      </c>
      <c r="L2089" t="s">
        <v>446</v>
      </c>
      <c r="M2089" t="s">
        <v>444</v>
      </c>
      <c r="N2089" s="2">
        <f>IFERROR(NHS_A_E[[#This Row],[T1_Over4hrs]]/NHS_A_E[[#This Row],[T1_Attendances]], 0)</f>
        <v>0</v>
      </c>
      <c r="O2089">
        <f>NHS_A_E[[#This Row],[T1_Attendances]]+NHS_A_E[[#This Row],[Other_Attendances]]</f>
        <v>1736</v>
      </c>
      <c r="P2089">
        <f>MATCH(LEFT(A2089,FIND("-",A2089)-1),{"April","May","June","July","August","September","October","November","December","January","February","March"},0)</f>
        <v>11</v>
      </c>
      <c r="Q2089" s="3">
        <f t="shared" si="64"/>
        <v>0</v>
      </c>
      <c r="R2089" t="str">
        <f t="shared" si="65"/>
        <v>February</v>
      </c>
    </row>
    <row r="2090" spans="1:18" x14ac:dyDescent="0.35">
      <c r="A2090" t="s">
        <v>448</v>
      </c>
      <c r="B2090" t="s">
        <v>263</v>
      </c>
      <c r="C2090" t="s">
        <v>35</v>
      </c>
      <c r="D2090" t="s">
        <v>264</v>
      </c>
      <c r="E2090">
        <v>0</v>
      </c>
      <c r="F2090">
        <v>2696</v>
      </c>
      <c r="G2090">
        <v>0</v>
      </c>
      <c r="H2090">
        <v>18</v>
      </c>
      <c r="I2090">
        <v>0</v>
      </c>
      <c r="J2090">
        <v>0</v>
      </c>
      <c r="K2090" s="1">
        <v>46054</v>
      </c>
      <c r="L2090" t="s">
        <v>446</v>
      </c>
      <c r="M2090" t="s">
        <v>444</v>
      </c>
      <c r="N2090" s="2">
        <f>IFERROR(NHS_A_E[[#This Row],[T1_Over4hrs]]/NHS_A_E[[#This Row],[T1_Attendances]], 0)</f>
        <v>0</v>
      </c>
      <c r="O2090">
        <f>NHS_A_E[[#This Row],[T1_Attendances]]+NHS_A_E[[#This Row],[Other_Attendances]]</f>
        <v>2696</v>
      </c>
      <c r="P2090">
        <f>MATCH(LEFT(A2090,FIND("-",A2090)-1),{"April","May","June","July","August","September","October","November","December","January","February","March"},0)</f>
        <v>11</v>
      </c>
      <c r="Q2090" s="3">
        <f t="shared" si="64"/>
        <v>0</v>
      </c>
      <c r="R2090" t="str">
        <f t="shared" si="65"/>
        <v>February</v>
      </c>
    </row>
    <row r="2091" spans="1:18" x14ac:dyDescent="0.35">
      <c r="A2091" t="s">
        <v>448</v>
      </c>
      <c r="B2091" t="s">
        <v>417</v>
      </c>
      <c r="C2091" t="s">
        <v>63</v>
      </c>
      <c r="D2091" t="s">
        <v>418</v>
      </c>
      <c r="E2091">
        <v>8014</v>
      </c>
      <c r="F2091">
        <v>1548</v>
      </c>
      <c r="G2091">
        <v>3569</v>
      </c>
      <c r="H2091">
        <v>59</v>
      </c>
      <c r="I2091">
        <v>667</v>
      </c>
      <c r="J2091">
        <v>378</v>
      </c>
      <c r="K2091" s="1">
        <v>46054</v>
      </c>
      <c r="L2091" t="s">
        <v>446</v>
      </c>
      <c r="M2091" t="s">
        <v>444</v>
      </c>
      <c r="N2091" s="2">
        <f>IFERROR(NHS_A_E[[#This Row],[T1_Over4hrs]]/NHS_A_E[[#This Row],[T1_Attendances]], 0)</f>
        <v>0.44534564512103819</v>
      </c>
      <c r="O2091">
        <f>NHS_A_E[[#This Row],[T1_Attendances]]+NHS_A_E[[#This Row],[Other_Attendances]]</f>
        <v>9562</v>
      </c>
      <c r="P2091">
        <f>MATCH(LEFT(A2091,FIND("-",A2091)-1),{"April","May","June","July","August","September","October","November","December","January","February","March"},0)</f>
        <v>11</v>
      </c>
      <c r="Q2091" s="3">
        <f t="shared" si="64"/>
        <v>4.716745695033691E-2</v>
      </c>
      <c r="R2091" t="str">
        <f t="shared" si="65"/>
        <v>February</v>
      </c>
    </row>
    <row r="2092" spans="1:18" x14ac:dyDescent="0.35">
      <c r="A2092" t="s">
        <v>448</v>
      </c>
      <c r="B2092" t="s">
        <v>261</v>
      </c>
      <c r="C2092" t="s">
        <v>15</v>
      </c>
      <c r="D2092" t="s">
        <v>262</v>
      </c>
      <c r="E2092">
        <v>0</v>
      </c>
      <c r="F2092">
        <v>4381</v>
      </c>
      <c r="G2092">
        <v>0</v>
      </c>
      <c r="H2092">
        <v>0</v>
      </c>
      <c r="I2092">
        <v>0</v>
      </c>
      <c r="J2092">
        <v>0</v>
      </c>
      <c r="K2092" s="1">
        <v>46054</v>
      </c>
      <c r="L2092" t="s">
        <v>446</v>
      </c>
      <c r="M2092" t="s">
        <v>444</v>
      </c>
      <c r="N2092" s="2">
        <f>IFERROR(NHS_A_E[[#This Row],[T1_Over4hrs]]/NHS_A_E[[#This Row],[T1_Attendances]], 0)</f>
        <v>0</v>
      </c>
      <c r="O2092">
        <f>NHS_A_E[[#This Row],[T1_Attendances]]+NHS_A_E[[#This Row],[Other_Attendances]]</f>
        <v>4381</v>
      </c>
      <c r="P2092">
        <f>MATCH(LEFT(A2092,FIND("-",A2092)-1),{"April","May","June","July","August","September","October","November","December","January","February","March"},0)</f>
        <v>11</v>
      </c>
      <c r="Q2092" s="3">
        <f t="shared" si="64"/>
        <v>0</v>
      </c>
      <c r="R2092" t="str">
        <f t="shared" si="65"/>
        <v>February</v>
      </c>
    </row>
    <row r="2093" spans="1:18" x14ac:dyDescent="0.35">
      <c r="A2093" t="s">
        <v>448</v>
      </c>
      <c r="B2093" t="s">
        <v>75</v>
      </c>
      <c r="C2093" t="s">
        <v>63</v>
      </c>
      <c r="D2093" t="s">
        <v>76</v>
      </c>
      <c r="E2093">
        <v>0</v>
      </c>
      <c r="F2093">
        <v>3846</v>
      </c>
      <c r="G2093">
        <v>0</v>
      </c>
      <c r="H2093">
        <v>525</v>
      </c>
      <c r="I2093">
        <v>0</v>
      </c>
      <c r="J2093">
        <v>0</v>
      </c>
      <c r="K2093" s="1">
        <v>46054</v>
      </c>
      <c r="L2093" t="s">
        <v>446</v>
      </c>
      <c r="M2093" t="s">
        <v>444</v>
      </c>
      <c r="N2093" s="2">
        <f>IFERROR(NHS_A_E[[#This Row],[T1_Over4hrs]]/NHS_A_E[[#This Row],[T1_Attendances]], 0)</f>
        <v>0</v>
      </c>
      <c r="O2093">
        <f>NHS_A_E[[#This Row],[T1_Attendances]]+NHS_A_E[[#This Row],[Other_Attendances]]</f>
        <v>3846</v>
      </c>
      <c r="P2093">
        <f>MATCH(LEFT(A2093,FIND("-",A2093)-1),{"April","May","June","July","August","September","October","November","December","January","February","March"},0)</f>
        <v>11</v>
      </c>
      <c r="Q2093" s="3">
        <f t="shared" si="64"/>
        <v>0</v>
      </c>
      <c r="R2093" t="str">
        <f t="shared" si="65"/>
        <v>February</v>
      </c>
    </row>
    <row r="2094" spans="1:18" x14ac:dyDescent="0.35">
      <c r="A2094" t="s">
        <v>448</v>
      </c>
      <c r="B2094" t="s">
        <v>77</v>
      </c>
      <c r="C2094" t="s">
        <v>63</v>
      </c>
      <c r="D2094" t="s">
        <v>78</v>
      </c>
      <c r="E2094">
        <v>0</v>
      </c>
      <c r="F2094">
        <v>1526</v>
      </c>
      <c r="G2094">
        <v>0</v>
      </c>
      <c r="H2094">
        <v>62</v>
      </c>
      <c r="I2094">
        <v>0</v>
      </c>
      <c r="J2094">
        <v>0</v>
      </c>
      <c r="K2094" s="1">
        <v>46054</v>
      </c>
      <c r="L2094" t="s">
        <v>446</v>
      </c>
      <c r="M2094" t="s">
        <v>444</v>
      </c>
      <c r="N2094" s="2">
        <f>IFERROR(NHS_A_E[[#This Row],[T1_Over4hrs]]/NHS_A_E[[#This Row],[T1_Attendances]], 0)</f>
        <v>0</v>
      </c>
      <c r="O2094">
        <f>NHS_A_E[[#This Row],[T1_Attendances]]+NHS_A_E[[#This Row],[Other_Attendances]]</f>
        <v>1526</v>
      </c>
      <c r="P2094">
        <f>MATCH(LEFT(A2094,FIND("-",A2094)-1),{"April","May","June","July","August","September","October","November","December","January","February","March"},0)</f>
        <v>11</v>
      </c>
      <c r="Q2094" s="3">
        <f t="shared" si="64"/>
        <v>0</v>
      </c>
      <c r="R2094" t="str">
        <f t="shared" si="65"/>
        <v>February</v>
      </c>
    </row>
    <row r="2095" spans="1:18" x14ac:dyDescent="0.35">
      <c r="A2095" t="s">
        <v>448</v>
      </c>
      <c r="B2095" t="s">
        <v>79</v>
      </c>
      <c r="C2095" t="s">
        <v>63</v>
      </c>
      <c r="D2095" t="s">
        <v>80</v>
      </c>
      <c r="E2095">
        <v>0</v>
      </c>
      <c r="F2095">
        <v>3038</v>
      </c>
      <c r="G2095">
        <v>0</v>
      </c>
      <c r="H2095">
        <v>212</v>
      </c>
      <c r="I2095">
        <v>0</v>
      </c>
      <c r="J2095">
        <v>0</v>
      </c>
      <c r="K2095" s="1">
        <v>46054</v>
      </c>
      <c r="L2095" t="s">
        <v>446</v>
      </c>
      <c r="M2095" t="s">
        <v>444</v>
      </c>
      <c r="N2095" s="2">
        <f>IFERROR(NHS_A_E[[#This Row],[T1_Over4hrs]]/NHS_A_E[[#This Row],[T1_Attendances]], 0)</f>
        <v>0</v>
      </c>
      <c r="O2095">
        <f>NHS_A_E[[#This Row],[T1_Attendances]]+NHS_A_E[[#This Row],[Other_Attendances]]</f>
        <v>3038</v>
      </c>
      <c r="P2095">
        <f>MATCH(LEFT(A2095,FIND("-",A2095)-1),{"April","May","June","July","August","September","October","November","December","January","February","March"},0)</f>
        <v>11</v>
      </c>
      <c r="Q2095" s="3">
        <f t="shared" si="64"/>
        <v>0</v>
      </c>
      <c r="R2095" t="str">
        <f t="shared" si="65"/>
        <v>February</v>
      </c>
    </row>
    <row r="2096" spans="1:18" x14ac:dyDescent="0.35">
      <c r="A2096" t="s">
        <v>448</v>
      </c>
      <c r="B2096" t="s">
        <v>81</v>
      </c>
      <c r="C2096" t="s">
        <v>63</v>
      </c>
      <c r="D2096" t="s">
        <v>82</v>
      </c>
      <c r="E2096">
        <v>0</v>
      </c>
      <c r="F2096">
        <v>1790</v>
      </c>
      <c r="G2096">
        <v>0</v>
      </c>
      <c r="H2096">
        <v>5</v>
      </c>
      <c r="I2096">
        <v>0</v>
      </c>
      <c r="J2096">
        <v>0</v>
      </c>
      <c r="K2096" s="1">
        <v>46054</v>
      </c>
      <c r="L2096" t="s">
        <v>446</v>
      </c>
      <c r="M2096" t="s">
        <v>444</v>
      </c>
      <c r="N2096" s="2">
        <f>IFERROR(NHS_A_E[[#This Row],[T1_Over4hrs]]/NHS_A_E[[#This Row],[T1_Attendances]], 0)</f>
        <v>0</v>
      </c>
      <c r="O2096">
        <f>NHS_A_E[[#This Row],[T1_Attendances]]+NHS_A_E[[#This Row],[Other_Attendances]]</f>
        <v>1790</v>
      </c>
      <c r="P2096">
        <f>MATCH(LEFT(A2096,FIND("-",A2096)-1),{"April","May","June","July","August","September","October","November","December","January","February","March"},0)</f>
        <v>11</v>
      </c>
      <c r="Q2096" s="3">
        <f t="shared" si="64"/>
        <v>0</v>
      </c>
      <c r="R2096" t="str">
        <f t="shared" si="65"/>
        <v>February</v>
      </c>
    </row>
    <row r="2097" spans="1:18" x14ac:dyDescent="0.35">
      <c r="A2097" t="s">
        <v>448</v>
      </c>
      <c r="B2097" t="s">
        <v>331</v>
      </c>
      <c r="C2097" t="s">
        <v>15</v>
      </c>
      <c r="D2097" t="s">
        <v>332</v>
      </c>
      <c r="E2097">
        <v>0</v>
      </c>
      <c r="F2097">
        <v>4608</v>
      </c>
      <c r="G2097">
        <v>0</v>
      </c>
      <c r="H2097">
        <v>140</v>
      </c>
      <c r="I2097">
        <v>0</v>
      </c>
      <c r="J2097">
        <v>0</v>
      </c>
      <c r="K2097" s="1">
        <v>46054</v>
      </c>
      <c r="L2097" t="s">
        <v>446</v>
      </c>
      <c r="M2097" t="s">
        <v>444</v>
      </c>
      <c r="N2097" s="2">
        <f>IFERROR(NHS_A_E[[#This Row],[T1_Over4hrs]]/NHS_A_E[[#This Row],[T1_Attendances]], 0)</f>
        <v>0</v>
      </c>
      <c r="O2097">
        <f>NHS_A_E[[#This Row],[T1_Attendances]]+NHS_A_E[[#This Row],[Other_Attendances]]</f>
        <v>4608</v>
      </c>
      <c r="P2097">
        <f>MATCH(LEFT(A2097,FIND("-",A2097)-1),{"April","May","June","July","August","September","October","November","December","January","February","March"},0)</f>
        <v>11</v>
      </c>
      <c r="Q2097" s="3">
        <f t="shared" si="64"/>
        <v>0</v>
      </c>
      <c r="R2097" t="str">
        <f t="shared" si="65"/>
        <v>February</v>
      </c>
    </row>
    <row r="2098" spans="1:18" x14ac:dyDescent="0.35">
      <c r="A2098" t="s">
        <v>448</v>
      </c>
      <c r="B2098" t="s">
        <v>97</v>
      </c>
      <c r="C2098" t="s">
        <v>15</v>
      </c>
      <c r="D2098" t="s">
        <v>98</v>
      </c>
      <c r="E2098">
        <v>20751</v>
      </c>
      <c r="F2098">
        <v>10394</v>
      </c>
      <c r="G2098">
        <v>8634</v>
      </c>
      <c r="H2098">
        <v>261</v>
      </c>
      <c r="I2098">
        <v>1233</v>
      </c>
      <c r="J2098">
        <v>713</v>
      </c>
      <c r="K2098" s="1">
        <v>46054</v>
      </c>
      <c r="L2098" t="s">
        <v>446</v>
      </c>
      <c r="M2098" t="s">
        <v>444</v>
      </c>
      <c r="N2098" s="2">
        <f>IFERROR(NHS_A_E[[#This Row],[T1_Over4hrs]]/NHS_A_E[[#This Row],[T1_Attendances]], 0)</f>
        <v>0.41607633367066649</v>
      </c>
      <c r="O2098">
        <f>NHS_A_E[[#This Row],[T1_Attendances]]+NHS_A_E[[#This Row],[Other_Attendances]]</f>
        <v>31145</v>
      </c>
      <c r="P2098">
        <f>MATCH(LEFT(A2098,FIND("-",A2098)-1),{"April","May","June","July","August","September","October","November","December","January","February","March"},0)</f>
        <v>11</v>
      </c>
      <c r="Q2098" s="3">
        <f t="shared" si="64"/>
        <v>3.4359789889643874E-2</v>
      </c>
      <c r="R2098" t="str">
        <f t="shared" si="65"/>
        <v>February</v>
      </c>
    </row>
    <row r="2099" spans="1:18" x14ac:dyDescent="0.35">
      <c r="A2099" t="s">
        <v>448</v>
      </c>
      <c r="B2099" t="s">
        <v>99</v>
      </c>
      <c r="C2099" t="s">
        <v>30</v>
      </c>
      <c r="D2099" t="s">
        <v>100</v>
      </c>
      <c r="E2099">
        <v>0</v>
      </c>
      <c r="F2099">
        <v>0</v>
      </c>
      <c r="G2099">
        <v>0</v>
      </c>
      <c r="H2099">
        <v>0</v>
      </c>
      <c r="I2099">
        <v>0</v>
      </c>
      <c r="J2099">
        <v>0</v>
      </c>
      <c r="K2099" s="1">
        <v>46054</v>
      </c>
      <c r="L2099" t="s">
        <v>446</v>
      </c>
      <c r="M2099" t="s">
        <v>444</v>
      </c>
      <c r="N2099" s="2">
        <f>IFERROR(NHS_A_E[[#This Row],[T1_Over4hrs]]/NHS_A_E[[#This Row],[T1_Attendances]], 0)</f>
        <v>0</v>
      </c>
      <c r="O2099">
        <f>NHS_A_E[[#This Row],[T1_Attendances]]+NHS_A_E[[#This Row],[Other_Attendances]]</f>
        <v>0</v>
      </c>
      <c r="P2099">
        <f>MATCH(LEFT(A2099,FIND("-",A2099)-1),{"April","May","June","July","August","September","October","November","December","January","February","March"},0)</f>
        <v>11</v>
      </c>
      <c r="Q2099" s="3">
        <f t="shared" si="64"/>
        <v>0</v>
      </c>
      <c r="R2099" t="str">
        <f t="shared" si="65"/>
        <v>February</v>
      </c>
    </row>
    <row r="2100" spans="1:18" x14ac:dyDescent="0.35">
      <c r="A2100" t="s">
        <v>448</v>
      </c>
      <c r="B2100" t="s">
        <v>319</v>
      </c>
      <c r="C2100" t="s">
        <v>63</v>
      </c>
      <c r="D2100" t="s">
        <v>320</v>
      </c>
      <c r="E2100">
        <v>0</v>
      </c>
      <c r="F2100">
        <v>920</v>
      </c>
      <c r="G2100">
        <v>0</v>
      </c>
      <c r="H2100">
        <v>1</v>
      </c>
      <c r="I2100">
        <v>0</v>
      </c>
      <c r="J2100">
        <v>0</v>
      </c>
      <c r="K2100" s="1">
        <v>46054</v>
      </c>
      <c r="L2100" t="s">
        <v>446</v>
      </c>
      <c r="M2100" t="s">
        <v>444</v>
      </c>
      <c r="N2100" s="2">
        <f>IFERROR(NHS_A_E[[#This Row],[T1_Over4hrs]]/NHS_A_E[[#This Row],[T1_Attendances]], 0)</f>
        <v>0</v>
      </c>
      <c r="O2100">
        <f>NHS_A_E[[#This Row],[T1_Attendances]]+NHS_A_E[[#This Row],[Other_Attendances]]</f>
        <v>920</v>
      </c>
      <c r="P2100">
        <f>MATCH(LEFT(A2100,FIND("-",A2100)-1),{"April","May","June","July","August","September","October","November","December","January","February","March"},0)</f>
        <v>11</v>
      </c>
      <c r="Q2100" s="3">
        <f t="shared" si="64"/>
        <v>0</v>
      </c>
      <c r="R2100" t="str">
        <f t="shared" si="65"/>
        <v>February</v>
      </c>
    </row>
    <row r="2101" spans="1:18" x14ac:dyDescent="0.35">
      <c r="A2101" t="s">
        <v>448</v>
      </c>
      <c r="B2101" t="s">
        <v>303</v>
      </c>
      <c r="C2101" t="s">
        <v>23</v>
      </c>
      <c r="D2101" t="s">
        <v>304</v>
      </c>
      <c r="E2101">
        <v>0</v>
      </c>
      <c r="F2101">
        <v>2711</v>
      </c>
      <c r="G2101">
        <v>0</v>
      </c>
      <c r="H2101">
        <v>0</v>
      </c>
      <c r="I2101">
        <v>0</v>
      </c>
      <c r="J2101">
        <v>0</v>
      </c>
      <c r="K2101" s="1">
        <v>46054</v>
      </c>
      <c r="L2101" t="s">
        <v>446</v>
      </c>
      <c r="M2101" t="s">
        <v>444</v>
      </c>
      <c r="N2101" s="2">
        <f>IFERROR(NHS_A_E[[#This Row],[T1_Over4hrs]]/NHS_A_E[[#This Row],[T1_Attendances]], 0)</f>
        <v>0</v>
      </c>
      <c r="O2101">
        <f>NHS_A_E[[#This Row],[T1_Attendances]]+NHS_A_E[[#This Row],[Other_Attendances]]</f>
        <v>2711</v>
      </c>
      <c r="P2101">
        <f>MATCH(LEFT(A2101,FIND("-",A2101)-1),{"April","May","June","July","August","September","October","November","December","January","February","March"},0)</f>
        <v>11</v>
      </c>
      <c r="Q2101" s="3">
        <f t="shared" si="64"/>
        <v>0</v>
      </c>
      <c r="R2101" t="str">
        <f t="shared" si="65"/>
        <v>February</v>
      </c>
    </row>
    <row r="2102" spans="1:18" x14ac:dyDescent="0.35">
      <c r="A2102" t="s">
        <v>448</v>
      </c>
      <c r="B2102" t="s">
        <v>343</v>
      </c>
      <c r="C2102" t="s">
        <v>30</v>
      </c>
      <c r="D2102" t="s">
        <v>344</v>
      </c>
      <c r="E2102">
        <v>5576</v>
      </c>
      <c r="F2102">
        <v>0</v>
      </c>
      <c r="G2102">
        <v>1114</v>
      </c>
      <c r="H2102">
        <v>0</v>
      </c>
      <c r="I2102">
        <v>0</v>
      </c>
      <c r="J2102">
        <v>0</v>
      </c>
      <c r="K2102" s="1">
        <v>46054</v>
      </c>
      <c r="L2102" t="s">
        <v>446</v>
      </c>
      <c r="M2102" t="s">
        <v>444</v>
      </c>
      <c r="N2102" s="2">
        <f>IFERROR(NHS_A_E[[#This Row],[T1_Over4hrs]]/NHS_A_E[[#This Row],[T1_Attendances]], 0)</f>
        <v>0.19978479196556673</v>
      </c>
      <c r="O2102">
        <f>NHS_A_E[[#This Row],[T1_Attendances]]+NHS_A_E[[#This Row],[Other_Attendances]]</f>
        <v>5576</v>
      </c>
      <c r="P2102">
        <f>MATCH(LEFT(A2102,FIND("-",A2102)-1),{"April","May","June","July","August","September","October","November","December","January","February","March"},0)</f>
        <v>11</v>
      </c>
      <c r="Q2102" s="3">
        <f t="shared" si="64"/>
        <v>0</v>
      </c>
      <c r="R2102" t="str">
        <f t="shared" si="65"/>
        <v>February</v>
      </c>
    </row>
    <row r="2103" spans="1:18" x14ac:dyDescent="0.35">
      <c r="A2103" t="s">
        <v>448</v>
      </c>
      <c r="B2103" t="s">
        <v>54</v>
      </c>
      <c r="C2103" t="s">
        <v>15</v>
      </c>
      <c r="D2103" t="s">
        <v>55</v>
      </c>
      <c r="E2103">
        <v>0</v>
      </c>
      <c r="F2103">
        <v>3490</v>
      </c>
      <c r="G2103">
        <v>0</v>
      </c>
      <c r="H2103">
        <v>72</v>
      </c>
      <c r="I2103">
        <v>0</v>
      </c>
      <c r="J2103">
        <v>0</v>
      </c>
      <c r="K2103" s="1">
        <v>46054</v>
      </c>
      <c r="L2103" t="s">
        <v>446</v>
      </c>
      <c r="M2103" t="s">
        <v>444</v>
      </c>
      <c r="N2103" s="2">
        <f>IFERROR(NHS_A_E[[#This Row],[T1_Over4hrs]]/NHS_A_E[[#This Row],[T1_Attendances]], 0)</f>
        <v>0</v>
      </c>
      <c r="O2103">
        <f>NHS_A_E[[#This Row],[T1_Attendances]]+NHS_A_E[[#This Row],[Other_Attendances]]</f>
        <v>3490</v>
      </c>
      <c r="P2103">
        <f>MATCH(LEFT(A2103,FIND("-",A2103)-1),{"April","May","June","July","August","September","October","November","December","January","February","March"},0)</f>
        <v>11</v>
      </c>
      <c r="Q2103" s="3">
        <f t="shared" si="64"/>
        <v>0</v>
      </c>
      <c r="R2103" t="str">
        <f t="shared" si="65"/>
        <v>February</v>
      </c>
    </row>
    <row r="2104" spans="1:18" x14ac:dyDescent="0.35">
      <c r="A2104" t="s">
        <v>448</v>
      </c>
      <c r="B2104" t="s">
        <v>235</v>
      </c>
      <c r="C2104" t="s">
        <v>35</v>
      </c>
      <c r="D2104" t="s">
        <v>236</v>
      </c>
      <c r="E2104">
        <v>10173</v>
      </c>
      <c r="F2104">
        <v>0</v>
      </c>
      <c r="G2104">
        <v>1682</v>
      </c>
      <c r="H2104">
        <v>0</v>
      </c>
      <c r="I2104">
        <v>174</v>
      </c>
      <c r="J2104">
        <v>19</v>
      </c>
      <c r="K2104" s="1">
        <v>46054</v>
      </c>
      <c r="L2104" t="s">
        <v>446</v>
      </c>
      <c r="M2104" t="s">
        <v>444</v>
      </c>
      <c r="N2104" s="2">
        <f>IFERROR(NHS_A_E[[#This Row],[T1_Over4hrs]]/NHS_A_E[[#This Row],[T1_Attendances]], 0)</f>
        <v>0.16533962449621548</v>
      </c>
      <c r="O2104">
        <f>NHS_A_E[[#This Row],[T1_Attendances]]+NHS_A_E[[#This Row],[Other_Attendances]]</f>
        <v>10173</v>
      </c>
      <c r="P2104">
        <f>MATCH(LEFT(A2104,FIND("-",A2104)-1),{"April","May","June","July","August","September","October","November","December","January","February","March"},0)</f>
        <v>11</v>
      </c>
      <c r="Q2104" s="3">
        <f t="shared" si="64"/>
        <v>1.8676889806350143E-3</v>
      </c>
      <c r="R2104" t="str">
        <f t="shared" si="65"/>
        <v>February</v>
      </c>
    </row>
    <row r="2105" spans="1:18" x14ac:dyDescent="0.35">
      <c r="A2105" t="s">
        <v>448</v>
      </c>
      <c r="B2105" t="s">
        <v>181</v>
      </c>
      <c r="C2105" t="s">
        <v>40</v>
      </c>
      <c r="D2105" t="s">
        <v>182</v>
      </c>
      <c r="E2105">
        <v>20546</v>
      </c>
      <c r="F2105">
        <v>0</v>
      </c>
      <c r="G2105">
        <v>8190</v>
      </c>
      <c r="H2105">
        <v>0</v>
      </c>
      <c r="I2105">
        <v>1192</v>
      </c>
      <c r="J2105">
        <v>727</v>
      </c>
      <c r="K2105" s="1">
        <v>46054</v>
      </c>
      <c r="L2105" t="s">
        <v>446</v>
      </c>
      <c r="M2105" t="s">
        <v>444</v>
      </c>
      <c r="N2105" s="2">
        <f>IFERROR(NHS_A_E[[#This Row],[T1_Over4hrs]]/NHS_A_E[[#This Row],[T1_Attendances]], 0)</f>
        <v>0.39861773581232357</v>
      </c>
      <c r="O2105">
        <f>NHS_A_E[[#This Row],[T1_Attendances]]+NHS_A_E[[#This Row],[Other_Attendances]]</f>
        <v>20546</v>
      </c>
      <c r="P2105">
        <f>MATCH(LEFT(A2105,FIND("-",A2105)-1),{"April","May","June","July","August","September","October","November","December","January","February","March"},0)</f>
        <v>11</v>
      </c>
      <c r="Q2105" s="3">
        <f t="shared" si="64"/>
        <v>3.5384016353548133E-2</v>
      </c>
      <c r="R2105" t="str">
        <f t="shared" si="65"/>
        <v>February</v>
      </c>
    </row>
    <row r="2106" spans="1:18" x14ac:dyDescent="0.35">
      <c r="A2106" t="s">
        <v>448</v>
      </c>
      <c r="B2106" t="s">
        <v>241</v>
      </c>
      <c r="C2106" t="s">
        <v>40</v>
      </c>
      <c r="D2106" t="s">
        <v>242</v>
      </c>
      <c r="E2106">
        <v>0</v>
      </c>
      <c r="F2106">
        <v>0</v>
      </c>
      <c r="G2106">
        <v>0</v>
      </c>
      <c r="H2106">
        <v>0</v>
      </c>
      <c r="I2106">
        <v>0</v>
      </c>
      <c r="J2106">
        <v>0</v>
      </c>
      <c r="K2106" s="1">
        <v>46054</v>
      </c>
      <c r="L2106" t="s">
        <v>446</v>
      </c>
      <c r="M2106" t="s">
        <v>444</v>
      </c>
      <c r="N2106" s="2">
        <f>IFERROR(NHS_A_E[[#This Row],[T1_Over4hrs]]/NHS_A_E[[#This Row],[T1_Attendances]], 0)</f>
        <v>0</v>
      </c>
      <c r="O2106">
        <f>NHS_A_E[[#This Row],[T1_Attendances]]+NHS_A_E[[#This Row],[Other_Attendances]]</f>
        <v>0</v>
      </c>
      <c r="P2106">
        <f>MATCH(LEFT(A2106,FIND("-",A2106)-1),{"April","May","June","July","August","September","October","November","December","January","February","March"},0)</f>
        <v>11</v>
      </c>
      <c r="Q2106" s="3">
        <f t="shared" si="64"/>
        <v>0</v>
      </c>
      <c r="R2106" t="str">
        <f t="shared" si="65"/>
        <v>February</v>
      </c>
    </row>
    <row r="2107" spans="1:18" x14ac:dyDescent="0.35">
      <c r="A2107" t="s">
        <v>448</v>
      </c>
      <c r="B2107" t="s">
        <v>440</v>
      </c>
      <c r="C2107" t="s">
        <v>15</v>
      </c>
      <c r="D2107" t="s">
        <v>441</v>
      </c>
      <c r="E2107">
        <v>0</v>
      </c>
      <c r="F2107">
        <v>767</v>
      </c>
      <c r="G2107">
        <v>0</v>
      </c>
      <c r="H2107">
        <v>0</v>
      </c>
      <c r="I2107">
        <v>0</v>
      </c>
      <c r="J2107">
        <v>0</v>
      </c>
      <c r="K2107" s="1">
        <v>46054</v>
      </c>
      <c r="L2107" t="s">
        <v>446</v>
      </c>
      <c r="M2107" t="s">
        <v>444</v>
      </c>
      <c r="N2107" s="2">
        <f>IFERROR(NHS_A_E[[#This Row],[T1_Over4hrs]]/NHS_A_E[[#This Row],[T1_Attendances]], 0)</f>
        <v>0</v>
      </c>
      <c r="O2107">
        <f>NHS_A_E[[#This Row],[T1_Attendances]]+NHS_A_E[[#This Row],[Other_Attendances]]</f>
        <v>767</v>
      </c>
      <c r="P2107">
        <f>MATCH(LEFT(A2107,FIND("-",A2107)-1),{"April","May","June","July","August","September","October","November","December","January","February","March"},0)</f>
        <v>11</v>
      </c>
      <c r="Q2107" s="3">
        <f t="shared" si="64"/>
        <v>0</v>
      </c>
      <c r="R2107" t="str">
        <f t="shared" si="65"/>
        <v>February</v>
      </c>
    </row>
    <row r="2108" spans="1:18" x14ac:dyDescent="0.35">
      <c r="A2108" t="s">
        <v>448</v>
      </c>
      <c r="B2108" t="s">
        <v>389</v>
      </c>
      <c r="C2108" t="s">
        <v>20</v>
      </c>
      <c r="D2108" t="s">
        <v>390</v>
      </c>
      <c r="E2108">
        <v>3844</v>
      </c>
      <c r="F2108">
        <v>0</v>
      </c>
      <c r="G2108">
        <v>1646</v>
      </c>
      <c r="H2108">
        <v>0</v>
      </c>
      <c r="I2108">
        <v>183</v>
      </c>
      <c r="J2108">
        <v>91</v>
      </c>
      <c r="K2108" s="1">
        <v>46054</v>
      </c>
      <c r="L2108" t="s">
        <v>446</v>
      </c>
      <c r="M2108" t="s">
        <v>444</v>
      </c>
      <c r="N2108" s="2">
        <f>IFERROR(NHS_A_E[[#This Row],[T1_Over4hrs]]/NHS_A_E[[#This Row],[T1_Attendances]], 0)</f>
        <v>0.42819979188345475</v>
      </c>
      <c r="O2108">
        <f>NHS_A_E[[#This Row],[T1_Attendances]]+NHS_A_E[[#This Row],[Other_Attendances]]</f>
        <v>3844</v>
      </c>
      <c r="P2108">
        <f>MATCH(LEFT(A2108,FIND("-",A2108)-1),{"April","May","June","July","August","September","October","November","December","January","February","March"},0)</f>
        <v>11</v>
      </c>
      <c r="Q2108" s="3">
        <f t="shared" si="64"/>
        <v>2.3673257023933404E-2</v>
      </c>
      <c r="R2108" t="str">
        <f t="shared" si="65"/>
        <v>February</v>
      </c>
    </row>
    <row r="2109" spans="1:18" x14ac:dyDescent="0.35">
      <c r="A2109" t="s">
        <v>448</v>
      </c>
      <c r="B2109" t="s">
        <v>269</v>
      </c>
      <c r="C2109" t="s">
        <v>40</v>
      </c>
      <c r="D2109" t="s">
        <v>270</v>
      </c>
      <c r="E2109">
        <v>5398</v>
      </c>
      <c r="F2109">
        <v>115</v>
      </c>
      <c r="G2109">
        <v>2364</v>
      </c>
      <c r="H2109">
        <v>0</v>
      </c>
      <c r="I2109">
        <v>456</v>
      </c>
      <c r="J2109">
        <v>234</v>
      </c>
      <c r="K2109" s="1">
        <v>46054</v>
      </c>
      <c r="L2109" t="s">
        <v>446</v>
      </c>
      <c r="M2109" t="s">
        <v>444</v>
      </c>
      <c r="N2109" s="2">
        <f>IFERROR(NHS_A_E[[#This Row],[T1_Over4hrs]]/NHS_A_E[[#This Row],[T1_Attendances]], 0)</f>
        <v>0.4379399777695443</v>
      </c>
      <c r="O2109">
        <f>NHS_A_E[[#This Row],[T1_Attendances]]+NHS_A_E[[#This Row],[Other_Attendances]]</f>
        <v>5513</v>
      </c>
      <c r="P2109">
        <f>MATCH(LEFT(A2109,FIND("-",A2109)-1),{"April","May","June","July","August","September","October","November","December","January","February","March"},0)</f>
        <v>11</v>
      </c>
      <c r="Q2109" s="3">
        <f t="shared" si="64"/>
        <v>4.3349388662467583E-2</v>
      </c>
      <c r="R2109" t="str">
        <f t="shared" si="65"/>
        <v>February</v>
      </c>
    </row>
    <row r="2110" spans="1:18" x14ac:dyDescent="0.35">
      <c r="A2110" t="s">
        <v>448</v>
      </c>
      <c r="B2110" t="s">
        <v>131</v>
      </c>
      <c r="C2110" t="s">
        <v>40</v>
      </c>
      <c r="D2110" t="s">
        <v>132</v>
      </c>
      <c r="E2110">
        <v>16670</v>
      </c>
      <c r="F2110">
        <v>8339</v>
      </c>
      <c r="G2110">
        <v>8448</v>
      </c>
      <c r="H2110">
        <v>1</v>
      </c>
      <c r="I2110">
        <v>1032</v>
      </c>
      <c r="J2110">
        <v>727</v>
      </c>
      <c r="K2110" s="1">
        <v>46054</v>
      </c>
      <c r="L2110" t="s">
        <v>446</v>
      </c>
      <c r="M2110" t="s">
        <v>444</v>
      </c>
      <c r="N2110" s="2">
        <f>IFERROR(NHS_A_E[[#This Row],[T1_Over4hrs]]/NHS_A_E[[#This Row],[T1_Attendances]], 0)</f>
        <v>0.50677864427114572</v>
      </c>
      <c r="O2110">
        <f>NHS_A_E[[#This Row],[T1_Attendances]]+NHS_A_E[[#This Row],[Other_Attendances]]</f>
        <v>25009</v>
      </c>
      <c r="P2110">
        <f>MATCH(LEFT(A2110,FIND("-",A2110)-1),{"April","May","June","July","August","September","October","November","December","January","February","March"},0)</f>
        <v>11</v>
      </c>
      <c r="Q2110" s="3">
        <f t="shared" si="64"/>
        <v>4.3611277744451109E-2</v>
      </c>
      <c r="R2110" t="str">
        <f t="shared" si="65"/>
        <v>February</v>
      </c>
    </row>
    <row r="2111" spans="1:18" x14ac:dyDescent="0.35">
      <c r="A2111" t="s">
        <v>448</v>
      </c>
      <c r="B2111" t="s">
        <v>271</v>
      </c>
      <c r="C2111" t="s">
        <v>30</v>
      </c>
      <c r="D2111" t="s">
        <v>272</v>
      </c>
      <c r="E2111">
        <v>0</v>
      </c>
      <c r="F2111">
        <v>12255</v>
      </c>
      <c r="G2111">
        <v>0</v>
      </c>
      <c r="H2111">
        <v>383</v>
      </c>
      <c r="I2111">
        <v>0</v>
      </c>
      <c r="J2111">
        <v>0</v>
      </c>
      <c r="K2111" s="1">
        <v>46054</v>
      </c>
      <c r="L2111" t="s">
        <v>446</v>
      </c>
      <c r="M2111" t="s">
        <v>444</v>
      </c>
      <c r="N2111" s="2">
        <f>IFERROR(NHS_A_E[[#This Row],[T1_Over4hrs]]/NHS_A_E[[#This Row],[T1_Attendances]], 0)</f>
        <v>0</v>
      </c>
      <c r="O2111">
        <f>NHS_A_E[[#This Row],[T1_Attendances]]+NHS_A_E[[#This Row],[Other_Attendances]]</f>
        <v>12255</v>
      </c>
      <c r="P2111">
        <f>MATCH(LEFT(A2111,FIND("-",A2111)-1),{"April","May","June","July","August","September","October","November","December","January","February","March"},0)</f>
        <v>11</v>
      </c>
      <c r="Q2111" s="3">
        <f t="shared" si="64"/>
        <v>0</v>
      </c>
      <c r="R2111" t="str">
        <f t="shared" si="65"/>
        <v>February</v>
      </c>
    </row>
    <row r="2112" spans="1:18" x14ac:dyDescent="0.35">
      <c r="A2112" t="s">
        <v>448</v>
      </c>
      <c r="B2112" t="s">
        <v>161</v>
      </c>
      <c r="C2112" t="s">
        <v>30</v>
      </c>
      <c r="D2112" t="s">
        <v>162</v>
      </c>
      <c r="E2112">
        <v>6395</v>
      </c>
      <c r="F2112">
        <v>2645</v>
      </c>
      <c r="G2112">
        <v>3649</v>
      </c>
      <c r="H2112">
        <v>7</v>
      </c>
      <c r="I2112">
        <v>354</v>
      </c>
      <c r="J2112">
        <v>634</v>
      </c>
      <c r="K2112" s="1">
        <v>46054</v>
      </c>
      <c r="L2112" t="s">
        <v>446</v>
      </c>
      <c r="M2112" t="s">
        <v>444</v>
      </c>
      <c r="N2112" s="2">
        <f>IFERROR(NHS_A_E[[#This Row],[T1_Over4hrs]]/NHS_A_E[[#This Row],[T1_Attendances]], 0)</f>
        <v>0.5706020328381548</v>
      </c>
      <c r="O2112">
        <f>NHS_A_E[[#This Row],[T1_Attendances]]+NHS_A_E[[#This Row],[Other_Attendances]]</f>
        <v>9040</v>
      </c>
      <c r="P2112">
        <f>MATCH(LEFT(A2112,FIND("-",A2112)-1),{"April","May","June","July","August","September","October","November","December","January","February","March"},0)</f>
        <v>11</v>
      </c>
      <c r="Q2112" s="3">
        <f t="shared" si="64"/>
        <v>9.9139953088350274E-2</v>
      </c>
      <c r="R2112" t="str">
        <f t="shared" si="65"/>
        <v>February</v>
      </c>
    </row>
    <row r="2113" spans="1:18" x14ac:dyDescent="0.35">
      <c r="A2113" t="s">
        <v>448</v>
      </c>
      <c r="B2113" t="s">
        <v>363</v>
      </c>
      <c r="C2113" t="s">
        <v>40</v>
      </c>
      <c r="D2113" t="s">
        <v>364</v>
      </c>
      <c r="E2113">
        <v>12297</v>
      </c>
      <c r="F2113">
        <v>4732</v>
      </c>
      <c r="G2113">
        <v>5555</v>
      </c>
      <c r="H2113">
        <v>49</v>
      </c>
      <c r="I2113">
        <v>786</v>
      </c>
      <c r="J2113">
        <v>1059</v>
      </c>
      <c r="K2113" s="1">
        <v>46054</v>
      </c>
      <c r="L2113" t="s">
        <v>446</v>
      </c>
      <c r="M2113" t="s">
        <v>444</v>
      </c>
      <c r="N2113" s="2">
        <f>IFERROR(NHS_A_E[[#This Row],[T1_Over4hrs]]/NHS_A_E[[#This Row],[T1_Attendances]], 0)</f>
        <v>0.4517361958201187</v>
      </c>
      <c r="O2113">
        <f>NHS_A_E[[#This Row],[T1_Attendances]]+NHS_A_E[[#This Row],[Other_Attendances]]</f>
        <v>17029</v>
      </c>
      <c r="P2113">
        <f>MATCH(LEFT(A2113,FIND("-",A2113)-1),{"April","May","June","July","August","September","October","November","December","January","February","March"},0)</f>
        <v>11</v>
      </c>
      <c r="Q2113" s="3">
        <f t="shared" si="64"/>
        <v>8.6118565503781414E-2</v>
      </c>
      <c r="R2113" t="str">
        <f t="shared" si="65"/>
        <v>February</v>
      </c>
    </row>
    <row r="2114" spans="1:18" x14ac:dyDescent="0.35">
      <c r="A2114" t="s">
        <v>448</v>
      </c>
      <c r="B2114" t="s">
        <v>115</v>
      </c>
      <c r="C2114" t="s">
        <v>40</v>
      </c>
      <c r="D2114" t="s">
        <v>116</v>
      </c>
      <c r="E2114">
        <v>0</v>
      </c>
      <c r="F2114">
        <v>2843</v>
      </c>
      <c r="G2114">
        <v>0</v>
      </c>
      <c r="H2114">
        <v>13</v>
      </c>
      <c r="I2114">
        <v>0</v>
      </c>
      <c r="J2114">
        <v>0</v>
      </c>
      <c r="K2114" s="1">
        <v>46054</v>
      </c>
      <c r="L2114" t="s">
        <v>446</v>
      </c>
      <c r="M2114" t="s">
        <v>444</v>
      </c>
      <c r="N2114" s="2">
        <f>IFERROR(NHS_A_E[[#This Row],[T1_Over4hrs]]/NHS_A_E[[#This Row],[T1_Attendances]], 0)</f>
        <v>0</v>
      </c>
      <c r="O2114">
        <f>NHS_A_E[[#This Row],[T1_Attendances]]+NHS_A_E[[#This Row],[Other_Attendances]]</f>
        <v>2843</v>
      </c>
      <c r="P2114">
        <f>MATCH(LEFT(A2114,FIND("-",A2114)-1),{"April","May","June","July","August","September","October","November","December","January","February","March"},0)</f>
        <v>11</v>
      </c>
      <c r="Q2114" s="3">
        <f t="shared" ref="Q2114:Q2177" si="66">IFERROR(J2114/E2114,0)</f>
        <v>0</v>
      </c>
      <c r="R2114" t="str">
        <f t="shared" ref="R2114:R2177" si="67">TEXT(A2114, "mmmm")</f>
        <v>February</v>
      </c>
    </row>
    <row r="2115" spans="1:18" x14ac:dyDescent="0.35">
      <c r="A2115" t="s">
        <v>448</v>
      </c>
      <c r="B2115" t="s">
        <v>307</v>
      </c>
      <c r="C2115" t="s">
        <v>40</v>
      </c>
      <c r="D2115" t="s">
        <v>308</v>
      </c>
      <c r="E2115">
        <v>0</v>
      </c>
      <c r="F2115">
        <v>2988</v>
      </c>
      <c r="G2115">
        <v>0</v>
      </c>
      <c r="H2115">
        <v>0</v>
      </c>
      <c r="I2115">
        <v>0</v>
      </c>
      <c r="J2115">
        <v>0</v>
      </c>
      <c r="K2115" s="1">
        <v>46054</v>
      </c>
      <c r="L2115" t="s">
        <v>446</v>
      </c>
      <c r="M2115" t="s">
        <v>444</v>
      </c>
      <c r="N2115" s="2">
        <f>IFERROR(NHS_A_E[[#This Row],[T1_Over4hrs]]/NHS_A_E[[#This Row],[T1_Attendances]], 0)</f>
        <v>0</v>
      </c>
      <c r="O2115">
        <f>NHS_A_E[[#This Row],[T1_Attendances]]+NHS_A_E[[#This Row],[Other_Attendances]]</f>
        <v>2988</v>
      </c>
      <c r="P2115">
        <f>MATCH(LEFT(A2115,FIND("-",A2115)-1),{"April","May","June","July","August","September","October","November","December","January","February","March"},0)</f>
        <v>11</v>
      </c>
      <c r="Q2115" s="3">
        <f t="shared" si="66"/>
        <v>0</v>
      </c>
      <c r="R2115" t="str">
        <f t="shared" si="67"/>
        <v>February</v>
      </c>
    </row>
    <row r="2116" spans="1:18" x14ac:dyDescent="0.35">
      <c r="A2116" t="s">
        <v>448</v>
      </c>
      <c r="B2116" t="s">
        <v>111</v>
      </c>
      <c r="C2116" t="s">
        <v>40</v>
      </c>
      <c r="D2116" t="s">
        <v>112</v>
      </c>
      <c r="E2116">
        <v>0</v>
      </c>
      <c r="F2116">
        <v>506</v>
      </c>
      <c r="G2116">
        <v>0</v>
      </c>
      <c r="H2116">
        <v>0</v>
      </c>
      <c r="I2116">
        <v>0</v>
      </c>
      <c r="J2116">
        <v>0</v>
      </c>
      <c r="K2116" s="1">
        <v>46054</v>
      </c>
      <c r="L2116" t="s">
        <v>446</v>
      </c>
      <c r="M2116" t="s">
        <v>444</v>
      </c>
      <c r="N2116" s="2">
        <f>IFERROR(NHS_A_E[[#This Row],[T1_Over4hrs]]/NHS_A_E[[#This Row],[T1_Attendances]], 0)</f>
        <v>0</v>
      </c>
      <c r="O2116">
        <f>NHS_A_E[[#This Row],[T1_Attendances]]+NHS_A_E[[#This Row],[Other_Attendances]]</f>
        <v>506</v>
      </c>
      <c r="P2116">
        <f>MATCH(LEFT(A2116,FIND("-",A2116)-1),{"April","May","June","July","August","September","October","November","December","January","February","March"},0)</f>
        <v>11</v>
      </c>
      <c r="Q2116" s="3">
        <f t="shared" si="66"/>
        <v>0</v>
      </c>
      <c r="R2116" t="str">
        <f t="shared" si="67"/>
        <v>February</v>
      </c>
    </row>
    <row r="2117" spans="1:18" x14ac:dyDescent="0.35">
      <c r="A2117" t="s">
        <v>448</v>
      </c>
      <c r="B2117" t="s">
        <v>431</v>
      </c>
      <c r="C2117" t="s">
        <v>15</v>
      </c>
      <c r="D2117" t="s">
        <v>432</v>
      </c>
      <c r="E2117">
        <v>0</v>
      </c>
      <c r="F2117">
        <v>2444</v>
      </c>
      <c r="G2117">
        <v>0</v>
      </c>
      <c r="H2117">
        <v>0</v>
      </c>
      <c r="I2117">
        <v>0</v>
      </c>
      <c r="J2117">
        <v>0</v>
      </c>
      <c r="K2117" s="1">
        <v>46054</v>
      </c>
      <c r="L2117" t="s">
        <v>446</v>
      </c>
      <c r="M2117" t="s">
        <v>444</v>
      </c>
      <c r="N2117" s="2">
        <f>IFERROR(NHS_A_E[[#This Row],[T1_Over4hrs]]/NHS_A_E[[#This Row],[T1_Attendances]], 0)</f>
        <v>0</v>
      </c>
      <c r="O2117">
        <f>NHS_A_E[[#This Row],[T1_Attendances]]+NHS_A_E[[#This Row],[Other_Attendances]]</f>
        <v>2444</v>
      </c>
      <c r="P2117">
        <f>MATCH(LEFT(A2117,FIND("-",A2117)-1),{"April","May","June","July","August","September","October","November","December","January","February","March"},0)</f>
        <v>11</v>
      </c>
      <c r="Q2117" s="3">
        <f t="shared" si="66"/>
        <v>0</v>
      </c>
      <c r="R2117" t="str">
        <f t="shared" si="67"/>
        <v>February</v>
      </c>
    </row>
    <row r="2118" spans="1:18" x14ac:dyDescent="0.35">
      <c r="A2118" t="s">
        <v>448</v>
      </c>
      <c r="B2118" t="s">
        <v>14</v>
      </c>
      <c r="C2118" t="s">
        <v>15</v>
      </c>
      <c r="D2118" t="s">
        <v>16</v>
      </c>
      <c r="E2118">
        <v>0</v>
      </c>
      <c r="F2118">
        <v>2041</v>
      </c>
      <c r="G2118">
        <v>0</v>
      </c>
      <c r="H2118">
        <v>4</v>
      </c>
      <c r="I2118">
        <v>0</v>
      </c>
      <c r="J2118">
        <v>0</v>
      </c>
      <c r="K2118" s="1">
        <v>46054</v>
      </c>
      <c r="L2118" t="s">
        <v>446</v>
      </c>
      <c r="M2118" t="s">
        <v>444</v>
      </c>
      <c r="N2118" s="2">
        <f>IFERROR(NHS_A_E[[#This Row],[T1_Over4hrs]]/NHS_A_E[[#This Row],[T1_Attendances]], 0)</f>
        <v>0</v>
      </c>
      <c r="O2118">
        <f>NHS_A_E[[#This Row],[T1_Attendances]]+NHS_A_E[[#This Row],[Other_Attendances]]</f>
        <v>2041</v>
      </c>
      <c r="P2118">
        <f>MATCH(LEFT(A2118,FIND("-",A2118)-1),{"April","May","June","July","August","September","October","November","December","January","February","March"},0)</f>
        <v>11</v>
      </c>
      <c r="Q2118" s="3">
        <f t="shared" si="66"/>
        <v>0</v>
      </c>
      <c r="R2118" t="str">
        <f t="shared" si="67"/>
        <v>February</v>
      </c>
    </row>
    <row r="2119" spans="1:18" x14ac:dyDescent="0.35">
      <c r="A2119" t="s">
        <v>448</v>
      </c>
      <c r="B2119" t="s">
        <v>309</v>
      </c>
      <c r="C2119" t="s">
        <v>30</v>
      </c>
      <c r="D2119" t="s">
        <v>310</v>
      </c>
      <c r="E2119">
        <v>0</v>
      </c>
      <c r="F2119">
        <v>1476</v>
      </c>
      <c r="G2119">
        <v>0</v>
      </c>
      <c r="H2119">
        <v>19</v>
      </c>
      <c r="I2119">
        <v>0</v>
      </c>
      <c r="J2119">
        <v>0</v>
      </c>
      <c r="K2119" s="1">
        <v>46054</v>
      </c>
      <c r="L2119" t="s">
        <v>446</v>
      </c>
      <c r="M2119" t="s">
        <v>444</v>
      </c>
      <c r="N2119" s="2">
        <f>IFERROR(NHS_A_E[[#This Row],[T1_Over4hrs]]/NHS_A_E[[#This Row],[T1_Attendances]], 0)</f>
        <v>0</v>
      </c>
      <c r="O2119">
        <f>NHS_A_E[[#This Row],[T1_Attendances]]+NHS_A_E[[#This Row],[Other_Attendances]]</f>
        <v>1476</v>
      </c>
      <c r="P2119">
        <f>MATCH(LEFT(A2119,FIND("-",A2119)-1),{"April","May","June","July","August","September","October","November","December","January","February","March"},0)</f>
        <v>11</v>
      </c>
      <c r="Q2119" s="3">
        <f t="shared" si="66"/>
        <v>0</v>
      </c>
      <c r="R2119" t="str">
        <f t="shared" si="67"/>
        <v>February</v>
      </c>
    </row>
    <row r="2120" spans="1:18" x14ac:dyDescent="0.35">
      <c r="A2120" t="s">
        <v>448</v>
      </c>
      <c r="B2120" t="s">
        <v>277</v>
      </c>
      <c r="C2120" t="s">
        <v>15</v>
      </c>
      <c r="D2120" t="s">
        <v>278</v>
      </c>
      <c r="E2120">
        <v>0</v>
      </c>
      <c r="F2120">
        <v>2156</v>
      </c>
      <c r="G2120">
        <v>0</v>
      </c>
      <c r="H2120">
        <v>29</v>
      </c>
      <c r="I2120">
        <v>0</v>
      </c>
      <c r="J2120">
        <v>0</v>
      </c>
      <c r="K2120" s="1">
        <v>46054</v>
      </c>
      <c r="L2120" t="s">
        <v>446</v>
      </c>
      <c r="M2120" t="s">
        <v>444</v>
      </c>
      <c r="N2120" s="2">
        <f>IFERROR(NHS_A_E[[#This Row],[T1_Over4hrs]]/NHS_A_E[[#This Row],[T1_Attendances]], 0)</f>
        <v>0</v>
      </c>
      <c r="O2120">
        <f>NHS_A_E[[#This Row],[T1_Attendances]]+NHS_A_E[[#This Row],[Other_Attendances]]</f>
        <v>2156</v>
      </c>
      <c r="P2120">
        <f>MATCH(LEFT(A2120,FIND("-",A2120)-1),{"April","May","June","July","August","September","October","November","December","January","February","March"},0)</f>
        <v>11</v>
      </c>
      <c r="Q2120" s="3">
        <f t="shared" si="66"/>
        <v>0</v>
      </c>
      <c r="R2120" t="str">
        <f t="shared" si="67"/>
        <v>February</v>
      </c>
    </row>
    <row r="2121" spans="1:18" x14ac:dyDescent="0.35">
      <c r="A2121" t="s">
        <v>448</v>
      </c>
      <c r="B2121" t="s">
        <v>279</v>
      </c>
      <c r="C2121" t="s">
        <v>15</v>
      </c>
      <c r="D2121" t="s">
        <v>280</v>
      </c>
      <c r="E2121">
        <v>0</v>
      </c>
      <c r="F2121">
        <v>2462</v>
      </c>
      <c r="G2121">
        <v>0</v>
      </c>
      <c r="H2121">
        <v>46</v>
      </c>
      <c r="I2121">
        <v>0</v>
      </c>
      <c r="J2121">
        <v>0</v>
      </c>
      <c r="K2121" s="1">
        <v>46054</v>
      </c>
      <c r="L2121" t="s">
        <v>446</v>
      </c>
      <c r="M2121" t="s">
        <v>444</v>
      </c>
      <c r="N2121" s="2">
        <f>IFERROR(NHS_A_E[[#This Row],[T1_Over4hrs]]/NHS_A_E[[#This Row],[T1_Attendances]], 0)</f>
        <v>0</v>
      </c>
      <c r="O2121">
        <f>NHS_A_E[[#This Row],[T1_Attendances]]+NHS_A_E[[#This Row],[Other_Attendances]]</f>
        <v>2462</v>
      </c>
      <c r="P2121">
        <f>MATCH(LEFT(A2121,FIND("-",A2121)-1),{"April","May","June","July","August","September","October","November","December","January","February","March"},0)</f>
        <v>11</v>
      </c>
      <c r="Q2121" s="3">
        <f t="shared" si="66"/>
        <v>0</v>
      </c>
      <c r="R2121" t="str">
        <f t="shared" si="67"/>
        <v>February</v>
      </c>
    </row>
    <row r="2122" spans="1:18" x14ac:dyDescent="0.35">
      <c r="A2122" t="s">
        <v>448</v>
      </c>
      <c r="B2122" t="s">
        <v>249</v>
      </c>
      <c r="C2122" t="s">
        <v>20</v>
      </c>
      <c r="D2122" t="s">
        <v>250</v>
      </c>
      <c r="E2122">
        <v>6060</v>
      </c>
      <c r="F2122">
        <v>2822</v>
      </c>
      <c r="G2122">
        <v>3014</v>
      </c>
      <c r="H2122">
        <v>11</v>
      </c>
      <c r="I2122">
        <v>156</v>
      </c>
      <c r="J2122">
        <v>74</v>
      </c>
      <c r="K2122" s="1">
        <v>46054</v>
      </c>
      <c r="L2122" t="s">
        <v>446</v>
      </c>
      <c r="M2122" t="s">
        <v>444</v>
      </c>
      <c r="N2122" s="2">
        <f>IFERROR(NHS_A_E[[#This Row],[T1_Over4hrs]]/NHS_A_E[[#This Row],[T1_Attendances]], 0)</f>
        <v>0.49735973597359734</v>
      </c>
      <c r="O2122">
        <f>NHS_A_E[[#This Row],[T1_Attendances]]+NHS_A_E[[#This Row],[Other_Attendances]]</f>
        <v>8882</v>
      </c>
      <c r="P2122">
        <f>MATCH(LEFT(A2122,FIND("-",A2122)-1),{"April","May","June","July","August","September","October","November","December","January","February","March"},0)</f>
        <v>11</v>
      </c>
      <c r="Q2122" s="3">
        <f t="shared" si="66"/>
        <v>1.2211221122112211E-2</v>
      </c>
      <c r="R2122" t="str">
        <f t="shared" si="67"/>
        <v>February</v>
      </c>
    </row>
    <row r="2123" spans="1:18" x14ac:dyDescent="0.35">
      <c r="A2123" t="s">
        <v>448</v>
      </c>
      <c r="B2123" t="s">
        <v>289</v>
      </c>
      <c r="C2123" t="s">
        <v>30</v>
      </c>
      <c r="D2123" t="s">
        <v>290</v>
      </c>
      <c r="E2123">
        <v>0</v>
      </c>
      <c r="F2123">
        <v>0</v>
      </c>
      <c r="G2123">
        <v>0</v>
      </c>
      <c r="H2123">
        <v>0</v>
      </c>
      <c r="I2123">
        <v>0</v>
      </c>
      <c r="J2123">
        <v>0</v>
      </c>
      <c r="K2123" s="1">
        <v>46054</v>
      </c>
      <c r="L2123" t="s">
        <v>446</v>
      </c>
      <c r="M2123" t="s">
        <v>444</v>
      </c>
      <c r="N2123" s="2">
        <f>IFERROR(NHS_A_E[[#This Row],[T1_Over4hrs]]/NHS_A_E[[#This Row],[T1_Attendances]], 0)</f>
        <v>0</v>
      </c>
      <c r="O2123">
        <f>NHS_A_E[[#This Row],[T1_Attendances]]+NHS_A_E[[#This Row],[Other_Attendances]]</f>
        <v>0</v>
      </c>
      <c r="P2123">
        <f>MATCH(LEFT(A2123,FIND("-",A2123)-1),{"April","May","June","July","August","September","October","November","December","January","February","March"},0)</f>
        <v>11</v>
      </c>
      <c r="Q2123" s="3">
        <f t="shared" si="66"/>
        <v>0</v>
      </c>
      <c r="R2123" t="str">
        <f t="shared" si="67"/>
        <v>February</v>
      </c>
    </row>
    <row r="2124" spans="1:18" x14ac:dyDescent="0.35">
      <c r="A2124" t="s">
        <v>448</v>
      </c>
      <c r="B2124" t="s">
        <v>313</v>
      </c>
      <c r="C2124" t="s">
        <v>20</v>
      </c>
      <c r="D2124" t="s">
        <v>314</v>
      </c>
      <c r="E2124">
        <v>0</v>
      </c>
      <c r="F2124">
        <v>0</v>
      </c>
      <c r="G2124">
        <v>0</v>
      </c>
      <c r="H2124">
        <v>0</v>
      </c>
      <c r="I2124">
        <v>0</v>
      </c>
      <c r="J2124">
        <v>0</v>
      </c>
      <c r="K2124" s="1">
        <v>46054</v>
      </c>
      <c r="L2124" t="s">
        <v>446</v>
      </c>
      <c r="M2124" t="s">
        <v>444</v>
      </c>
      <c r="N2124" s="2">
        <f>IFERROR(NHS_A_E[[#This Row],[T1_Over4hrs]]/NHS_A_E[[#This Row],[T1_Attendances]], 0)</f>
        <v>0</v>
      </c>
      <c r="O2124">
        <f>NHS_A_E[[#This Row],[T1_Attendances]]+NHS_A_E[[#This Row],[Other_Attendances]]</f>
        <v>0</v>
      </c>
      <c r="P2124">
        <f>MATCH(LEFT(A2124,FIND("-",A2124)-1),{"April","May","June","July","August","September","October","November","December","January","February","March"},0)</f>
        <v>11</v>
      </c>
      <c r="Q2124" s="3">
        <f t="shared" si="66"/>
        <v>0</v>
      </c>
      <c r="R2124" t="str">
        <f t="shared" si="67"/>
        <v>February</v>
      </c>
    </row>
    <row r="2125" spans="1:18" x14ac:dyDescent="0.35">
      <c r="A2125" t="s">
        <v>448</v>
      </c>
      <c r="B2125" t="s">
        <v>315</v>
      </c>
      <c r="C2125" t="s">
        <v>23</v>
      </c>
      <c r="D2125" t="s">
        <v>316</v>
      </c>
      <c r="E2125">
        <v>6735</v>
      </c>
      <c r="F2125">
        <v>1474</v>
      </c>
      <c r="G2125">
        <v>2319</v>
      </c>
      <c r="H2125">
        <v>0</v>
      </c>
      <c r="I2125">
        <v>497</v>
      </c>
      <c r="J2125">
        <v>358</v>
      </c>
      <c r="K2125" s="1">
        <v>46054</v>
      </c>
      <c r="L2125" t="s">
        <v>446</v>
      </c>
      <c r="M2125" t="s">
        <v>444</v>
      </c>
      <c r="N2125" s="2">
        <f>IFERROR(NHS_A_E[[#This Row],[T1_Over4hrs]]/NHS_A_E[[#This Row],[T1_Attendances]], 0)</f>
        <v>0.34432071269487752</v>
      </c>
      <c r="O2125">
        <f>NHS_A_E[[#This Row],[T1_Attendances]]+NHS_A_E[[#This Row],[Other_Attendances]]</f>
        <v>8209</v>
      </c>
      <c r="P2125">
        <f>MATCH(LEFT(A2125,FIND("-",A2125)-1),{"April","May","June","July","August","September","October","November","December","January","February","March"},0)</f>
        <v>11</v>
      </c>
      <c r="Q2125" s="3">
        <f t="shared" si="66"/>
        <v>5.3155159613956941E-2</v>
      </c>
      <c r="R2125" t="str">
        <f t="shared" si="67"/>
        <v>February</v>
      </c>
    </row>
    <row r="2126" spans="1:18" x14ac:dyDescent="0.35">
      <c r="A2126" t="s">
        <v>448</v>
      </c>
      <c r="B2126" t="s">
        <v>293</v>
      </c>
      <c r="C2126" t="s">
        <v>20</v>
      </c>
      <c r="D2126" t="s">
        <v>294</v>
      </c>
      <c r="E2126">
        <v>0</v>
      </c>
      <c r="F2126">
        <v>0</v>
      </c>
      <c r="G2126">
        <v>0</v>
      </c>
      <c r="H2126">
        <v>0</v>
      </c>
      <c r="I2126">
        <v>0</v>
      </c>
      <c r="J2126">
        <v>0</v>
      </c>
      <c r="K2126" s="1">
        <v>46054</v>
      </c>
      <c r="L2126" t="s">
        <v>446</v>
      </c>
      <c r="M2126" t="s">
        <v>444</v>
      </c>
      <c r="N2126" s="2">
        <f>IFERROR(NHS_A_E[[#This Row],[T1_Over4hrs]]/NHS_A_E[[#This Row],[T1_Attendances]], 0)</f>
        <v>0</v>
      </c>
      <c r="O2126">
        <f>NHS_A_E[[#This Row],[T1_Attendances]]+NHS_A_E[[#This Row],[Other_Attendances]]</f>
        <v>0</v>
      </c>
      <c r="P2126">
        <f>MATCH(LEFT(A2126,FIND("-",A2126)-1),{"April","May","June","July","August","September","October","November","December","January","February","March"},0)</f>
        <v>11</v>
      </c>
      <c r="Q2126" s="3">
        <f t="shared" si="66"/>
        <v>0</v>
      </c>
      <c r="R2126" t="str">
        <f t="shared" si="67"/>
        <v>February</v>
      </c>
    </row>
    <row r="2127" spans="1:18" x14ac:dyDescent="0.35">
      <c r="A2127" t="s">
        <v>448</v>
      </c>
      <c r="B2127" t="s">
        <v>219</v>
      </c>
      <c r="C2127" t="s">
        <v>30</v>
      </c>
      <c r="D2127" t="s">
        <v>220</v>
      </c>
      <c r="E2127">
        <v>7794</v>
      </c>
      <c r="F2127">
        <v>2343</v>
      </c>
      <c r="G2127">
        <v>3545</v>
      </c>
      <c r="H2127">
        <v>81</v>
      </c>
      <c r="I2127">
        <v>594</v>
      </c>
      <c r="J2127">
        <v>766</v>
      </c>
      <c r="K2127" s="1">
        <v>46054</v>
      </c>
      <c r="L2127" t="s">
        <v>446</v>
      </c>
      <c r="M2127" t="s">
        <v>444</v>
      </c>
      <c r="N2127" s="2">
        <f>IFERROR(NHS_A_E[[#This Row],[T1_Over4hrs]]/NHS_A_E[[#This Row],[T1_Attendances]], 0)</f>
        <v>0.45483705414421349</v>
      </c>
      <c r="O2127">
        <f>NHS_A_E[[#This Row],[T1_Attendances]]+NHS_A_E[[#This Row],[Other_Attendances]]</f>
        <v>10137</v>
      </c>
      <c r="P2127">
        <f>MATCH(LEFT(A2127,FIND("-",A2127)-1),{"April","May","June","July","August","September","October","November","December","January","February","March"},0)</f>
        <v>11</v>
      </c>
      <c r="Q2127" s="3">
        <f t="shared" si="66"/>
        <v>9.8280728765717223E-2</v>
      </c>
      <c r="R2127" t="str">
        <f t="shared" si="67"/>
        <v>February</v>
      </c>
    </row>
    <row r="2128" spans="1:18" x14ac:dyDescent="0.35">
      <c r="A2128" t="s">
        <v>448</v>
      </c>
      <c r="B2128" t="s">
        <v>297</v>
      </c>
      <c r="C2128" t="s">
        <v>15</v>
      </c>
      <c r="D2128" t="s">
        <v>298</v>
      </c>
      <c r="E2128">
        <v>0</v>
      </c>
      <c r="F2128">
        <v>2535</v>
      </c>
      <c r="G2128">
        <v>0</v>
      </c>
      <c r="H2128">
        <v>23</v>
      </c>
      <c r="I2128">
        <v>0</v>
      </c>
      <c r="J2128">
        <v>0</v>
      </c>
      <c r="K2128" s="1">
        <v>46054</v>
      </c>
      <c r="L2128" t="s">
        <v>446</v>
      </c>
      <c r="M2128" t="s">
        <v>444</v>
      </c>
      <c r="N2128" s="2">
        <f>IFERROR(NHS_A_E[[#This Row],[T1_Over4hrs]]/NHS_A_E[[#This Row],[T1_Attendances]], 0)</f>
        <v>0</v>
      </c>
      <c r="O2128">
        <f>NHS_A_E[[#This Row],[T1_Attendances]]+NHS_A_E[[#This Row],[Other_Attendances]]</f>
        <v>2535</v>
      </c>
      <c r="P2128">
        <f>MATCH(LEFT(A2128,FIND("-",A2128)-1),{"April","May","June","July","August","September","October","November","December","January","February","March"},0)</f>
        <v>11</v>
      </c>
      <c r="Q2128" s="3">
        <f t="shared" si="66"/>
        <v>0</v>
      </c>
      <c r="R2128" t="str">
        <f t="shared" si="67"/>
        <v>February</v>
      </c>
    </row>
    <row r="2129" spans="1:18" x14ac:dyDescent="0.35">
      <c r="A2129" t="s">
        <v>448</v>
      </c>
      <c r="B2129" t="s">
        <v>193</v>
      </c>
      <c r="C2129" t="s">
        <v>63</v>
      </c>
      <c r="D2129" t="s">
        <v>194</v>
      </c>
      <c r="E2129">
        <v>0</v>
      </c>
      <c r="F2129">
        <v>0</v>
      </c>
      <c r="G2129">
        <v>0</v>
      </c>
      <c r="H2129">
        <v>0</v>
      </c>
      <c r="I2129">
        <v>0</v>
      </c>
      <c r="J2129">
        <v>0</v>
      </c>
      <c r="K2129" s="1">
        <v>46054</v>
      </c>
      <c r="L2129" t="s">
        <v>446</v>
      </c>
      <c r="M2129" t="s">
        <v>444</v>
      </c>
      <c r="N2129" s="2">
        <f>IFERROR(NHS_A_E[[#This Row],[T1_Over4hrs]]/NHS_A_E[[#This Row],[T1_Attendances]], 0)</f>
        <v>0</v>
      </c>
      <c r="O2129">
        <f>NHS_A_E[[#This Row],[T1_Attendances]]+NHS_A_E[[#This Row],[Other_Attendances]]</f>
        <v>0</v>
      </c>
      <c r="P2129">
        <f>MATCH(LEFT(A2129,FIND("-",A2129)-1),{"April","May","June","July","August","September","October","November","December","January","February","March"},0)</f>
        <v>11</v>
      </c>
      <c r="Q2129" s="3">
        <f t="shared" si="66"/>
        <v>0</v>
      </c>
      <c r="R2129" t="str">
        <f t="shared" si="67"/>
        <v>February</v>
      </c>
    </row>
    <row r="2130" spans="1:18" x14ac:dyDescent="0.35">
      <c r="A2130" t="s">
        <v>448</v>
      </c>
      <c r="B2130" t="s">
        <v>201</v>
      </c>
      <c r="C2130" t="s">
        <v>20</v>
      </c>
      <c r="D2130" t="s">
        <v>202</v>
      </c>
      <c r="E2130">
        <v>0</v>
      </c>
      <c r="F2130">
        <v>1774</v>
      </c>
      <c r="G2130">
        <v>0</v>
      </c>
      <c r="H2130">
        <v>22</v>
      </c>
      <c r="I2130">
        <v>0</v>
      </c>
      <c r="J2130">
        <v>0</v>
      </c>
      <c r="K2130" s="1">
        <v>46054</v>
      </c>
      <c r="L2130" t="s">
        <v>446</v>
      </c>
      <c r="M2130" t="s">
        <v>444</v>
      </c>
      <c r="N2130" s="2">
        <f>IFERROR(NHS_A_E[[#This Row],[T1_Over4hrs]]/NHS_A_E[[#This Row],[T1_Attendances]], 0)</f>
        <v>0</v>
      </c>
      <c r="O2130">
        <f>NHS_A_E[[#This Row],[T1_Attendances]]+NHS_A_E[[#This Row],[Other_Attendances]]</f>
        <v>1774</v>
      </c>
      <c r="P2130">
        <f>MATCH(LEFT(A2130,FIND("-",A2130)-1),{"April","May","June","July","August","September","October","November","December","January","February","March"},0)</f>
        <v>11</v>
      </c>
      <c r="Q2130" s="3">
        <f t="shared" si="66"/>
        <v>0</v>
      </c>
      <c r="R2130" t="str">
        <f t="shared" si="67"/>
        <v>February</v>
      </c>
    </row>
    <row r="2131" spans="1:18" x14ac:dyDescent="0.35">
      <c r="A2131" t="s">
        <v>448</v>
      </c>
      <c r="B2131" t="s">
        <v>267</v>
      </c>
      <c r="C2131" t="s">
        <v>15</v>
      </c>
      <c r="D2131" t="s">
        <v>268</v>
      </c>
      <c r="E2131">
        <v>0</v>
      </c>
      <c r="F2131">
        <v>5722</v>
      </c>
      <c r="G2131">
        <v>0</v>
      </c>
      <c r="H2131">
        <v>12</v>
      </c>
      <c r="I2131">
        <v>0</v>
      </c>
      <c r="J2131">
        <v>0</v>
      </c>
      <c r="K2131" s="1">
        <v>46054</v>
      </c>
      <c r="L2131" t="s">
        <v>446</v>
      </c>
      <c r="M2131" t="s">
        <v>444</v>
      </c>
      <c r="N2131" s="2">
        <f>IFERROR(NHS_A_E[[#This Row],[T1_Over4hrs]]/NHS_A_E[[#This Row],[T1_Attendances]], 0)</f>
        <v>0</v>
      </c>
      <c r="O2131">
        <f>NHS_A_E[[#This Row],[T1_Attendances]]+NHS_A_E[[#This Row],[Other_Attendances]]</f>
        <v>5722</v>
      </c>
      <c r="P2131">
        <f>MATCH(LEFT(A2131,FIND("-",A2131)-1),{"April","May","June","July","August","September","October","November","December","January","February","March"},0)</f>
        <v>11</v>
      </c>
      <c r="Q2131" s="3">
        <f t="shared" si="66"/>
        <v>0</v>
      </c>
      <c r="R2131" t="str">
        <f t="shared" si="67"/>
        <v>February</v>
      </c>
    </row>
    <row r="2132" spans="1:18" x14ac:dyDescent="0.35">
      <c r="A2132" t="s">
        <v>448</v>
      </c>
      <c r="B2132" t="s">
        <v>305</v>
      </c>
      <c r="C2132" t="s">
        <v>30</v>
      </c>
      <c r="D2132" t="s">
        <v>306</v>
      </c>
      <c r="E2132">
        <v>0</v>
      </c>
      <c r="F2132">
        <v>1499</v>
      </c>
      <c r="G2132">
        <v>0</v>
      </c>
      <c r="H2132">
        <v>0</v>
      </c>
      <c r="I2132">
        <v>0</v>
      </c>
      <c r="J2132">
        <v>0</v>
      </c>
      <c r="K2132" s="1">
        <v>46054</v>
      </c>
      <c r="L2132" t="s">
        <v>446</v>
      </c>
      <c r="M2132" t="s">
        <v>444</v>
      </c>
      <c r="N2132" s="2">
        <f>IFERROR(NHS_A_E[[#This Row],[T1_Over4hrs]]/NHS_A_E[[#This Row],[T1_Attendances]], 0)</f>
        <v>0</v>
      </c>
      <c r="O2132">
        <f>NHS_A_E[[#This Row],[T1_Attendances]]+NHS_A_E[[#This Row],[Other_Attendances]]</f>
        <v>1499</v>
      </c>
      <c r="P2132">
        <f>MATCH(LEFT(A2132,FIND("-",A2132)-1),{"April","May","June","July","August","September","October","November","December","January","February","March"},0)</f>
        <v>11</v>
      </c>
      <c r="Q2132" s="3">
        <f t="shared" si="66"/>
        <v>0</v>
      </c>
      <c r="R2132" t="str">
        <f t="shared" si="67"/>
        <v>February</v>
      </c>
    </row>
    <row r="2133" spans="1:18" x14ac:dyDescent="0.35">
      <c r="A2133" t="s">
        <v>448</v>
      </c>
      <c r="B2133" t="s">
        <v>281</v>
      </c>
      <c r="C2133" t="s">
        <v>40</v>
      </c>
      <c r="D2133" t="s">
        <v>282</v>
      </c>
      <c r="E2133">
        <v>0</v>
      </c>
      <c r="F2133">
        <v>3764</v>
      </c>
      <c r="G2133">
        <v>0</v>
      </c>
      <c r="H2133">
        <v>0</v>
      </c>
      <c r="I2133">
        <v>0</v>
      </c>
      <c r="J2133">
        <v>0</v>
      </c>
      <c r="K2133" s="1">
        <v>46054</v>
      </c>
      <c r="L2133" t="s">
        <v>446</v>
      </c>
      <c r="M2133" t="s">
        <v>444</v>
      </c>
      <c r="N2133" s="2">
        <f>IFERROR(NHS_A_E[[#This Row],[T1_Over4hrs]]/NHS_A_E[[#This Row],[T1_Attendances]], 0)</f>
        <v>0</v>
      </c>
      <c r="O2133">
        <f>NHS_A_E[[#This Row],[T1_Attendances]]+NHS_A_E[[#This Row],[Other_Attendances]]</f>
        <v>3764</v>
      </c>
      <c r="P2133">
        <f>MATCH(LEFT(A2133,FIND("-",A2133)-1),{"April","May","June","July","August","September","October","November","December","January","February","March"},0)</f>
        <v>11</v>
      </c>
      <c r="Q2133" s="3">
        <f t="shared" si="66"/>
        <v>0</v>
      </c>
      <c r="R2133" t="str">
        <f t="shared" si="67"/>
        <v>February</v>
      </c>
    </row>
    <row r="2134" spans="1:18" x14ac:dyDescent="0.35">
      <c r="A2134" t="s">
        <v>448</v>
      </c>
      <c r="B2134" t="s">
        <v>420</v>
      </c>
      <c r="C2134" t="s">
        <v>15</v>
      </c>
      <c r="D2134" t="s">
        <v>421</v>
      </c>
      <c r="E2134">
        <v>0</v>
      </c>
      <c r="F2134">
        <v>2780</v>
      </c>
      <c r="G2134">
        <v>0</v>
      </c>
      <c r="H2134">
        <v>0</v>
      </c>
      <c r="I2134">
        <v>0</v>
      </c>
      <c r="J2134">
        <v>0</v>
      </c>
      <c r="K2134" s="1">
        <v>46054</v>
      </c>
      <c r="L2134" t="s">
        <v>446</v>
      </c>
      <c r="M2134" t="s">
        <v>444</v>
      </c>
      <c r="N2134" s="2">
        <f>IFERROR(NHS_A_E[[#This Row],[T1_Over4hrs]]/NHS_A_E[[#This Row],[T1_Attendances]], 0)</f>
        <v>0</v>
      </c>
      <c r="O2134">
        <f>NHS_A_E[[#This Row],[T1_Attendances]]+NHS_A_E[[#This Row],[Other_Attendances]]</f>
        <v>2780</v>
      </c>
      <c r="P2134">
        <f>MATCH(LEFT(A2134,FIND("-",A2134)-1),{"April","May","June","July","August","September","October","November","December","January","February","March"},0)</f>
        <v>11</v>
      </c>
      <c r="Q2134" s="3">
        <f t="shared" si="66"/>
        <v>0</v>
      </c>
      <c r="R2134" t="str">
        <f t="shared" si="67"/>
        <v>February</v>
      </c>
    </row>
    <row r="2135" spans="1:18" x14ac:dyDescent="0.35">
      <c r="A2135" t="s">
        <v>448</v>
      </c>
      <c r="B2135" t="s">
        <v>381</v>
      </c>
      <c r="C2135" t="s">
        <v>40</v>
      </c>
      <c r="D2135" t="s">
        <v>382</v>
      </c>
      <c r="E2135">
        <v>0</v>
      </c>
      <c r="F2135">
        <v>281</v>
      </c>
      <c r="G2135">
        <v>0</v>
      </c>
      <c r="H2135">
        <v>0</v>
      </c>
      <c r="I2135">
        <v>0</v>
      </c>
      <c r="J2135">
        <v>0</v>
      </c>
      <c r="K2135" s="1">
        <v>46054</v>
      </c>
      <c r="L2135" t="s">
        <v>446</v>
      </c>
      <c r="M2135" t="s">
        <v>444</v>
      </c>
      <c r="N2135" s="2">
        <f>IFERROR(NHS_A_E[[#This Row],[T1_Over4hrs]]/NHS_A_E[[#This Row],[T1_Attendances]], 0)</f>
        <v>0</v>
      </c>
      <c r="O2135">
        <f>NHS_A_E[[#This Row],[T1_Attendances]]+NHS_A_E[[#This Row],[Other_Attendances]]</f>
        <v>281</v>
      </c>
      <c r="P2135">
        <f>MATCH(LEFT(A2135,FIND("-",A2135)-1),{"April","May","June","July","August","September","October","November","December","January","February","March"},0)</f>
        <v>11</v>
      </c>
      <c r="Q2135" s="3">
        <f t="shared" si="66"/>
        <v>0</v>
      </c>
      <c r="R2135" t="str">
        <f t="shared" si="67"/>
        <v>February</v>
      </c>
    </row>
    <row r="2136" spans="1:18" x14ac:dyDescent="0.35">
      <c r="A2136" t="s">
        <v>448</v>
      </c>
      <c r="B2136" t="s">
        <v>383</v>
      </c>
      <c r="C2136" t="s">
        <v>20</v>
      </c>
      <c r="D2136" t="s">
        <v>384</v>
      </c>
      <c r="E2136">
        <v>0</v>
      </c>
      <c r="F2136">
        <v>52</v>
      </c>
      <c r="G2136">
        <v>0</v>
      </c>
      <c r="H2136">
        <v>0</v>
      </c>
      <c r="I2136">
        <v>0</v>
      </c>
      <c r="J2136">
        <v>0</v>
      </c>
      <c r="K2136" s="1">
        <v>46054</v>
      </c>
      <c r="L2136" t="s">
        <v>446</v>
      </c>
      <c r="M2136" t="s">
        <v>444</v>
      </c>
      <c r="N2136" s="2">
        <f>IFERROR(NHS_A_E[[#This Row],[T1_Over4hrs]]/NHS_A_E[[#This Row],[T1_Attendances]], 0)</f>
        <v>0</v>
      </c>
      <c r="O2136">
        <f>NHS_A_E[[#This Row],[T1_Attendances]]+NHS_A_E[[#This Row],[Other_Attendances]]</f>
        <v>52</v>
      </c>
      <c r="P2136">
        <f>MATCH(LEFT(A2136,FIND("-",A2136)-1),{"April","May","June","July","August","September","October","November","December","January","February","March"},0)</f>
        <v>11</v>
      </c>
      <c r="Q2136" s="3">
        <f t="shared" si="66"/>
        <v>0</v>
      </c>
      <c r="R2136" t="str">
        <f t="shared" si="67"/>
        <v>February</v>
      </c>
    </row>
    <row r="2137" spans="1:18" x14ac:dyDescent="0.35">
      <c r="A2137" t="s">
        <v>448</v>
      </c>
      <c r="B2137" t="s">
        <v>287</v>
      </c>
      <c r="C2137" t="s">
        <v>40</v>
      </c>
      <c r="D2137" t="s">
        <v>288</v>
      </c>
      <c r="E2137">
        <v>0</v>
      </c>
      <c r="F2137">
        <v>2795</v>
      </c>
      <c r="G2137">
        <v>0</v>
      </c>
      <c r="H2137">
        <v>0</v>
      </c>
      <c r="I2137">
        <v>0</v>
      </c>
      <c r="J2137">
        <v>0</v>
      </c>
      <c r="K2137" s="1">
        <v>46054</v>
      </c>
      <c r="L2137" t="s">
        <v>446</v>
      </c>
      <c r="M2137" t="s">
        <v>444</v>
      </c>
      <c r="N2137" s="2">
        <f>IFERROR(NHS_A_E[[#This Row],[T1_Over4hrs]]/NHS_A_E[[#This Row],[T1_Attendances]], 0)</f>
        <v>0</v>
      </c>
      <c r="O2137">
        <f>NHS_A_E[[#This Row],[T1_Attendances]]+NHS_A_E[[#This Row],[Other_Attendances]]</f>
        <v>2795</v>
      </c>
      <c r="P2137">
        <f>MATCH(LEFT(A2137,FIND("-",A2137)-1),{"April","May","June","July","August","September","October","November","December","January","February","March"},0)</f>
        <v>11</v>
      </c>
      <c r="Q2137" s="3">
        <f t="shared" si="66"/>
        <v>0</v>
      </c>
      <c r="R2137" t="str">
        <f t="shared" si="67"/>
        <v>February</v>
      </c>
    </row>
    <row r="2138" spans="1:18" x14ac:dyDescent="0.35">
      <c r="A2138" t="s">
        <v>448</v>
      </c>
      <c r="B2138" t="s">
        <v>321</v>
      </c>
      <c r="C2138" t="s">
        <v>20</v>
      </c>
      <c r="D2138" t="s">
        <v>322</v>
      </c>
      <c r="E2138">
        <v>0</v>
      </c>
      <c r="F2138">
        <v>537</v>
      </c>
      <c r="G2138">
        <v>0</v>
      </c>
      <c r="H2138">
        <v>0</v>
      </c>
      <c r="I2138">
        <v>0</v>
      </c>
      <c r="J2138">
        <v>0</v>
      </c>
      <c r="K2138" s="1">
        <v>46054</v>
      </c>
      <c r="L2138" t="s">
        <v>446</v>
      </c>
      <c r="M2138" t="s">
        <v>444</v>
      </c>
      <c r="N2138" s="2">
        <f>IFERROR(NHS_A_E[[#This Row],[T1_Over4hrs]]/NHS_A_E[[#This Row],[T1_Attendances]], 0)</f>
        <v>0</v>
      </c>
      <c r="O2138">
        <f>NHS_A_E[[#This Row],[T1_Attendances]]+NHS_A_E[[#This Row],[Other_Attendances]]</f>
        <v>537</v>
      </c>
      <c r="P2138">
        <f>MATCH(LEFT(A2138,FIND("-",A2138)-1),{"April","May","June","July","August","September","October","November","December","January","February","March"},0)</f>
        <v>11</v>
      </c>
      <c r="Q2138" s="3">
        <f t="shared" si="66"/>
        <v>0</v>
      </c>
      <c r="R2138" t="str">
        <f t="shared" si="67"/>
        <v>February</v>
      </c>
    </row>
    <row r="2139" spans="1:18" x14ac:dyDescent="0.35">
      <c r="A2139" t="s">
        <v>448</v>
      </c>
      <c r="B2139" t="s">
        <v>299</v>
      </c>
      <c r="C2139" t="s">
        <v>63</v>
      </c>
      <c r="D2139" t="s">
        <v>300</v>
      </c>
      <c r="E2139">
        <v>14380</v>
      </c>
      <c r="F2139">
        <v>0</v>
      </c>
      <c r="G2139">
        <v>2581</v>
      </c>
      <c r="H2139">
        <v>0</v>
      </c>
      <c r="I2139">
        <v>1253</v>
      </c>
      <c r="J2139">
        <v>154</v>
      </c>
      <c r="K2139" s="1">
        <v>46054</v>
      </c>
      <c r="L2139" t="s">
        <v>446</v>
      </c>
      <c r="M2139" t="s">
        <v>444</v>
      </c>
      <c r="N2139" s="2">
        <f>IFERROR(NHS_A_E[[#This Row],[T1_Over4hrs]]/NHS_A_E[[#This Row],[T1_Attendances]], 0)</f>
        <v>0.17948539638386649</v>
      </c>
      <c r="O2139">
        <f>NHS_A_E[[#This Row],[T1_Attendances]]+NHS_A_E[[#This Row],[Other_Attendances]]</f>
        <v>14380</v>
      </c>
      <c r="P2139">
        <f>MATCH(LEFT(A2139,FIND("-",A2139)-1),{"April","May","June","July","August","September","October","November","December","January","February","March"},0)</f>
        <v>11</v>
      </c>
      <c r="Q2139" s="3">
        <f t="shared" si="66"/>
        <v>1.070931849791377E-2</v>
      </c>
      <c r="R2139" t="str">
        <f t="shared" si="67"/>
        <v>February</v>
      </c>
    </row>
    <row r="2140" spans="1:18" x14ac:dyDescent="0.35">
      <c r="A2140" t="s">
        <v>448</v>
      </c>
      <c r="B2140" t="s">
        <v>325</v>
      </c>
      <c r="C2140" t="s">
        <v>40</v>
      </c>
      <c r="D2140" t="s">
        <v>326</v>
      </c>
      <c r="E2140">
        <v>0</v>
      </c>
      <c r="F2140">
        <v>7364</v>
      </c>
      <c r="G2140">
        <v>0</v>
      </c>
      <c r="H2140">
        <v>132</v>
      </c>
      <c r="I2140">
        <v>0</v>
      </c>
      <c r="J2140">
        <v>0</v>
      </c>
      <c r="K2140" s="1">
        <v>46054</v>
      </c>
      <c r="L2140" t="s">
        <v>446</v>
      </c>
      <c r="M2140" t="s">
        <v>444</v>
      </c>
      <c r="N2140" s="2">
        <f>IFERROR(NHS_A_E[[#This Row],[T1_Over4hrs]]/NHS_A_E[[#This Row],[T1_Attendances]], 0)</f>
        <v>0</v>
      </c>
      <c r="O2140">
        <f>NHS_A_E[[#This Row],[T1_Attendances]]+NHS_A_E[[#This Row],[Other_Attendances]]</f>
        <v>7364</v>
      </c>
      <c r="P2140">
        <f>MATCH(LEFT(A2140,FIND("-",A2140)-1),{"April","May","June","July","August","September","October","November","December","January","February","March"},0)</f>
        <v>11</v>
      </c>
      <c r="Q2140" s="3">
        <f t="shared" si="66"/>
        <v>0</v>
      </c>
      <c r="R2140" t="str">
        <f t="shared" si="67"/>
        <v>February</v>
      </c>
    </row>
    <row r="2141" spans="1:18" x14ac:dyDescent="0.35">
      <c r="A2141" t="s">
        <v>448</v>
      </c>
      <c r="B2141" t="s">
        <v>379</v>
      </c>
      <c r="C2141" t="s">
        <v>63</v>
      </c>
      <c r="D2141" t="s">
        <v>380</v>
      </c>
      <c r="E2141">
        <v>0</v>
      </c>
      <c r="F2141">
        <v>2209</v>
      </c>
      <c r="G2141">
        <v>0</v>
      </c>
      <c r="H2141">
        <v>9</v>
      </c>
      <c r="I2141">
        <v>0</v>
      </c>
      <c r="J2141">
        <v>0</v>
      </c>
      <c r="K2141" s="1">
        <v>46054</v>
      </c>
      <c r="L2141" t="s">
        <v>446</v>
      </c>
      <c r="M2141" t="s">
        <v>444</v>
      </c>
      <c r="N2141" s="2">
        <f>IFERROR(NHS_A_E[[#This Row],[T1_Over4hrs]]/NHS_A_E[[#This Row],[T1_Attendances]], 0)</f>
        <v>0</v>
      </c>
      <c r="O2141">
        <f>NHS_A_E[[#This Row],[T1_Attendances]]+NHS_A_E[[#This Row],[Other_Attendances]]</f>
        <v>2209</v>
      </c>
      <c r="P2141">
        <f>MATCH(LEFT(A2141,FIND("-",A2141)-1),{"April","May","June","July","August","September","October","November","December","January","February","March"},0)</f>
        <v>11</v>
      </c>
      <c r="Q2141" s="3">
        <f t="shared" si="66"/>
        <v>0</v>
      </c>
      <c r="R2141" t="str">
        <f t="shared" si="67"/>
        <v>February</v>
      </c>
    </row>
    <row r="2142" spans="1:18" x14ac:dyDescent="0.35">
      <c r="A2142" t="s">
        <v>448</v>
      </c>
      <c r="B2142" t="s">
        <v>227</v>
      </c>
      <c r="C2142" t="s">
        <v>30</v>
      </c>
      <c r="D2142" t="s">
        <v>228</v>
      </c>
      <c r="E2142">
        <v>0</v>
      </c>
      <c r="F2142">
        <v>772</v>
      </c>
      <c r="G2142">
        <v>0</v>
      </c>
      <c r="H2142">
        <v>1</v>
      </c>
      <c r="I2142">
        <v>0</v>
      </c>
      <c r="J2142">
        <v>0</v>
      </c>
      <c r="K2142" s="1">
        <v>46054</v>
      </c>
      <c r="L2142" t="s">
        <v>446</v>
      </c>
      <c r="M2142" t="s">
        <v>444</v>
      </c>
      <c r="N2142" s="2">
        <f>IFERROR(NHS_A_E[[#This Row],[T1_Over4hrs]]/NHS_A_E[[#This Row],[T1_Attendances]], 0)</f>
        <v>0</v>
      </c>
      <c r="O2142">
        <f>NHS_A_E[[#This Row],[T1_Attendances]]+NHS_A_E[[#This Row],[Other_Attendances]]</f>
        <v>772</v>
      </c>
      <c r="P2142">
        <f>MATCH(LEFT(A2142,FIND("-",A2142)-1),{"April","May","June","July","August","September","October","November","December","January","February","March"},0)</f>
        <v>11</v>
      </c>
      <c r="Q2142" s="3">
        <f t="shared" si="66"/>
        <v>0</v>
      </c>
      <c r="R2142" t="str">
        <f t="shared" si="67"/>
        <v>February</v>
      </c>
    </row>
    <row r="2143" spans="1:18" x14ac:dyDescent="0.35">
      <c r="A2143" t="s">
        <v>448</v>
      </c>
      <c r="B2143" t="s">
        <v>73</v>
      </c>
      <c r="C2143" t="s">
        <v>15</v>
      </c>
      <c r="D2143" t="s">
        <v>74</v>
      </c>
      <c r="E2143">
        <v>3551</v>
      </c>
      <c r="F2143">
        <v>1324</v>
      </c>
      <c r="G2143">
        <v>1235</v>
      </c>
      <c r="H2143">
        <v>78</v>
      </c>
      <c r="I2143">
        <v>211</v>
      </c>
      <c r="J2143">
        <v>159</v>
      </c>
      <c r="K2143" s="1">
        <v>46054</v>
      </c>
      <c r="L2143" t="s">
        <v>446</v>
      </c>
      <c r="M2143" t="s">
        <v>444</v>
      </c>
      <c r="N2143" s="2">
        <f>IFERROR(NHS_A_E[[#This Row],[T1_Over4hrs]]/NHS_A_E[[#This Row],[T1_Attendances]], 0)</f>
        <v>0.34778935511123626</v>
      </c>
      <c r="O2143">
        <f>NHS_A_E[[#This Row],[T1_Attendances]]+NHS_A_E[[#This Row],[Other_Attendances]]</f>
        <v>4875</v>
      </c>
      <c r="P2143">
        <f>MATCH(LEFT(A2143,FIND("-",A2143)-1),{"April","May","June","July","August","September","October","November","December","January","February","March"},0)</f>
        <v>11</v>
      </c>
      <c r="Q2143" s="3">
        <f t="shared" si="66"/>
        <v>4.4776119402985072E-2</v>
      </c>
      <c r="R2143" t="str">
        <f t="shared" si="67"/>
        <v>February</v>
      </c>
    </row>
    <row r="2144" spans="1:18" x14ac:dyDescent="0.35">
      <c r="A2144" t="s">
        <v>448</v>
      </c>
      <c r="B2144" t="s">
        <v>117</v>
      </c>
      <c r="C2144" t="s">
        <v>15</v>
      </c>
      <c r="D2144" t="s">
        <v>436</v>
      </c>
      <c r="E2144">
        <v>6229</v>
      </c>
      <c r="F2144">
        <v>1768</v>
      </c>
      <c r="G2144">
        <v>2097</v>
      </c>
      <c r="H2144">
        <v>0</v>
      </c>
      <c r="I2144">
        <v>326</v>
      </c>
      <c r="J2144">
        <v>8</v>
      </c>
      <c r="K2144" s="1">
        <v>46054</v>
      </c>
      <c r="L2144" t="s">
        <v>446</v>
      </c>
      <c r="M2144" t="s">
        <v>444</v>
      </c>
      <c r="N2144" s="2">
        <f>IFERROR(NHS_A_E[[#This Row],[T1_Over4hrs]]/NHS_A_E[[#This Row],[T1_Attendances]], 0)</f>
        <v>0.33665114785679884</v>
      </c>
      <c r="O2144">
        <f>NHS_A_E[[#This Row],[T1_Attendances]]+NHS_A_E[[#This Row],[Other_Attendances]]</f>
        <v>7997</v>
      </c>
      <c r="P2144">
        <f>MATCH(LEFT(A2144,FIND("-",A2144)-1),{"April","May","June","July","August","September","October","November","December","January","February","March"},0)</f>
        <v>11</v>
      </c>
      <c r="Q2144" s="3">
        <f t="shared" si="66"/>
        <v>1.2843152994060042E-3</v>
      </c>
      <c r="R2144" t="str">
        <f t="shared" si="67"/>
        <v>February</v>
      </c>
    </row>
    <row r="2145" spans="1:18" x14ac:dyDescent="0.35">
      <c r="A2145" t="s">
        <v>448</v>
      </c>
      <c r="B2145" t="s">
        <v>85</v>
      </c>
      <c r="C2145" t="s">
        <v>63</v>
      </c>
      <c r="D2145" t="s">
        <v>86</v>
      </c>
      <c r="E2145">
        <v>8619</v>
      </c>
      <c r="F2145">
        <v>2874</v>
      </c>
      <c r="G2145">
        <v>1977</v>
      </c>
      <c r="H2145">
        <v>0</v>
      </c>
      <c r="I2145">
        <v>572</v>
      </c>
      <c r="J2145">
        <v>75</v>
      </c>
      <c r="K2145" s="1">
        <v>46054</v>
      </c>
      <c r="L2145" t="s">
        <v>446</v>
      </c>
      <c r="M2145" t="s">
        <v>444</v>
      </c>
      <c r="N2145" s="2">
        <f>IFERROR(NHS_A_E[[#This Row],[T1_Over4hrs]]/NHS_A_E[[#This Row],[T1_Attendances]], 0)</f>
        <v>0.22937695788374521</v>
      </c>
      <c r="O2145">
        <f>NHS_A_E[[#This Row],[T1_Attendances]]+NHS_A_E[[#This Row],[Other_Attendances]]</f>
        <v>11493</v>
      </c>
      <c r="P2145">
        <f>MATCH(LEFT(A2145,FIND("-",A2145)-1),{"April","May","June","July","August","September","October","November","December","January","February","March"},0)</f>
        <v>11</v>
      </c>
      <c r="Q2145" s="3">
        <f t="shared" si="66"/>
        <v>8.7017055342847194E-3</v>
      </c>
      <c r="R2145" t="str">
        <f t="shared" si="67"/>
        <v>February</v>
      </c>
    </row>
    <row r="2146" spans="1:18" x14ac:dyDescent="0.35">
      <c r="A2146" t="s">
        <v>448</v>
      </c>
      <c r="B2146" t="s">
        <v>341</v>
      </c>
      <c r="C2146" t="s">
        <v>40</v>
      </c>
      <c r="D2146" t="s">
        <v>342</v>
      </c>
      <c r="E2146">
        <v>8964</v>
      </c>
      <c r="F2146">
        <v>3526</v>
      </c>
      <c r="G2146">
        <v>3143</v>
      </c>
      <c r="H2146">
        <v>54</v>
      </c>
      <c r="I2146">
        <v>1048</v>
      </c>
      <c r="J2146">
        <v>331</v>
      </c>
      <c r="K2146" s="1">
        <v>46054</v>
      </c>
      <c r="L2146" t="s">
        <v>446</v>
      </c>
      <c r="M2146" t="s">
        <v>444</v>
      </c>
      <c r="N2146" s="2">
        <f>IFERROR(NHS_A_E[[#This Row],[T1_Over4hrs]]/NHS_A_E[[#This Row],[T1_Attendances]], 0)</f>
        <v>0.35062472110664883</v>
      </c>
      <c r="O2146">
        <f>NHS_A_E[[#This Row],[T1_Attendances]]+NHS_A_E[[#This Row],[Other_Attendances]]</f>
        <v>12490</v>
      </c>
      <c r="P2146">
        <f>MATCH(LEFT(A2146,FIND("-",A2146)-1),{"April","May","June","July","August","September","October","November","December","January","February","March"},0)</f>
        <v>11</v>
      </c>
      <c r="Q2146" s="3">
        <f t="shared" si="66"/>
        <v>3.6925479696564033E-2</v>
      </c>
      <c r="R2146" t="str">
        <f t="shared" si="67"/>
        <v>February</v>
      </c>
    </row>
    <row r="2147" spans="1:18" x14ac:dyDescent="0.35">
      <c r="A2147" t="s">
        <v>448</v>
      </c>
      <c r="B2147" t="s">
        <v>345</v>
      </c>
      <c r="C2147" t="s">
        <v>23</v>
      </c>
      <c r="D2147" t="s">
        <v>346</v>
      </c>
      <c r="E2147">
        <v>15343</v>
      </c>
      <c r="F2147">
        <v>8106</v>
      </c>
      <c r="G2147">
        <v>5384</v>
      </c>
      <c r="H2147">
        <v>0</v>
      </c>
      <c r="I2147">
        <v>80</v>
      </c>
      <c r="J2147">
        <v>65</v>
      </c>
      <c r="K2147" s="1">
        <v>46054</v>
      </c>
      <c r="L2147" t="s">
        <v>446</v>
      </c>
      <c r="M2147" t="s">
        <v>444</v>
      </c>
      <c r="N2147" s="2">
        <f>IFERROR(NHS_A_E[[#This Row],[T1_Over4hrs]]/NHS_A_E[[#This Row],[T1_Attendances]], 0)</f>
        <v>0.35090920941145798</v>
      </c>
      <c r="O2147">
        <f>NHS_A_E[[#This Row],[T1_Attendances]]+NHS_A_E[[#This Row],[Other_Attendances]]</f>
        <v>23449</v>
      </c>
      <c r="P2147">
        <f>MATCH(LEFT(A2147,FIND("-",A2147)-1),{"April","May","June","July","August","September","October","November","December","January","February","March"},0)</f>
        <v>11</v>
      </c>
      <c r="Q2147" s="3">
        <f t="shared" si="66"/>
        <v>4.2364596232809752E-3</v>
      </c>
      <c r="R2147" t="str">
        <f t="shared" si="67"/>
        <v>February</v>
      </c>
    </row>
    <row r="2148" spans="1:18" x14ac:dyDescent="0.35">
      <c r="A2148" t="s">
        <v>448</v>
      </c>
      <c r="B2148" t="s">
        <v>349</v>
      </c>
      <c r="C2148" t="s">
        <v>20</v>
      </c>
      <c r="D2148" t="s">
        <v>350</v>
      </c>
      <c r="E2148">
        <v>11271</v>
      </c>
      <c r="F2148">
        <v>3705</v>
      </c>
      <c r="G2148">
        <v>5037</v>
      </c>
      <c r="H2148">
        <v>14</v>
      </c>
      <c r="I2148">
        <v>885</v>
      </c>
      <c r="J2148">
        <v>298</v>
      </c>
      <c r="K2148" s="1">
        <v>46054</v>
      </c>
      <c r="L2148" t="s">
        <v>446</v>
      </c>
      <c r="M2148" t="s">
        <v>444</v>
      </c>
      <c r="N2148" s="2">
        <f>IFERROR(NHS_A_E[[#This Row],[T1_Over4hrs]]/NHS_A_E[[#This Row],[T1_Attendances]], 0)</f>
        <v>0.44689912163960605</v>
      </c>
      <c r="O2148">
        <f>NHS_A_E[[#This Row],[T1_Attendances]]+NHS_A_E[[#This Row],[Other_Attendances]]</f>
        <v>14976</v>
      </c>
      <c r="P2148">
        <f>MATCH(LEFT(A2148,FIND("-",A2148)-1),{"April","May","June","July","August","September","October","November","December","January","February","March"},0)</f>
        <v>11</v>
      </c>
      <c r="Q2148" s="3">
        <f t="shared" si="66"/>
        <v>2.6439535090054121E-2</v>
      </c>
      <c r="R2148" t="str">
        <f t="shared" si="67"/>
        <v>February</v>
      </c>
    </row>
    <row r="2149" spans="1:18" x14ac:dyDescent="0.35">
      <c r="A2149" t="s">
        <v>448</v>
      </c>
      <c r="B2149" t="s">
        <v>233</v>
      </c>
      <c r="C2149" t="s">
        <v>30</v>
      </c>
      <c r="D2149" t="s">
        <v>234</v>
      </c>
      <c r="E2149">
        <v>4892</v>
      </c>
      <c r="F2149">
        <v>2263</v>
      </c>
      <c r="G2149">
        <v>2525</v>
      </c>
      <c r="H2149">
        <v>351</v>
      </c>
      <c r="I2149">
        <v>229</v>
      </c>
      <c r="J2149">
        <v>747</v>
      </c>
      <c r="K2149" s="1">
        <v>46054</v>
      </c>
      <c r="L2149" t="s">
        <v>446</v>
      </c>
      <c r="M2149" t="s">
        <v>444</v>
      </c>
      <c r="N2149" s="2">
        <f>IFERROR(NHS_A_E[[#This Row],[T1_Over4hrs]]/NHS_A_E[[#This Row],[T1_Attendances]], 0)</f>
        <v>0.51614881439084215</v>
      </c>
      <c r="O2149">
        <f>NHS_A_E[[#This Row],[T1_Attendances]]+NHS_A_E[[#This Row],[Other_Attendances]]</f>
        <v>7155</v>
      </c>
      <c r="P2149">
        <f>MATCH(LEFT(A2149,FIND("-",A2149)-1),{"April","May","June","July","August","September","October","November","December","January","February","March"},0)</f>
        <v>11</v>
      </c>
      <c r="Q2149" s="3">
        <f t="shared" si="66"/>
        <v>0.15269828291087489</v>
      </c>
      <c r="R2149" t="str">
        <f t="shared" si="67"/>
        <v>February</v>
      </c>
    </row>
    <row r="2150" spans="1:18" x14ac:dyDescent="0.35">
      <c r="A2150" t="s">
        <v>448</v>
      </c>
      <c r="B2150" t="s">
        <v>413</v>
      </c>
      <c r="C2150" t="s">
        <v>20</v>
      </c>
      <c r="D2150" t="s">
        <v>414</v>
      </c>
      <c r="E2150">
        <v>7807</v>
      </c>
      <c r="F2150">
        <v>6932</v>
      </c>
      <c r="G2150">
        <v>4956</v>
      </c>
      <c r="H2150">
        <v>143</v>
      </c>
      <c r="I2150">
        <v>516</v>
      </c>
      <c r="J2150">
        <v>591</v>
      </c>
      <c r="K2150" s="1">
        <v>46054</v>
      </c>
      <c r="L2150" t="s">
        <v>446</v>
      </c>
      <c r="M2150" t="s">
        <v>444</v>
      </c>
      <c r="N2150" s="2">
        <f>IFERROR(NHS_A_E[[#This Row],[T1_Over4hrs]]/NHS_A_E[[#This Row],[T1_Attendances]], 0)</f>
        <v>0.63481490969642629</v>
      </c>
      <c r="O2150">
        <f>NHS_A_E[[#This Row],[T1_Attendances]]+NHS_A_E[[#This Row],[Other_Attendances]]</f>
        <v>14739</v>
      </c>
      <c r="P2150">
        <f>MATCH(LEFT(A2150,FIND("-",A2150)-1),{"April","May","June","July","August","September","October","November","December","January","February","March"},0)</f>
        <v>11</v>
      </c>
      <c r="Q2150" s="3">
        <f t="shared" si="66"/>
        <v>7.5701293710772388E-2</v>
      </c>
      <c r="R2150" t="str">
        <f t="shared" si="67"/>
        <v>February</v>
      </c>
    </row>
    <row r="2151" spans="1:18" x14ac:dyDescent="0.35">
      <c r="A2151" t="s">
        <v>448</v>
      </c>
      <c r="B2151" t="s">
        <v>44</v>
      </c>
      <c r="C2151" t="s">
        <v>40</v>
      </c>
      <c r="D2151" t="s">
        <v>45</v>
      </c>
      <c r="E2151">
        <v>11365</v>
      </c>
      <c r="F2151">
        <v>5403</v>
      </c>
      <c r="G2151">
        <v>4797</v>
      </c>
      <c r="H2151">
        <v>87</v>
      </c>
      <c r="I2151">
        <v>50</v>
      </c>
      <c r="J2151">
        <v>14</v>
      </c>
      <c r="K2151" s="1">
        <v>46054</v>
      </c>
      <c r="L2151" t="s">
        <v>446</v>
      </c>
      <c r="M2151" t="s">
        <v>444</v>
      </c>
      <c r="N2151" s="2">
        <f>IFERROR(NHS_A_E[[#This Row],[T1_Over4hrs]]/NHS_A_E[[#This Row],[T1_Attendances]], 0)</f>
        <v>0.42208534975802903</v>
      </c>
      <c r="O2151">
        <f>NHS_A_E[[#This Row],[T1_Attendances]]+NHS_A_E[[#This Row],[Other_Attendances]]</f>
        <v>16768</v>
      </c>
      <c r="P2151">
        <f>MATCH(LEFT(A2151,FIND("-",A2151)-1),{"April","May","June","July","August","September","October","November","December","January","February","March"},0)</f>
        <v>11</v>
      </c>
      <c r="Q2151" s="3">
        <f t="shared" si="66"/>
        <v>1.2318521777386713E-3</v>
      </c>
      <c r="R2151" t="str">
        <f t="shared" si="67"/>
        <v>February</v>
      </c>
    </row>
    <row r="2152" spans="1:18" x14ac:dyDescent="0.35">
      <c r="A2152" t="s">
        <v>448</v>
      </c>
      <c r="B2152" t="s">
        <v>355</v>
      </c>
      <c r="C2152" t="s">
        <v>30</v>
      </c>
      <c r="D2152" t="s">
        <v>356</v>
      </c>
      <c r="E2152">
        <v>7536</v>
      </c>
      <c r="F2152">
        <v>2572</v>
      </c>
      <c r="G2152">
        <v>4074</v>
      </c>
      <c r="H2152">
        <v>49</v>
      </c>
      <c r="I2152">
        <v>321</v>
      </c>
      <c r="J2152">
        <v>706</v>
      </c>
      <c r="K2152" s="1">
        <v>46054</v>
      </c>
      <c r="L2152" t="s">
        <v>446</v>
      </c>
      <c r="M2152" t="s">
        <v>444</v>
      </c>
      <c r="N2152" s="2">
        <f>IFERROR(NHS_A_E[[#This Row],[T1_Over4hrs]]/NHS_A_E[[#This Row],[T1_Attendances]], 0)</f>
        <v>0.54060509554140124</v>
      </c>
      <c r="O2152">
        <f>NHS_A_E[[#This Row],[T1_Attendances]]+NHS_A_E[[#This Row],[Other_Attendances]]</f>
        <v>10108</v>
      </c>
      <c r="P2152">
        <f>MATCH(LEFT(A2152,FIND("-",A2152)-1),{"April","May","June","July","August","September","October","November","December","January","February","March"},0)</f>
        <v>11</v>
      </c>
      <c r="Q2152" s="3">
        <f t="shared" si="66"/>
        <v>9.3683651804670906E-2</v>
      </c>
      <c r="R2152" t="str">
        <f t="shared" si="67"/>
        <v>February</v>
      </c>
    </row>
    <row r="2153" spans="1:18" x14ac:dyDescent="0.35">
      <c r="A2153" t="s">
        <v>448</v>
      </c>
      <c r="B2153" t="s">
        <v>217</v>
      </c>
      <c r="C2153" t="s">
        <v>15</v>
      </c>
      <c r="D2153" t="s">
        <v>218</v>
      </c>
      <c r="E2153">
        <v>9416</v>
      </c>
      <c r="F2153">
        <v>3936</v>
      </c>
      <c r="G2153">
        <v>4819</v>
      </c>
      <c r="H2153">
        <v>136</v>
      </c>
      <c r="I2153">
        <v>197</v>
      </c>
      <c r="J2153">
        <v>18</v>
      </c>
      <c r="K2153" s="1">
        <v>46054</v>
      </c>
      <c r="L2153" t="s">
        <v>446</v>
      </c>
      <c r="M2153" t="s">
        <v>444</v>
      </c>
      <c r="N2153" s="2">
        <f>IFERROR(NHS_A_E[[#This Row],[T1_Over4hrs]]/NHS_A_E[[#This Row],[T1_Attendances]], 0)</f>
        <v>0.51178844519966016</v>
      </c>
      <c r="O2153">
        <f>NHS_A_E[[#This Row],[T1_Attendances]]+NHS_A_E[[#This Row],[Other_Attendances]]</f>
        <v>13352</v>
      </c>
      <c r="P2153">
        <f>MATCH(LEFT(A2153,FIND("-",A2153)-1),{"April","May","June","July","August","September","October","November","December","January","February","March"},0)</f>
        <v>11</v>
      </c>
      <c r="Q2153" s="3">
        <f t="shared" si="66"/>
        <v>1.9116397621070519E-3</v>
      </c>
      <c r="R2153" t="str">
        <f t="shared" si="67"/>
        <v>February</v>
      </c>
    </row>
    <row r="2154" spans="1:18" x14ac:dyDescent="0.35">
      <c r="A2154" t="s">
        <v>448</v>
      </c>
      <c r="B2154" t="s">
        <v>407</v>
      </c>
      <c r="C2154" t="s">
        <v>35</v>
      </c>
      <c r="D2154" t="s">
        <v>408</v>
      </c>
      <c r="E2154">
        <v>0</v>
      </c>
      <c r="F2154">
        <v>0</v>
      </c>
      <c r="G2154">
        <v>0</v>
      </c>
      <c r="H2154">
        <v>0</v>
      </c>
      <c r="I2154">
        <v>0</v>
      </c>
      <c r="J2154">
        <v>0</v>
      </c>
      <c r="K2154" s="1">
        <v>46054</v>
      </c>
      <c r="L2154" t="s">
        <v>446</v>
      </c>
      <c r="M2154" t="s">
        <v>444</v>
      </c>
      <c r="N2154" s="2">
        <f>IFERROR(NHS_A_E[[#This Row],[T1_Over4hrs]]/NHS_A_E[[#This Row],[T1_Attendances]], 0)</f>
        <v>0</v>
      </c>
      <c r="O2154">
        <f>NHS_A_E[[#This Row],[T1_Attendances]]+NHS_A_E[[#This Row],[Other_Attendances]]</f>
        <v>0</v>
      </c>
      <c r="P2154">
        <f>MATCH(LEFT(A2154,FIND("-",A2154)-1),{"April","May","June","July","August","September","October","November","December","January","February","March"},0)</f>
        <v>11</v>
      </c>
      <c r="Q2154" s="3">
        <f t="shared" si="66"/>
        <v>0</v>
      </c>
      <c r="R2154" t="str">
        <f t="shared" si="67"/>
        <v>February</v>
      </c>
    </row>
    <row r="2155" spans="1:18" x14ac:dyDescent="0.35">
      <c r="A2155" t="s">
        <v>448</v>
      </c>
      <c r="B2155" t="s">
        <v>323</v>
      </c>
      <c r="C2155" t="s">
        <v>23</v>
      </c>
      <c r="D2155" t="s">
        <v>324</v>
      </c>
      <c r="E2155">
        <v>7845</v>
      </c>
      <c r="F2155">
        <v>1890</v>
      </c>
      <c r="G2155">
        <v>2063</v>
      </c>
      <c r="H2155">
        <v>0</v>
      </c>
      <c r="I2155">
        <v>522</v>
      </c>
      <c r="J2155">
        <v>286</v>
      </c>
      <c r="K2155" s="1">
        <v>46054</v>
      </c>
      <c r="L2155" t="s">
        <v>446</v>
      </c>
      <c r="M2155" t="s">
        <v>444</v>
      </c>
      <c r="N2155" s="2">
        <f>IFERROR(NHS_A_E[[#This Row],[T1_Over4hrs]]/NHS_A_E[[#This Row],[T1_Attendances]], 0)</f>
        <v>0.2629700446144041</v>
      </c>
      <c r="O2155">
        <f>NHS_A_E[[#This Row],[T1_Attendances]]+NHS_A_E[[#This Row],[Other_Attendances]]</f>
        <v>9735</v>
      </c>
      <c r="P2155">
        <f>MATCH(LEFT(A2155,FIND("-",A2155)-1),{"April","May","June","July","August","September","October","November","December","January","February","March"},0)</f>
        <v>11</v>
      </c>
      <c r="Q2155" s="3">
        <f t="shared" si="66"/>
        <v>3.6456341618865518E-2</v>
      </c>
      <c r="R2155" t="str">
        <f t="shared" si="67"/>
        <v>February</v>
      </c>
    </row>
    <row r="2156" spans="1:18" x14ac:dyDescent="0.35">
      <c r="A2156" t="s">
        <v>448</v>
      </c>
      <c r="B2156" t="s">
        <v>253</v>
      </c>
      <c r="C2156" t="s">
        <v>63</v>
      </c>
      <c r="D2156" t="s">
        <v>254</v>
      </c>
      <c r="E2156">
        <v>5310</v>
      </c>
      <c r="F2156">
        <v>4073</v>
      </c>
      <c r="G2156">
        <v>2298</v>
      </c>
      <c r="H2156">
        <v>38</v>
      </c>
      <c r="I2156">
        <v>667</v>
      </c>
      <c r="J2156">
        <v>1</v>
      </c>
      <c r="K2156" s="1">
        <v>46054</v>
      </c>
      <c r="L2156" t="s">
        <v>446</v>
      </c>
      <c r="M2156" t="s">
        <v>444</v>
      </c>
      <c r="N2156" s="2">
        <f>IFERROR(NHS_A_E[[#This Row],[T1_Over4hrs]]/NHS_A_E[[#This Row],[T1_Attendances]], 0)</f>
        <v>0.43276836158192089</v>
      </c>
      <c r="O2156">
        <f>NHS_A_E[[#This Row],[T1_Attendances]]+NHS_A_E[[#This Row],[Other_Attendances]]</f>
        <v>9383</v>
      </c>
      <c r="P2156">
        <f>MATCH(LEFT(A2156,FIND("-",A2156)-1),{"April","May","June","July","August","September","October","November","December","January","February","March"},0)</f>
        <v>11</v>
      </c>
      <c r="Q2156" s="3">
        <f t="shared" si="66"/>
        <v>1.8832391713747646E-4</v>
      </c>
      <c r="R2156" t="str">
        <f t="shared" si="67"/>
        <v>February</v>
      </c>
    </row>
    <row r="2157" spans="1:18" x14ac:dyDescent="0.35">
      <c r="A2157" t="s">
        <v>448</v>
      </c>
      <c r="B2157" t="s">
        <v>157</v>
      </c>
      <c r="C2157" t="s">
        <v>40</v>
      </c>
      <c r="D2157" t="s">
        <v>158</v>
      </c>
      <c r="E2157">
        <v>30640</v>
      </c>
      <c r="F2157">
        <v>2868</v>
      </c>
      <c r="G2157">
        <v>12820</v>
      </c>
      <c r="H2157">
        <v>40</v>
      </c>
      <c r="I2157">
        <v>2238</v>
      </c>
      <c r="J2157">
        <v>1923</v>
      </c>
      <c r="K2157" s="1">
        <v>46054</v>
      </c>
      <c r="L2157" t="s">
        <v>446</v>
      </c>
      <c r="M2157" t="s">
        <v>444</v>
      </c>
      <c r="N2157" s="2">
        <f>IFERROR(NHS_A_E[[#This Row],[T1_Over4hrs]]/NHS_A_E[[#This Row],[T1_Attendances]], 0)</f>
        <v>0.41840731070496084</v>
      </c>
      <c r="O2157">
        <f>NHS_A_E[[#This Row],[T1_Attendances]]+NHS_A_E[[#This Row],[Other_Attendances]]</f>
        <v>33508</v>
      </c>
      <c r="P2157">
        <f>MATCH(LEFT(A2157,FIND("-",A2157)-1),{"April","May","June","July","August","September","October","November","December","January","February","March"},0)</f>
        <v>11</v>
      </c>
      <c r="Q2157" s="3">
        <f t="shared" si="66"/>
        <v>6.2761096605744124E-2</v>
      </c>
      <c r="R2157" t="str">
        <f t="shared" si="67"/>
        <v>February</v>
      </c>
    </row>
    <row r="2158" spans="1:18" x14ac:dyDescent="0.35">
      <c r="A2158" t="s">
        <v>448</v>
      </c>
      <c r="B2158" t="s">
        <v>175</v>
      </c>
      <c r="C2158" t="s">
        <v>63</v>
      </c>
      <c r="D2158" t="s">
        <v>176</v>
      </c>
      <c r="E2158">
        <v>4547</v>
      </c>
      <c r="F2158">
        <v>10252</v>
      </c>
      <c r="G2158">
        <v>2496</v>
      </c>
      <c r="H2158">
        <v>19</v>
      </c>
      <c r="I2158">
        <v>209</v>
      </c>
      <c r="J2158">
        <v>39</v>
      </c>
      <c r="K2158" s="1">
        <v>46054</v>
      </c>
      <c r="L2158" t="s">
        <v>446</v>
      </c>
      <c r="M2158" t="s">
        <v>444</v>
      </c>
      <c r="N2158" s="2">
        <f>IFERROR(NHS_A_E[[#This Row],[T1_Over4hrs]]/NHS_A_E[[#This Row],[T1_Attendances]], 0)</f>
        <v>0.54893336265669668</v>
      </c>
      <c r="O2158">
        <f>NHS_A_E[[#This Row],[T1_Attendances]]+NHS_A_E[[#This Row],[Other_Attendances]]</f>
        <v>14799</v>
      </c>
      <c r="P2158">
        <f>MATCH(LEFT(A2158,FIND("-",A2158)-1),{"April","May","June","July","August","September","October","November","December","January","February","March"},0)</f>
        <v>11</v>
      </c>
      <c r="Q2158" s="3">
        <f t="shared" si="66"/>
        <v>8.5770837915108856E-3</v>
      </c>
      <c r="R2158" t="str">
        <f t="shared" si="67"/>
        <v>February</v>
      </c>
    </row>
    <row r="2159" spans="1:18" x14ac:dyDescent="0.35">
      <c r="A2159" t="s">
        <v>448</v>
      </c>
      <c r="B2159" t="s">
        <v>377</v>
      </c>
      <c r="C2159" t="s">
        <v>63</v>
      </c>
      <c r="D2159" t="s">
        <v>378</v>
      </c>
      <c r="E2159">
        <v>14874</v>
      </c>
      <c r="F2159">
        <v>5785</v>
      </c>
      <c r="G2159">
        <v>5674</v>
      </c>
      <c r="H2159">
        <v>157</v>
      </c>
      <c r="I2159">
        <v>2006</v>
      </c>
      <c r="J2159">
        <v>610</v>
      </c>
      <c r="K2159" s="1">
        <v>46054</v>
      </c>
      <c r="L2159" t="s">
        <v>446</v>
      </c>
      <c r="M2159" t="s">
        <v>444</v>
      </c>
      <c r="N2159" s="2">
        <f>IFERROR(NHS_A_E[[#This Row],[T1_Over4hrs]]/NHS_A_E[[#This Row],[T1_Attendances]], 0)</f>
        <v>0.38147102326206805</v>
      </c>
      <c r="O2159">
        <f>NHS_A_E[[#This Row],[T1_Attendances]]+NHS_A_E[[#This Row],[Other_Attendances]]</f>
        <v>20659</v>
      </c>
      <c r="P2159">
        <f>MATCH(LEFT(A2159,FIND("-",A2159)-1),{"April","May","June","July","August","September","October","November","December","January","February","March"},0)</f>
        <v>11</v>
      </c>
      <c r="Q2159" s="3">
        <f t="shared" si="66"/>
        <v>4.1011160414145487E-2</v>
      </c>
      <c r="R2159" t="str">
        <f t="shared" si="67"/>
        <v>February</v>
      </c>
    </row>
    <row r="2160" spans="1:18" x14ac:dyDescent="0.35">
      <c r="A2160" t="s">
        <v>448</v>
      </c>
      <c r="B2160" t="s">
        <v>301</v>
      </c>
      <c r="C2160" t="s">
        <v>30</v>
      </c>
      <c r="D2160" t="s">
        <v>302</v>
      </c>
      <c r="E2160">
        <v>0</v>
      </c>
      <c r="F2160">
        <v>3123</v>
      </c>
      <c r="G2160">
        <v>0</v>
      </c>
      <c r="H2160">
        <v>205</v>
      </c>
      <c r="I2160">
        <v>0</v>
      </c>
      <c r="J2160">
        <v>0</v>
      </c>
      <c r="K2160" s="1">
        <v>46054</v>
      </c>
      <c r="L2160" t="s">
        <v>446</v>
      </c>
      <c r="M2160" t="s">
        <v>444</v>
      </c>
      <c r="N2160" s="2">
        <f>IFERROR(NHS_A_E[[#This Row],[T1_Over4hrs]]/NHS_A_E[[#This Row],[T1_Attendances]], 0)</f>
        <v>0</v>
      </c>
      <c r="O2160">
        <f>NHS_A_E[[#This Row],[T1_Attendances]]+NHS_A_E[[#This Row],[Other_Attendances]]</f>
        <v>3123</v>
      </c>
      <c r="P2160">
        <f>MATCH(LEFT(A2160,FIND("-",A2160)-1),{"April","May","June","July","August","September","October","November","December","January","February","March"},0)</f>
        <v>11</v>
      </c>
      <c r="Q2160" s="3">
        <f t="shared" si="66"/>
        <v>0</v>
      </c>
      <c r="R2160" t="str">
        <f t="shared" si="67"/>
        <v>February</v>
      </c>
    </row>
    <row r="2161" spans="1:18" x14ac:dyDescent="0.35">
      <c r="A2161" t="s">
        <v>448</v>
      </c>
      <c r="B2161" t="s">
        <v>207</v>
      </c>
      <c r="C2161" t="s">
        <v>15</v>
      </c>
      <c r="D2161" t="s">
        <v>208</v>
      </c>
      <c r="E2161">
        <v>24026</v>
      </c>
      <c r="F2161">
        <v>1562</v>
      </c>
      <c r="G2161">
        <v>10461</v>
      </c>
      <c r="H2161">
        <v>187</v>
      </c>
      <c r="I2161">
        <v>894</v>
      </c>
      <c r="J2161">
        <v>946</v>
      </c>
      <c r="K2161" s="1">
        <v>46054</v>
      </c>
      <c r="L2161" t="s">
        <v>446</v>
      </c>
      <c r="M2161" t="s">
        <v>444</v>
      </c>
      <c r="N2161" s="2">
        <f>IFERROR(NHS_A_E[[#This Row],[T1_Over4hrs]]/NHS_A_E[[#This Row],[T1_Attendances]], 0)</f>
        <v>0.43540331307749935</v>
      </c>
      <c r="O2161">
        <f>NHS_A_E[[#This Row],[T1_Attendances]]+NHS_A_E[[#This Row],[Other_Attendances]]</f>
        <v>25588</v>
      </c>
      <c r="P2161">
        <f>MATCH(LEFT(A2161,FIND("-",A2161)-1),{"April","May","June","July","August","September","October","November","December","January","February","March"},0)</f>
        <v>11</v>
      </c>
      <c r="Q2161" s="3">
        <f t="shared" si="66"/>
        <v>3.9374011487555149E-2</v>
      </c>
      <c r="R2161" t="str">
        <f t="shared" si="67"/>
        <v>February</v>
      </c>
    </row>
    <row r="2162" spans="1:18" x14ac:dyDescent="0.35">
      <c r="A2162" t="s">
        <v>448</v>
      </c>
      <c r="B2162" t="s">
        <v>283</v>
      </c>
      <c r="C2162" t="s">
        <v>15</v>
      </c>
      <c r="D2162" t="s">
        <v>284</v>
      </c>
      <c r="E2162">
        <v>0</v>
      </c>
      <c r="F2162">
        <v>2696</v>
      </c>
      <c r="G2162">
        <v>0</v>
      </c>
      <c r="H2162">
        <v>7</v>
      </c>
      <c r="I2162">
        <v>0</v>
      </c>
      <c r="J2162">
        <v>0</v>
      </c>
      <c r="K2162" s="1">
        <v>46054</v>
      </c>
      <c r="L2162" t="s">
        <v>446</v>
      </c>
      <c r="M2162" t="s">
        <v>444</v>
      </c>
      <c r="N2162" s="2">
        <f>IFERROR(NHS_A_E[[#This Row],[T1_Over4hrs]]/NHS_A_E[[#This Row],[T1_Attendances]], 0)</f>
        <v>0</v>
      </c>
      <c r="O2162">
        <f>NHS_A_E[[#This Row],[T1_Attendances]]+NHS_A_E[[#This Row],[Other_Attendances]]</f>
        <v>2696</v>
      </c>
      <c r="P2162">
        <f>MATCH(LEFT(A2162,FIND("-",A2162)-1),{"April","May","June","July","August","September","October","November","December","January","February","March"},0)</f>
        <v>11</v>
      </c>
      <c r="Q2162" s="3">
        <f t="shared" si="66"/>
        <v>0</v>
      </c>
      <c r="R2162" t="str">
        <f t="shared" si="67"/>
        <v>February</v>
      </c>
    </row>
    <row r="2163" spans="1:18" x14ac:dyDescent="0.35">
      <c r="A2163" t="s">
        <v>448</v>
      </c>
      <c r="B2163" t="s">
        <v>369</v>
      </c>
      <c r="C2163" t="s">
        <v>30</v>
      </c>
      <c r="D2163" t="s">
        <v>370</v>
      </c>
      <c r="E2163">
        <v>0</v>
      </c>
      <c r="F2163">
        <v>2849</v>
      </c>
      <c r="G2163">
        <v>0</v>
      </c>
      <c r="H2163">
        <v>39</v>
      </c>
      <c r="I2163">
        <v>0</v>
      </c>
      <c r="J2163">
        <v>0</v>
      </c>
      <c r="K2163" s="1">
        <v>46054</v>
      </c>
      <c r="L2163" t="s">
        <v>446</v>
      </c>
      <c r="M2163" t="s">
        <v>444</v>
      </c>
      <c r="N2163" s="2">
        <f>IFERROR(NHS_A_E[[#This Row],[T1_Over4hrs]]/NHS_A_E[[#This Row],[T1_Attendances]], 0)</f>
        <v>0</v>
      </c>
      <c r="O2163">
        <f>NHS_A_E[[#This Row],[T1_Attendances]]+NHS_A_E[[#This Row],[Other_Attendances]]</f>
        <v>2849</v>
      </c>
      <c r="P2163">
        <f>MATCH(LEFT(A2163,FIND("-",A2163)-1),{"April","May","June","July","August","September","October","November","December","January","February","March"},0)</f>
        <v>11</v>
      </c>
      <c r="Q2163" s="3">
        <f t="shared" si="66"/>
        <v>0</v>
      </c>
      <c r="R2163" t="str">
        <f t="shared" si="67"/>
        <v>February</v>
      </c>
    </row>
    <row r="2164" spans="1:18" x14ac:dyDescent="0.35">
      <c r="A2164" t="s">
        <v>448</v>
      </c>
      <c r="B2164" t="s">
        <v>163</v>
      </c>
      <c r="C2164" t="s">
        <v>35</v>
      </c>
      <c r="D2164" t="s">
        <v>164</v>
      </c>
      <c r="E2164">
        <v>0</v>
      </c>
      <c r="F2164">
        <v>3098</v>
      </c>
      <c r="G2164">
        <v>0</v>
      </c>
      <c r="H2164">
        <v>6</v>
      </c>
      <c r="I2164">
        <v>0</v>
      </c>
      <c r="J2164">
        <v>0</v>
      </c>
      <c r="K2164" s="1">
        <v>46054</v>
      </c>
      <c r="L2164" t="s">
        <v>446</v>
      </c>
      <c r="M2164" t="s">
        <v>444</v>
      </c>
      <c r="N2164" s="2">
        <f>IFERROR(NHS_A_E[[#This Row],[T1_Over4hrs]]/NHS_A_E[[#This Row],[T1_Attendances]], 0)</f>
        <v>0</v>
      </c>
      <c r="O2164">
        <f>NHS_A_E[[#This Row],[T1_Attendances]]+NHS_A_E[[#This Row],[Other_Attendances]]</f>
        <v>3098</v>
      </c>
      <c r="P2164">
        <f>MATCH(LEFT(A2164,FIND("-",A2164)-1),{"April","May","June","July","August","September","October","November","December","January","February","March"},0)</f>
        <v>11</v>
      </c>
      <c r="Q2164" s="3">
        <f t="shared" si="66"/>
        <v>0</v>
      </c>
      <c r="R2164" t="str">
        <f t="shared" si="67"/>
        <v>February</v>
      </c>
    </row>
    <row r="2165" spans="1:18" x14ac:dyDescent="0.35">
      <c r="A2165" t="s">
        <v>448</v>
      </c>
      <c r="B2165" t="s">
        <v>197</v>
      </c>
      <c r="C2165" t="s">
        <v>63</v>
      </c>
      <c r="D2165" t="s">
        <v>198</v>
      </c>
      <c r="E2165">
        <v>11451</v>
      </c>
      <c r="F2165">
        <v>3338</v>
      </c>
      <c r="G2165">
        <v>4871</v>
      </c>
      <c r="H2165">
        <v>0</v>
      </c>
      <c r="I2165">
        <v>1808</v>
      </c>
      <c r="J2165">
        <v>18</v>
      </c>
      <c r="K2165" s="1">
        <v>46054</v>
      </c>
      <c r="L2165" t="s">
        <v>446</v>
      </c>
      <c r="M2165" t="s">
        <v>444</v>
      </c>
      <c r="N2165" s="2">
        <f>IFERROR(NHS_A_E[[#This Row],[T1_Over4hrs]]/NHS_A_E[[#This Row],[T1_Attendances]], 0)</f>
        <v>0.42537769627106803</v>
      </c>
      <c r="O2165">
        <f>NHS_A_E[[#This Row],[T1_Attendances]]+NHS_A_E[[#This Row],[Other_Attendances]]</f>
        <v>14789</v>
      </c>
      <c r="P2165">
        <f>MATCH(LEFT(A2165,FIND("-",A2165)-1),{"April","May","June","July","August","September","October","November","December","January","February","March"},0)</f>
        <v>11</v>
      </c>
      <c r="Q2165" s="3">
        <f t="shared" si="66"/>
        <v>1.5719151165837044E-3</v>
      </c>
      <c r="R2165" t="str">
        <f t="shared" si="67"/>
        <v>February</v>
      </c>
    </row>
    <row r="2166" spans="1:18" x14ac:dyDescent="0.35">
      <c r="A2166" t="s">
        <v>448</v>
      </c>
      <c r="B2166" t="s">
        <v>327</v>
      </c>
      <c r="C2166" t="s">
        <v>40</v>
      </c>
      <c r="D2166" t="s">
        <v>328</v>
      </c>
      <c r="E2166">
        <v>0</v>
      </c>
      <c r="F2166">
        <v>6582</v>
      </c>
      <c r="G2166">
        <v>0</v>
      </c>
      <c r="H2166">
        <v>261</v>
      </c>
      <c r="I2166">
        <v>0</v>
      </c>
      <c r="J2166">
        <v>0</v>
      </c>
      <c r="K2166" s="1">
        <v>46054</v>
      </c>
      <c r="L2166" t="s">
        <v>446</v>
      </c>
      <c r="M2166" t="s">
        <v>444</v>
      </c>
      <c r="N2166" s="2">
        <f>IFERROR(NHS_A_E[[#This Row],[T1_Over4hrs]]/NHS_A_E[[#This Row],[T1_Attendances]], 0)</f>
        <v>0</v>
      </c>
      <c r="O2166">
        <f>NHS_A_E[[#This Row],[T1_Attendances]]+NHS_A_E[[#This Row],[Other_Attendances]]</f>
        <v>6582</v>
      </c>
      <c r="P2166">
        <f>MATCH(LEFT(A2166,FIND("-",A2166)-1),{"April","May","June","July","August","September","October","November","December","January","February","March"},0)</f>
        <v>11</v>
      </c>
      <c r="Q2166" s="3">
        <f t="shared" si="66"/>
        <v>0</v>
      </c>
      <c r="R2166" t="str">
        <f t="shared" si="67"/>
        <v>February</v>
      </c>
    </row>
    <row r="2167" spans="1:18" x14ac:dyDescent="0.35">
      <c r="A2167" t="s">
        <v>448</v>
      </c>
      <c r="B2167" t="s">
        <v>259</v>
      </c>
      <c r="C2167" t="s">
        <v>40</v>
      </c>
      <c r="D2167" t="s">
        <v>260</v>
      </c>
      <c r="E2167">
        <v>0</v>
      </c>
      <c r="F2167">
        <v>0</v>
      </c>
      <c r="G2167">
        <v>0</v>
      </c>
      <c r="H2167">
        <v>0</v>
      </c>
      <c r="I2167">
        <v>0</v>
      </c>
      <c r="J2167">
        <v>0</v>
      </c>
      <c r="K2167" s="1">
        <v>46054</v>
      </c>
      <c r="L2167" t="s">
        <v>446</v>
      </c>
      <c r="M2167" t="s">
        <v>444</v>
      </c>
      <c r="N2167" s="2">
        <f>IFERROR(NHS_A_E[[#This Row],[T1_Over4hrs]]/NHS_A_E[[#This Row],[T1_Attendances]], 0)</f>
        <v>0</v>
      </c>
      <c r="O2167">
        <f>NHS_A_E[[#This Row],[T1_Attendances]]+NHS_A_E[[#This Row],[Other_Attendances]]</f>
        <v>0</v>
      </c>
      <c r="P2167">
        <f>MATCH(LEFT(A2167,FIND("-",A2167)-1),{"April","May","June","July","August","September","October","November","December","January","February","March"},0)</f>
        <v>11</v>
      </c>
      <c r="Q2167" s="3">
        <f t="shared" si="66"/>
        <v>0</v>
      </c>
      <c r="R2167" t="str">
        <f t="shared" si="67"/>
        <v>February</v>
      </c>
    </row>
    <row r="2168" spans="1:18" x14ac:dyDescent="0.35">
      <c r="A2168" t="s">
        <v>448</v>
      </c>
      <c r="B2168" t="s">
        <v>239</v>
      </c>
      <c r="C2168" t="s">
        <v>35</v>
      </c>
      <c r="D2168" t="s">
        <v>240</v>
      </c>
      <c r="E2168">
        <v>0</v>
      </c>
      <c r="F2168">
        <v>780</v>
      </c>
      <c r="G2168">
        <v>0</v>
      </c>
      <c r="H2168">
        <v>0</v>
      </c>
      <c r="I2168">
        <v>0</v>
      </c>
      <c r="J2168">
        <v>0</v>
      </c>
      <c r="K2168" s="1">
        <v>46054</v>
      </c>
      <c r="L2168" t="s">
        <v>446</v>
      </c>
      <c r="M2168" t="s">
        <v>444</v>
      </c>
      <c r="N2168" s="2">
        <f>IFERROR(NHS_A_E[[#This Row],[T1_Over4hrs]]/NHS_A_E[[#This Row],[T1_Attendances]], 0)</f>
        <v>0</v>
      </c>
      <c r="O2168">
        <f>NHS_A_E[[#This Row],[T1_Attendances]]+NHS_A_E[[#This Row],[Other_Attendances]]</f>
        <v>780</v>
      </c>
      <c r="P2168">
        <f>MATCH(LEFT(A2168,FIND("-",A2168)-1),{"April","May","June","July","August","September","October","November","December","January","February","March"},0)</f>
        <v>11</v>
      </c>
      <c r="Q2168" s="3">
        <f t="shared" si="66"/>
        <v>0</v>
      </c>
      <c r="R2168" t="str">
        <f t="shared" si="67"/>
        <v>February</v>
      </c>
    </row>
    <row r="2169" spans="1:18" x14ac:dyDescent="0.35">
      <c r="A2169" t="s">
        <v>448</v>
      </c>
      <c r="B2169" t="s">
        <v>422</v>
      </c>
      <c r="C2169" t="s">
        <v>20</v>
      </c>
      <c r="D2169" t="s">
        <v>423</v>
      </c>
      <c r="E2169">
        <v>0</v>
      </c>
      <c r="F2169">
        <v>989</v>
      </c>
      <c r="G2169">
        <v>0</v>
      </c>
      <c r="H2169">
        <v>1</v>
      </c>
      <c r="I2169">
        <v>0</v>
      </c>
      <c r="J2169">
        <v>0</v>
      </c>
      <c r="K2169" s="1">
        <v>46054</v>
      </c>
      <c r="L2169" t="s">
        <v>446</v>
      </c>
      <c r="M2169" t="s">
        <v>444</v>
      </c>
      <c r="N2169" s="2">
        <f>IFERROR(NHS_A_E[[#This Row],[T1_Over4hrs]]/NHS_A_E[[#This Row],[T1_Attendances]], 0)</f>
        <v>0</v>
      </c>
      <c r="O2169">
        <f>NHS_A_E[[#This Row],[T1_Attendances]]+NHS_A_E[[#This Row],[Other_Attendances]]</f>
        <v>989</v>
      </c>
      <c r="P2169">
        <f>MATCH(LEFT(A2169,FIND("-",A2169)-1),{"April","May","June","July","August","September","October","November","December","January","February","March"},0)</f>
        <v>11</v>
      </c>
      <c r="Q2169" s="3">
        <f t="shared" si="66"/>
        <v>0</v>
      </c>
      <c r="R2169" t="str">
        <f t="shared" si="67"/>
        <v>February</v>
      </c>
    </row>
    <row r="2170" spans="1:18" x14ac:dyDescent="0.35">
      <c r="A2170" t="s">
        <v>448</v>
      </c>
      <c r="B2170" t="s">
        <v>385</v>
      </c>
      <c r="C2170" t="s">
        <v>20</v>
      </c>
      <c r="D2170" t="s">
        <v>386</v>
      </c>
      <c r="E2170">
        <v>0</v>
      </c>
      <c r="F2170">
        <v>7064</v>
      </c>
      <c r="G2170">
        <v>0</v>
      </c>
      <c r="H2170">
        <v>136</v>
      </c>
      <c r="I2170">
        <v>0</v>
      </c>
      <c r="J2170">
        <v>0</v>
      </c>
      <c r="K2170" s="1">
        <v>46054</v>
      </c>
      <c r="L2170" t="s">
        <v>446</v>
      </c>
      <c r="M2170" t="s">
        <v>444</v>
      </c>
      <c r="N2170" s="2">
        <f>IFERROR(NHS_A_E[[#This Row],[T1_Over4hrs]]/NHS_A_E[[#This Row],[T1_Attendances]], 0)</f>
        <v>0</v>
      </c>
      <c r="O2170">
        <f>NHS_A_E[[#This Row],[T1_Attendances]]+NHS_A_E[[#This Row],[Other_Attendances]]</f>
        <v>7064</v>
      </c>
      <c r="P2170">
        <f>MATCH(LEFT(A2170,FIND("-",A2170)-1),{"April","May","June","July","August","September","October","November","December","January","February","March"},0)</f>
        <v>11</v>
      </c>
      <c r="Q2170" s="3">
        <f t="shared" si="66"/>
        <v>0</v>
      </c>
      <c r="R2170" t="str">
        <f t="shared" si="67"/>
        <v>February</v>
      </c>
    </row>
    <row r="2171" spans="1:18" x14ac:dyDescent="0.35">
      <c r="A2171" t="s">
        <v>448</v>
      </c>
      <c r="B2171" t="s">
        <v>424</v>
      </c>
      <c r="C2171" t="s">
        <v>20</v>
      </c>
      <c r="D2171" t="s">
        <v>425</v>
      </c>
      <c r="E2171">
        <v>0</v>
      </c>
      <c r="F2171">
        <v>1393</v>
      </c>
      <c r="G2171">
        <v>0</v>
      </c>
      <c r="H2171">
        <v>29</v>
      </c>
      <c r="I2171">
        <v>0</v>
      </c>
      <c r="J2171">
        <v>0</v>
      </c>
      <c r="K2171" s="1">
        <v>46054</v>
      </c>
      <c r="L2171" t="s">
        <v>446</v>
      </c>
      <c r="M2171" t="s">
        <v>444</v>
      </c>
      <c r="N2171" s="2">
        <f>IFERROR(NHS_A_E[[#This Row],[T1_Over4hrs]]/NHS_A_E[[#This Row],[T1_Attendances]], 0)</f>
        <v>0</v>
      </c>
      <c r="O2171">
        <f>NHS_A_E[[#This Row],[T1_Attendances]]+NHS_A_E[[#This Row],[Other_Attendances]]</f>
        <v>1393</v>
      </c>
      <c r="P2171">
        <f>MATCH(LEFT(A2171,FIND("-",A2171)-1),{"April","May","June","July","August","September","October","November","December","January","February","March"},0)</f>
        <v>11</v>
      </c>
      <c r="Q2171" s="3">
        <f t="shared" si="66"/>
        <v>0</v>
      </c>
      <c r="R2171" t="str">
        <f t="shared" si="67"/>
        <v>February</v>
      </c>
    </row>
    <row r="2172" spans="1:18" x14ac:dyDescent="0.35">
      <c r="A2172" t="s">
        <v>448</v>
      </c>
      <c r="B2172" t="s">
        <v>311</v>
      </c>
      <c r="C2172" t="s">
        <v>20</v>
      </c>
      <c r="D2172" t="s">
        <v>312</v>
      </c>
      <c r="E2172">
        <v>0</v>
      </c>
      <c r="F2172">
        <v>998</v>
      </c>
      <c r="G2172">
        <v>0</v>
      </c>
      <c r="H2172">
        <v>10</v>
      </c>
      <c r="I2172">
        <v>0</v>
      </c>
      <c r="J2172">
        <v>0</v>
      </c>
      <c r="K2172" s="1">
        <v>46054</v>
      </c>
      <c r="L2172" t="s">
        <v>446</v>
      </c>
      <c r="M2172" t="s">
        <v>444</v>
      </c>
      <c r="N2172" s="2">
        <f>IFERROR(NHS_A_E[[#This Row],[T1_Over4hrs]]/NHS_A_E[[#This Row],[T1_Attendances]], 0)</f>
        <v>0</v>
      </c>
      <c r="O2172">
        <f>NHS_A_E[[#This Row],[T1_Attendances]]+NHS_A_E[[#This Row],[Other_Attendances]]</f>
        <v>998</v>
      </c>
      <c r="P2172">
        <f>MATCH(LEFT(A2172,FIND("-",A2172)-1),{"April","May","June","July","August","September","October","November","December","January","February","March"},0)</f>
        <v>11</v>
      </c>
      <c r="Q2172" s="3">
        <f t="shared" si="66"/>
        <v>0</v>
      </c>
      <c r="R2172" t="str">
        <f t="shared" si="67"/>
        <v>February</v>
      </c>
    </row>
    <row r="2173" spans="1:18" x14ac:dyDescent="0.35">
      <c r="A2173" t="s">
        <v>448</v>
      </c>
      <c r="B2173" t="s">
        <v>71</v>
      </c>
      <c r="C2173" t="s">
        <v>35</v>
      </c>
      <c r="D2173" t="s">
        <v>72</v>
      </c>
      <c r="E2173">
        <v>0</v>
      </c>
      <c r="F2173">
        <v>0</v>
      </c>
      <c r="G2173">
        <v>0</v>
      </c>
      <c r="H2173">
        <v>0</v>
      </c>
      <c r="I2173">
        <v>0</v>
      </c>
      <c r="J2173">
        <v>0</v>
      </c>
      <c r="K2173" s="1">
        <v>46054</v>
      </c>
      <c r="L2173" t="s">
        <v>446</v>
      </c>
      <c r="M2173" t="s">
        <v>444</v>
      </c>
      <c r="N2173" s="2">
        <f>IFERROR(NHS_A_E[[#This Row],[T1_Over4hrs]]/NHS_A_E[[#This Row],[T1_Attendances]], 0)</f>
        <v>0</v>
      </c>
      <c r="O2173">
        <f>NHS_A_E[[#This Row],[T1_Attendances]]+NHS_A_E[[#This Row],[Other_Attendances]]</f>
        <v>0</v>
      </c>
      <c r="P2173">
        <f>MATCH(LEFT(A2173,FIND("-",A2173)-1),{"April","May","June","July","August","September","October","November","December","January","February","March"},0)</f>
        <v>11</v>
      </c>
      <c r="Q2173" s="3">
        <f t="shared" si="66"/>
        <v>0</v>
      </c>
      <c r="R2173" t="str">
        <f t="shared" si="67"/>
        <v>February</v>
      </c>
    </row>
    <row r="2174" spans="1:18" x14ac:dyDescent="0.35">
      <c r="A2174" t="s">
        <v>448</v>
      </c>
      <c r="B2174" t="s">
        <v>387</v>
      </c>
      <c r="C2174" t="s">
        <v>35</v>
      </c>
      <c r="D2174" t="s">
        <v>388</v>
      </c>
      <c r="E2174">
        <v>0</v>
      </c>
      <c r="F2174">
        <v>1605</v>
      </c>
      <c r="G2174">
        <v>0</v>
      </c>
      <c r="H2174">
        <v>41</v>
      </c>
      <c r="I2174">
        <v>0</v>
      </c>
      <c r="J2174">
        <v>0</v>
      </c>
      <c r="K2174" s="1">
        <v>46054</v>
      </c>
      <c r="L2174" t="s">
        <v>446</v>
      </c>
      <c r="M2174" t="s">
        <v>444</v>
      </c>
      <c r="N2174" s="2">
        <f>IFERROR(NHS_A_E[[#This Row],[T1_Over4hrs]]/NHS_A_E[[#This Row],[T1_Attendances]], 0)</f>
        <v>0</v>
      </c>
      <c r="O2174">
        <f>NHS_A_E[[#This Row],[T1_Attendances]]+NHS_A_E[[#This Row],[Other_Attendances]]</f>
        <v>1605</v>
      </c>
      <c r="P2174">
        <f>MATCH(LEFT(A2174,FIND("-",A2174)-1),{"April","May","June","July","August","September","October","November","December","January","February","March"},0)</f>
        <v>11</v>
      </c>
      <c r="Q2174" s="3">
        <f t="shared" si="66"/>
        <v>0</v>
      </c>
      <c r="R2174" t="str">
        <f t="shared" si="67"/>
        <v>February</v>
      </c>
    </row>
    <row r="2175" spans="1:18" x14ac:dyDescent="0.35">
      <c r="A2175" t="s">
        <v>448</v>
      </c>
      <c r="B2175" t="s">
        <v>67</v>
      </c>
      <c r="C2175" t="s">
        <v>30</v>
      </c>
      <c r="D2175" t="s">
        <v>68</v>
      </c>
      <c r="E2175">
        <v>0</v>
      </c>
      <c r="F2175">
        <v>0</v>
      </c>
      <c r="G2175">
        <v>0</v>
      </c>
      <c r="H2175">
        <v>0</v>
      </c>
      <c r="I2175">
        <v>0</v>
      </c>
      <c r="J2175">
        <v>0</v>
      </c>
      <c r="K2175" s="1">
        <v>46054</v>
      </c>
      <c r="L2175" t="s">
        <v>446</v>
      </c>
      <c r="M2175" t="s">
        <v>444</v>
      </c>
      <c r="N2175" s="2">
        <f>IFERROR(NHS_A_E[[#This Row],[T1_Over4hrs]]/NHS_A_E[[#This Row],[T1_Attendances]], 0)</f>
        <v>0</v>
      </c>
      <c r="O2175">
        <f>NHS_A_E[[#This Row],[T1_Attendances]]+NHS_A_E[[#This Row],[Other_Attendances]]</f>
        <v>0</v>
      </c>
      <c r="P2175">
        <f>MATCH(LEFT(A2175,FIND("-",A2175)-1),{"April","May","June","July","August","September","October","November","December","January","February","March"},0)</f>
        <v>11</v>
      </c>
      <c r="Q2175" s="3">
        <f t="shared" si="66"/>
        <v>0</v>
      </c>
      <c r="R2175" t="str">
        <f t="shared" si="67"/>
        <v>February</v>
      </c>
    </row>
    <row r="2176" spans="1:18" x14ac:dyDescent="0.35">
      <c r="A2176" t="s">
        <v>448</v>
      </c>
      <c r="B2176" t="s">
        <v>291</v>
      </c>
      <c r="C2176" t="s">
        <v>63</v>
      </c>
      <c r="D2176" t="s">
        <v>292</v>
      </c>
      <c r="E2176">
        <v>4569</v>
      </c>
      <c r="F2176">
        <v>1292</v>
      </c>
      <c r="G2176">
        <v>1375</v>
      </c>
      <c r="H2176">
        <v>1</v>
      </c>
      <c r="I2176">
        <v>254</v>
      </c>
      <c r="J2176">
        <v>12</v>
      </c>
      <c r="K2176" s="1">
        <v>46054</v>
      </c>
      <c r="L2176" t="s">
        <v>446</v>
      </c>
      <c r="M2176" t="s">
        <v>444</v>
      </c>
      <c r="N2176" s="2">
        <f>IFERROR(NHS_A_E[[#This Row],[T1_Over4hrs]]/NHS_A_E[[#This Row],[T1_Attendances]], 0)</f>
        <v>0.30094112497264169</v>
      </c>
      <c r="O2176">
        <f>NHS_A_E[[#This Row],[T1_Attendances]]+NHS_A_E[[#This Row],[Other_Attendances]]</f>
        <v>5861</v>
      </c>
      <c r="P2176">
        <f>MATCH(LEFT(A2176,FIND("-",A2176)-1),{"April","May","June","July","August","September","October","November","December","January","February","March"},0)</f>
        <v>11</v>
      </c>
      <c r="Q2176" s="3">
        <f t="shared" si="66"/>
        <v>2.6263952724885093E-3</v>
      </c>
      <c r="R2176" t="str">
        <f t="shared" si="67"/>
        <v>February</v>
      </c>
    </row>
    <row r="2177" spans="1:18" x14ac:dyDescent="0.35">
      <c r="A2177" t="s">
        <v>448</v>
      </c>
      <c r="B2177" t="s">
        <v>391</v>
      </c>
      <c r="C2177" t="s">
        <v>63</v>
      </c>
      <c r="D2177" t="s">
        <v>392</v>
      </c>
      <c r="E2177">
        <v>4002</v>
      </c>
      <c r="F2177">
        <v>348</v>
      </c>
      <c r="G2177">
        <v>295</v>
      </c>
      <c r="H2177">
        <v>0</v>
      </c>
      <c r="I2177">
        <v>16</v>
      </c>
      <c r="J2177">
        <v>0</v>
      </c>
      <c r="K2177" s="1">
        <v>46054</v>
      </c>
      <c r="L2177" t="s">
        <v>446</v>
      </c>
      <c r="M2177" t="s">
        <v>444</v>
      </c>
      <c r="N2177" s="2">
        <f>IFERROR(NHS_A_E[[#This Row],[T1_Over4hrs]]/NHS_A_E[[#This Row],[T1_Attendances]], 0)</f>
        <v>7.371314342828586E-2</v>
      </c>
      <c r="O2177">
        <f>NHS_A_E[[#This Row],[T1_Attendances]]+NHS_A_E[[#This Row],[Other_Attendances]]</f>
        <v>4350</v>
      </c>
      <c r="P2177">
        <f>MATCH(LEFT(A2177,FIND("-",A2177)-1),{"April","May","June","July","August","September","October","November","December","January","February","March"},0)</f>
        <v>11</v>
      </c>
      <c r="Q2177" s="3">
        <f t="shared" si="66"/>
        <v>0</v>
      </c>
      <c r="R2177" t="str">
        <f t="shared" si="67"/>
        <v>February</v>
      </c>
    </row>
    <row r="2178" spans="1:18" x14ac:dyDescent="0.35">
      <c r="A2178" t="s">
        <v>448</v>
      </c>
      <c r="B2178" t="s">
        <v>399</v>
      </c>
      <c r="C2178" t="s">
        <v>40</v>
      </c>
      <c r="D2178" t="s">
        <v>400</v>
      </c>
      <c r="E2178">
        <v>7533</v>
      </c>
      <c r="F2178">
        <v>328</v>
      </c>
      <c r="G2178">
        <v>2135</v>
      </c>
      <c r="H2178">
        <v>0</v>
      </c>
      <c r="I2178">
        <v>508</v>
      </c>
      <c r="J2178">
        <v>87</v>
      </c>
      <c r="K2178" s="1">
        <v>46054</v>
      </c>
      <c r="L2178" t="s">
        <v>446</v>
      </c>
      <c r="M2178" t="s">
        <v>444</v>
      </c>
      <c r="N2178" s="2">
        <f>IFERROR(NHS_A_E[[#This Row],[T1_Over4hrs]]/NHS_A_E[[#This Row],[T1_Attendances]], 0)</f>
        <v>0.28341962033718304</v>
      </c>
      <c r="O2178">
        <f>NHS_A_E[[#This Row],[T1_Attendances]]+NHS_A_E[[#This Row],[Other_Attendances]]</f>
        <v>7861</v>
      </c>
      <c r="P2178">
        <f>MATCH(LEFT(A2178,FIND("-",A2178)-1),{"April","May","June","July","August","September","October","November","December","January","February","March"},0)</f>
        <v>11</v>
      </c>
      <c r="Q2178" s="3">
        <f t="shared" ref="Q2178:Q2241" si="68">IFERROR(J2178/E2178,0)</f>
        <v>1.1549183592194345E-2</v>
      </c>
      <c r="R2178" t="str">
        <f t="shared" ref="R2178:R2241" si="69">TEXT(A2178, "mmmm")</f>
        <v>February</v>
      </c>
    </row>
    <row r="2179" spans="1:18" x14ac:dyDescent="0.35">
      <c r="A2179" t="s">
        <v>448</v>
      </c>
      <c r="B2179" t="s">
        <v>39</v>
      </c>
      <c r="C2179" t="s">
        <v>40</v>
      </c>
      <c r="D2179" t="s">
        <v>41</v>
      </c>
      <c r="E2179">
        <v>13322</v>
      </c>
      <c r="F2179">
        <v>7425</v>
      </c>
      <c r="G2179">
        <v>7432</v>
      </c>
      <c r="H2179">
        <v>74</v>
      </c>
      <c r="I2179">
        <v>1095</v>
      </c>
      <c r="J2179">
        <v>927</v>
      </c>
      <c r="K2179" s="1">
        <v>46054</v>
      </c>
      <c r="L2179" t="s">
        <v>446</v>
      </c>
      <c r="M2179" t="s">
        <v>444</v>
      </c>
      <c r="N2179" s="2">
        <f>IFERROR(NHS_A_E[[#This Row],[T1_Over4hrs]]/NHS_A_E[[#This Row],[T1_Attendances]], 0)</f>
        <v>0.55787419306410446</v>
      </c>
      <c r="O2179">
        <f>NHS_A_E[[#This Row],[T1_Attendances]]+NHS_A_E[[#This Row],[Other_Attendances]]</f>
        <v>20747</v>
      </c>
      <c r="P2179">
        <f>MATCH(LEFT(A2179,FIND("-",A2179)-1),{"April","May","June","July","August","September","October","November","December","January","February","March"},0)</f>
        <v>11</v>
      </c>
      <c r="Q2179" s="3">
        <f t="shared" si="68"/>
        <v>6.9584146524545865E-2</v>
      </c>
      <c r="R2179" t="str">
        <f t="shared" si="69"/>
        <v>February</v>
      </c>
    </row>
    <row r="2180" spans="1:18" x14ac:dyDescent="0.35">
      <c r="A2180" t="s">
        <v>448</v>
      </c>
      <c r="B2180" t="s">
        <v>351</v>
      </c>
      <c r="C2180" t="s">
        <v>63</v>
      </c>
      <c r="D2180" t="s">
        <v>352</v>
      </c>
      <c r="E2180">
        <v>9527</v>
      </c>
      <c r="F2180">
        <v>5753</v>
      </c>
      <c r="G2180">
        <v>4382</v>
      </c>
      <c r="H2180">
        <v>40</v>
      </c>
      <c r="I2180">
        <v>576</v>
      </c>
      <c r="J2180">
        <v>874</v>
      </c>
      <c r="K2180" s="1">
        <v>46054</v>
      </c>
      <c r="L2180" t="s">
        <v>446</v>
      </c>
      <c r="M2180" t="s">
        <v>444</v>
      </c>
      <c r="N2180" s="2">
        <f>IFERROR(NHS_A_E[[#This Row],[T1_Over4hrs]]/NHS_A_E[[#This Row],[T1_Attendances]], 0)</f>
        <v>0.45995591476855252</v>
      </c>
      <c r="O2180">
        <f>NHS_A_E[[#This Row],[T1_Attendances]]+NHS_A_E[[#This Row],[Other_Attendances]]</f>
        <v>15280</v>
      </c>
      <c r="P2180">
        <f>MATCH(LEFT(A2180,FIND("-",A2180)-1),{"April","May","June","July","August","September","October","November","December","January","February","March"},0)</f>
        <v>11</v>
      </c>
      <c r="Q2180" s="3">
        <f t="shared" si="68"/>
        <v>9.1739267345439274E-2</v>
      </c>
      <c r="R2180" t="str">
        <f t="shared" si="69"/>
        <v>February</v>
      </c>
    </row>
    <row r="2181" spans="1:18" x14ac:dyDescent="0.35">
      <c r="A2181" t="s">
        <v>448</v>
      </c>
      <c r="B2181" t="s">
        <v>48</v>
      </c>
      <c r="C2181" t="s">
        <v>40</v>
      </c>
      <c r="D2181" t="s">
        <v>49</v>
      </c>
      <c r="E2181">
        <v>6469</v>
      </c>
      <c r="F2181">
        <v>1502</v>
      </c>
      <c r="G2181">
        <v>1578</v>
      </c>
      <c r="H2181">
        <v>3</v>
      </c>
      <c r="I2181">
        <v>378</v>
      </c>
      <c r="J2181">
        <v>269</v>
      </c>
      <c r="K2181" s="1">
        <v>46054</v>
      </c>
      <c r="L2181" t="s">
        <v>446</v>
      </c>
      <c r="M2181" t="s">
        <v>444</v>
      </c>
      <c r="N2181" s="2">
        <f>IFERROR(NHS_A_E[[#This Row],[T1_Over4hrs]]/NHS_A_E[[#This Row],[T1_Attendances]], 0)</f>
        <v>0.24393260163858402</v>
      </c>
      <c r="O2181">
        <f>NHS_A_E[[#This Row],[T1_Attendances]]+NHS_A_E[[#This Row],[Other_Attendances]]</f>
        <v>7971</v>
      </c>
      <c r="P2181">
        <f>MATCH(LEFT(A2181,FIND("-",A2181)-1),{"April","May","June","July","August","September","October","November","December","January","February","March"},0)</f>
        <v>11</v>
      </c>
      <c r="Q2181" s="3">
        <f t="shared" si="68"/>
        <v>4.1582933992889162E-2</v>
      </c>
      <c r="R2181" t="str">
        <f t="shared" si="69"/>
        <v>February</v>
      </c>
    </row>
    <row r="2182" spans="1:18" x14ac:dyDescent="0.35">
      <c r="A2182" t="s">
        <v>448</v>
      </c>
      <c r="B2182" t="s">
        <v>129</v>
      </c>
      <c r="C2182" t="s">
        <v>63</v>
      </c>
      <c r="D2182" t="s">
        <v>130</v>
      </c>
      <c r="E2182">
        <v>12523</v>
      </c>
      <c r="F2182">
        <v>3554</v>
      </c>
      <c r="G2182">
        <v>4722</v>
      </c>
      <c r="H2182">
        <v>5</v>
      </c>
      <c r="I2182">
        <v>1169</v>
      </c>
      <c r="J2182">
        <v>202</v>
      </c>
      <c r="K2182" s="1">
        <v>46054</v>
      </c>
      <c r="L2182" t="s">
        <v>446</v>
      </c>
      <c r="M2182" t="s">
        <v>444</v>
      </c>
      <c r="N2182" s="2">
        <f>IFERROR(NHS_A_E[[#This Row],[T1_Over4hrs]]/NHS_A_E[[#This Row],[T1_Attendances]], 0)</f>
        <v>0.37706619819532061</v>
      </c>
      <c r="O2182">
        <f>NHS_A_E[[#This Row],[T1_Attendances]]+NHS_A_E[[#This Row],[Other_Attendances]]</f>
        <v>16077</v>
      </c>
      <c r="P2182">
        <f>MATCH(LEFT(A2182,FIND("-",A2182)-1),{"April","May","June","July","August","September","October","November","December","January","February","March"},0)</f>
        <v>11</v>
      </c>
      <c r="Q2182" s="3">
        <f t="shared" si="68"/>
        <v>1.6130320210812107E-2</v>
      </c>
      <c r="R2182" t="str">
        <f t="shared" si="69"/>
        <v>February</v>
      </c>
    </row>
    <row r="2183" spans="1:18" x14ac:dyDescent="0.35">
      <c r="A2183" t="s">
        <v>448</v>
      </c>
      <c r="B2183" t="s">
        <v>121</v>
      </c>
      <c r="C2183" t="s">
        <v>15</v>
      </c>
      <c r="D2183" t="s">
        <v>122</v>
      </c>
      <c r="E2183">
        <v>6942</v>
      </c>
      <c r="F2183">
        <v>2493</v>
      </c>
      <c r="G2183">
        <v>3607</v>
      </c>
      <c r="H2183">
        <v>36</v>
      </c>
      <c r="I2183">
        <v>446</v>
      </c>
      <c r="J2183">
        <v>452</v>
      </c>
      <c r="K2183" s="1">
        <v>46054</v>
      </c>
      <c r="L2183" t="s">
        <v>446</v>
      </c>
      <c r="M2183" t="s">
        <v>444</v>
      </c>
      <c r="N2183" s="2">
        <f>IFERROR(NHS_A_E[[#This Row],[T1_Over4hrs]]/NHS_A_E[[#This Row],[T1_Attendances]], 0)</f>
        <v>0.51959089599539032</v>
      </c>
      <c r="O2183">
        <f>NHS_A_E[[#This Row],[T1_Attendances]]+NHS_A_E[[#This Row],[Other_Attendances]]</f>
        <v>9435</v>
      </c>
      <c r="P2183">
        <f>MATCH(LEFT(A2183,FIND("-",A2183)-1),{"April","May","June","July","August","September","October","November","December","January","February","March"},0)</f>
        <v>11</v>
      </c>
      <c r="Q2183" s="3">
        <f t="shared" si="68"/>
        <v>6.5110919043503315E-2</v>
      </c>
      <c r="R2183" t="str">
        <f t="shared" si="69"/>
        <v>February</v>
      </c>
    </row>
    <row r="2184" spans="1:18" x14ac:dyDescent="0.35">
      <c r="A2184" t="s">
        <v>448</v>
      </c>
      <c r="B2184" t="s">
        <v>295</v>
      </c>
      <c r="C2184" t="s">
        <v>15</v>
      </c>
      <c r="D2184" t="s">
        <v>296</v>
      </c>
      <c r="E2184">
        <v>9234</v>
      </c>
      <c r="F2184">
        <v>0</v>
      </c>
      <c r="G2184">
        <v>4051</v>
      </c>
      <c r="H2184">
        <v>0</v>
      </c>
      <c r="I2184">
        <v>485</v>
      </c>
      <c r="J2184">
        <v>593</v>
      </c>
      <c r="K2184" s="1">
        <v>46054</v>
      </c>
      <c r="L2184" t="s">
        <v>446</v>
      </c>
      <c r="M2184" t="s">
        <v>444</v>
      </c>
      <c r="N2184" s="2">
        <f>IFERROR(NHS_A_E[[#This Row],[T1_Over4hrs]]/NHS_A_E[[#This Row],[T1_Attendances]], 0)</f>
        <v>0.43870478665800305</v>
      </c>
      <c r="O2184">
        <f>NHS_A_E[[#This Row],[T1_Attendances]]+NHS_A_E[[#This Row],[Other_Attendances]]</f>
        <v>9234</v>
      </c>
      <c r="P2184">
        <f>MATCH(LEFT(A2184,FIND("-",A2184)-1),{"April","May","June","July","August","September","October","November","December","January","February","March"},0)</f>
        <v>11</v>
      </c>
      <c r="Q2184" s="3">
        <f t="shared" si="68"/>
        <v>6.4219189950184108E-2</v>
      </c>
      <c r="R2184" t="str">
        <f t="shared" si="69"/>
        <v>February</v>
      </c>
    </row>
    <row r="2185" spans="1:18" x14ac:dyDescent="0.35">
      <c r="A2185" t="s">
        <v>448</v>
      </c>
      <c r="B2185" t="s">
        <v>275</v>
      </c>
      <c r="C2185" t="s">
        <v>20</v>
      </c>
      <c r="D2185" t="s">
        <v>276</v>
      </c>
      <c r="E2185">
        <v>0</v>
      </c>
      <c r="F2185">
        <v>7085</v>
      </c>
      <c r="G2185">
        <v>0</v>
      </c>
      <c r="H2185">
        <v>103</v>
      </c>
      <c r="I2185">
        <v>0</v>
      </c>
      <c r="J2185">
        <v>0</v>
      </c>
      <c r="K2185" s="1">
        <v>46054</v>
      </c>
      <c r="L2185" t="s">
        <v>446</v>
      </c>
      <c r="M2185" t="s">
        <v>444</v>
      </c>
      <c r="N2185" s="2">
        <f>IFERROR(NHS_A_E[[#This Row],[T1_Over4hrs]]/NHS_A_E[[#This Row],[T1_Attendances]], 0)</f>
        <v>0</v>
      </c>
      <c r="O2185">
        <f>NHS_A_E[[#This Row],[T1_Attendances]]+NHS_A_E[[#This Row],[Other_Attendances]]</f>
        <v>7085</v>
      </c>
      <c r="P2185">
        <f>MATCH(LEFT(A2185,FIND("-",A2185)-1),{"April","May","June","July","August","September","October","November","December","January","February","March"},0)</f>
        <v>11</v>
      </c>
      <c r="Q2185" s="3">
        <f t="shared" si="68"/>
        <v>0</v>
      </c>
      <c r="R2185" t="str">
        <f t="shared" si="69"/>
        <v>February</v>
      </c>
    </row>
    <row r="2186" spans="1:18" x14ac:dyDescent="0.35">
      <c r="A2186" t="s">
        <v>448</v>
      </c>
      <c r="B2186" t="s">
        <v>409</v>
      </c>
      <c r="C2186" t="s">
        <v>15</v>
      </c>
      <c r="D2186" t="s">
        <v>410</v>
      </c>
      <c r="E2186">
        <v>16798</v>
      </c>
      <c r="F2186">
        <v>1822</v>
      </c>
      <c r="G2186">
        <v>4094</v>
      </c>
      <c r="H2186">
        <v>26</v>
      </c>
      <c r="I2186">
        <v>933</v>
      </c>
      <c r="J2186">
        <v>373</v>
      </c>
      <c r="K2186" s="1">
        <v>46054</v>
      </c>
      <c r="L2186" t="s">
        <v>446</v>
      </c>
      <c r="M2186" t="s">
        <v>444</v>
      </c>
      <c r="N2186" s="2">
        <f>IFERROR(NHS_A_E[[#This Row],[T1_Over4hrs]]/NHS_A_E[[#This Row],[T1_Attendances]], 0)</f>
        <v>0.24371949041552565</v>
      </c>
      <c r="O2186">
        <f>NHS_A_E[[#This Row],[T1_Attendances]]+NHS_A_E[[#This Row],[Other_Attendances]]</f>
        <v>18620</v>
      </c>
      <c r="P2186">
        <f>MATCH(LEFT(A2186,FIND("-",A2186)-1),{"April","May","June","July","August","September","October","November","December","January","February","March"},0)</f>
        <v>11</v>
      </c>
      <c r="Q2186" s="3">
        <f t="shared" si="68"/>
        <v>2.2205024407667581E-2</v>
      </c>
      <c r="R2186" t="str">
        <f t="shared" si="69"/>
        <v>February</v>
      </c>
    </row>
    <row r="2187" spans="1:18" x14ac:dyDescent="0.35">
      <c r="A2187" t="s">
        <v>448</v>
      </c>
      <c r="B2187" t="s">
        <v>119</v>
      </c>
      <c r="C2187" t="s">
        <v>15</v>
      </c>
      <c r="D2187" t="s">
        <v>120</v>
      </c>
      <c r="E2187">
        <v>8435</v>
      </c>
      <c r="F2187">
        <v>2617</v>
      </c>
      <c r="G2187">
        <v>3165</v>
      </c>
      <c r="H2187">
        <v>32</v>
      </c>
      <c r="I2187">
        <v>158</v>
      </c>
      <c r="J2187">
        <v>321</v>
      </c>
      <c r="K2187" s="1">
        <v>46054</v>
      </c>
      <c r="L2187" t="s">
        <v>446</v>
      </c>
      <c r="M2187" t="s">
        <v>444</v>
      </c>
      <c r="N2187" s="2">
        <f>IFERROR(NHS_A_E[[#This Row],[T1_Over4hrs]]/NHS_A_E[[#This Row],[T1_Attendances]], 0)</f>
        <v>0.37522228808535862</v>
      </c>
      <c r="O2187">
        <f>NHS_A_E[[#This Row],[T1_Attendances]]+NHS_A_E[[#This Row],[Other_Attendances]]</f>
        <v>11052</v>
      </c>
      <c r="P2187">
        <f>MATCH(LEFT(A2187,FIND("-",A2187)-1),{"April","May","June","July","August","September","October","November","December","January","February","March"},0)</f>
        <v>11</v>
      </c>
      <c r="Q2187" s="3">
        <f t="shared" si="68"/>
        <v>3.8055720213396559E-2</v>
      </c>
      <c r="R2187" t="str">
        <f t="shared" si="69"/>
        <v>February</v>
      </c>
    </row>
    <row r="2188" spans="1:18" x14ac:dyDescent="0.35">
      <c r="A2188" t="s">
        <v>449</v>
      </c>
      <c r="B2188" t="s">
        <v>365</v>
      </c>
      <c r="C2188" t="s">
        <v>35</v>
      </c>
      <c r="D2188" t="s">
        <v>366</v>
      </c>
      <c r="E2188">
        <v>13996</v>
      </c>
      <c r="F2188">
        <v>0</v>
      </c>
      <c r="G2188">
        <v>2783</v>
      </c>
      <c r="H2188">
        <v>0</v>
      </c>
      <c r="I2188">
        <v>299</v>
      </c>
      <c r="J2188">
        <v>66</v>
      </c>
      <c r="K2188" s="1">
        <v>46082</v>
      </c>
      <c r="L2188" t="s">
        <v>446</v>
      </c>
      <c r="M2188" t="s">
        <v>18</v>
      </c>
      <c r="N2188" s="2">
        <f>IFERROR(NHS_A_E[[#This Row],[T1_Over4hrs]]/NHS_A_E[[#This Row],[T1_Attendances]], 0)</f>
        <v>0.1988425264361246</v>
      </c>
      <c r="O2188">
        <f>NHS_A_E[[#This Row],[T1_Attendances]]+NHS_A_E[[#This Row],[Other_Attendances]]</f>
        <v>13996</v>
      </c>
      <c r="P2188">
        <f>MATCH(LEFT(A2188,FIND("-",A2188)-1),{"April","May","June","July","August","September","October","November","December","January","February","March"},0)</f>
        <v>12</v>
      </c>
      <c r="Q2188" s="3">
        <f t="shared" si="68"/>
        <v>4.7156330380108604E-3</v>
      </c>
      <c r="R2188" t="str">
        <f t="shared" si="69"/>
        <v>March</v>
      </c>
    </row>
    <row r="2189" spans="1:18" x14ac:dyDescent="0.35">
      <c r="A2189" t="s">
        <v>449</v>
      </c>
      <c r="B2189" t="s">
        <v>283</v>
      </c>
      <c r="C2189" t="s">
        <v>15</v>
      </c>
      <c r="D2189" t="s">
        <v>284</v>
      </c>
      <c r="E2189">
        <v>0</v>
      </c>
      <c r="F2189">
        <v>3090</v>
      </c>
      <c r="G2189">
        <v>0</v>
      </c>
      <c r="H2189">
        <v>30</v>
      </c>
      <c r="I2189">
        <v>0</v>
      </c>
      <c r="J2189">
        <v>0</v>
      </c>
      <c r="K2189" s="1">
        <v>46082</v>
      </c>
      <c r="L2189" t="s">
        <v>446</v>
      </c>
      <c r="M2189" t="s">
        <v>18</v>
      </c>
      <c r="N2189" s="2">
        <f>IFERROR(NHS_A_E[[#This Row],[T1_Over4hrs]]/NHS_A_E[[#This Row],[T1_Attendances]], 0)</f>
        <v>0</v>
      </c>
      <c r="O2189">
        <f>NHS_A_E[[#This Row],[T1_Attendances]]+NHS_A_E[[#This Row],[Other_Attendances]]</f>
        <v>3090</v>
      </c>
      <c r="P2189">
        <f>MATCH(LEFT(A2189,FIND("-",A2189)-1),{"April","May","June","July","August","September","October","November","December","January","February","March"},0)</f>
        <v>12</v>
      </c>
      <c r="Q2189" s="3">
        <f t="shared" si="68"/>
        <v>0</v>
      </c>
      <c r="R2189" t="str">
        <f t="shared" si="69"/>
        <v>March</v>
      </c>
    </row>
    <row r="2190" spans="1:18" x14ac:dyDescent="0.35">
      <c r="A2190" t="s">
        <v>449</v>
      </c>
      <c r="B2190" t="s">
        <v>381</v>
      </c>
      <c r="C2190" t="s">
        <v>40</v>
      </c>
      <c r="D2190" t="s">
        <v>382</v>
      </c>
      <c r="E2190">
        <v>0</v>
      </c>
      <c r="F2190">
        <v>243</v>
      </c>
      <c r="G2190">
        <v>0</v>
      </c>
      <c r="H2190">
        <v>0</v>
      </c>
      <c r="I2190">
        <v>0</v>
      </c>
      <c r="J2190">
        <v>0</v>
      </c>
      <c r="K2190" s="1">
        <v>46082</v>
      </c>
      <c r="L2190" t="s">
        <v>446</v>
      </c>
      <c r="M2190" t="s">
        <v>18</v>
      </c>
      <c r="N2190" s="2">
        <f>IFERROR(NHS_A_E[[#This Row],[T1_Over4hrs]]/NHS_A_E[[#This Row],[T1_Attendances]], 0)</f>
        <v>0</v>
      </c>
      <c r="O2190">
        <f>NHS_A_E[[#This Row],[T1_Attendances]]+NHS_A_E[[#This Row],[Other_Attendances]]</f>
        <v>243</v>
      </c>
      <c r="P2190">
        <f>MATCH(LEFT(A2190,FIND("-",A2190)-1),{"April","May","June","July","August","September","October","November","December","January","February","March"},0)</f>
        <v>12</v>
      </c>
      <c r="Q2190" s="3">
        <f t="shared" si="68"/>
        <v>0</v>
      </c>
      <c r="R2190" t="str">
        <f t="shared" si="69"/>
        <v>March</v>
      </c>
    </row>
    <row r="2191" spans="1:18" x14ac:dyDescent="0.35">
      <c r="A2191" t="s">
        <v>449</v>
      </c>
      <c r="B2191" t="s">
        <v>420</v>
      </c>
      <c r="C2191" t="s">
        <v>15</v>
      </c>
      <c r="D2191" t="s">
        <v>421</v>
      </c>
      <c r="E2191">
        <v>0</v>
      </c>
      <c r="F2191">
        <v>3203</v>
      </c>
      <c r="G2191">
        <v>0</v>
      </c>
      <c r="H2191">
        <v>0</v>
      </c>
      <c r="I2191">
        <v>0</v>
      </c>
      <c r="J2191">
        <v>0</v>
      </c>
      <c r="K2191" s="1">
        <v>46082</v>
      </c>
      <c r="L2191" t="s">
        <v>446</v>
      </c>
      <c r="M2191" t="s">
        <v>18</v>
      </c>
      <c r="N2191" s="2">
        <f>IFERROR(NHS_A_E[[#This Row],[T1_Over4hrs]]/NHS_A_E[[#This Row],[T1_Attendances]], 0)</f>
        <v>0</v>
      </c>
      <c r="O2191">
        <f>NHS_A_E[[#This Row],[T1_Attendances]]+NHS_A_E[[#This Row],[Other_Attendances]]</f>
        <v>3203</v>
      </c>
      <c r="P2191">
        <f>MATCH(LEFT(A2191,FIND("-",A2191)-1),{"April","May","June","July","August","September","October","November","December","January","February","March"},0)</f>
        <v>12</v>
      </c>
      <c r="Q2191" s="3">
        <f t="shared" si="68"/>
        <v>0</v>
      </c>
      <c r="R2191" t="str">
        <f t="shared" si="69"/>
        <v>March</v>
      </c>
    </row>
    <row r="2192" spans="1:18" x14ac:dyDescent="0.35">
      <c r="A2192" t="s">
        <v>449</v>
      </c>
      <c r="B2192" t="s">
        <v>175</v>
      </c>
      <c r="C2192" t="s">
        <v>63</v>
      </c>
      <c r="D2192" t="s">
        <v>176</v>
      </c>
      <c r="E2192">
        <v>5064</v>
      </c>
      <c r="F2192">
        <v>12066</v>
      </c>
      <c r="G2192">
        <v>2339</v>
      </c>
      <c r="H2192">
        <v>26</v>
      </c>
      <c r="I2192">
        <v>100</v>
      </c>
      <c r="J2192">
        <v>1</v>
      </c>
      <c r="K2192" s="1">
        <v>46082</v>
      </c>
      <c r="L2192" t="s">
        <v>446</v>
      </c>
      <c r="M2192" t="s">
        <v>18</v>
      </c>
      <c r="N2192" s="2">
        <f>IFERROR(NHS_A_E[[#This Row],[T1_Over4hrs]]/NHS_A_E[[#This Row],[T1_Attendances]], 0)</f>
        <v>0.46188783570300157</v>
      </c>
      <c r="O2192">
        <f>NHS_A_E[[#This Row],[T1_Attendances]]+NHS_A_E[[#This Row],[Other_Attendances]]</f>
        <v>17130</v>
      </c>
      <c r="P2192">
        <f>MATCH(LEFT(A2192,FIND("-",A2192)-1),{"April","May","June","July","August","September","October","November","December","January","February","March"},0)</f>
        <v>12</v>
      </c>
      <c r="Q2192" s="3">
        <f t="shared" si="68"/>
        <v>1.9747235387045813E-4</v>
      </c>
      <c r="R2192" t="str">
        <f t="shared" si="69"/>
        <v>March</v>
      </c>
    </row>
    <row r="2193" spans="1:18" x14ac:dyDescent="0.35">
      <c r="A2193" t="s">
        <v>449</v>
      </c>
      <c r="B2193" t="s">
        <v>415</v>
      </c>
      <c r="C2193" t="s">
        <v>35</v>
      </c>
      <c r="D2193" t="s">
        <v>416</v>
      </c>
      <c r="E2193">
        <v>16182</v>
      </c>
      <c r="F2193">
        <v>9930</v>
      </c>
      <c r="G2193">
        <v>6440</v>
      </c>
      <c r="H2193">
        <v>975</v>
      </c>
      <c r="I2193">
        <v>1505</v>
      </c>
      <c r="J2193">
        <v>661</v>
      </c>
      <c r="K2193" s="1">
        <v>46082</v>
      </c>
      <c r="L2193" t="s">
        <v>446</v>
      </c>
      <c r="M2193" t="s">
        <v>18</v>
      </c>
      <c r="N2193" s="2">
        <f>IFERROR(NHS_A_E[[#This Row],[T1_Over4hrs]]/NHS_A_E[[#This Row],[T1_Attendances]], 0)</f>
        <v>0.39797305648251141</v>
      </c>
      <c r="O2193">
        <f>NHS_A_E[[#This Row],[T1_Attendances]]+NHS_A_E[[#This Row],[Other_Attendances]]</f>
        <v>26112</v>
      </c>
      <c r="P2193">
        <f>MATCH(LEFT(A2193,FIND("-",A2193)-1),{"April","May","June","July","August","September","October","November","December","January","February","March"},0)</f>
        <v>12</v>
      </c>
      <c r="Q2193" s="3">
        <f t="shared" si="68"/>
        <v>4.084785564207144E-2</v>
      </c>
      <c r="R2193" t="str">
        <f t="shared" si="69"/>
        <v>March</v>
      </c>
    </row>
    <row r="2194" spans="1:18" x14ac:dyDescent="0.35">
      <c r="A2194" t="s">
        <v>449</v>
      </c>
      <c r="B2194" t="s">
        <v>269</v>
      </c>
      <c r="C2194" t="s">
        <v>40</v>
      </c>
      <c r="D2194" t="s">
        <v>270</v>
      </c>
      <c r="E2194">
        <v>6134</v>
      </c>
      <c r="F2194">
        <v>160</v>
      </c>
      <c r="G2194">
        <v>2679</v>
      </c>
      <c r="H2194">
        <v>0</v>
      </c>
      <c r="I2194">
        <v>497</v>
      </c>
      <c r="J2194">
        <v>234</v>
      </c>
      <c r="K2194" s="1">
        <v>46082</v>
      </c>
      <c r="L2194" t="s">
        <v>446</v>
      </c>
      <c r="M2194" t="s">
        <v>18</v>
      </c>
      <c r="N2194" s="2">
        <f>IFERROR(NHS_A_E[[#This Row],[T1_Over4hrs]]/NHS_A_E[[#This Row],[T1_Attendances]], 0)</f>
        <v>0.43674600586892731</v>
      </c>
      <c r="O2194">
        <f>NHS_A_E[[#This Row],[T1_Attendances]]+NHS_A_E[[#This Row],[Other_Attendances]]</f>
        <v>6294</v>
      </c>
      <c r="P2194">
        <f>MATCH(LEFT(A2194,FIND("-",A2194)-1),{"April","May","June","July","August","September","October","November","December","January","February","March"},0)</f>
        <v>12</v>
      </c>
      <c r="Q2194" s="3">
        <f t="shared" si="68"/>
        <v>3.8148027388327357E-2</v>
      </c>
      <c r="R2194" t="str">
        <f t="shared" si="69"/>
        <v>March</v>
      </c>
    </row>
    <row r="2195" spans="1:18" x14ac:dyDescent="0.35">
      <c r="A2195" t="s">
        <v>449</v>
      </c>
      <c r="B2195" t="s">
        <v>111</v>
      </c>
      <c r="C2195" t="s">
        <v>40</v>
      </c>
      <c r="D2195" t="s">
        <v>112</v>
      </c>
      <c r="E2195">
        <v>0</v>
      </c>
      <c r="F2195">
        <v>512</v>
      </c>
      <c r="G2195">
        <v>0</v>
      </c>
      <c r="H2195">
        <v>0</v>
      </c>
      <c r="I2195">
        <v>0</v>
      </c>
      <c r="J2195">
        <v>0</v>
      </c>
      <c r="K2195" s="1">
        <v>46082</v>
      </c>
      <c r="L2195" t="s">
        <v>446</v>
      </c>
      <c r="M2195" t="s">
        <v>18</v>
      </c>
      <c r="N2195" s="2">
        <f>IFERROR(NHS_A_E[[#This Row],[T1_Over4hrs]]/NHS_A_E[[#This Row],[T1_Attendances]], 0)</f>
        <v>0</v>
      </c>
      <c r="O2195">
        <f>NHS_A_E[[#This Row],[T1_Attendances]]+NHS_A_E[[#This Row],[Other_Attendances]]</f>
        <v>512</v>
      </c>
      <c r="P2195">
        <f>MATCH(LEFT(A2195,FIND("-",A2195)-1),{"April","May","June","July","August","September","October","November","December","January","February","March"},0)</f>
        <v>12</v>
      </c>
      <c r="Q2195" s="3">
        <f t="shared" si="68"/>
        <v>0</v>
      </c>
      <c r="R2195" t="str">
        <f t="shared" si="69"/>
        <v>March</v>
      </c>
    </row>
    <row r="2196" spans="1:18" x14ac:dyDescent="0.35">
      <c r="A2196" t="s">
        <v>449</v>
      </c>
      <c r="B2196" t="s">
        <v>58</v>
      </c>
      <c r="C2196" t="s">
        <v>40</v>
      </c>
      <c r="D2196" t="s">
        <v>59</v>
      </c>
      <c r="E2196">
        <v>5150</v>
      </c>
      <c r="F2196">
        <v>0</v>
      </c>
      <c r="G2196">
        <v>1206</v>
      </c>
      <c r="H2196">
        <v>0</v>
      </c>
      <c r="I2196">
        <v>29</v>
      </c>
      <c r="J2196">
        <v>2</v>
      </c>
      <c r="K2196" s="1">
        <v>46082</v>
      </c>
      <c r="L2196" t="s">
        <v>446</v>
      </c>
      <c r="M2196" t="s">
        <v>18</v>
      </c>
      <c r="N2196" s="2">
        <f>IFERROR(NHS_A_E[[#This Row],[T1_Over4hrs]]/NHS_A_E[[#This Row],[T1_Attendances]], 0)</f>
        <v>0.2341747572815534</v>
      </c>
      <c r="O2196">
        <f>NHS_A_E[[#This Row],[T1_Attendances]]+NHS_A_E[[#This Row],[Other_Attendances]]</f>
        <v>5150</v>
      </c>
      <c r="P2196">
        <f>MATCH(LEFT(A2196,FIND("-",A2196)-1),{"April","May","June","July","August","September","October","November","December","January","February","March"},0)</f>
        <v>12</v>
      </c>
      <c r="Q2196" s="3">
        <f t="shared" si="68"/>
        <v>3.8834951456310682E-4</v>
      </c>
      <c r="R2196" t="str">
        <f t="shared" si="69"/>
        <v>March</v>
      </c>
    </row>
    <row r="2197" spans="1:18" x14ac:dyDescent="0.35">
      <c r="A2197" t="s">
        <v>449</v>
      </c>
      <c r="B2197" t="s">
        <v>385</v>
      </c>
      <c r="C2197" t="s">
        <v>20</v>
      </c>
      <c r="D2197" t="s">
        <v>386</v>
      </c>
      <c r="E2197">
        <v>0</v>
      </c>
      <c r="F2197">
        <v>9046</v>
      </c>
      <c r="G2197">
        <v>0</v>
      </c>
      <c r="H2197">
        <v>300</v>
      </c>
      <c r="I2197">
        <v>0</v>
      </c>
      <c r="J2197">
        <v>0</v>
      </c>
      <c r="K2197" s="1">
        <v>46082</v>
      </c>
      <c r="L2197" t="s">
        <v>446</v>
      </c>
      <c r="M2197" t="s">
        <v>18</v>
      </c>
      <c r="N2197" s="2">
        <f>IFERROR(NHS_A_E[[#This Row],[T1_Over4hrs]]/NHS_A_E[[#This Row],[T1_Attendances]], 0)</f>
        <v>0</v>
      </c>
      <c r="O2197">
        <f>NHS_A_E[[#This Row],[T1_Attendances]]+NHS_A_E[[#This Row],[Other_Attendances]]</f>
        <v>9046</v>
      </c>
      <c r="P2197">
        <f>MATCH(LEFT(A2197,FIND("-",A2197)-1),{"April","May","June","July","August","September","October","November","December","January","February","March"},0)</f>
        <v>12</v>
      </c>
      <c r="Q2197" s="3">
        <f t="shared" si="68"/>
        <v>0</v>
      </c>
      <c r="R2197" t="str">
        <f t="shared" si="69"/>
        <v>March</v>
      </c>
    </row>
    <row r="2198" spans="1:18" x14ac:dyDescent="0.35">
      <c r="A2198" t="s">
        <v>449</v>
      </c>
      <c r="B2198" t="s">
        <v>83</v>
      </c>
      <c r="C2198" t="s">
        <v>35</v>
      </c>
      <c r="D2198" t="s">
        <v>84</v>
      </c>
      <c r="E2198">
        <v>13819</v>
      </c>
      <c r="F2198">
        <v>15806</v>
      </c>
      <c r="G2198">
        <v>4596</v>
      </c>
      <c r="H2198">
        <v>82</v>
      </c>
      <c r="I2198">
        <v>525</v>
      </c>
      <c r="J2198">
        <v>408</v>
      </c>
      <c r="K2198" s="1">
        <v>46082</v>
      </c>
      <c r="L2198" t="s">
        <v>446</v>
      </c>
      <c r="M2198" t="s">
        <v>18</v>
      </c>
      <c r="N2198" s="2">
        <f>IFERROR(NHS_A_E[[#This Row],[T1_Over4hrs]]/NHS_A_E[[#This Row],[T1_Attendances]], 0)</f>
        <v>0.33258557059121502</v>
      </c>
      <c r="O2198">
        <f>NHS_A_E[[#This Row],[T1_Attendances]]+NHS_A_E[[#This Row],[Other_Attendances]]</f>
        <v>29625</v>
      </c>
      <c r="P2198">
        <f>MATCH(LEFT(A2198,FIND("-",A2198)-1),{"April","May","June","July","August","September","October","November","December","January","February","March"},0)</f>
        <v>12</v>
      </c>
      <c r="Q2198" s="3">
        <f t="shared" si="68"/>
        <v>2.9524567624285403E-2</v>
      </c>
      <c r="R2198" t="str">
        <f t="shared" si="69"/>
        <v>March</v>
      </c>
    </row>
    <row r="2199" spans="1:18" x14ac:dyDescent="0.35">
      <c r="A2199" t="s">
        <v>449</v>
      </c>
      <c r="B2199" t="s">
        <v>117</v>
      </c>
      <c r="C2199" t="s">
        <v>15</v>
      </c>
      <c r="D2199" t="s">
        <v>436</v>
      </c>
      <c r="E2199">
        <v>7269</v>
      </c>
      <c r="F2199">
        <v>2235</v>
      </c>
      <c r="G2199">
        <v>2396</v>
      </c>
      <c r="H2199">
        <v>1</v>
      </c>
      <c r="I2199">
        <v>510</v>
      </c>
      <c r="J2199">
        <v>15</v>
      </c>
      <c r="K2199" s="1">
        <v>46082</v>
      </c>
      <c r="L2199" t="s">
        <v>446</v>
      </c>
      <c r="M2199" t="s">
        <v>18</v>
      </c>
      <c r="N2199" s="2">
        <f>IFERROR(NHS_A_E[[#This Row],[T1_Over4hrs]]/NHS_A_E[[#This Row],[T1_Attendances]], 0)</f>
        <v>0.329618929701472</v>
      </c>
      <c r="O2199">
        <f>NHS_A_E[[#This Row],[T1_Attendances]]+NHS_A_E[[#This Row],[Other_Attendances]]</f>
        <v>9504</v>
      </c>
      <c r="P2199">
        <f>MATCH(LEFT(A2199,FIND("-",A2199)-1),{"April","May","June","July","August","September","October","November","December","January","February","March"},0)</f>
        <v>12</v>
      </c>
      <c r="Q2199" s="3">
        <f t="shared" si="68"/>
        <v>2.0635575732562937E-3</v>
      </c>
      <c r="R2199" t="str">
        <f t="shared" si="69"/>
        <v>March</v>
      </c>
    </row>
    <row r="2200" spans="1:18" x14ac:dyDescent="0.35">
      <c r="A2200" t="s">
        <v>449</v>
      </c>
      <c r="B2200" t="s">
        <v>123</v>
      </c>
      <c r="C2200" t="s">
        <v>15</v>
      </c>
      <c r="D2200" t="s">
        <v>124</v>
      </c>
      <c r="E2200">
        <v>15073</v>
      </c>
      <c r="F2200">
        <v>13260</v>
      </c>
      <c r="G2200">
        <v>6439</v>
      </c>
      <c r="H2200">
        <v>836</v>
      </c>
      <c r="I2200">
        <v>622</v>
      </c>
      <c r="J2200">
        <v>1037</v>
      </c>
      <c r="K2200" s="1">
        <v>46082</v>
      </c>
      <c r="L2200" t="s">
        <v>446</v>
      </c>
      <c r="M2200" t="s">
        <v>18</v>
      </c>
      <c r="N2200" s="2">
        <f>IFERROR(NHS_A_E[[#This Row],[T1_Over4hrs]]/NHS_A_E[[#This Row],[T1_Attendances]], 0)</f>
        <v>0.4271876865919193</v>
      </c>
      <c r="O2200">
        <f>NHS_A_E[[#This Row],[T1_Attendances]]+NHS_A_E[[#This Row],[Other_Attendances]]</f>
        <v>28333</v>
      </c>
      <c r="P2200">
        <f>MATCH(LEFT(A2200,FIND("-",A2200)-1),{"April","May","June","July","August","September","October","November","December","January","February","March"},0)</f>
        <v>12</v>
      </c>
      <c r="Q2200" s="3">
        <f t="shared" si="68"/>
        <v>6.8798513899024749E-2</v>
      </c>
      <c r="R2200" t="str">
        <f t="shared" si="69"/>
        <v>March</v>
      </c>
    </row>
    <row r="2201" spans="1:18" x14ac:dyDescent="0.35">
      <c r="A2201" t="s">
        <v>449</v>
      </c>
      <c r="B2201" t="s">
        <v>343</v>
      </c>
      <c r="C2201" t="s">
        <v>30</v>
      </c>
      <c r="D2201" t="s">
        <v>344</v>
      </c>
      <c r="E2201">
        <v>6640</v>
      </c>
      <c r="F2201">
        <v>0</v>
      </c>
      <c r="G2201">
        <v>1097</v>
      </c>
      <c r="H2201">
        <v>0</v>
      </c>
      <c r="I2201">
        <v>0</v>
      </c>
      <c r="J2201">
        <v>0</v>
      </c>
      <c r="K2201" s="1">
        <v>46082</v>
      </c>
      <c r="L2201" t="s">
        <v>446</v>
      </c>
      <c r="M2201" t="s">
        <v>18</v>
      </c>
      <c r="N2201" s="2">
        <f>IFERROR(NHS_A_E[[#This Row],[T1_Over4hrs]]/NHS_A_E[[#This Row],[T1_Attendances]], 0)</f>
        <v>0.16521084337349398</v>
      </c>
      <c r="O2201">
        <f>NHS_A_E[[#This Row],[T1_Attendances]]+NHS_A_E[[#This Row],[Other_Attendances]]</f>
        <v>6640</v>
      </c>
      <c r="P2201">
        <f>MATCH(LEFT(A2201,FIND("-",A2201)-1),{"April","May","June","July","August","September","October","November","December","January","February","March"},0)</f>
        <v>12</v>
      </c>
      <c r="Q2201" s="3">
        <f t="shared" si="68"/>
        <v>0</v>
      </c>
      <c r="R2201" t="str">
        <f t="shared" si="69"/>
        <v>March</v>
      </c>
    </row>
    <row r="2202" spans="1:18" x14ac:dyDescent="0.35">
      <c r="A2202" t="s">
        <v>449</v>
      </c>
      <c r="B2202" t="s">
        <v>395</v>
      </c>
      <c r="C2202" t="s">
        <v>23</v>
      </c>
      <c r="D2202" t="s">
        <v>396</v>
      </c>
      <c r="E2202">
        <v>8114</v>
      </c>
      <c r="F2202">
        <v>1068</v>
      </c>
      <c r="G2202">
        <v>2011</v>
      </c>
      <c r="H2202">
        <v>0</v>
      </c>
      <c r="I2202">
        <v>470</v>
      </c>
      <c r="J2202">
        <v>329</v>
      </c>
      <c r="K2202" s="1">
        <v>46082</v>
      </c>
      <c r="L2202" t="s">
        <v>446</v>
      </c>
      <c r="M2202" t="s">
        <v>18</v>
      </c>
      <c r="N2202" s="2">
        <f>IFERROR(NHS_A_E[[#This Row],[T1_Over4hrs]]/NHS_A_E[[#This Row],[T1_Attendances]], 0)</f>
        <v>0.24784323391668719</v>
      </c>
      <c r="O2202">
        <f>NHS_A_E[[#This Row],[T1_Attendances]]+NHS_A_E[[#This Row],[Other_Attendances]]</f>
        <v>9182</v>
      </c>
      <c r="P2202">
        <f>MATCH(LEFT(A2202,FIND("-",A2202)-1),{"April","May","June","July","August","September","October","November","December","January","February","March"},0)</f>
        <v>12</v>
      </c>
      <c r="Q2202" s="3">
        <f t="shared" si="68"/>
        <v>4.0547202366280503E-2</v>
      </c>
      <c r="R2202" t="str">
        <f t="shared" si="69"/>
        <v>March</v>
      </c>
    </row>
    <row r="2203" spans="1:18" x14ac:dyDescent="0.35">
      <c r="A2203" t="s">
        <v>449</v>
      </c>
      <c r="B2203" t="s">
        <v>44</v>
      </c>
      <c r="C2203" t="s">
        <v>40</v>
      </c>
      <c r="D2203" t="s">
        <v>45</v>
      </c>
      <c r="E2203">
        <v>13287</v>
      </c>
      <c r="F2203">
        <v>6422</v>
      </c>
      <c r="G2203">
        <v>5023</v>
      </c>
      <c r="H2203">
        <v>179</v>
      </c>
      <c r="I2203">
        <v>49</v>
      </c>
      <c r="J2203">
        <v>11</v>
      </c>
      <c r="K2203" s="1">
        <v>46082</v>
      </c>
      <c r="L2203" t="s">
        <v>446</v>
      </c>
      <c r="M2203" t="s">
        <v>18</v>
      </c>
      <c r="N2203" s="2">
        <f>IFERROR(NHS_A_E[[#This Row],[T1_Over4hrs]]/NHS_A_E[[#This Row],[T1_Attendances]], 0)</f>
        <v>0.37803868442838867</v>
      </c>
      <c r="O2203">
        <f>NHS_A_E[[#This Row],[T1_Attendances]]+NHS_A_E[[#This Row],[Other_Attendances]]</f>
        <v>19709</v>
      </c>
      <c r="P2203">
        <f>MATCH(LEFT(A2203,FIND("-",A2203)-1),{"April","May","June","July","August","September","October","November","December","January","February","March"},0)</f>
        <v>12</v>
      </c>
      <c r="Q2203" s="3">
        <f t="shared" si="68"/>
        <v>8.27876872130654E-4</v>
      </c>
      <c r="R2203" t="str">
        <f t="shared" si="69"/>
        <v>March</v>
      </c>
    </row>
    <row r="2204" spans="1:18" x14ac:dyDescent="0.35">
      <c r="A2204" t="s">
        <v>449</v>
      </c>
      <c r="B2204" t="s">
        <v>121</v>
      </c>
      <c r="C2204" t="s">
        <v>15</v>
      </c>
      <c r="D2204" t="s">
        <v>122</v>
      </c>
      <c r="E2204">
        <v>7809</v>
      </c>
      <c r="F2204">
        <v>2837</v>
      </c>
      <c r="G2204">
        <v>3374</v>
      </c>
      <c r="H2204">
        <v>28</v>
      </c>
      <c r="I2204">
        <v>569</v>
      </c>
      <c r="J2204">
        <v>311</v>
      </c>
      <c r="K2204" s="1">
        <v>46082</v>
      </c>
      <c r="L2204" t="s">
        <v>446</v>
      </c>
      <c r="M2204" t="s">
        <v>18</v>
      </c>
      <c r="N2204" s="2">
        <f>IFERROR(NHS_A_E[[#This Row],[T1_Over4hrs]]/NHS_A_E[[#This Row],[T1_Attendances]], 0)</f>
        <v>0.43206556537328722</v>
      </c>
      <c r="O2204">
        <f>NHS_A_E[[#This Row],[T1_Attendances]]+NHS_A_E[[#This Row],[Other_Attendances]]</f>
        <v>10646</v>
      </c>
      <c r="P2204">
        <f>MATCH(LEFT(A2204,FIND("-",A2204)-1),{"April","May","June","July","August","September","October","November","December","January","February","March"},0)</f>
        <v>12</v>
      </c>
      <c r="Q2204" s="3">
        <f t="shared" si="68"/>
        <v>3.9825841977205789E-2</v>
      </c>
      <c r="R2204" t="str">
        <f t="shared" si="69"/>
        <v>March</v>
      </c>
    </row>
    <row r="2205" spans="1:18" x14ac:dyDescent="0.35">
      <c r="A2205" t="s">
        <v>449</v>
      </c>
      <c r="B2205" t="s">
        <v>319</v>
      </c>
      <c r="C2205" t="s">
        <v>63</v>
      </c>
      <c r="D2205" t="s">
        <v>320</v>
      </c>
      <c r="E2205">
        <v>0</v>
      </c>
      <c r="F2205">
        <v>1229</v>
      </c>
      <c r="G2205">
        <v>0</v>
      </c>
      <c r="H2205">
        <v>5</v>
      </c>
      <c r="I2205">
        <v>0</v>
      </c>
      <c r="J2205">
        <v>0</v>
      </c>
      <c r="K2205" s="1">
        <v>46082</v>
      </c>
      <c r="L2205" t="s">
        <v>446</v>
      </c>
      <c r="M2205" t="s">
        <v>18</v>
      </c>
      <c r="N2205" s="2">
        <f>IFERROR(NHS_A_E[[#This Row],[T1_Over4hrs]]/NHS_A_E[[#This Row],[T1_Attendances]], 0)</f>
        <v>0</v>
      </c>
      <c r="O2205">
        <f>NHS_A_E[[#This Row],[T1_Attendances]]+NHS_A_E[[#This Row],[Other_Attendances]]</f>
        <v>1229</v>
      </c>
      <c r="P2205">
        <f>MATCH(LEFT(A2205,FIND("-",A2205)-1),{"April","May","June","July","August","September","October","November","December","January","February","March"},0)</f>
        <v>12</v>
      </c>
      <c r="Q2205" s="3">
        <f t="shared" si="68"/>
        <v>0</v>
      </c>
      <c r="R2205" t="str">
        <f t="shared" si="69"/>
        <v>March</v>
      </c>
    </row>
    <row r="2206" spans="1:18" x14ac:dyDescent="0.35">
      <c r="A2206" t="s">
        <v>449</v>
      </c>
      <c r="B2206" t="s">
        <v>333</v>
      </c>
      <c r="C2206" t="s">
        <v>30</v>
      </c>
      <c r="D2206" t="s">
        <v>334</v>
      </c>
      <c r="E2206">
        <v>26982</v>
      </c>
      <c r="F2206">
        <v>11549</v>
      </c>
      <c r="G2206">
        <v>9057</v>
      </c>
      <c r="H2206">
        <v>258</v>
      </c>
      <c r="I2206">
        <v>2943</v>
      </c>
      <c r="J2206">
        <v>53</v>
      </c>
      <c r="K2206" s="1">
        <v>46082</v>
      </c>
      <c r="L2206" t="s">
        <v>446</v>
      </c>
      <c r="M2206" t="s">
        <v>18</v>
      </c>
      <c r="N2206" s="2">
        <f>IFERROR(NHS_A_E[[#This Row],[T1_Over4hrs]]/NHS_A_E[[#This Row],[T1_Attendances]], 0)</f>
        <v>0.3356682232599511</v>
      </c>
      <c r="O2206">
        <f>NHS_A_E[[#This Row],[T1_Attendances]]+NHS_A_E[[#This Row],[Other_Attendances]]</f>
        <v>38531</v>
      </c>
      <c r="P2206">
        <f>MATCH(LEFT(A2206,FIND("-",A2206)-1),{"April","May","June","July","August","September","October","November","December","January","February","March"},0)</f>
        <v>12</v>
      </c>
      <c r="Q2206" s="3">
        <f t="shared" si="68"/>
        <v>1.9642724779482617E-3</v>
      </c>
      <c r="R2206" t="str">
        <f t="shared" si="69"/>
        <v>March</v>
      </c>
    </row>
    <row r="2207" spans="1:18" x14ac:dyDescent="0.35">
      <c r="A2207" t="s">
        <v>449</v>
      </c>
      <c r="B2207" t="s">
        <v>387</v>
      </c>
      <c r="C2207" t="s">
        <v>35</v>
      </c>
      <c r="D2207" t="s">
        <v>388</v>
      </c>
      <c r="E2207">
        <v>0</v>
      </c>
      <c r="F2207">
        <v>1896</v>
      </c>
      <c r="G2207">
        <v>0</v>
      </c>
      <c r="H2207">
        <v>55</v>
      </c>
      <c r="I2207">
        <v>0</v>
      </c>
      <c r="J2207">
        <v>0</v>
      </c>
      <c r="K2207" s="1">
        <v>46082</v>
      </c>
      <c r="L2207" t="s">
        <v>446</v>
      </c>
      <c r="M2207" t="s">
        <v>18</v>
      </c>
      <c r="N2207" s="2">
        <f>IFERROR(NHS_A_E[[#This Row],[T1_Over4hrs]]/NHS_A_E[[#This Row],[T1_Attendances]], 0)</f>
        <v>0</v>
      </c>
      <c r="O2207">
        <f>NHS_A_E[[#This Row],[T1_Attendances]]+NHS_A_E[[#This Row],[Other_Attendances]]</f>
        <v>1896</v>
      </c>
      <c r="P2207">
        <f>MATCH(LEFT(A2207,FIND("-",A2207)-1),{"April","May","June","July","August","September","October","November","December","January","February","March"},0)</f>
        <v>12</v>
      </c>
      <c r="Q2207" s="3">
        <f t="shared" si="68"/>
        <v>0</v>
      </c>
      <c r="R2207" t="str">
        <f t="shared" si="69"/>
        <v>March</v>
      </c>
    </row>
    <row r="2208" spans="1:18" x14ac:dyDescent="0.35">
      <c r="A2208" t="s">
        <v>449</v>
      </c>
      <c r="B2208" t="s">
        <v>91</v>
      </c>
      <c r="C2208" t="s">
        <v>30</v>
      </c>
      <c r="D2208" t="s">
        <v>92</v>
      </c>
      <c r="E2208">
        <v>18055</v>
      </c>
      <c r="F2208">
        <v>7402</v>
      </c>
      <c r="G2208">
        <v>6407</v>
      </c>
      <c r="H2208">
        <v>48</v>
      </c>
      <c r="I2208">
        <v>459</v>
      </c>
      <c r="J2208">
        <v>514</v>
      </c>
      <c r="K2208" s="1">
        <v>46082</v>
      </c>
      <c r="L2208" t="s">
        <v>446</v>
      </c>
      <c r="M2208" t="s">
        <v>18</v>
      </c>
      <c r="N2208" s="2">
        <f>IFERROR(NHS_A_E[[#This Row],[T1_Over4hrs]]/NHS_A_E[[#This Row],[T1_Attendances]], 0)</f>
        <v>0.35486014954306289</v>
      </c>
      <c r="O2208">
        <f>NHS_A_E[[#This Row],[T1_Attendances]]+NHS_A_E[[#This Row],[Other_Attendances]]</f>
        <v>25457</v>
      </c>
      <c r="P2208">
        <f>MATCH(LEFT(A2208,FIND("-",A2208)-1),{"April","May","June","July","August","September","October","November","December","January","February","March"},0)</f>
        <v>12</v>
      </c>
      <c r="Q2208" s="3">
        <f t="shared" si="68"/>
        <v>2.8468568263638881E-2</v>
      </c>
      <c r="R2208" t="str">
        <f t="shared" si="69"/>
        <v>March</v>
      </c>
    </row>
    <row r="2209" spans="1:18" x14ac:dyDescent="0.35">
      <c r="A2209" t="s">
        <v>449</v>
      </c>
      <c r="B2209" t="s">
        <v>29</v>
      </c>
      <c r="C2209" t="s">
        <v>30</v>
      </c>
      <c r="D2209" t="s">
        <v>31</v>
      </c>
      <c r="E2209">
        <v>16352</v>
      </c>
      <c r="F2209">
        <v>8390</v>
      </c>
      <c r="G2209">
        <v>7492</v>
      </c>
      <c r="H2209">
        <v>461</v>
      </c>
      <c r="I2209">
        <v>923</v>
      </c>
      <c r="J2209">
        <v>1124</v>
      </c>
      <c r="K2209" s="1">
        <v>46082</v>
      </c>
      <c r="L2209" t="s">
        <v>446</v>
      </c>
      <c r="M2209" t="s">
        <v>18</v>
      </c>
      <c r="N2209" s="2">
        <f>IFERROR(NHS_A_E[[#This Row],[T1_Over4hrs]]/NHS_A_E[[#This Row],[T1_Attendances]], 0)</f>
        <v>0.45817025440313114</v>
      </c>
      <c r="O2209">
        <f>NHS_A_E[[#This Row],[T1_Attendances]]+NHS_A_E[[#This Row],[Other_Attendances]]</f>
        <v>24742</v>
      </c>
      <c r="P2209">
        <f>MATCH(LEFT(A2209,FIND("-",A2209)-1),{"April","May","June","July","August","September","October","November","December","January","February","March"},0)</f>
        <v>12</v>
      </c>
      <c r="Q2209" s="3">
        <f t="shared" si="68"/>
        <v>6.8737769080234837E-2</v>
      </c>
      <c r="R2209" t="str">
        <f t="shared" si="69"/>
        <v>March</v>
      </c>
    </row>
    <row r="2210" spans="1:18" x14ac:dyDescent="0.35">
      <c r="A2210" t="s">
        <v>449</v>
      </c>
      <c r="B2210" t="s">
        <v>399</v>
      </c>
      <c r="C2210" t="s">
        <v>40</v>
      </c>
      <c r="D2210" t="s">
        <v>400</v>
      </c>
      <c r="E2210">
        <v>8644</v>
      </c>
      <c r="F2210">
        <v>438</v>
      </c>
      <c r="G2210">
        <v>1808</v>
      </c>
      <c r="H2210">
        <v>0</v>
      </c>
      <c r="I2210">
        <v>423</v>
      </c>
      <c r="J2210">
        <v>132</v>
      </c>
      <c r="K2210" s="1">
        <v>46082</v>
      </c>
      <c r="L2210" t="s">
        <v>446</v>
      </c>
      <c r="M2210" t="s">
        <v>18</v>
      </c>
      <c r="N2210" s="2">
        <f>IFERROR(NHS_A_E[[#This Row],[T1_Over4hrs]]/NHS_A_E[[#This Row],[T1_Attendances]], 0)</f>
        <v>0.2091624248033318</v>
      </c>
      <c r="O2210">
        <f>NHS_A_E[[#This Row],[T1_Attendances]]+NHS_A_E[[#This Row],[Other_Attendances]]</f>
        <v>9082</v>
      </c>
      <c r="P2210">
        <f>MATCH(LEFT(A2210,FIND("-",A2210)-1),{"April","May","June","July","August","September","October","November","December","January","February","March"},0)</f>
        <v>12</v>
      </c>
      <c r="Q2210" s="3">
        <f t="shared" si="68"/>
        <v>1.5270708005552984E-2</v>
      </c>
      <c r="R2210" t="str">
        <f t="shared" si="69"/>
        <v>March</v>
      </c>
    </row>
    <row r="2211" spans="1:18" x14ac:dyDescent="0.35">
      <c r="A2211" t="s">
        <v>449</v>
      </c>
      <c r="B2211" t="s">
        <v>67</v>
      </c>
      <c r="C2211" t="s">
        <v>30</v>
      </c>
      <c r="D2211" t="s">
        <v>68</v>
      </c>
      <c r="E2211">
        <v>0</v>
      </c>
      <c r="F2211">
        <v>0</v>
      </c>
      <c r="G2211">
        <v>0</v>
      </c>
      <c r="H2211">
        <v>0</v>
      </c>
      <c r="I2211">
        <v>0</v>
      </c>
      <c r="J2211">
        <v>0</v>
      </c>
      <c r="K2211" s="1">
        <v>46082</v>
      </c>
      <c r="L2211" t="s">
        <v>446</v>
      </c>
      <c r="M2211" t="s">
        <v>18</v>
      </c>
      <c r="N2211" s="2">
        <f>IFERROR(NHS_A_E[[#This Row],[T1_Over4hrs]]/NHS_A_E[[#This Row],[T1_Attendances]], 0)</f>
        <v>0</v>
      </c>
      <c r="O2211">
        <f>NHS_A_E[[#This Row],[T1_Attendances]]+NHS_A_E[[#This Row],[Other_Attendances]]</f>
        <v>0</v>
      </c>
      <c r="P2211">
        <f>MATCH(LEFT(A2211,FIND("-",A2211)-1),{"April","May","June","July","August","September","October","November","December","January","February","March"},0)</f>
        <v>12</v>
      </c>
      <c r="Q2211" s="3">
        <f t="shared" si="68"/>
        <v>0</v>
      </c>
      <c r="R2211" t="str">
        <f t="shared" si="69"/>
        <v>March</v>
      </c>
    </row>
    <row r="2212" spans="1:18" x14ac:dyDescent="0.35">
      <c r="A2212" t="s">
        <v>449</v>
      </c>
      <c r="B2212" t="s">
        <v>411</v>
      </c>
      <c r="C2212" t="s">
        <v>35</v>
      </c>
      <c r="D2212" t="s">
        <v>412</v>
      </c>
      <c r="E2212">
        <v>9319</v>
      </c>
      <c r="F2212">
        <v>0</v>
      </c>
      <c r="G2212">
        <v>2376</v>
      </c>
      <c r="H2212">
        <v>0</v>
      </c>
      <c r="I2212">
        <v>280</v>
      </c>
      <c r="J2212">
        <v>237</v>
      </c>
      <c r="K2212" s="1">
        <v>46082</v>
      </c>
      <c r="L2212" t="s">
        <v>446</v>
      </c>
      <c r="M2212" t="s">
        <v>18</v>
      </c>
      <c r="N2212" s="2">
        <f>IFERROR(NHS_A_E[[#This Row],[T1_Over4hrs]]/NHS_A_E[[#This Row],[T1_Attendances]], 0)</f>
        <v>0.25496297886039276</v>
      </c>
      <c r="O2212">
        <f>NHS_A_E[[#This Row],[T1_Attendances]]+NHS_A_E[[#This Row],[Other_Attendances]]</f>
        <v>9319</v>
      </c>
      <c r="P2212">
        <f>MATCH(LEFT(A2212,FIND("-",A2212)-1),{"April","May","June","July","August","September","October","November","December","January","February","March"},0)</f>
        <v>12</v>
      </c>
      <c r="Q2212" s="3">
        <f t="shared" si="68"/>
        <v>2.5431913295417965E-2</v>
      </c>
      <c r="R2212" t="str">
        <f t="shared" si="69"/>
        <v>March</v>
      </c>
    </row>
    <row r="2213" spans="1:18" x14ac:dyDescent="0.35">
      <c r="A2213" t="s">
        <v>449</v>
      </c>
      <c r="B2213" t="s">
        <v>379</v>
      </c>
      <c r="C2213" t="s">
        <v>63</v>
      </c>
      <c r="D2213" t="s">
        <v>380</v>
      </c>
      <c r="E2213">
        <v>0</v>
      </c>
      <c r="F2213">
        <v>2490</v>
      </c>
      <c r="G2213">
        <v>0</v>
      </c>
      <c r="H2213">
        <v>9</v>
      </c>
      <c r="I2213">
        <v>0</v>
      </c>
      <c r="J2213">
        <v>0</v>
      </c>
      <c r="K2213" s="1">
        <v>46082</v>
      </c>
      <c r="L2213" t="s">
        <v>446</v>
      </c>
      <c r="M2213" t="s">
        <v>18</v>
      </c>
      <c r="N2213" s="2">
        <f>IFERROR(NHS_A_E[[#This Row],[T1_Over4hrs]]/NHS_A_E[[#This Row],[T1_Attendances]], 0)</f>
        <v>0</v>
      </c>
      <c r="O2213">
        <f>NHS_A_E[[#This Row],[T1_Attendances]]+NHS_A_E[[#This Row],[Other_Attendances]]</f>
        <v>2490</v>
      </c>
      <c r="P2213">
        <f>MATCH(LEFT(A2213,FIND("-",A2213)-1),{"April","May","June","July","August","September","October","November","December","January","February","March"},0)</f>
        <v>12</v>
      </c>
      <c r="Q2213" s="3">
        <f t="shared" si="68"/>
        <v>0</v>
      </c>
      <c r="R2213" t="str">
        <f t="shared" si="69"/>
        <v>March</v>
      </c>
    </row>
    <row r="2214" spans="1:18" x14ac:dyDescent="0.35">
      <c r="A2214" t="s">
        <v>449</v>
      </c>
      <c r="B2214" t="s">
        <v>125</v>
      </c>
      <c r="C2214" t="s">
        <v>35</v>
      </c>
      <c r="D2214" t="s">
        <v>126</v>
      </c>
      <c r="E2214">
        <v>0</v>
      </c>
      <c r="F2214">
        <v>12658</v>
      </c>
      <c r="G2214">
        <v>0</v>
      </c>
      <c r="H2214">
        <v>207</v>
      </c>
      <c r="I2214">
        <v>0</v>
      </c>
      <c r="J2214">
        <v>0</v>
      </c>
      <c r="K2214" s="1">
        <v>46082</v>
      </c>
      <c r="L2214" t="s">
        <v>446</v>
      </c>
      <c r="M2214" t="s">
        <v>18</v>
      </c>
      <c r="N2214" s="2">
        <f>IFERROR(NHS_A_E[[#This Row],[T1_Over4hrs]]/NHS_A_E[[#This Row],[T1_Attendances]], 0)</f>
        <v>0</v>
      </c>
      <c r="O2214">
        <f>NHS_A_E[[#This Row],[T1_Attendances]]+NHS_A_E[[#This Row],[Other_Attendances]]</f>
        <v>12658</v>
      </c>
      <c r="P2214">
        <f>MATCH(LEFT(A2214,FIND("-",A2214)-1),{"April","May","June","July","August","September","October","November","December","January","February","March"},0)</f>
        <v>12</v>
      </c>
      <c r="Q2214" s="3">
        <f t="shared" si="68"/>
        <v>0</v>
      </c>
      <c r="R2214" t="str">
        <f t="shared" si="69"/>
        <v>March</v>
      </c>
    </row>
    <row r="2215" spans="1:18" x14ac:dyDescent="0.35">
      <c r="A2215" t="s">
        <v>449</v>
      </c>
      <c r="B2215" t="s">
        <v>185</v>
      </c>
      <c r="C2215" t="s">
        <v>23</v>
      </c>
      <c r="D2215" t="s">
        <v>437</v>
      </c>
      <c r="E2215">
        <v>9208</v>
      </c>
      <c r="F2215">
        <v>9068</v>
      </c>
      <c r="G2215">
        <v>4522</v>
      </c>
      <c r="H2215">
        <v>97</v>
      </c>
      <c r="I2215">
        <v>305</v>
      </c>
      <c r="J2215">
        <v>65</v>
      </c>
      <c r="K2215" s="1">
        <v>46082</v>
      </c>
      <c r="L2215" t="s">
        <v>446</v>
      </c>
      <c r="M2215" t="s">
        <v>18</v>
      </c>
      <c r="N2215" s="2">
        <f>IFERROR(NHS_A_E[[#This Row],[T1_Over4hrs]]/NHS_A_E[[#This Row],[T1_Attendances]], 0)</f>
        <v>0.49109470026064295</v>
      </c>
      <c r="O2215">
        <f>NHS_A_E[[#This Row],[T1_Attendances]]+NHS_A_E[[#This Row],[Other_Attendances]]</f>
        <v>18276</v>
      </c>
      <c r="P2215">
        <f>MATCH(LEFT(A2215,FIND("-",A2215)-1),{"April","May","June","July","August","September","October","November","December","January","February","March"},0)</f>
        <v>12</v>
      </c>
      <c r="Q2215" s="3">
        <f t="shared" si="68"/>
        <v>7.0590790616854911E-3</v>
      </c>
      <c r="R2215" t="str">
        <f t="shared" si="69"/>
        <v>March</v>
      </c>
    </row>
    <row r="2216" spans="1:18" x14ac:dyDescent="0.35">
      <c r="A2216" t="s">
        <v>449</v>
      </c>
      <c r="B2216" t="s">
        <v>197</v>
      </c>
      <c r="C2216" t="s">
        <v>63</v>
      </c>
      <c r="D2216" t="s">
        <v>198</v>
      </c>
      <c r="E2216">
        <v>13246</v>
      </c>
      <c r="F2216">
        <v>3934</v>
      </c>
      <c r="G2216">
        <v>5130</v>
      </c>
      <c r="H2216">
        <v>0</v>
      </c>
      <c r="I2216">
        <v>1518</v>
      </c>
      <c r="J2216">
        <v>10</v>
      </c>
      <c r="K2216" s="1">
        <v>46082</v>
      </c>
      <c r="L2216" t="s">
        <v>446</v>
      </c>
      <c r="M2216" t="s">
        <v>18</v>
      </c>
      <c r="N2216" s="2">
        <f>IFERROR(NHS_A_E[[#This Row],[T1_Over4hrs]]/NHS_A_E[[#This Row],[T1_Attendances]], 0)</f>
        <v>0.38728672806885095</v>
      </c>
      <c r="O2216">
        <f>NHS_A_E[[#This Row],[T1_Attendances]]+NHS_A_E[[#This Row],[Other_Attendances]]</f>
        <v>17180</v>
      </c>
      <c r="P2216">
        <f>MATCH(LEFT(A2216,FIND("-",A2216)-1),{"April","May","June","July","August","September","October","November","December","January","February","March"},0)</f>
        <v>12</v>
      </c>
      <c r="Q2216" s="3">
        <f t="shared" si="68"/>
        <v>7.5494488902310135E-4</v>
      </c>
      <c r="R2216" t="str">
        <f t="shared" si="69"/>
        <v>March</v>
      </c>
    </row>
    <row r="2217" spans="1:18" x14ac:dyDescent="0.35">
      <c r="A2217" t="s">
        <v>449</v>
      </c>
      <c r="B2217" t="s">
        <v>199</v>
      </c>
      <c r="C2217" t="s">
        <v>40</v>
      </c>
      <c r="D2217" t="s">
        <v>200</v>
      </c>
      <c r="E2217">
        <v>11446</v>
      </c>
      <c r="F2217">
        <v>2637</v>
      </c>
      <c r="G2217">
        <v>6281</v>
      </c>
      <c r="H2217">
        <v>370</v>
      </c>
      <c r="I2217">
        <v>742</v>
      </c>
      <c r="J2217">
        <v>1173</v>
      </c>
      <c r="K2217" s="1">
        <v>46082</v>
      </c>
      <c r="L2217" t="s">
        <v>446</v>
      </c>
      <c r="M2217" t="s">
        <v>18</v>
      </c>
      <c r="N2217" s="2">
        <f>IFERROR(NHS_A_E[[#This Row],[T1_Over4hrs]]/NHS_A_E[[#This Row],[T1_Attendances]], 0)</f>
        <v>0.54875065525074262</v>
      </c>
      <c r="O2217">
        <f>NHS_A_E[[#This Row],[T1_Attendances]]+NHS_A_E[[#This Row],[Other_Attendances]]</f>
        <v>14083</v>
      </c>
      <c r="P2217">
        <f>MATCH(LEFT(A2217,FIND("-",A2217)-1),{"April","May","June","July","August","September","October","November","December","January","February","March"},0)</f>
        <v>12</v>
      </c>
      <c r="Q2217" s="3">
        <f t="shared" si="68"/>
        <v>0.10248121614537829</v>
      </c>
      <c r="R2217" t="str">
        <f t="shared" si="69"/>
        <v>March</v>
      </c>
    </row>
    <row r="2218" spans="1:18" x14ac:dyDescent="0.35">
      <c r="A2218" t="s">
        <v>449</v>
      </c>
      <c r="B2218" t="s">
        <v>337</v>
      </c>
      <c r="C2218" t="s">
        <v>20</v>
      </c>
      <c r="D2218" t="s">
        <v>338</v>
      </c>
      <c r="E2218">
        <v>15604</v>
      </c>
      <c r="F2218">
        <v>4194</v>
      </c>
      <c r="G2218">
        <v>6397</v>
      </c>
      <c r="H2218">
        <v>0</v>
      </c>
      <c r="I2218">
        <v>923</v>
      </c>
      <c r="J2218">
        <v>501</v>
      </c>
      <c r="K2218" s="1">
        <v>46082</v>
      </c>
      <c r="L2218" t="s">
        <v>446</v>
      </c>
      <c r="M2218" t="s">
        <v>18</v>
      </c>
      <c r="N2218" s="2">
        <f>IFERROR(NHS_A_E[[#This Row],[T1_Over4hrs]]/NHS_A_E[[#This Row],[T1_Attendances]], 0)</f>
        <v>0.40995898487567289</v>
      </c>
      <c r="O2218">
        <f>NHS_A_E[[#This Row],[T1_Attendances]]+NHS_A_E[[#This Row],[Other_Attendances]]</f>
        <v>19798</v>
      </c>
      <c r="P2218">
        <f>MATCH(LEFT(A2218,FIND("-",A2218)-1),{"April","May","June","July","August","September","October","November","December","January","February","March"},0)</f>
        <v>12</v>
      </c>
      <c r="Q2218" s="3">
        <f t="shared" si="68"/>
        <v>3.2107152012304539E-2</v>
      </c>
      <c r="R2218" t="str">
        <f t="shared" si="69"/>
        <v>March</v>
      </c>
    </row>
    <row r="2219" spans="1:18" x14ac:dyDescent="0.35">
      <c r="A2219" t="s">
        <v>449</v>
      </c>
      <c r="B2219" t="s">
        <v>249</v>
      </c>
      <c r="C2219" t="s">
        <v>20</v>
      </c>
      <c r="D2219" t="s">
        <v>250</v>
      </c>
      <c r="E2219">
        <v>6842</v>
      </c>
      <c r="F2219">
        <v>3228</v>
      </c>
      <c r="G2219">
        <v>3404</v>
      </c>
      <c r="H2219">
        <v>2</v>
      </c>
      <c r="I2219">
        <v>150</v>
      </c>
      <c r="J2219">
        <v>66</v>
      </c>
      <c r="K2219" s="1">
        <v>46082</v>
      </c>
      <c r="L2219" t="s">
        <v>446</v>
      </c>
      <c r="M2219" t="s">
        <v>18</v>
      </c>
      <c r="N2219" s="2">
        <f>IFERROR(NHS_A_E[[#This Row],[T1_Over4hrs]]/NHS_A_E[[#This Row],[T1_Attendances]], 0)</f>
        <v>0.49751534638994444</v>
      </c>
      <c r="O2219">
        <f>NHS_A_E[[#This Row],[T1_Attendances]]+NHS_A_E[[#This Row],[Other_Attendances]]</f>
        <v>10070</v>
      </c>
      <c r="P2219">
        <f>MATCH(LEFT(A2219,FIND("-",A2219)-1),{"April","May","June","July","August","September","October","November","December","January","February","March"},0)</f>
        <v>12</v>
      </c>
      <c r="Q2219" s="3">
        <f t="shared" si="68"/>
        <v>9.6463022508038593E-3</v>
      </c>
      <c r="R2219" t="str">
        <f t="shared" si="69"/>
        <v>March</v>
      </c>
    </row>
    <row r="2220" spans="1:18" x14ac:dyDescent="0.35">
      <c r="A2220" t="s">
        <v>449</v>
      </c>
      <c r="B2220" t="s">
        <v>71</v>
      </c>
      <c r="C2220" t="s">
        <v>35</v>
      </c>
      <c r="D2220" t="s">
        <v>72</v>
      </c>
      <c r="E2220">
        <v>0</v>
      </c>
      <c r="F2220">
        <v>0</v>
      </c>
      <c r="G2220">
        <v>0</v>
      </c>
      <c r="H2220">
        <v>0</v>
      </c>
      <c r="I2220">
        <v>0</v>
      </c>
      <c r="J2220">
        <v>0</v>
      </c>
      <c r="K2220" s="1">
        <v>46082</v>
      </c>
      <c r="L2220" t="s">
        <v>446</v>
      </c>
      <c r="M2220" t="s">
        <v>18</v>
      </c>
      <c r="N2220" s="2">
        <f>IFERROR(NHS_A_E[[#This Row],[T1_Over4hrs]]/NHS_A_E[[#This Row],[T1_Attendances]], 0)</f>
        <v>0</v>
      </c>
      <c r="O2220">
        <f>NHS_A_E[[#This Row],[T1_Attendances]]+NHS_A_E[[#This Row],[Other_Attendances]]</f>
        <v>0</v>
      </c>
      <c r="P2220">
        <f>MATCH(LEFT(A2220,FIND("-",A2220)-1),{"April","May","June","July","August","September","October","November","December","January","February","March"},0)</f>
        <v>12</v>
      </c>
      <c r="Q2220" s="3">
        <f t="shared" si="68"/>
        <v>0</v>
      </c>
      <c r="R2220" t="str">
        <f t="shared" si="69"/>
        <v>March</v>
      </c>
    </row>
    <row r="2221" spans="1:18" x14ac:dyDescent="0.35">
      <c r="A2221" t="s">
        <v>449</v>
      </c>
      <c r="B2221" t="s">
        <v>313</v>
      </c>
      <c r="C2221" t="s">
        <v>20</v>
      </c>
      <c r="D2221" t="s">
        <v>314</v>
      </c>
      <c r="E2221">
        <v>0</v>
      </c>
      <c r="F2221">
        <v>0</v>
      </c>
      <c r="G2221">
        <v>0</v>
      </c>
      <c r="H2221">
        <v>0</v>
      </c>
      <c r="I2221">
        <v>0</v>
      </c>
      <c r="J2221">
        <v>0</v>
      </c>
      <c r="K2221" s="1">
        <v>46082</v>
      </c>
      <c r="L2221" t="s">
        <v>446</v>
      </c>
      <c r="M2221" t="s">
        <v>18</v>
      </c>
      <c r="N2221" s="2">
        <f>IFERROR(NHS_A_E[[#This Row],[T1_Over4hrs]]/NHS_A_E[[#This Row],[T1_Attendances]], 0)</f>
        <v>0</v>
      </c>
      <c r="O2221">
        <f>NHS_A_E[[#This Row],[T1_Attendances]]+NHS_A_E[[#This Row],[Other_Attendances]]</f>
        <v>0</v>
      </c>
      <c r="P2221">
        <f>MATCH(LEFT(A2221,FIND("-",A2221)-1),{"April","May","June","July","August","September","October","November","December","January","February","March"},0)</f>
        <v>12</v>
      </c>
      <c r="Q2221" s="3">
        <f t="shared" si="68"/>
        <v>0</v>
      </c>
      <c r="R2221" t="str">
        <f t="shared" si="69"/>
        <v>March</v>
      </c>
    </row>
    <row r="2222" spans="1:18" x14ac:dyDescent="0.35">
      <c r="A2222" t="s">
        <v>449</v>
      </c>
      <c r="B2222" t="s">
        <v>213</v>
      </c>
      <c r="C2222" t="s">
        <v>23</v>
      </c>
      <c r="D2222" t="s">
        <v>214</v>
      </c>
      <c r="E2222">
        <v>11693</v>
      </c>
      <c r="F2222">
        <v>5652</v>
      </c>
      <c r="G2222">
        <v>4906</v>
      </c>
      <c r="H2222">
        <v>111</v>
      </c>
      <c r="I2222">
        <v>558</v>
      </c>
      <c r="J2222">
        <v>404</v>
      </c>
      <c r="K2222" s="1">
        <v>46082</v>
      </c>
      <c r="L2222" t="s">
        <v>446</v>
      </c>
      <c r="M2222" t="s">
        <v>18</v>
      </c>
      <c r="N2222" s="2">
        <f>IFERROR(NHS_A_E[[#This Row],[T1_Over4hrs]]/NHS_A_E[[#This Row],[T1_Attendances]], 0)</f>
        <v>0.41956726246472248</v>
      </c>
      <c r="O2222">
        <f>NHS_A_E[[#This Row],[T1_Attendances]]+NHS_A_E[[#This Row],[Other_Attendances]]</f>
        <v>17345</v>
      </c>
      <c r="P2222">
        <f>MATCH(LEFT(A2222,FIND("-",A2222)-1),{"April","May","June","July","August","September","October","November","December","January","February","March"},0)</f>
        <v>12</v>
      </c>
      <c r="Q2222" s="3">
        <f t="shared" si="68"/>
        <v>3.4550585820576414E-2</v>
      </c>
      <c r="R2222" t="str">
        <f t="shared" si="69"/>
        <v>March</v>
      </c>
    </row>
    <row r="2223" spans="1:18" x14ac:dyDescent="0.35">
      <c r="A2223" t="s">
        <v>449</v>
      </c>
      <c r="B2223" t="s">
        <v>103</v>
      </c>
      <c r="C2223" t="s">
        <v>20</v>
      </c>
      <c r="D2223" t="s">
        <v>104</v>
      </c>
      <c r="E2223">
        <v>12117</v>
      </c>
      <c r="F2223">
        <v>10428</v>
      </c>
      <c r="G2223">
        <v>5807</v>
      </c>
      <c r="H2223">
        <v>320</v>
      </c>
      <c r="I2223">
        <v>372</v>
      </c>
      <c r="J2223">
        <v>73</v>
      </c>
      <c r="K2223" s="1">
        <v>46082</v>
      </c>
      <c r="L2223" t="s">
        <v>446</v>
      </c>
      <c r="M2223" t="s">
        <v>18</v>
      </c>
      <c r="N2223" s="2">
        <f>IFERROR(NHS_A_E[[#This Row],[T1_Over4hrs]]/NHS_A_E[[#This Row],[T1_Attendances]], 0)</f>
        <v>0.47924403730296278</v>
      </c>
      <c r="O2223">
        <f>NHS_A_E[[#This Row],[T1_Attendances]]+NHS_A_E[[#This Row],[Other_Attendances]]</f>
        <v>22545</v>
      </c>
      <c r="P2223">
        <f>MATCH(LEFT(A2223,FIND("-",A2223)-1),{"April","May","June","July","August","September","October","November","December","January","February","March"},0)</f>
        <v>12</v>
      </c>
      <c r="Q2223" s="3">
        <f t="shared" si="68"/>
        <v>6.0245935462573241E-3</v>
      </c>
      <c r="R2223" t="str">
        <f t="shared" si="69"/>
        <v>March</v>
      </c>
    </row>
    <row r="2224" spans="1:18" x14ac:dyDescent="0.35">
      <c r="A2224" t="s">
        <v>449</v>
      </c>
      <c r="B2224" t="s">
        <v>42</v>
      </c>
      <c r="C2224" t="s">
        <v>40</v>
      </c>
      <c r="D2224" t="s">
        <v>43</v>
      </c>
      <c r="E2224">
        <v>11782</v>
      </c>
      <c r="F2224">
        <v>5785</v>
      </c>
      <c r="G2224">
        <v>3548</v>
      </c>
      <c r="H2224">
        <v>395</v>
      </c>
      <c r="I2224">
        <v>728</v>
      </c>
      <c r="J2224">
        <v>277</v>
      </c>
      <c r="K2224" s="1">
        <v>46082</v>
      </c>
      <c r="L2224" t="s">
        <v>446</v>
      </c>
      <c r="M2224" t="s">
        <v>18</v>
      </c>
      <c r="N2224" s="2">
        <f>IFERROR(NHS_A_E[[#This Row],[T1_Over4hrs]]/NHS_A_E[[#This Row],[T1_Attendances]], 0)</f>
        <v>0.30113732812765237</v>
      </c>
      <c r="O2224">
        <f>NHS_A_E[[#This Row],[T1_Attendances]]+NHS_A_E[[#This Row],[Other_Attendances]]</f>
        <v>17567</v>
      </c>
      <c r="P2224">
        <f>MATCH(LEFT(A2224,FIND("-",A2224)-1),{"April","May","June","July","August","September","October","November","December","January","February","March"},0)</f>
        <v>12</v>
      </c>
      <c r="Q2224" s="3">
        <f t="shared" si="68"/>
        <v>2.3510439653709046E-2</v>
      </c>
      <c r="R2224" t="str">
        <f t="shared" si="69"/>
        <v>March</v>
      </c>
    </row>
    <row r="2225" spans="1:18" x14ac:dyDescent="0.35">
      <c r="A2225" t="s">
        <v>449</v>
      </c>
      <c r="B2225" t="s">
        <v>46</v>
      </c>
      <c r="C2225" t="s">
        <v>40</v>
      </c>
      <c r="D2225" t="s">
        <v>47</v>
      </c>
      <c r="E2225">
        <v>0</v>
      </c>
      <c r="F2225">
        <v>0</v>
      </c>
      <c r="G2225">
        <v>0</v>
      </c>
      <c r="H2225">
        <v>0</v>
      </c>
      <c r="I2225">
        <v>0</v>
      </c>
      <c r="J2225">
        <v>0</v>
      </c>
      <c r="K2225" s="1">
        <v>46082</v>
      </c>
      <c r="L2225" t="s">
        <v>446</v>
      </c>
      <c r="M2225" t="s">
        <v>18</v>
      </c>
      <c r="N2225" s="2">
        <f>IFERROR(NHS_A_E[[#This Row],[T1_Over4hrs]]/NHS_A_E[[#This Row],[T1_Attendances]], 0)</f>
        <v>0</v>
      </c>
      <c r="O2225">
        <f>NHS_A_E[[#This Row],[T1_Attendances]]+NHS_A_E[[#This Row],[Other_Attendances]]</f>
        <v>0</v>
      </c>
      <c r="P2225">
        <f>MATCH(LEFT(A2225,FIND("-",A2225)-1),{"April","May","June","July","August","September","October","November","December","January","February","March"},0)</f>
        <v>12</v>
      </c>
      <c r="Q2225" s="3">
        <f t="shared" si="68"/>
        <v>0</v>
      </c>
      <c r="R2225" t="str">
        <f t="shared" si="69"/>
        <v>March</v>
      </c>
    </row>
    <row r="2226" spans="1:18" x14ac:dyDescent="0.35">
      <c r="A2226" t="s">
        <v>449</v>
      </c>
      <c r="B2226" t="s">
        <v>173</v>
      </c>
      <c r="C2226" t="s">
        <v>23</v>
      </c>
      <c r="D2226" t="s">
        <v>174</v>
      </c>
      <c r="E2226">
        <v>13490</v>
      </c>
      <c r="F2226">
        <v>7873</v>
      </c>
      <c r="G2226">
        <v>3626</v>
      </c>
      <c r="H2226">
        <v>11</v>
      </c>
      <c r="I2226">
        <v>603</v>
      </c>
      <c r="J2226">
        <v>261</v>
      </c>
      <c r="K2226" s="1">
        <v>46082</v>
      </c>
      <c r="L2226" t="s">
        <v>446</v>
      </c>
      <c r="M2226" t="s">
        <v>18</v>
      </c>
      <c r="N2226" s="2">
        <f>IFERROR(NHS_A_E[[#This Row],[T1_Over4hrs]]/NHS_A_E[[#This Row],[T1_Attendances]], 0)</f>
        <v>0.26879169755374349</v>
      </c>
      <c r="O2226">
        <f>NHS_A_E[[#This Row],[T1_Attendances]]+NHS_A_E[[#This Row],[Other_Attendances]]</f>
        <v>21363</v>
      </c>
      <c r="P2226">
        <f>MATCH(LEFT(A2226,FIND("-",A2226)-1),{"April","May","June","July","August","September","October","November","December","January","February","March"},0)</f>
        <v>12</v>
      </c>
      <c r="Q2226" s="3">
        <f t="shared" si="68"/>
        <v>1.9347664936990364E-2</v>
      </c>
      <c r="R2226" t="str">
        <f t="shared" si="69"/>
        <v>March</v>
      </c>
    </row>
    <row r="2227" spans="1:18" x14ac:dyDescent="0.35">
      <c r="A2227" t="s">
        <v>449</v>
      </c>
      <c r="B2227" t="s">
        <v>129</v>
      </c>
      <c r="C2227" t="s">
        <v>63</v>
      </c>
      <c r="D2227" t="s">
        <v>130</v>
      </c>
      <c r="E2227">
        <v>14337</v>
      </c>
      <c r="F2227">
        <v>4376</v>
      </c>
      <c r="G2227">
        <v>4214</v>
      </c>
      <c r="H2227">
        <v>5</v>
      </c>
      <c r="I2227">
        <v>1010</v>
      </c>
      <c r="J2227">
        <v>95</v>
      </c>
      <c r="K2227" s="1">
        <v>46082</v>
      </c>
      <c r="L2227" t="s">
        <v>446</v>
      </c>
      <c r="M2227" t="s">
        <v>18</v>
      </c>
      <c r="N2227" s="2">
        <f>IFERROR(NHS_A_E[[#This Row],[T1_Over4hrs]]/NHS_A_E[[#This Row],[T1_Attendances]], 0)</f>
        <v>0.29392480993234288</v>
      </c>
      <c r="O2227">
        <f>NHS_A_E[[#This Row],[T1_Attendances]]+NHS_A_E[[#This Row],[Other_Attendances]]</f>
        <v>18713</v>
      </c>
      <c r="P2227">
        <f>MATCH(LEFT(A2227,FIND("-",A2227)-1),{"April","May","June","July","August","September","October","November","December","January","February","March"},0)</f>
        <v>12</v>
      </c>
      <c r="Q2227" s="3">
        <f t="shared" si="68"/>
        <v>6.6262118992815788E-3</v>
      </c>
      <c r="R2227" t="str">
        <f t="shared" si="69"/>
        <v>March</v>
      </c>
    </row>
    <row r="2228" spans="1:18" x14ac:dyDescent="0.35">
      <c r="A2228" t="s">
        <v>449</v>
      </c>
      <c r="B2228" t="s">
        <v>407</v>
      </c>
      <c r="C2228" t="s">
        <v>35</v>
      </c>
      <c r="D2228" t="s">
        <v>408</v>
      </c>
      <c r="E2228">
        <v>0</v>
      </c>
      <c r="F2228">
        <v>0</v>
      </c>
      <c r="G2228">
        <v>0</v>
      </c>
      <c r="H2228">
        <v>0</v>
      </c>
      <c r="I2228">
        <v>0</v>
      </c>
      <c r="J2228">
        <v>0</v>
      </c>
      <c r="K2228" s="1">
        <v>46082</v>
      </c>
      <c r="L2228" t="s">
        <v>446</v>
      </c>
      <c r="M2228" t="s">
        <v>18</v>
      </c>
      <c r="N2228" s="2">
        <f>IFERROR(NHS_A_E[[#This Row],[T1_Over4hrs]]/NHS_A_E[[#This Row],[T1_Attendances]], 0)</f>
        <v>0</v>
      </c>
      <c r="O2228">
        <f>NHS_A_E[[#This Row],[T1_Attendances]]+NHS_A_E[[#This Row],[Other_Attendances]]</f>
        <v>0</v>
      </c>
      <c r="P2228">
        <f>MATCH(LEFT(A2228,FIND("-",A2228)-1),{"April","May","June","July","August","September","October","November","December","January","February","March"},0)</f>
        <v>12</v>
      </c>
      <c r="Q2228" s="3">
        <f t="shared" si="68"/>
        <v>0</v>
      </c>
      <c r="R2228" t="str">
        <f t="shared" si="69"/>
        <v>March</v>
      </c>
    </row>
    <row r="2229" spans="1:18" x14ac:dyDescent="0.35">
      <c r="A2229" t="s">
        <v>449</v>
      </c>
      <c r="B2229" t="s">
        <v>60</v>
      </c>
      <c r="C2229" t="s">
        <v>35</v>
      </c>
      <c r="D2229" t="s">
        <v>61</v>
      </c>
      <c r="E2229">
        <v>20446</v>
      </c>
      <c r="F2229">
        <v>6841</v>
      </c>
      <c r="G2229">
        <v>5552</v>
      </c>
      <c r="H2229">
        <v>310</v>
      </c>
      <c r="I2229">
        <v>753</v>
      </c>
      <c r="J2229">
        <v>45</v>
      </c>
      <c r="K2229" s="1">
        <v>46082</v>
      </c>
      <c r="L2229" t="s">
        <v>446</v>
      </c>
      <c r="M2229" t="s">
        <v>18</v>
      </c>
      <c r="N2229" s="2">
        <f>IFERROR(NHS_A_E[[#This Row],[T1_Over4hrs]]/NHS_A_E[[#This Row],[T1_Attendances]], 0)</f>
        <v>0.2715445563924484</v>
      </c>
      <c r="O2229">
        <f>NHS_A_E[[#This Row],[T1_Attendances]]+NHS_A_E[[#This Row],[Other_Attendances]]</f>
        <v>27287</v>
      </c>
      <c r="P2229">
        <f>MATCH(LEFT(A2229,FIND("-",A2229)-1),{"April","May","June","July","August","September","October","November","December","January","February","March"},0)</f>
        <v>12</v>
      </c>
      <c r="Q2229" s="3">
        <f t="shared" si="68"/>
        <v>2.2009194952557955E-3</v>
      </c>
      <c r="R2229" t="str">
        <f t="shared" si="69"/>
        <v>March</v>
      </c>
    </row>
    <row r="2230" spans="1:18" x14ac:dyDescent="0.35">
      <c r="A2230" t="s">
        <v>449</v>
      </c>
      <c r="B2230" t="s">
        <v>65</v>
      </c>
      <c r="C2230" t="s">
        <v>30</v>
      </c>
      <c r="D2230" t="s">
        <v>447</v>
      </c>
      <c r="E2230">
        <v>6876</v>
      </c>
      <c r="F2230">
        <v>6628</v>
      </c>
      <c r="G2230">
        <v>2920</v>
      </c>
      <c r="H2230">
        <v>44</v>
      </c>
      <c r="I2230">
        <v>551</v>
      </c>
      <c r="J2230">
        <v>407</v>
      </c>
      <c r="K2230" s="1">
        <v>46082</v>
      </c>
      <c r="L2230" t="s">
        <v>446</v>
      </c>
      <c r="M2230" t="s">
        <v>18</v>
      </c>
      <c r="N2230" s="2">
        <f>IFERROR(NHS_A_E[[#This Row],[T1_Over4hrs]]/NHS_A_E[[#This Row],[T1_Attendances]], 0)</f>
        <v>0.42466550319953461</v>
      </c>
      <c r="O2230">
        <f>NHS_A_E[[#This Row],[T1_Attendances]]+NHS_A_E[[#This Row],[Other_Attendances]]</f>
        <v>13504</v>
      </c>
      <c r="P2230">
        <f>MATCH(LEFT(A2230,FIND("-",A2230)-1),{"April","May","June","July","August","September","October","November","December","January","February","March"},0)</f>
        <v>12</v>
      </c>
      <c r="Q2230" s="3">
        <f t="shared" si="68"/>
        <v>5.9191390343222801E-2</v>
      </c>
      <c r="R2230" t="str">
        <f t="shared" si="69"/>
        <v>March</v>
      </c>
    </row>
    <row r="2231" spans="1:18" x14ac:dyDescent="0.35">
      <c r="A2231" t="s">
        <v>449</v>
      </c>
      <c r="B2231" t="s">
        <v>221</v>
      </c>
      <c r="C2231" t="s">
        <v>63</v>
      </c>
      <c r="D2231" t="s">
        <v>222</v>
      </c>
      <c r="E2231">
        <v>11038</v>
      </c>
      <c r="F2231">
        <v>14245</v>
      </c>
      <c r="G2231">
        <v>2238</v>
      </c>
      <c r="H2231">
        <v>1</v>
      </c>
      <c r="I2231">
        <v>12</v>
      </c>
      <c r="J2231">
        <v>0</v>
      </c>
      <c r="K2231" s="1">
        <v>46082</v>
      </c>
      <c r="L2231" t="s">
        <v>446</v>
      </c>
      <c r="M2231" t="s">
        <v>18</v>
      </c>
      <c r="N2231" s="2">
        <f>IFERROR(NHS_A_E[[#This Row],[T1_Over4hrs]]/NHS_A_E[[#This Row],[T1_Attendances]], 0)</f>
        <v>0.20275412212357311</v>
      </c>
      <c r="O2231">
        <f>NHS_A_E[[#This Row],[T1_Attendances]]+NHS_A_E[[#This Row],[Other_Attendances]]</f>
        <v>25283</v>
      </c>
      <c r="P2231">
        <f>MATCH(LEFT(A2231,FIND("-",A2231)-1),{"April","May","June","July","August","September","October","November","December","January","February","March"},0)</f>
        <v>12</v>
      </c>
      <c r="Q2231" s="3">
        <f t="shared" si="68"/>
        <v>0</v>
      </c>
      <c r="R2231" t="str">
        <f t="shared" si="69"/>
        <v>March</v>
      </c>
    </row>
    <row r="2232" spans="1:18" x14ac:dyDescent="0.35">
      <c r="A2232" t="s">
        <v>449</v>
      </c>
      <c r="B2232" t="s">
        <v>179</v>
      </c>
      <c r="C2232" t="s">
        <v>40</v>
      </c>
      <c r="D2232" t="s">
        <v>180</v>
      </c>
      <c r="E2232">
        <v>18625</v>
      </c>
      <c r="F2232">
        <v>4910</v>
      </c>
      <c r="G2232">
        <v>5727</v>
      </c>
      <c r="H2232">
        <v>258</v>
      </c>
      <c r="I2232">
        <v>757</v>
      </c>
      <c r="J2232">
        <v>1132</v>
      </c>
      <c r="K2232" s="1">
        <v>46082</v>
      </c>
      <c r="L2232" t="s">
        <v>446</v>
      </c>
      <c r="M2232" t="s">
        <v>18</v>
      </c>
      <c r="N2232" s="2">
        <f>IFERROR(NHS_A_E[[#This Row],[T1_Over4hrs]]/NHS_A_E[[#This Row],[T1_Attendances]], 0)</f>
        <v>0.30748993288590604</v>
      </c>
      <c r="O2232">
        <f>NHS_A_E[[#This Row],[T1_Attendances]]+NHS_A_E[[#This Row],[Other_Attendances]]</f>
        <v>23535</v>
      </c>
      <c r="P2232">
        <f>MATCH(LEFT(A2232,FIND("-",A2232)-1),{"April","May","June","July","August","September","October","November","December","January","February","March"},0)</f>
        <v>12</v>
      </c>
      <c r="Q2232" s="3">
        <f t="shared" si="68"/>
        <v>6.0778523489932887E-2</v>
      </c>
      <c r="R2232" t="str">
        <f t="shared" si="69"/>
        <v>March</v>
      </c>
    </row>
    <row r="2233" spans="1:18" x14ac:dyDescent="0.35">
      <c r="A2233" t="s">
        <v>449</v>
      </c>
      <c r="B2233" t="s">
        <v>189</v>
      </c>
      <c r="C2233" t="s">
        <v>30</v>
      </c>
      <c r="D2233" t="s">
        <v>190</v>
      </c>
      <c r="E2233">
        <v>7065</v>
      </c>
      <c r="F2233">
        <v>2935</v>
      </c>
      <c r="G2233">
        <v>3412</v>
      </c>
      <c r="H2233">
        <v>22</v>
      </c>
      <c r="I2233">
        <v>470</v>
      </c>
      <c r="J2233">
        <v>909</v>
      </c>
      <c r="K2233" s="1">
        <v>46082</v>
      </c>
      <c r="L2233" t="s">
        <v>446</v>
      </c>
      <c r="M2233" t="s">
        <v>18</v>
      </c>
      <c r="N2233" s="2">
        <f>IFERROR(NHS_A_E[[#This Row],[T1_Over4hrs]]/NHS_A_E[[#This Row],[T1_Attendances]], 0)</f>
        <v>0.48294409058740267</v>
      </c>
      <c r="O2233">
        <f>NHS_A_E[[#This Row],[T1_Attendances]]+NHS_A_E[[#This Row],[Other_Attendances]]</f>
        <v>10000</v>
      </c>
      <c r="P2233">
        <f>MATCH(LEFT(A2233,FIND("-",A2233)-1),{"April","May","June","July","August","September","October","November","December","January","February","March"},0)</f>
        <v>12</v>
      </c>
      <c r="Q2233" s="3">
        <f t="shared" si="68"/>
        <v>0.1286624203821656</v>
      </c>
      <c r="R2233" t="str">
        <f t="shared" si="69"/>
        <v>March</v>
      </c>
    </row>
    <row r="2234" spans="1:18" x14ac:dyDescent="0.35">
      <c r="A2234" t="s">
        <v>449</v>
      </c>
      <c r="B2234" t="s">
        <v>375</v>
      </c>
      <c r="C2234" t="s">
        <v>40</v>
      </c>
      <c r="D2234" t="s">
        <v>376</v>
      </c>
      <c r="E2234">
        <v>11478</v>
      </c>
      <c r="F2234">
        <v>8388</v>
      </c>
      <c r="G2234">
        <v>4899</v>
      </c>
      <c r="H2234">
        <v>42</v>
      </c>
      <c r="I2234">
        <v>678</v>
      </c>
      <c r="J2234">
        <v>612</v>
      </c>
      <c r="K2234" s="1">
        <v>46082</v>
      </c>
      <c r="L2234" t="s">
        <v>446</v>
      </c>
      <c r="M2234" t="s">
        <v>18</v>
      </c>
      <c r="N2234" s="2">
        <f>IFERROR(NHS_A_E[[#This Row],[T1_Over4hrs]]/NHS_A_E[[#This Row],[T1_Attendances]], 0)</f>
        <v>0.42681651855723995</v>
      </c>
      <c r="O2234">
        <f>NHS_A_E[[#This Row],[T1_Attendances]]+NHS_A_E[[#This Row],[Other_Attendances]]</f>
        <v>19866</v>
      </c>
      <c r="P2234">
        <f>MATCH(LEFT(A2234,FIND("-",A2234)-1),{"April","May","June","July","August","September","October","November","December","January","February","March"},0)</f>
        <v>12</v>
      </c>
      <c r="Q2234" s="3">
        <f t="shared" si="68"/>
        <v>5.3319393622582333E-2</v>
      </c>
      <c r="R2234" t="str">
        <f t="shared" si="69"/>
        <v>March</v>
      </c>
    </row>
    <row r="2235" spans="1:18" x14ac:dyDescent="0.35">
      <c r="A2235" t="s">
        <v>449</v>
      </c>
      <c r="B2235" t="s">
        <v>367</v>
      </c>
      <c r="C2235" t="s">
        <v>23</v>
      </c>
      <c r="D2235" t="s">
        <v>368</v>
      </c>
      <c r="E2235">
        <v>0</v>
      </c>
      <c r="F2235">
        <v>1223</v>
      </c>
      <c r="G2235">
        <v>0</v>
      </c>
      <c r="H2235">
        <v>38</v>
      </c>
      <c r="I2235">
        <v>0</v>
      </c>
      <c r="J2235">
        <v>0</v>
      </c>
      <c r="K2235" s="1">
        <v>46082</v>
      </c>
      <c r="L2235" t="s">
        <v>446</v>
      </c>
      <c r="M2235" t="s">
        <v>18</v>
      </c>
      <c r="N2235" s="2">
        <f>IFERROR(NHS_A_E[[#This Row],[T1_Over4hrs]]/NHS_A_E[[#This Row],[T1_Attendances]], 0)</f>
        <v>0</v>
      </c>
      <c r="O2235">
        <f>NHS_A_E[[#This Row],[T1_Attendances]]+NHS_A_E[[#This Row],[Other_Attendances]]</f>
        <v>1223</v>
      </c>
      <c r="P2235">
        <f>MATCH(LEFT(A2235,FIND("-",A2235)-1),{"April","May","June","July","August","September","October","November","December","January","February","March"},0)</f>
        <v>12</v>
      </c>
      <c r="Q2235" s="3">
        <f t="shared" si="68"/>
        <v>0</v>
      </c>
      <c r="R2235" t="str">
        <f t="shared" si="69"/>
        <v>March</v>
      </c>
    </row>
    <row r="2236" spans="1:18" x14ac:dyDescent="0.35">
      <c r="A2236" t="s">
        <v>449</v>
      </c>
      <c r="B2236" t="s">
        <v>351</v>
      </c>
      <c r="C2236" t="s">
        <v>63</v>
      </c>
      <c r="D2236" t="s">
        <v>352</v>
      </c>
      <c r="E2236">
        <v>10855</v>
      </c>
      <c r="F2236">
        <v>6646</v>
      </c>
      <c r="G2236">
        <v>4901</v>
      </c>
      <c r="H2236">
        <v>74</v>
      </c>
      <c r="I2236">
        <v>734</v>
      </c>
      <c r="J2236">
        <v>715</v>
      </c>
      <c r="K2236" s="1">
        <v>46082</v>
      </c>
      <c r="L2236" t="s">
        <v>446</v>
      </c>
      <c r="M2236" t="s">
        <v>18</v>
      </c>
      <c r="N2236" s="2">
        <f>IFERROR(NHS_A_E[[#This Row],[T1_Over4hrs]]/NHS_A_E[[#This Row],[T1_Attendances]], 0)</f>
        <v>0.45149700598802395</v>
      </c>
      <c r="O2236">
        <f>NHS_A_E[[#This Row],[T1_Attendances]]+NHS_A_E[[#This Row],[Other_Attendances]]</f>
        <v>17501</v>
      </c>
      <c r="P2236">
        <f>MATCH(LEFT(A2236,FIND("-",A2236)-1),{"April","May","June","July","August","September","October","November","December","January","February","March"},0)</f>
        <v>12</v>
      </c>
      <c r="Q2236" s="3">
        <f t="shared" si="68"/>
        <v>6.5868263473053898E-2</v>
      </c>
      <c r="R2236" t="str">
        <f t="shared" si="69"/>
        <v>March</v>
      </c>
    </row>
    <row r="2237" spans="1:18" x14ac:dyDescent="0.35">
      <c r="A2237" t="s">
        <v>449</v>
      </c>
      <c r="B2237" t="s">
        <v>413</v>
      </c>
      <c r="C2237" t="s">
        <v>20</v>
      </c>
      <c r="D2237" t="s">
        <v>414</v>
      </c>
      <c r="E2237">
        <v>9053</v>
      </c>
      <c r="F2237">
        <v>8349</v>
      </c>
      <c r="G2237">
        <v>5663</v>
      </c>
      <c r="H2237">
        <v>126</v>
      </c>
      <c r="I2237">
        <v>693</v>
      </c>
      <c r="J2237">
        <v>352</v>
      </c>
      <c r="K2237" s="1">
        <v>46082</v>
      </c>
      <c r="L2237" t="s">
        <v>446</v>
      </c>
      <c r="M2237" t="s">
        <v>18</v>
      </c>
      <c r="N2237" s="2">
        <f>IFERROR(NHS_A_E[[#This Row],[T1_Over4hrs]]/NHS_A_E[[#This Row],[T1_Attendances]], 0)</f>
        <v>0.62553849552634488</v>
      </c>
      <c r="O2237">
        <f>NHS_A_E[[#This Row],[T1_Attendances]]+NHS_A_E[[#This Row],[Other_Attendances]]</f>
        <v>17402</v>
      </c>
      <c r="P2237">
        <f>MATCH(LEFT(A2237,FIND("-",A2237)-1),{"April","May","June","July","August","September","October","November","December","January","February","March"},0)</f>
        <v>12</v>
      </c>
      <c r="Q2237" s="3">
        <f t="shared" si="68"/>
        <v>3.8882138517618466E-2</v>
      </c>
      <c r="R2237" t="str">
        <f t="shared" si="69"/>
        <v>March</v>
      </c>
    </row>
    <row r="2238" spans="1:18" x14ac:dyDescent="0.35">
      <c r="A2238" t="s">
        <v>449</v>
      </c>
      <c r="B2238" t="s">
        <v>355</v>
      </c>
      <c r="C2238" t="s">
        <v>30</v>
      </c>
      <c r="D2238" t="s">
        <v>356</v>
      </c>
      <c r="E2238">
        <v>8602</v>
      </c>
      <c r="F2238">
        <v>2694</v>
      </c>
      <c r="G2238">
        <v>3606</v>
      </c>
      <c r="H2238">
        <v>102</v>
      </c>
      <c r="I2238">
        <v>400</v>
      </c>
      <c r="J2238">
        <v>269</v>
      </c>
      <c r="K2238" s="1">
        <v>46082</v>
      </c>
      <c r="L2238" t="s">
        <v>446</v>
      </c>
      <c r="M2238" t="s">
        <v>18</v>
      </c>
      <c r="N2238" s="2">
        <f>IFERROR(NHS_A_E[[#This Row],[T1_Over4hrs]]/NHS_A_E[[#This Row],[T1_Attendances]], 0)</f>
        <v>0.41920483608463149</v>
      </c>
      <c r="O2238">
        <f>NHS_A_E[[#This Row],[T1_Attendances]]+NHS_A_E[[#This Row],[Other_Attendances]]</f>
        <v>11296</v>
      </c>
      <c r="P2238">
        <f>MATCH(LEFT(A2238,FIND("-",A2238)-1),{"April","May","June","July","August","September","October","November","December","January","February","March"},0)</f>
        <v>12</v>
      </c>
      <c r="Q2238" s="3">
        <f t="shared" si="68"/>
        <v>3.1271797256451989E-2</v>
      </c>
      <c r="R2238" t="str">
        <f t="shared" si="69"/>
        <v>March</v>
      </c>
    </row>
    <row r="2239" spans="1:18" x14ac:dyDescent="0.35">
      <c r="A2239" t="s">
        <v>449</v>
      </c>
      <c r="B2239" t="s">
        <v>361</v>
      </c>
      <c r="C2239" t="s">
        <v>40</v>
      </c>
      <c r="D2239" t="s">
        <v>362</v>
      </c>
      <c r="E2239">
        <v>11623</v>
      </c>
      <c r="F2239">
        <v>9434</v>
      </c>
      <c r="G2239">
        <v>4163</v>
      </c>
      <c r="H2239">
        <v>7</v>
      </c>
      <c r="I2239">
        <v>649</v>
      </c>
      <c r="J2239">
        <v>560</v>
      </c>
      <c r="K2239" s="1">
        <v>46082</v>
      </c>
      <c r="L2239" t="s">
        <v>446</v>
      </c>
      <c r="M2239" t="s">
        <v>18</v>
      </c>
      <c r="N2239" s="2">
        <f>IFERROR(NHS_A_E[[#This Row],[T1_Over4hrs]]/NHS_A_E[[#This Row],[T1_Attendances]], 0)</f>
        <v>0.35816914738019445</v>
      </c>
      <c r="O2239">
        <f>NHS_A_E[[#This Row],[T1_Attendances]]+NHS_A_E[[#This Row],[Other_Attendances]]</f>
        <v>21057</v>
      </c>
      <c r="P2239">
        <f>MATCH(LEFT(A2239,FIND("-",A2239)-1),{"April","May","June","July","August","September","October","November","December","January","February","March"},0)</f>
        <v>12</v>
      </c>
      <c r="Q2239" s="3">
        <f t="shared" si="68"/>
        <v>4.8180332100146259E-2</v>
      </c>
      <c r="R2239" t="str">
        <f t="shared" si="69"/>
        <v>March</v>
      </c>
    </row>
    <row r="2240" spans="1:18" x14ac:dyDescent="0.35">
      <c r="A2240" t="s">
        <v>449</v>
      </c>
      <c r="B2240" t="s">
        <v>223</v>
      </c>
      <c r="C2240" t="s">
        <v>15</v>
      </c>
      <c r="D2240" t="s">
        <v>224</v>
      </c>
      <c r="E2240">
        <v>12638</v>
      </c>
      <c r="F2240">
        <v>3437</v>
      </c>
      <c r="G2240">
        <v>3523</v>
      </c>
      <c r="H2240">
        <v>43</v>
      </c>
      <c r="I2240">
        <v>341</v>
      </c>
      <c r="J2240">
        <v>5</v>
      </c>
      <c r="K2240" s="1">
        <v>46082</v>
      </c>
      <c r="L2240" t="s">
        <v>446</v>
      </c>
      <c r="M2240" t="s">
        <v>18</v>
      </c>
      <c r="N2240" s="2">
        <f>IFERROR(NHS_A_E[[#This Row],[T1_Over4hrs]]/NHS_A_E[[#This Row],[T1_Attendances]], 0)</f>
        <v>0.27876246241493907</v>
      </c>
      <c r="O2240">
        <f>NHS_A_E[[#This Row],[T1_Attendances]]+NHS_A_E[[#This Row],[Other_Attendances]]</f>
        <v>16075</v>
      </c>
      <c r="P2240">
        <f>MATCH(LEFT(A2240,FIND("-",A2240)-1),{"April","May","June","July","August","September","October","November","December","January","February","March"},0)</f>
        <v>12</v>
      </c>
      <c r="Q2240" s="3">
        <f t="shared" si="68"/>
        <v>3.9563222028802023E-4</v>
      </c>
      <c r="R2240" t="str">
        <f t="shared" si="69"/>
        <v>March</v>
      </c>
    </row>
    <row r="2241" spans="1:18" x14ac:dyDescent="0.35">
      <c r="A2241" t="s">
        <v>449</v>
      </c>
      <c r="B2241" t="s">
        <v>295</v>
      </c>
      <c r="C2241" t="s">
        <v>15</v>
      </c>
      <c r="D2241" t="s">
        <v>296</v>
      </c>
      <c r="E2241">
        <v>10583</v>
      </c>
      <c r="F2241">
        <v>0</v>
      </c>
      <c r="G2241">
        <v>4778</v>
      </c>
      <c r="H2241">
        <v>0</v>
      </c>
      <c r="I2241">
        <v>597</v>
      </c>
      <c r="J2241">
        <v>724</v>
      </c>
      <c r="K2241" s="1">
        <v>46082</v>
      </c>
      <c r="L2241" t="s">
        <v>446</v>
      </c>
      <c r="M2241" t="s">
        <v>18</v>
      </c>
      <c r="N2241" s="2">
        <f>IFERROR(NHS_A_E[[#This Row],[T1_Over4hrs]]/NHS_A_E[[#This Row],[T1_Attendances]], 0)</f>
        <v>0.45147878673344044</v>
      </c>
      <c r="O2241">
        <f>NHS_A_E[[#This Row],[T1_Attendances]]+NHS_A_E[[#This Row],[Other_Attendances]]</f>
        <v>10583</v>
      </c>
      <c r="P2241">
        <f>MATCH(LEFT(A2241,FIND("-",A2241)-1),{"April","May","June","July","August","September","October","November","December","January","February","March"},0)</f>
        <v>12</v>
      </c>
      <c r="Q2241" s="3">
        <f t="shared" si="68"/>
        <v>6.8411603515071334E-2</v>
      </c>
      <c r="R2241" t="str">
        <f t="shared" si="69"/>
        <v>March</v>
      </c>
    </row>
    <row r="2242" spans="1:18" x14ac:dyDescent="0.35">
      <c r="A2242" t="s">
        <v>449</v>
      </c>
      <c r="B2242" t="s">
        <v>183</v>
      </c>
      <c r="C2242" t="s">
        <v>23</v>
      </c>
      <c r="D2242" t="s">
        <v>184</v>
      </c>
      <c r="E2242">
        <v>8750</v>
      </c>
      <c r="F2242">
        <v>7960</v>
      </c>
      <c r="G2242">
        <v>1584</v>
      </c>
      <c r="H2242">
        <v>106</v>
      </c>
      <c r="I2242">
        <v>656</v>
      </c>
      <c r="J2242">
        <v>33</v>
      </c>
      <c r="K2242" s="1">
        <v>46082</v>
      </c>
      <c r="L2242" t="s">
        <v>446</v>
      </c>
      <c r="M2242" t="s">
        <v>18</v>
      </c>
      <c r="N2242" s="2">
        <f>IFERROR(NHS_A_E[[#This Row],[T1_Over4hrs]]/NHS_A_E[[#This Row],[T1_Attendances]], 0)</f>
        <v>0.18102857142857143</v>
      </c>
      <c r="O2242">
        <f>NHS_A_E[[#This Row],[T1_Attendances]]+NHS_A_E[[#This Row],[Other_Attendances]]</f>
        <v>16710</v>
      </c>
      <c r="P2242">
        <f>MATCH(LEFT(A2242,FIND("-",A2242)-1),{"April","May","June","July","August","September","October","November","December","January","February","March"},0)</f>
        <v>12</v>
      </c>
      <c r="Q2242" s="3">
        <f t="shared" ref="Q2242:Q2305" si="70">IFERROR(J2242/E2242,0)</f>
        <v>3.7714285714285714E-3</v>
      </c>
      <c r="R2242" t="str">
        <f t="shared" ref="R2242:R2305" si="71">TEXT(A2242, "mmmm")</f>
        <v>March</v>
      </c>
    </row>
    <row r="2243" spans="1:18" x14ac:dyDescent="0.35">
      <c r="A2243" t="s">
        <v>449</v>
      </c>
      <c r="B2243" t="s">
        <v>191</v>
      </c>
      <c r="C2243" t="s">
        <v>15</v>
      </c>
      <c r="D2243" t="s">
        <v>192</v>
      </c>
      <c r="E2243">
        <v>9990</v>
      </c>
      <c r="F2243">
        <v>2172</v>
      </c>
      <c r="G2243">
        <v>3511</v>
      </c>
      <c r="H2243">
        <v>30</v>
      </c>
      <c r="I2243">
        <v>212</v>
      </c>
      <c r="J2243">
        <v>58</v>
      </c>
      <c r="K2243" s="1">
        <v>46082</v>
      </c>
      <c r="L2243" t="s">
        <v>446</v>
      </c>
      <c r="M2243" t="s">
        <v>18</v>
      </c>
      <c r="N2243" s="2">
        <f>IFERROR(NHS_A_E[[#This Row],[T1_Over4hrs]]/NHS_A_E[[#This Row],[T1_Attendances]], 0)</f>
        <v>0.35145145145145146</v>
      </c>
      <c r="O2243">
        <f>NHS_A_E[[#This Row],[T1_Attendances]]+NHS_A_E[[#This Row],[Other_Attendances]]</f>
        <v>12162</v>
      </c>
      <c r="P2243">
        <f>MATCH(LEFT(A2243,FIND("-",A2243)-1),{"April","May","June","July","August","September","October","November","December","January","February","March"},0)</f>
        <v>12</v>
      </c>
      <c r="Q2243" s="3">
        <f t="shared" si="70"/>
        <v>5.8058058058058056E-3</v>
      </c>
      <c r="R2243" t="str">
        <f t="shared" si="71"/>
        <v>March</v>
      </c>
    </row>
    <row r="2244" spans="1:18" x14ac:dyDescent="0.35">
      <c r="A2244" t="s">
        <v>449</v>
      </c>
      <c r="B2244" t="s">
        <v>377</v>
      </c>
      <c r="C2244" t="s">
        <v>63</v>
      </c>
      <c r="D2244" t="s">
        <v>378</v>
      </c>
      <c r="E2244">
        <v>16635</v>
      </c>
      <c r="F2244">
        <v>6852</v>
      </c>
      <c r="G2244">
        <v>5940</v>
      </c>
      <c r="H2244">
        <v>178</v>
      </c>
      <c r="I2244">
        <v>2085</v>
      </c>
      <c r="J2244">
        <v>308</v>
      </c>
      <c r="K2244" s="1">
        <v>46082</v>
      </c>
      <c r="L2244" t="s">
        <v>446</v>
      </c>
      <c r="M2244" t="s">
        <v>18</v>
      </c>
      <c r="N2244" s="2">
        <f>IFERROR(NHS_A_E[[#This Row],[T1_Over4hrs]]/NHS_A_E[[#This Row],[T1_Attendances]], 0)</f>
        <v>0.35707844905320107</v>
      </c>
      <c r="O2244">
        <f>NHS_A_E[[#This Row],[T1_Attendances]]+NHS_A_E[[#This Row],[Other_Attendances]]</f>
        <v>23487</v>
      </c>
      <c r="P2244">
        <f>MATCH(LEFT(A2244,FIND("-",A2244)-1),{"April","May","June","July","August","September","October","November","December","January","February","March"},0)</f>
        <v>12</v>
      </c>
      <c r="Q2244" s="3">
        <f t="shared" si="70"/>
        <v>1.8515178839795612E-2</v>
      </c>
      <c r="R2244" t="str">
        <f t="shared" si="71"/>
        <v>March</v>
      </c>
    </row>
    <row r="2245" spans="1:18" x14ac:dyDescent="0.35">
      <c r="A2245" t="s">
        <v>449</v>
      </c>
      <c r="B2245" t="s">
        <v>241</v>
      </c>
      <c r="C2245" t="s">
        <v>40</v>
      </c>
      <c r="D2245" t="s">
        <v>242</v>
      </c>
      <c r="E2245">
        <v>0</v>
      </c>
      <c r="F2245">
        <v>0</v>
      </c>
      <c r="G2245">
        <v>0</v>
      </c>
      <c r="H2245">
        <v>0</v>
      </c>
      <c r="I2245">
        <v>0</v>
      </c>
      <c r="J2245">
        <v>0</v>
      </c>
      <c r="K2245" s="1">
        <v>46082</v>
      </c>
      <c r="L2245" t="s">
        <v>446</v>
      </c>
      <c r="M2245" t="s">
        <v>18</v>
      </c>
      <c r="N2245" s="2">
        <f>IFERROR(NHS_A_E[[#This Row],[T1_Over4hrs]]/NHS_A_E[[#This Row],[T1_Attendances]], 0)</f>
        <v>0</v>
      </c>
      <c r="O2245">
        <f>NHS_A_E[[#This Row],[T1_Attendances]]+NHS_A_E[[#This Row],[Other_Attendances]]</f>
        <v>0</v>
      </c>
      <c r="P2245">
        <f>MATCH(LEFT(A2245,FIND("-",A2245)-1),{"April","May","June","July","August","September","October","November","December","January","February","March"},0)</f>
        <v>12</v>
      </c>
      <c r="Q2245" s="3">
        <f t="shared" si="70"/>
        <v>0</v>
      </c>
      <c r="R2245" t="str">
        <f t="shared" si="71"/>
        <v>March</v>
      </c>
    </row>
    <row r="2246" spans="1:18" x14ac:dyDescent="0.35">
      <c r="A2246" t="s">
        <v>449</v>
      </c>
      <c r="B2246" t="s">
        <v>209</v>
      </c>
      <c r="C2246" t="s">
        <v>35</v>
      </c>
      <c r="D2246" t="s">
        <v>210</v>
      </c>
      <c r="E2246">
        <v>26064</v>
      </c>
      <c r="F2246">
        <v>18544</v>
      </c>
      <c r="G2246">
        <v>10076</v>
      </c>
      <c r="H2246">
        <v>919</v>
      </c>
      <c r="I2246">
        <v>1010</v>
      </c>
      <c r="J2246">
        <v>1207</v>
      </c>
      <c r="K2246" s="1">
        <v>46082</v>
      </c>
      <c r="L2246" t="s">
        <v>446</v>
      </c>
      <c r="M2246" t="s">
        <v>18</v>
      </c>
      <c r="N2246" s="2">
        <f>IFERROR(NHS_A_E[[#This Row],[T1_Over4hrs]]/NHS_A_E[[#This Row],[T1_Attendances]], 0)</f>
        <v>0.38658686310620011</v>
      </c>
      <c r="O2246">
        <f>NHS_A_E[[#This Row],[T1_Attendances]]+NHS_A_E[[#This Row],[Other_Attendances]]</f>
        <v>44608</v>
      </c>
      <c r="P2246">
        <f>MATCH(LEFT(A2246,FIND("-",A2246)-1),{"April","May","June","July","August","September","October","November","December","January","February","March"},0)</f>
        <v>12</v>
      </c>
      <c r="Q2246" s="3">
        <f t="shared" si="70"/>
        <v>4.6309085328422345E-2</v>
      </c>
      <c r="R2246" t="str">
        <f t="shared" si="71"/>
        <v>March</v>
      </c>
    </row>
    <row r="2247" spans="1:18" x14ac:dyDescent="0.35">
      <c r="A2247" t="s">
        <v>449</v>
      </c>
      <c r="B2247" t="s">
        <v>251</v>
      </c>
      <c r="C2247" t="s">
        <v>35</v>
      </c>
      <c r="D2247" t="s">
        <v>252</v>
      </c>
      <c r="E2247">
        <v>7582</v>
      </c>
      <c r="F2247">
        <v>8517</v>
      </c>
      <c r="G2247">
        <v>3296</v>
      </c>
      <c r="H2247">
        <v>237</v>
      </c>
      <c r="I2247">
        <v>373</v>
      </c>
      <c r="J2247">
        <v>310</v>
      </c>
      <c r="K2247" s="1">
        <v>46082</v>
      </c>
      <c r="L2247" t="s">
        <v>446</v>
      </c>
      <c r="M2247" t="s">
        <v>18</v>
      </c>
      <c r="N2247" s="2">
        <f>IFERROR(NHS_A_E[[#This Row],[T1_Over4hrs]]/NHS_A_E[[#This Row],[T1_Attendances]], 0)</f>
        <v>0.43471379583223424</v>
      </c>
      <c r="O2247">
        <f>NHS_A_E[[#This Row],[T1_Attendances]]+NHS_A_E[[#This Row],[Other_Attendances]]</f>
        <v>16099</v>
      </c>
      <c r="P2247">
        <f>MATCH(LEFT(A2247,FIND("-",A2247)-1),{"April","May","June","July","August","September","October","November","December","January","February","March"},0)</f>
        <v>12</v>
      </c>
      <c r="Q2247" s="3">
        <f t="shared" si="70"/>
        <v>4.0886309680823005E-2</v>
      </c>
      <c r="R2247" t="str">
        <f t="shared" si="71"/>
        <v>March</v>
      </c>
    </row>
    <row r="2248" spans="1:18" x14ac:dyDescent="0.35">
      <c r="A2248" t="s">
        <v>449</v>
      </c>
      <c r="B2248" t="s">
        <v>161</v>
      </c>
      <c r="C2248" t="s">
        <v>30</v>
      </c>
      <c r="D2248" t="s">
        <v>162</v>
      </c>
      <c r="E2248">
        <v>7509</v>
      </c>
      <c r="F2248">
        <v>3219</v>
      </c>
      <c r="G2248">
        <v>3946</v>
      </c>
      <c r="H2248">
        <v>8</v>
      </c>
      <c r="I2248">
        <v>402</v>
      </c>
      <c r="J2248">
        <v>665</v>
      </c>
      <c r="K2248" s="1">
        <v>46082</v>
      </c>
      <c r="L2248" t="s">
        <v>446</v>
      </c>
      <c r="M2248" t="s">
        <v>18</v>
      </c>
      <c r="N2248" s="2">
        <f>IFERROR(NHS_A_E[[#This Row],[T1_Over4hrs]]/NHS_A_E[[#This Row],[T1_Attendances]], 0)</f>
        <v>0.52550273005726467</v>
      </c>
      <c r="O2248">
        <f>NHS_A_E[[#This Row],[T1_Attendances]]+NHS_A_E[[#This Row],[Other_Attendances]]</f>
        <v>10728</v>
      </c>
      <c r="P2248">
        <f>MATCH(LEFT(A2248,FIND("-",A2248)-1),{"April","May","June","July","August","September","October","November","December","January","February","March"},0)</f>
        <v>12</v>
      </c>
      <c r="Q2248" s="3">
        <f t="shared" si="70"/>
        <v>8.8560394193634304E-2</v>
      </c>
      <c r="R2248" t="str">
        <f t="shared" si="71"/>
        <v>March</v>
      </c>
    </row>
    <row r="2249" spans="1:18" x14ac:dyDescent="0.35">
      <c r="A2249" t="s">
        <v>449</v>
      </c>
      <c r="B2249" t="s">
        <v>34</v>
      </c>
      <c r="C2249" t="s">
        <v>35</v>
      </c>
      <c r="D2249" t="s">
        <v>36</v>
      </c>
      <c r="E2249">
        <v>13844</v>
      </c>
      <c r="F2249">
        <v>14885</v>
      </c>
      <c r="G2249">
        <v>6100</v>
      </c>
      <c r="H2249">
        <v>253</v>
      </c>
      <c r="I2249">
        <v>609</v>
      </c>
      <c r="J2249">
        <v>608</v>
      </c>
      <c r="K2249" s="1">
        <v>46082</v>
      </c>
      <c r="L2249" t="s">
        <v>446</v>
      </c>
      <c r="M2249" t="s">
        <v>18</v>
      </c>
      <c r="N2249" s="2">
        <f>IFERROR(NHS_A_E[[#This Row],[T1_Over4hrs]]/NHS_A_E[[#This Row],[T1_Attendances]], 0)</f>
        <v>0.44062409708176825</v>
      </c>
      <c r="O2249">
        <f>NHS_A_E[[#This Row],[T1_Attendances]]+NHS_A_E[[#This Row],[Other_Attendances]]</f>
        <v>28729</v>
      </c>
      <c r="P2249">
        <f>MATCH(LEFT(A2249,FIND("-",A2249)-1),{"April","May","June","July","August","September","October","November","December","January","February","March"},0)</f>
        <v>12</v>
      </c>
      <c r="Q2249" s="3">
        <f t="shared" si="70"/>
        <v>4.3917942791100839E-2</v>
      </c>
      <c r="R2249" t="str">
        <f t="shared" si="71"/>
        <v>March</v>
      </c>
    </row>
    <row r="2250" spans="1:18" x14ac:dyDescent="0.35">
      <c r="A2250" t="s">
        <v>449</v>
      </c>
      <c r="B2250" t="s">
        <v>105</v>
      </c>
      <c r="C2250" t="s">
        <v>15</v>
      </c>
      <c r="D2250" t="s">
        <v>106</v>
      </c>
      <c r="E2250">
        <v>12105</v>
      </c>
      <c r="F2250">
        <v>0</v>
      </c>
      <c r="G2250">
        <v>3601</v>
      </c>
      <c r="H2250">
        <v>0</v>
      </c>
      <c r="I2250">
        <v>455</v>
      </c>
      <c r="J2250">
        <v>11</v>
      </c>
      <c r="K2250" s="1">
        <v>46082</v>
      </c>
      <c r="L2250" t="s">
        <v>446</v>
      </c>
      <c r="M2250" t="s">
        <v>18</v>
      </c>
      <c r="N2250" s="2">
        <f>IFERROR(NHS_A_E[[#This Row],[T1_Over4hrs]]/NHS_A_E[[#This Row],[T1_Attendances]], 0)</f>
        <v>0.29748038000826105</v>
      </c>
      <c r="O2250">
        <f>NHS_A_E[[#This Row],[T1_Attendances]]+NHS_A_E[[#This Row],[Other_Attendances]]</f>
        <v>12105</v>
      </c>
      <c r="P2250">
        <f>MATCH(LEFT(A2250,FIND("-",A2250)-1),{"April","May","June","July","August","September","October","November","December","January","February","March"},0)</f>
        <v>12</v>
      </c>
      <c r="Q2250" s="3">
        <f t="shared" si="70"/>
        <v>9.0871540685667079E-4</v>
      </c>
      <c r="R2250" t="str">
        <f t="shared" si="71"/>
        <v>March</v>
      </c>
    </row>
    <row r="2251" spans="1:18" x14ac:dyDescent="0.35">
      <c r="A2251" t="s">
        <v>449</v>
      </c>
      <c r="B2251" t="s">
        <v>37</v>
      </c>
      <c r="C2251" t="s">
        <v>35</v>
      </c>
      <c r="D2251" t="s">
        <v>38</v>
      </c>
      <c r="E2251">
        <v>16974</v>
      </c>
      <c r="F2251">
        <v>17385</v>
      </c>
      <c r="G2251">
        <v>8228</v>
      </c>
      <c r="H2251">
        <v>320</v>
      </c>
      <c r="I2251">
        <v>1057</v>
      </c>
      <c r="J2251">
        <v>487</v>
      </c>
      <c r="K2251" s="1">
        <v>46082</v>
      </c>
      <c r="L2251" t="s">
        <v>446</v>
      </c>
      <c r="M2251" t="s">
        <v>18</v>
      </c>
      <c r="N2251" s="2">
        <f>IFERROR(NHS_A_E[[#This Row],[T1_Over4hrs]]/NHS_A_E[[#This Row],[T1_Attendances]], 0)</f>
        <v>0.48474136915282195</v>
      </c>
      <c r="O2251">
        <f>NHS_A_E[[#This Row],[T1_Attendances]]+NHS_A_E[[#This Row],[Other_Attendances]]</f>
        <v>34359</v>
      </c>
      <c r="P2251">
        <f>MATCH(LEFT(A2251,FIND("-",A2251)-1),{"April","May","June","July","August","September","October","November","December","January","February","March"},0)</f>
        <v>12</v>
      </c>
      <c r="Q2251" s="3">
        <f t="shared" si="70"/>
        <v>2.8690939083303876E-2</v>
      </c>
      <c r="R2251" t="str">
        <f t="shared" si="71"/>
        <v>March</v>
      </c>
    </row>
    <row r="2252" spans="1:18" x14ac:dyDescent="0.35">
      <c r="A2252" t="s">
        <v>449</v>
      </c>
      <c r="B2252" t="s">
        <v>215</v>
      </c>
      <c r="C2252" t="s">
        <v>35</v>
      </c>
      <c r="D2252" t="s">
        <v>216</v>
      </c>
      <c r="E2252">
        <v>8727</v>
      </c>
      <c r="F2252">
        <v>4237</v>
      </c>
      <c r="G2252">
        <v>2697</v>
      </c>
      <c r="H2252">
        <v>145</v>
      </c>
      <c r="I2252">
        <v>474</v>
      </c>
      <c r="J2252">
        <v>476</v>
      </c>
      <c r="K2252" s="1">
        <v>46082</v>
      </c>
      <c r="L2252" t="s">
        <v>446</v>
      </c>
      <c r="M2252" t="s">
        <v>18</v>
      </c>
      <c r="N2252" s="2">
        <f>IFERROR(NHS_A_E[[#This Row],[T1_Over4hrs]]/NHS_A_E[[#This Row],[T1_Attendances]], 0)</f>
        <v>0.30904090752836028</v>
      </c>
      <c r="O2252">
        <f>NHS_A_E[[#This Row],[T1_Attendances]]+NHS_A_E[[#This Row],[Other_Attendances]]</f>
        <v>12964</v>
      </c>
      <c r="P2252">
        <f>MATCH(LEFT(A2252,FIND("-",A2252)-1),{"April","May","June","July","August","September","October","November","December","January","February","March"},0)</f>
        <v>12</v>
      </c>
      <c r="Q2252" s="3">
        <f t="shared" si="70"/>
        <v>5.4543371147015011E-2</v>
      </c>
      <c r="R2252" t="str">
        <f t="shared" si="71"/>
        <v>March</v>
      </c>
    </row>
    <row r="2253" spans="1:18" x14ac:dyDescent="0.35">
      <c r="A2253" t="s">
        <v>449</v>
      </c>
      <c r="B2253" t="s">
        <v>62</v>
      </c>
      <c r="C2253" t="s">
        <v>63</v>
      </c>
      <c r="D2253" t="s">
        <v>64</v>
      </c>
      <c r="E2253">
        <v>18894</v>
      </c>
      <c r="F2253">
        <v>11213</v>
      </c>
      <c r="G2253">
        <v>6521</v>
      </c>
      <c r="H2253">
        <v>181</v>
      </c>
      <c r="I2253">
        <v>1518</v>
      </c>
      <c r="J2253">
        <v>564</v>
      </c>
      <c r="K2253" s="1">
        <v>46082</v>
      </c>
      <c r="L2253" t="s">
        <v>446</v>
      </c>
      <c r="M2253" t="s">
        <v>18</v>
      </c>
      <c r="N2253" s="2">
        <f>IFERROR(NHS_A_E[[#This Row],[T1_Over4hrs]]/NHS_A_E[[#This Row],[T1_Attendances]], 0)</f>
        <v>0.34513602201757171</v>
      </c>
      <c r="O2253">
        <f>NHS_A_E[[#This Row],[T1_Attendances]]+NHS_A_E[[#This Row],[Other_Attendances]]</f>
        <v>30107</v>
      </c>
      <c r="P2253">
        <f>MATCH(LEFT(A2253,FIND("-",A2253)-1),{"April","May","June","July","August","September","October","November","December","January","February","March"},0)</f>
        <v>12</v>
      </c>
      <c r="Q2253" s="3">
        <f t="shared" si="70"/>
        <v>2.9850746268656716E-2</v>
      </c>
      <c r="R2253" t="str">
        <f t="shared" si="71"/>
        <v>March</v>
      </c>
    </row>
    <row r="2254" spans="1:18" x14ac:dyDescent="0.35">
      <c r="A2254" t="s">
        <v>449</v>
      </c>
      <c r="B2254" t="s">
        <v>171</v>
      </c>
      <c r="C2254" t="s">
        <v>35</v>
      </c>
      <c r="D2254" t="s">
        <v>172</v>
      </c>
      <c r="E2254">
        <v>11779</v>
      </c>
      <c r="F2254">
        <v>2267</v>
      </c>
      <c r="G2254">
        <v>3299</v>
      </c>
      <c r="H2254">
        <v>200</v>
      </c>
      <c r="I2254">
        <v>602</v>
      </c>
      <c r="J2254">
        <v>764</v>
      </c>
      <c r="K2254" s="1">
        <v>46082</v>
      </c>
      <c r="L2254" t="s">
        <v>446</v>
      </c>
      <c r="M2254" t="s">
        <v>18</v>
      </c>
      <c r="N2254" s="2">
        <f>IFERROR(NHS_A_E[[#This Row],[T1_Over4hrs]]/NHS_A_E[[#This Row],[T1_Attendances]], 0)</f>
        <v>0.28007470922828764</v>
      </c>
      <c r="O2254">
        <f>NHS_A_E[[#This Row],[T1_Attendances]]+NHS_A_E[[#This Row],[Other_Attendances]]</f>
        <v>14046</v>
      </c>
      <c r="P2254">
        <f>MATCH(LEFT(A2254,FIND("-",A2254)-1),{"April","May","June","July","August","September","October","November","December","January","February","March"},0)</f>
        <v>12</v>
      </c>
      <c r="Q2254" s="3">
        <f t="shared" si="70"/>
        <v>6.4861193649715598E-2</v>
      </c>
      <c r="R2254" t="str">
        <f t="shared" si="71"/>
        <v>March</v>
      </c>
    </row>
    <row r="2255" spans="1:18" x14ac:dyDescent="0.35">
      <c r="A2255" t="s">
        <v>449</v>
      </c>
      <c r="B2255" t="s">
        <v>187</v>
      </c>
      <c r="C2255" t="s">
        <v>30</v>
      </c>
      <c r="D2255" t="s">
        <v>188</v>
      </c>
      <c r="E2255">
        <v>8104</v>
      </c>
      <c r="F2255">
        <v>981</v>
      </c>
      <c r="G2255">
        <v>3102</v>
      </c>
      <c r="H2255">
        <v>58</v>
      </c>
      <c r="I2255">
        <v>592</v>
      </c>
      <c r="J2255">
        <v>258</v>
      </c>
      <c r="K2255" s="1">
        <v>46082</v>
      </c>
      <c r="L2255" t="s">
        <v>446</v>
      </c>
      <c r="M2255" t="s">
        <v>18</v>
      </c>
      <c r="N2255" s="2">
        <f>IFERROR(NHS_A_E[[#This Row],[T1_Over4hrs]]/NHS_A_E[[#This Row],[T1_Attendances]], 0)</f>
        <v>0.38277393879565647</v>
      </c>
      <c r="O2255">
        <f>NHS_A_E[[#This Row],[T1_Attendances]]+NHS_A_E[[#This Row],[Other_Attendances]]</f>
        <v>9085</v>
      </c>
      <c r="P2255">
        <f>MATCH(LEFT(A2255,FIND("-",A2255)-1),{"April","May","June","July","August","September","October","November","December","January","February","March"},0)</f>
        <v>12</v>
      </c>
      <c r="Q2255" s="3">
        <f t="shared" si="70"/>
        <v>3.1836130306021719E-2</v>
      </c>
      <c r="R2255" t="str">
        <f t="shared" si="71"/>
        <v>March</v>
      </c>
    </row>
    <row r="2256" spans="1:18" x14ac:dyDescent="0.35">
      <c r="A2256" t="s">
        <v>449</v>
      </c>
      <c r="B2256" t="s">
        <v>153</v>
      </c>
      <c r="C2256" t="s">
        <v>30</v>
      </c>
      <c r="D2256" t="s">
        <v>154</v>
      </c>
      <c r="E2256">
        <v>12102</v>
      </c>
      <c r="F2256">
        <v>3298</v>
      </c>
      <c r="G2256">
        <v>4107</v>
      </c>
      <c r="H2256">
        <v>210</v>
      </c>
      <c r="I2256">
        <v>1053</v>
      </c>
      <c r="J2256">
        <v>368</v>
      </c>
      <c r="K2256" s="1">
        <v>46082</v>
      </c>
      <c r="L2256" t="s">
        <v>446</v>
      </c>
      <c r="M2256" t="s">
        <v>18</v>
      </c>
      <c r="N2256" s="2">
        <f>IFERROR(NHS_A_E[[#This Row],[T1_Over4hrs]]/NHS_A_E[[#This Row],[T1_Attendances]], 0)</f>
        <v>0.33936539414972733</v>
      </c>
      <c r="O2256">
        <f>NHS_A_E[[#This Row],[T1_Attendances]]+NHS_A_E[[#This Row],[Other_Attendances]]</f>
        <v>15400</v>
      </c>
      <c r="P2256">
        <f>MATCH(LEFT(A2256,FIND("-",A2256)-1),{"April","May","June","July","August","September","October","November","December","January","February","March"},0)</f>
        <v>12</v>
      </c>
      <c r="Q2256" s="3">
        <f t="shared" si="70"/>
        <v>3.040819699223269E-2</v>
      </c>
      <c r="R2256" t="str">
        <f t="shared" si="71"/>
        <v>March</v>
      </c>
    </row>
    <row r="2257" spans="1:18" x14ac:dyDescent="0.35">
      <c r="A2257" t="s">
        <v>449</v>
      </c>
      <c r="B2257" t="s">
        <v>259</v>
      </c>
      <c r="C2257" t="s">
        <v>40</v>
      </c>
      <c r="D2257" t="s">
        <v>260</v>
      </c>
      <c r="E2257">
        <v>0</v>
      </c>
      <c r="F2257">
        <v>0</v>
      </c>
      <c r="G2257">
        <v>0</v>
      </c>
      <c r="H2257">
        <v>0</v>
      </c>
      <c r="I2257">
        <v>0</v>
      </c>
      <c r="J2257">
        <v>0</v>
      </c>
      <c r="K2257" s="1">
        <v>46082</v>
      </c>
      <c r="L2257" t="s">
        <v>446</v>
      </c>
      <c r="M2257" t="s">
        <v>18</v>
      </c>
      <c r="N2257" s="2">
        <f>IFERROR(NHS_A_E[[#This Row],[T1_Over4hrs]]/NHS_A_E[[#This Row],[T1_Attendances]], 0)</f>
        <v>0</v>
      </c>
      <c r="O2257">
        <f>NHS_A_E[[#This Row],[T1_Attendances]]+NHS_A_E[[#This Row],[Other_Attendances]]</f>
        <v>0</v>
      </c>
      <c r="P2257">
        <f>MATCH(LEFT(A2257,FIND("-",A2257)-1),{"April","May","June","July","August","September","October","November","December","January","February","March"},0)</f>
        <v>12</v>
      </c>
      <c r="Q2257" s="3">
        <f t="shared" si="70"/>
        <v>0</v>
      </c>
      <c r="R2257" t="str">
        <f t="shared" si="71"/>
        <v>March</v>
      </c>
    </row>
    <row r="2258" spans="1:18" x14ac:dyDescent="0.35">
      <c r="A2258" t="s">
        <v>449</v>
      </c>
      <c r="B2258" t="s">
        <v>405</v>
      </c>
      <c r="C2258" t="s">
        <v>15</v>
      </c>
      <c r="D2258" t="s">
        <v>406</v>
      </c>
      <c r="E2258">
        <v>9858</v>
      </c>
      <c r="F2258">
        <v>6484</v>
      </c>
      <c r="G2258">
        <v>3038</v>
      </c>
      <c r="H2258">
        <v>1091</v>
      </c>
      <c r="I2258">
        <v>335</v>
      </c>
      <c r="J2258">
        <v>671</v>
      </c>
      <c r="K2258" s="1">
        <v>46082</v>
      </c>
      <c r="L2258" t="s">
        <v>446</v>
      </c>
      <c r="M2258" t="s">
        <v>18</v>
      </c>
      <c r="N2258" s="2">
        <f>IFERROR(NHS_A_E[[#This Row],[T1_Over4hrs]]/NHS_A_E[[#This Row],[T1_Attendances]], 0)</f>
        <v>0.3081761006289308</v>
      </c>
      <c r="O2258">
        <f>NHS_A_E[[#This Row],[T1_Attendances]]+NHS_A_E[[#This Row],[Other_Attendances]]</f>
        <v>16342</v>
      </c>
      <c r="P2258">
        <f>MATCH(LEFT(A2258,FIND("-",A2258)-1),{"April","May","June","July","August","September","October","November","December","January","February","March"},0)</f>
        <v>12</v>
      </c>
      <c r="Q2258" s="3">
        <f t="shared" si="70"/>
        <v>6.8066544938121323E-2</v>
      </c>
      <c r="R2258" t="str">
        <f t="shared" si="71"/>
        <v>March</v>
      </c>
    </row>
    <row r="2259" spans="1:18" x14ac:dyDescent="0.35">
      <c r="A2259" t="s">
        <v>449</v>
      </c>
      <c r="B2259" t="s">
        <v>243</v>
      </c>
      <c r="C2259" t="s">
        <v>23</v>
      </c>
      <c r="D2259" t="s">
        <v>244</v>
      </c>
      <c r="E2259">
        <v>0</v>
      </c>
      <c r="F2259">
        <v>2144</v>
      </c>
      <c r="G2259">
        <v>0</v>
      </c>
      <c r="H2259">
        <v>110</v>
      </c>
      <c r="I2259">
        <v>0</v>
      </c>
      <c r="J2259">
        <v>0</v>
      </c>
      <c r="K2259" s="1">
        <v>46082</v>
      </c>
      <c r="L2259" t="s">
        <v>446</v>
      </c>
      <c r="M2259" t="s">
        <v>18</v>
      </c>
      <c r="N2259" s="2">
        <f>IFERROR(NHS_A_E[[#This Row],[T1_Over4hrs]]/NHS_A_E[[#This Row],[T1_Attendances]], 0)</f>
        <v>0</v>
      </c>
      <c r="O2259">
        <f>NHS_A_E[[#This Row],[T1_Attendances]]+NHS_A_E[[#This Row],[Other_Attendances]]</f>
        <v>2144</v>
      </c>
      <c r="P2259">
        <f>MATCH(LEFT(A2259,FIND("-",A2259)-1),{"April","May","June","July","August","September","October","November","December","January","February","March"},0)</f>
        <v>12</v>
      </c>
      <c r="Q2259" s="3">
        <f t="shared" si="70"/>
        <v>0</v>
      </c>
      <c r="R2259" t="str">
        <f t="shared" si="71"/>
        <v>March</v>
      </c>
    </row>
    <row r="2260" spans="1:18" x14ac:dyDescent="0.35">
      <c r="A2260" t="s">
        <v>449</v>
      </c>
      <c r="B2260" t="s">
        <v>359</v>
      </c>
      <c r="C2260" t="s">
        <v>40</v>
      </c>
      <c r="D2260" t="s">
        <v>360</v>
      </c>
      <c r="E2260">
        <v>10359</v>
      </c>
      <c r="F2260">
        <v>4254</v>
      </c>
      <c r="G2260">
        <v>2064</v>
      </c>
      <c r="H2260">
        <v>159</v>
      </c>
      <c r="I2260">
        <v>957</v>
      </c>
      <c r="J2260">
        <v>40</v>
      </c>
      <c r="K2260" s="1">
        <v>46082</v>
      </c>
      <c r="L2260" t="s">
        <v>446</v>
      </c>
      <c r="M2260" t="s">
        <v>18</v>
      </c>
      <c r="N2260" s="2">
        <f>IFERROR(NHS_A_E[[#This Row],[T1_Over4hrs]]/NHS_A_E[[#This Row],[T1_Attendances]], 0)</f>
        <v>0.19924703156675355</v>
      </c>
      <c r="O2260">
        <f>NHS_A_E[[#This Row],[T1_Attendances]]+NHS_A_E[[#This Row],[Other_Attendances]]</f>
        <v>14613</v>
      </c>
      <c r="P2260">
        <f>MATCH(LEFT(A2260,FIND("-",A2260)-1),{"April","May","June","July","August","September","October","November","December","January","February","March"},0)</f>
        <v>12</v>
      </c>
      <c r="Q2260" s="3">
        <f t="shared" si="70"/>
        <v>3.8613765807510377E-3</v>
      </c>
      <c r="R2260" t="str">
        <f t="shared" si="71"/>
        <v>March</v>
      </c>
    </row>
    <row r="2261" spans="1:18" x14ac:dyDescent="0.35">
      <c r="A2261" t="s">
        <v>449</v>
      </c>
      <c r="B2261" t="s">
        <v>253</v>
      </c>
      <c r="C2261" t="s">
        <v>63</v>
      </c>
      <c r="D2261" t="s">
        <v>254</v>
      </c>
      <c r="E2261">
        <v>6012</v>
      </c>
      <c r="F2261">
        <v>4693</v>
      </c>
      <c r="G2261">
        <v>2609</v>
      </c>
      <c r="H2261">
        <v>56</v>
      </c>
      <c r="I2261">
        <v>776</v>
      </c>
      <c r="J2261">
        <v>2</v>
      </c>
      <c r="K2261" s="1">
        <v>46082</v>
      </c>
      <c r="L2261" t="s">
        <v>446</v>
      </c>
      <c r="M2261" t="s">
        <v>18</v>
      </c>
      <c r="N2261" s="2">
        <f>IFERROR(NHS_A_E[[#This Row],[T1_Over4hrs]]/NHS_A_E[[#This Row],[T1_Attendances]], 0)</f>
        <v>0.43396540252827676</v>
      </c>
      <c r="O2261">
        <f>NHS_A_E[[#This Row],[T1_Attendances]]+NHS_A_E[[#This Row],[Other_Attendances]]</f>
        <v>10705</v>
      </c>
      <c r="P2261">
        <f>MATCH(LEFT(A2261,FIND("-",A2261)-1),{"April","May","June","July","August","September","October","November","December","January","February","March"},0)</f>
        <v>12</v>
      </c>
      <c r="Q2261" s="3">
        <f t="shared" si="70"/>
        <v>3.3266799733865603E-4</v>
      </c>
      <c r="R2261" t="str">
        <f t="shared" si="71"/>
        <v>March</v>
      </c>
    </row>
    <row r="2262" spans="1:18" x14ac:dyDescent="0.35">
      <c r="A2262" t="s">
        <v>449</v>
      </c>
      <c r="B2262" t="s">
        <v>181</v>
      </c>
      <c r="C2262" t="s">
        <v>40</v>
      </c>
      <c r="D2262" t="s">
        <v>182</v>
      </c>
      <c r="E2262">
        <v>23461</v>
      </c>
      <c r="F2262">
        <v>0</v>
      </c>
      <c r="G2262">
        <v>8490</v>
      </c>
      <c r="H2262">
        <v>0</v>
      </c>
      <c r="I2262">
        <v>1325</v>
      </c>
      <c r="J2262">
        <v>592</v>
      </c>
      <c r="K2262" s="1">
        <v>46082</v>
      </c>
      <c r="L2262" t="s">
        <v>446</v>
      </c>
      <c r="M2262" t="s">
        <v>18</v>
      </c>
      <c r="N2262" s="2">
        <f>IFERROR(NHS_A_E[[#This Row],[T1_Over4hrs]]/NHS_A_E[[#This Row],[T1_Attendances]], 0)</f>
        <v>0.36187715783640934</v>
      </c>
      <c r="O2262">
        <f>NHS_A_E[[#This Row],[T1_Attendances]]+NHS_A_E[[#This Row],[Other_Attendances]]</f>
        <v>23461</v>
      </c>
      <c r="P2262">
        <f>MATCH(LEFT(A2262,FIND("-",A2262)-1),{"April","May","June","July","August","September","October","November","December","January","February","March"},0)</f>
        <v>12</v>
      </c>
      <c r="Q2262" s="3">
        <f t="shared" si="70"/>
        <v>2.5233366011678957E-2</v>
      </c>
      <c r="R2262" t="str">
        <f t="shared" si="71"/>
        <v>March</v>
      </c>
    </row>
    <row r="2263" spans="1:18" x14ac:dyDescent="0.35">
      <c r="A2263" t="s">
        <v>449</v>
      </c>
      <c r="B2263" t="s">
        <v>48</v>
      </c>
      <c r="C2263" t="s">
        <v>40</v>
      </c>
      <c r="D2263" t="s">
        <v>49</v>
      </c>
      <c r="E2263">
        <v>7478</v>
      </c>
      <c r="F2263">
        <v>1767</v>
      </c>
      <c r="G2263">
        <v>834</v>
      </c>
      <c r="H2263">
        <v>2</v>
      </c>
      <c r="I2263">
        <v>159</v>
      </c>
      <c r="J2263">
        <v>92</v>
      </c>
      <c r="K2263" s="1">
        <v>46082</v>
      </c>
      <c r="L2263" t="s">
        <v>446</v>
      </c>
      <c r="M2263" t="s">
        <v>18</v>
      </c>
      <c r="N2263" s="2">
        <f>IFERROR(NHS_A_E[[#This Row],[T1_Over4hrs]]/NHS_A_E[[#This Row],[T1_Attendances]], 0)</f>
        <v>0.11152714629580102</v>
      </c>
      <c r="O2263">
        <f>NHS_A_E[[#This Row],[T1_Attendances]]+NHS_A_E[[#This Row],[Other_Attendances]]</f>
        <v>9245</v>
      </c>
      <c r="P2263">
        <f>MATCH(LEFT(A2263,FIND("-",A2263)-1),{"April","May","June","July","August","September","October","November","December","January","February","March"},0)</f>
        <v>12</v>
      </c>
      <c r="Q2263" s="3">
        <f t="shared" si="70"/>
        <v>1.2302754747258626E-2</v>
      </c>
      <c r="R2263" t="str">
        <f t="shared" si="71"/>
        <v>March</v>
      </c>
    </row>
    <row r="2264" spans="1:18" x14ac:dyDescent="0.35">
      <c r="A2264" t="s">
        <v>449</v>
      </c>
      <c r="B2264" t="s">
        <v>32</v>
      </c>
      <c r="C2264" t="s">
        <v>30</v>
      </c>
      <c r="D2264" t="s">
        <v>33</v>
      </c>
      <c r="E2264">
        <v>0</v>
      </c>
      <c r="F2264">
        <v>0</v>
      </c>
      <c r="G2264">
        <v>0</v>
      </c>
      <c r="H2264">
        <v>0</v>
      </c>
      <c r="I2264">
        <v>0</v>
      </c>
      <c r="J2264">
        <v>0</v>
      </c>
      <c r="K2264" s="1">
        <v>46082</v>
      </c>
      <c r="L2264" t="s">
        <v>446</v>
      </c>
      <c r="M2264" t="s">
        <v>18</v>
      </c>
      <c r="N2264" s="2">
        <f>IFERROR(NHS_A_E[[#This Row],[T1_Over4hrs]]/NHS_A_E[[#This Row],[T1_Attendances]], 0)</f>
        <v>0</v>
      </c>
      <c r="O2264">
        <f>NHS_A_E[[#This Row],[T1_Attendances]]+NHS_A_E[[#This Row],[Other_Attendances]]</f>
        <v>0</v>
      </c>
      <c r="P2264">
        <f>MATCH(LEFT(A2264,FIND("-",A2264)-1),{"April","May","June","July","August","September","October","November","December","January","February","March"},0)</f>
        <v>12</v>
      </c>
      <c r="Q2264" s="3">
        <f t="shared" si="70"/>
        <v>0</v>
      </c>
      <c r="R2264" t="str">
        <f t="shared" si="71"/>
        <v>March</v>
      </c>
    </row>
    <row r="2265" spans="1:18" x14ac:dyDescent="0.35">
      <c r="A2265" t="s">
        <v>449</v>
      </c>
      <c r="B2265" t="s">
        <v>52</v>
      </c>
      <c r="C2265" t="s">
        <v>40</v>
      </c>
      <c r="D2265" t="s">
        <v>53</v>
      </c>
      <c r="E2265">
        <v>11112</v>
      </c>
      <c r="F2265">
        <v>2110</v>
      </c>
      <c r="G2265">
        <v>3453</v>
      </c>
      <c r="H2265">
        <v>2</v>
      </c>
      <c r="I2265">
        <v>430</v>
      </c>
      <c r="J2265">
        <v>767</v>
      </c>
      <c r="K2265" s="1">
        <v>46082</v>
      </c>
      <c r="L2265" t="s">
        <v>446</v>
      </c>
      <c r="M2265" t="s">
        <v>18</v>
      </c>
      <c r="N2265" s="2">
        <f>IFERROR(NHS_A_E[[#This Row],[T1_Over4hrs]]/NHS_A_E[[#This Row],[T1_Attendances]], 0)</f>
        <v>0.31074514038876888</v>
      </c>
      <c r="O2265">
        <f>NHS_A_E[[#This Row],[T1_Attendances]]+NHS_A_E[[#This Row],[Other_Attendances]]</f>
        <v>13222</v>
      </c>
      <c r="P2265">
        <f>MATCH(LEFT(A2265,FIND("-",A2265)-1),{"April","May","June","July","August","September","October","November","December","January","February","March"},0)</f>
        <v>12</v>
      </c>
      <c r="Q2265" s="3">
        <f t="shared" si="70"/>
        <v>6.9024478041756654E-2</v>
      </c>
      <c r="R2265" t="str">
        <f t="shared" si="71"/>
        <v>March</v>
      </c>
    </row>
    <row r="2266" spans="1:18" x14ac:dyDescent="0.35">
      <c r="A2266" t="s">
        <v>449</v>
      </c>
      <c r="B2266" t="s">
        <v>165</v>
      </c>
      <c r="C2266" t="s">
        <v>63</v>
      </c>
      <c r="D2266" t="s">
        <v>166</v>
      </c>
      <c r="E2266">
        <v>11211</v>
      </c>
      <c r="F2266">
        <v>9607</v>
      </c>
      <c r="G2266">
        <v>4662</v>
      </c>
      <c r="H2266">
        <v>118</v>
      </c>
      <c r="I2266">
        <v>293</v>
      </c>
      <c r="J2266">
        <v>11</v>
      </c>
      <c r="K2266" s="1">
        <v>46082</v>
      </c>
      <c r="L2266" t="s">
        <v>446</v>
      </c>
      <c r="M2266" t="s">
        <v>18</v>
      </c>
      <c r="N2266" s="2">
        <f>IFERROR(NHS_A_E[[#This Row],[T1_Over4hrs]]/NHS_A_E[[#This Row],[T1_Attendances]], 0)</f>
        <v>0.41584158415841582</v>
      </c>
      <c r="O2266">
        <f>NHS_A_E[[#This Row],[T1_Attendances]]+NHS_A_E[[#This Row],[Other_Attendances]]</f>
        <v>20818</v>
      </c>
      <c r="P2266">
        <f>MATCH(LEFT(A2266,FIND("-",A2266)-1),{"April","May","June","July","August","September","October","November","December","January","February","March"},0)</f>
        <v>12</v>
      </c>
      <c r="Q2266" s="3">
        <f t="shared" si="70"/>
        <v>9.8117919900098127E-4</v>
      </c>
      <c r="R2266" t="str">
        <f t="shared" si="71"/>
        <v>March</v>
      </c>
    </row>
    <row r="2267" spans="1:18" x14ac:dyDescent="0.35">
      <c r="A2267" t="s">
        <v>449</v>
      </c>
      <c r="B2267" t="s">
        <v>69</v>
      </c>
      <c r="C2267" t="s">
        <v>20</v>
      </c>
      <c r="D2267" t="s">
        <v>70</v>
      </c>
      <c r="E2267">
        <v>14347</v>
      </c>
      <c r="F2267">
        <v>0</v>
      </c>
      <c r="G2267">
        <v>5083</v>
      </c>
      <c r="H2267">
        <v>0</v>
      </c>
      <c r="I2267">
        <v>282</v>
      </c>
      <c r="J2267">
        <v>489</v>
      </c>
      <c r="K2267" s="1">
        <v>46082</v>
      </c>
      <c r="L2267" t="s">
        <v>446</v>
      </c>
      <c r="M2267" t="s">
        <v>18</v>
      </c>
      <c r="N2267" s="2">
        <f>IFERROR(NHS_A_E[[#This Row],[T1_Over4hrs]]/NHS_A_E[[#This Row],[T1_Attendances]], 0)</f>
        <v>0.3542900954903464</v>
      </c>
      <c r="O2267">
        <f>NHS_A_E[[#This Row],[T1_Attendances]]+NHS_A_E[[#This Row],[Other_Attendances]]</f>
        <v>14347</v>
      </c>
      <c r="P2267">
        <f>MATCH(LEFT(A2267,FIND("-",A2267)-1),{"April","May","June","July","August","September","October","November","December","January","February","March"},0)</f>
        <v>12</v>
      </c>
      <c r="Q2267" s="3">
        <f t="shared" si="70"/>
        <v>3.4083780581306199E-2</v>
      </c>
      <c r="R2267" t="str">
        <f t="shared" si="71"/>
        <v>March</v>
      </c>
    </row>
    <row r="2268" spans="1:18" x14ac:dyDescent="0.35">
      <c r="A2268" t="s">
        <v>449</v>
      </c>
      <c r="B2268" t="s">
        <v>119</v>
      </c>
      <c r="C2268" t="s">
        <v>15</v>
      </c>
      <c r="D2268" t="s">
        <v>120</v>
      </c>
      <c r="E2268">
        <v>9559</v>
      </c>
      <c r="F2268">
        <v>3114</v>
      </c>
      <c r="G2268">
        <v>2991</v>
      </c>
      <c r="H2268">
        <v>29</v>
      </c>
      <c r="I2268">
        <v>259</v>
      </c>
      <c r="J2268">
        <v>249</v>
      </c>
      <c r="K2268" s="1">
        <v>46082</v>
      </c>
      <c r="L2268" t="s">
        <v>446</v>
      </c>
      <c r="M2268" t="s">
        <v>18</v>
      </c>
      <c r="N2268" s="2">
        <f>IFERROR(NHS_A_E[[#This Row],[T1_Over4hrs]]/NHS_A_E[[#This Row],[T1_Attendances]], 0)</f>
        <v>0.31289883879066849</v>
      </c>
      <c r="O2268">
        <f>NHS_A_E[[#This Row],[T1_Attendances]]+NHS_A_E[[#This Row],[Other_Attendances]]</f>
        <v>12673</v>
      </c>
      <c r="P2268">
        <f>MATCH(LEFT(A2268,FIND("-",A2268)-1),{"April","May","June","July","August","September","October","November","December","January","February","March"},0)</f>
        <v>12</v>
      </c>
      <c r="Q2268" s="3">
        <f t="shared" si="70"/>
        <v>2.6048749869233185E-2</v>
      </c>
      <c r="R2268" t="str">
        <f t="shared" si="71"/>
        <v>March</v>
      </c>
    </row>
    <row r="2269" spans="1:18" x14ac:dyDescent="0.35">
      <c r="A2269" t="s">
        <v>449</v>
      </c>
      <c r="B2269" t="s">
        <v>325</v>
      </c>
      <c r="C2269" t="s">
        <v>40</v>
      </c>
      <c r="D2269" t="s">
        <v>326</v>
      </c>
      <c r="E2269">
        <v>0</v>
      </c>
      <c r="F2269">
        <v>8730</v>
      </c>
      <c r="G2269">
        <v>0</v>
      </c>
      <c r="H2269">
        <v>156</v>
      </c>
      <c r="I2269">
        <v>0</v>
      </c>
      <c r="J2269">
        <v>0</v>
      </c>
      <c r="K2269" s="1">
        <v>46082</v>
      </c>
      <c r="L2269" t="s">
        <v>446</v>
      </c>
      <c r="M2269" t="s">
        <v>18</v>
      </c>
      <c r="N2269" s="2">
        <f>IFERROR(NHS_A_E[[#This Row],[T1_Over4hrs]]/NHS_A_E[[#This Row],[T1_Attendances]], 0)</f>
        <v>0</v>
      </c>
      <c r="O2269">
        <f>NHS_A_E[[#This Row],[T1_Attendances]]+NHS_A_E[[#This Row],[Other_Attendances]]</f>
        <v>8730</v>
      </c>
      <c r="P2269">
        <f>MATCH(LEFT(A2269,FIND("-",A2269)-1),{"April","May","June","July","August","September","October","November","December","January","February","March"},0)</f>
        <v>12</v>
      </c>
      <c r="Q2269" s="3">
        <f t="shared" si="70"/>
        <v>0</v>
      </c>
      <c r="R2269" t="str">
        <f t="shared" si="71"/>
        <v>March</v>
      </c>
    </row>
    <row r="2270" spans="1:18" x14ac:dyDescent="0.35">
      <c r="A2270" t="s">
        <v>449</v>
      </c>
      <c r="B2270" t="s">
        <v>339</v>
      </c>
      <c r="C2270" t="s">
        <v>20</v>
      </c>
      <c r="D2270" t="s">
        <v>340</v>
      </c>
      <c r="E2270">
        <v>16839</v>
      </c>
      <c r="F2270">
        <v>0</v>
      </c>
      <c r="G2270">
        <v>6340</v>
      </c>
      <c r="H2270">
        <v>0</v>
      </c>
      <c r="I2270">
        <v>1198</v>
      </c>
      <c r="J2270">
        <v>529</v>
      </c>
      <c r="K2270" s="1">
        <v>46082</v>
      </c>
      <c r="L2270" t="s">
        <v>446</v>
      </c>
      <c r="M2270" t="s">
        <v>18</v>
      </c>
      <c r="N2270" s="2">
        <f>IFERROR(NHS_A_E[[#This Row],[T1_Over4hrs]]/NHS_A_E[[#This Row],[T1_Attendances]], 0)</f>
        <v>0.37650691846309164</v>
      </c>
      <c r="O2270">
        <f>NHS_A_E[[#This Row],[T1_Attendances]]+NHS_A_E[[#This Row],[Other_Attendances]]</f>
        <v>16839</v>
      </c>
      <c r="P2270">
        <f>MATCH(LEFT(A2270,FIND("-",A2270)-1),{"April","May","June","July","August","September","October","November","December","January","February","March"},0)</f>
        <v>12</v>
      </c>
      <c r="Q2270" s="3">
        <f t="shared" si="70"/>
        <v>3.1415167171447232E-2</v>
      </c>
      <c r="R2270" t="str">
        <f t="shared" si="71"/>
        <v>March</v>
      </c>
    </row>
    <row r="2271" spans="1:18" x14ac:dyDescent="0.35">
      <c r="A2271" t="s">
        <v>449</v>
      </c>
      <c r="B2271" t="s">
        <v>89</v>
      </c>
      <c r="C2271" t="s">
        <v>35</v>
      </c>
      <c r="D2271" t="s">
        <v>90</v>
      </c>
      <c r="E2271">
        <v>27033</v>
      </c>
      <c r="F2271">
        <v>16624</v>
      </c>
      <c r="G2271">
        <v>7828</v>
      </c>
      <c r="H2271">
        <v>728</v>
      </c>
      <c r="I2271">
        <v>912</v>
      </c>
      <c r="J2271">
        <v>1771</v>
      </c>
      <c r="K2271" s="1">
        <v>46082</v>
      </c>
      <c r="L2271" t="s">
        <v>446</v>
      </c>
      <c r="M2271" t="s">
        <v>18</v>
      </c>
      <c r="N2271" s="2">
        <f>IFERROR(NHS_A_E[[#This Row],[T1_Over4hrs]]/NHS_A_E[[#This Row],[T1_Attendances]], 0)</f>
        <v>0.28957200458698629</v>
      </c>
      <c r="O2271">
        <f>NHS_A_E[[#This Row],[T1_Attendances]]+NHS_A_E[[#This Row],[Other_Attendances]]</f>
        <v>43657</v>
      </c>
      <c r="P2271">
        <f>MATCH(LEFT(A2271,FIND("-",A2271)-1),{"April","May","June","July","August","September","October","November","December","January","February","March"},0)</f>
        <v>12</v>
      </c>
      <c r="Q2271" s="3">
        <f t="shared" si="70"/>
        <v>6.5512521732697074E-2</v>
      </c>
      <c r="R2271" t="str">
        <f t="shared" si="71"/>
        <v>March</v>
      </c>
    </row>
    <row r="2272" spans="1:18" x14ac:dyDescent="0.35">
      <c r="A2272" t="s">
        <v>449</v>
      </c>
      <c r="B2272" t="s">
        <v>93</v>
      </c>
      <c r="C2272" t="s">
        <v>63</v>
      </c>
      <c r="D2272" t="s">
        <v>94</v>
      </c>
      <c r="E2272">
        <v>12231</v>
      </c>
      <c r="F2272">
        <v>7237</v>
      </c>
      <c r="G2272">
        <v>5296</v>
      </c>
      <c r="H2272">
        <v>456</v>
      </c>
      <c r="I2272">
        <v>693</v>
      </c>
      <c r="J2272">
        <v>237</v>
      </c>
      <c r="K2272" s="1">
        <v>46082</v>
      </c>
      <c r="L2272" t="s">
        <v>446</v>
      </c>
      <c r="M2272" t="s">
        <v>18</v>
      </c>
      <c r="N2272" s="2">
        <f>IFERROR(NHS_A_E[[#This Row],[T1_Over4hrs]]/NHS_A_E[[#This Row],[T1_Attendances]], 0)</f>
        <v>0.43299811953233586</v>
      </c>
      <c r="O2272">
        <f>NHS_A_E[[#This Row],[T1_Attendances]]+NHS_A_E[[#This Row],[Other_Attendances]]</f>
        <v>19468</v>
      </c>
      <c r="P2272">
        <f>MATCH(LEFT(A2272,FIND("-",A2272)-1),{"April","May","June","July","August","September","October","November","December","January","February","March"},0)</f>
        <v>12</v>
      </c>
      <c r="Q2272" s="3">
        <f t="shared" si="70"/>
        <v>1.9376992886926663E-2</v>
      </c>
      <c r="R2272" t="str">
        <f t="shared" si="71"/>
        <v>March</v>
      </c>
    </row>
    <row r="2273" spans="1:18" x14ac:dyDescent="0.35">
      <c r="A2273" t="s">
        <v>449</v>
      </c>
      <c r="B2273" t="s">
        <v>19</v>
      </c>
      <c r="C2273" t="s">
        <v>20</v>
      </c>
      <c r="D2273" t="s">
        <v>21</v>
      </c>
      <c r="E2273">
        <v>9444</v>
      </c>
      <c r="F2273">
        <v>0</v>
      </c>
      <c r="G2273">
        <v>3528</v>
      </c>
      <c r="H2273">
        <v>0</v>
      </c>
      <c r="I2273">
        <v>943</v>
      </c>
      <c r="J2273">
        <v>85</v>
      </c>
      <c r="K2273" s="1">
        <v>46082</v>
      </c>
      <c r="L2273" t="s">
        <v>446</v>
      </c>
      <c r="M2273" t="s">
        <v>18</v>
      </c>
      <c r="N2273" s="2">
        <f>IFERROR(NHS_A_E[[#This Row],[T1_Over4hrs]]/NHS_A_E[[#This Row],[T1_Attendances]], 0)</f>
        <v>0.37357052096569249</v>
      </c>
      <c r="O2273">
        <f>NHS_A_E[[#This Row],[T1_Attendances]]+NHS_A_E[[#This Row],[Other_Attendances]]</f>
        <v>9444</v>
      </c>
      <c r="P2273">
        <f>MATCH(LEFT(A2273,FIND("-",A2273)-1),{"April","May","June","July","August","September","October","November","December","January","February","March"},0)</f>
        <v>12</v>
      </c>
      <c r="Q2273" s="3">
        <f t="shared" si="70"/>
        <v>9.0004235493434982E-3</v>
      </c>
      <c r="R2273" t="str">
        <f t="shared" si="71"/>
        <v>March</v>
      </c>
    </row>
    <row r="2274" spans="1:18" x14ac:dyDescent="0.35">
      <c r="A2274" t="s">
        <v>449</v>
      </c>
      <c r="B2274" t="s">
        <v>149</v>
      </c>
      <c r="C2274" t="s">
        <v>15</v>
      </c>
      <c r="D2274" t="s">
        <v>150</v>
      </c>
      <c r="E2274">
        <v>11058</v>
      </c>
      <c r="F2274">
        <v>3469</v>
      </c>
      <c r="G2274">
        <v>3736</v>
      </c>
      <c r="H2274">
        <v>2</v>
      </c>
      <c r="I2274">
        <v>954</v>
      </c>
      <c r="J2274">
        <v>901</v>
      </c>
      <c r="K2274" s="1">
        <v>46082</v>
      </c>
      <c r="L2274" t="s">
        <v>446</v>
      </c>
      <c r="M2274" t="s">
        <v>18</v>
      </c>
      <c r="N2274" s="2">
        <f>IFERROR(NHS_A_E[[#This Row],[T1_Over4hrs]]/NHS_A_E[[#This Row],[T1_Attendances]], 0)</f>
        <v>0.33785494664496291</v>
      </c>
      <c r="O2274">
        <f>NHS_A_E[[#This Row],[T1_Attendances]]+NHS_A_E[[#This Row],[Other_Attendances]]</f>
        <v>14527</v>
      </c>
      <c r="P2274">
        <f>MATCH(LEFT(A2274,FIND("-",A2274)-1),{"April","May","June","July","August","September","October","November","December","January","February","March"},0)</f>
        <v>12</v>
      </c>
      <c r="Q2274" s="3">
        <f t="shared" si="70"/>
        <v>8.1479471875565201E-2</v>
      </c>
      <c r="R2274" t="str">
        <f t="shared" si="71"/>
        <v>March</v>
      </c>
    </row>
    <row r="2275" spans="1:18" x14ac:dyDescent="0.35">
      <c r="A2275" t="s">
        <v>449</v>
      </c>
      <c r="B2275" t="s">
        <v>155</v>
      </c>
      <c r="C2275" t="s">
        <v>15</v>
      </c>
      <c r="D2275" t="s">
        <v>156</v>
      </c>
      <c r="E2275">
        <v>11568</v>
      </c>
      <c r="F2275">
        <v>3067</v>
      </c>
      <c r="G2275">
        <v>3906</v>
      </c>
      <c r="H2275">
        <v>0</v>
      </c>
      <c r="I2275">
        <v>392</v>
      </c>
      <c r="J2275">
        <v>28</v>
      </c>
      <c r="K2275" s="1">
        <v>46082</v>
      </c>
      <c r="L2275" t="s">
        <v>446</v>
      </c>
      <c r="M2275" t="s">
        <v>18</v>
      </c>
      <c r="N2275" s="2">
        <f>IFERROR(NHS_A_E[[#This Row],[T1_Over4hrs]]/NHS_A_E[[#This Row],[T1_Attendances]], 0)</f>
        <v>0.33765560165975106</v>
      </c>
      <c r="O2275">
        <f>NHS_A_E[[#This Row],[T1_Attendances]]+NHS_A_E[[#This Row],[Other_Attendances]]</f>
        <v>14635</v>
      </c>
      <c r="P2275">
        <f>MATCH(LEFT(A2275,FIND("-",A2275)-1),{"April","May","June","July","August","September","October","November","December","January","February","March"},0)</f>
        <v>12</v>
      </c>
      <c r="Q2275" s="3">
        <f t="shared" si="70"/>
        <v>2.4204702627939143E-3</v>
      </c>
      <c r="R2275" t="str">
        <f t="shared" si="71"/>
        <v>March</v>
      </c>
    </row>
    <row r="2276" spans="1:18" x14ac:dyDescent="0.35">
      <c r="A2276" t="s">
        <v>449</v>
      </c>
      <c r="B2276" t="s">
        <v>151</v>
      </c>
      <c r="C2276" t="s">
        <v>30</v>
      </c>
      <c r="D2276" t="s">
        <v>152</v>
      </c>
      <c r="E2276">
        <v>27062</v>
      </c>
      <c r="F2276">
        <v>9249</v>
      </c>
      <c r="G2276">
        <v>9404</v>
      </c>
      <c r="H2276">
        <v>179</v>
      </c>
      <c r="I2276">
        <v>932</v>
      </c>
      <c r="J2276">
        <v>1124</v>
      </c>
      <c r="K2276" s="1">
        <v>46082</v>
      </c>
      <c r="L2276" t="s">
        <v>446</v>
      </c>
      <c r="M2276" t="s">
        <v>18</v>
      </c>
      <c r="N2276" s="2">
        <f>IFERROR(NHS_A_E[[#This Row],[T1_Over4hrs]]/NHS_A_E[[#This Row],[T1_Attendances]], 0)</f>
        <v>0.34749833715172568</v>
      </c>
      <c r="O2276">
        <f>NHS_A_E[[#This Row],[T1_Attendances]]+NHS_A_E[[#This Row],[Other_Attendances]]</f>
        <v>36311</v>
      </c>
      <c r="P2276">
        <f>MATCH(LEFT(A2276,FIND("-",A2276)-1),{"April","May","June","July","August","September","October","November","December","January","February","March"},0)</f>
        <v>12</v>
      </c>
      <c r="Q2276" s="3">
        <f t="shared" si="70"/>
        <v>4.1534254674451258E-2</v>
      </c>
      <c r="R2276" t="str">
        <f t="shared" si="71"/>
        <v>March</v>
      </c>
    </row>
    <row r="2277" spans="1:18" x14ac:dyDescent="0.35">
      <c r="A2277" t="s">
        <v>449</v>
      </c>
      <c r="B2277" t="s">
        <v>217</v>
      </c>
      <c r="C2277" t="s">
        <v>15</v>
      </c>
      <c r="D2277" t="s">
        <v>218</v>
      </c>
      <c r="E2277">
        <v>10649</v>
      </c>
      <c r="F2277">
        <v>4499</v>
      </c>
      <c r="G2277">
        <v>5251</v>
      </c>
      <c r="H2277">
        <v>440</v>
      </c>
      <c r="I2277">
        <v>126</v>
      </c>
      <c r="J2277">
        <v>13</v>
      </c>
      <c r="K2277" s="1">
        <v>46082</v>
      </c>
      <c r="L2277" t="s">
        <v>446</v>
      </c>
      <c r="M2277" t="s">
        <v>18</v>
      </c>
      <c r="N2277" s="2">
        <f>IFERROR(NHS_A_E[[#This Row],[T1_Over4hrs]]/NHS_A_E[[#This Row],[T1_Attendances]], 0)</f>
        <v>0.49309794346887031</v>
      </c>
      <c r="O2277">
        <f>NHS_A_E[[#This Row],[T1_Attendances]]+NHS_A_E[[#This Row],[Other_Attendances]]</f>
        <v>15148</v>
      </c>
      <c r="P2277">
        <f>MATCH(LEFT(A2277,FIND("-",A2277)-1),{"April","May","June","July","August","September","October","November","December","January","February","March"},0)</f>
        <v>12</v>
      </c>
      <c r="Q2277" s="3">
        <f t="shared" si="70"/>
        <v>1.2207719034651142E-3</v>
      </c>
      <c r="R2277" t="str">
        <f t="shared" si="71"/>
        <v>March</v>
      </c>
    </row>
    <row r="2278" spans="1:18" x14ac:dyDescent="0.35">
      <c r="A2278" t="s">
        <v>449</v>
      </c>
      <c r="B2278" t="s">
        <v>177</v>
      </c>
      <c r="C2278" t="s">
        <v>63</v>
      </c>
      <c r="D2278" t="s">
        <v>178</v>
      </c>
      <c r="E2278">
        <v>10114</v>
      </c>
      <c r="F2278">
        <v>4397</v>
      </c>
      <c r="G2278">
        <v>4985</v>
      </c>
      <c r="H2278">
        <v>236</v>
      </c>
      <c r="I2278">
        <v>1054</v>
      </c>
      <c r="J2278">
        <v>375</v>
      </c>
      <c r="K2278" s="1">
        <v>46082</v>
      </c>
      <c r="L2278" t="s">
        <v>446</v>
      </c>
      <c r="M2278" t="s">
        <v>18</v>
      </c>
      <c r="N2278" s="2">
        <f>IFERROR(NHS_A_E[[#This Row],[T1_Over4hrs]]/NHS_A_E[[#This Row],[T1_Attendances]], 0)</f>
        <v>0.49288115483488232</v>
      </c>
      <c r="O2278">
        <f>NHS_A_E[[#This Row],[T1_Attendances]]+NHS_A_E[[#This Row],[Other_Attendances]]</f>
        <v>14511</v>
      </c>
      <c r="P2278">
        <f>MATCH(LEFT(A2278,FIND("-",A2278)-1),{"April","May","June","July","August","September","October","November","December","January","February","March"},0)</f>
        <v>12</v>
      </c>
      <c r="Q2278" s="3">
        <f t="shared" si="70"/>
        <v>3.7077318568321138E-2</v>
      </c>
      <c r="R2278" t="str">
        <f t="shared" si="71"/>
        <v>March</v>
      </c>
    </row>
    <row r="2279" spans="1:18" x14ac:dyDescent="0.35">
      <c r="A2279" t="s">
        <v>449</v>
      </c>
      <c r="B2279" t="s">
        <v>195</v>
      </c>
      <c r="C2279" t="s">
        <v>30</v>
      </c>
      <c r="D2279" t="s">
        <v>196</v>
      </c>
      <c r="E2279">
        <v>8417</v>
      </c>
      <c r="F2279">
        <v>10241</v>
      </c>
      <c r="G2279">
        <v>3022</v>
      </c>
      <c r="H2279">
        <v>240</v>
      </c>
      <c r="I2279">
        <v>518</v>
      </c>
      <c r="J2279">
        <v>261</v>
      </c>
      <c r="K2279" s="1">
        <v>46082</v>
      </c>
      <c r="L2279" t="s">
        <v>446</v>
      </c>
      <c r="M2279" t="s">
        <v>18</v>
      </c>
      <c r="N2279" s="2">
        <f>IFERROR(NHS_A_E[[#This Row],[T1_Over4hrs]]/NHS_A_E[[#This Row],[T1_Attendances]], 0)</f>
        <v>0.35903528573125815</v>
      </c>
      <c r="O2279">
        <f>NHS_A_E[[#This Row],[T1_Attendances]]+NHS_A_E[[#This Row],[Other_Attendances]]</f>
        <v>18658</v>
      </c>
      <c r="P2279">
        <f>MATCH(LEFT(A2279,FIND("-",A2279)-1),{"April","May","June","July","August","September","October","November","December","January","February","March"},0)</f>
        <v>12</v>
      </c>
      <c r="Q2279" s="3">
        <f t="shared" si="70"/>
        <v>3.1008672923844599E-2</v>
      </c>
      <c r="R2279" t="str">
        <f t="shared" si="71"/>
        <v>March</v>
      </c>
    </row>
    <row r="2280" spans="1:18" x14ac:dyDescent="0.35">
      <c r="A2280" t="s">
        <v>449</v>
      </c>
      <c r="B2280" t="s">
        <v>203</v>
      </c>
      <c r="C2280" t="s">
        <v>40</v>
      </c>
      <c r="D2280" t="s">
        <v>204</v>
      </c>
      <c r="E2280">
        <v>0</v>
      </c>
      <c r="F2280">
        <v>0</v>
      </c>
      <c r="G2280">
        <v>0</v>
      </c>
      <c r="H2280">
        <v>0</v>
      </c>
      <c r="I2280">
        <v>0</v>
      </c>
      <c r="J2280">
        <v>0</v>
      </c>
      <c r="K2280" s="1">
        <v>46082</v>
      </c>
      <c r="L2280" t="s">
        <v>446</v>
      </c>
      <c r="M2280" t="s">
        <v>18</v>
      </c>
      <c r="N2280" s="2">
        <f>IFERROR(NHS_A_E[[#This Row],[T1_Over4hrs]]/NHS_A_E[[#This Row],[T1_Attendances]], 0)</f>
        <v>0</v>
      </c>
      <c r="O2280">
        <f>NHS_A_E[[#This Row],[T1_Attendances]]+NHS_A_E[[#This Row],[Other_Attendances]]</f>
        <v>0</v>
      </c>
      <c r="P2280">
        <f>MATCH(LEFT(A2280,FIND("-",A2280)-1),{"April","May","June","July","August","September","October","November","December","January","February","March"},0)</f>
        <v>12</v>
      </c>
      <c r="Q2280" s="3">
        <f t="shared" si="70"/>
        <v>0</v>
      </c>
      <c r="R2280" t="str">
        <f t="shared" si="71"/>
        <v>March</v>
      </c>
    </row>
    <row r="2281" spans="1:18" x14ac:dyDescent="0.35">
      <c r="A2281" t="s">
        <v>449</v>
      </c>
      <c r="B2281" t="s">
        <v>73</v>
      </c>
      <c r="C2281" t="s">
        <v>15</v>
      </c>
      <c r="D2281" t="s">
        <v>74</v>
      </c>
      <c r="E2281">
        <v>4228</v>
      </c>
      <c r="F2281">
        <v>1661</v>
      </c>
      <c r="G2281">
        <v>1327</v>
      </c>
      <c r="H2281">
        <v>90</v>
      </c>
      <c r="I2281">
        <v>270</v>
      </c>
      <c r="J2281">
        <v>196</v>
      </c>
      <c r="K2281" s="1">
        <v>46082</v>
      </c>
      <c r="L2281" t="s">
        <v>446</v>
      </c>
      <c r="M2281" t="s">
        <v>18</v>
      </c>
      <c r="N2281" s="2">
        <f>IFERROR(NHS_A_E[[#This Row],[T1_Over4hrs]]/NHS_A_E[[#This Row],[T1_Attendances]], 0)</f>
        <v>0.31385998107852414</v>
      </c>
      <c r="O2281">
        <f>NHS_A_E[[#This Row],[T1_Attendances]]+NHS_A_E[[#This Row],[Other_Attendances]]</f>
        <v>5889</v>
      </c>
      <c r="P2281">
        <f>MATCH(LEFT(A2281,FIND("-",A2281)-1),{"April","May","June","July","August","September","October","November","December","January","February","March"},0)</f>
        <v>12</v>
      </c>
      <c r="Q2281" s="3">
        <f t="shared" si="70"/>
        <v>4.6357615894039736E-2</v>
      </c>
      <c r="R2281" t="str">
        <f t="shared" si="71"/>
        <v>March</v>
      </c>
    </row>
    <row r="2282" spans="1:18" x14ac:dyDescent="0.35">
      <c r="A2282" t="s">
        <v>449</v>
      </c>
      <c r="B2282" t="s">
        <v>345</v>
      </c>
      <c r="C2282" t="s">
        <v>23</v>
      </c>
      <c r="D2282" t="s">
        <v>346</v>
      </c>
      <c r="E2282">
        <v>17712</v>
      </c>
      <c r="F2282">
        <v>9389</v>
      </c>
      <c r="G2282">
        <v>5426</v>
      </c>
      <c r="H2282">
        <v>0</v>
      </c>
      <c r="I2282">
        <v>80</v>
      </c>
      <c r="J2282">
        <v>15</v>
      </c>
      <c r="K2282" s="1">
        <v>46082</v>
      </c>
      <c r="L2282" t="s">
        <v>446</v>
      </c>
      <c r="M2282" t="s">
        <v>18</v>
      </c>
      <c r="N2282" s="2">
        <f>IFERROR(NHS_A_E[[#This Row],[T1_Over4hrs]]/NHS_A_E[[#This Row],[T1_Attendances]], 0)</f>
        <v>0.30634598012646791</v>
      </c>
      <c r="O2282">
        <f>NHS_A_E[[#This Row],[T1_Attendances]]+NHS_A_E[[#This Row],[Other_Attendances]]</f>
        <v>27101</v>
      </c>
      <c r="P2282">
        <f>MATCH(LEFT(A2282,FIND("-",A2282)-1),{"April","May","June","July","August","September","October","November","December","January","February","March"},0)</f>
        <v>12</v>
      </c>
      <c r="Q2282" s="3">
        <f t="shared" si="70"/>
        <v>8.468834688346884E-4</v>
      </c>
      <c r="R2282" t="str">
        <f t="shared" si="71"/>
        <v>March</v>
      </c>
    </row>
    <row r="2283" spans="1:18" x14ac:dyDescent="0.35">
      <c r="A2283" t="s">
        <v>449</v>
      </c>
      <c r="B2283" t="s">
        <v>347</v>
      </c>
      <c r="C2283" t="s">
        <v>63</v>
      </c>
      <c r="D2283" t="s">
        <v>348</v>
      </c>
      <c r="E2283">
        <v>5874</v>
      </c>
      <c r="F2283">
        <v>0</v>
      </c>
      <c r="G2283">
        <v>2060</v>
      </c>
      <c r="H2283">
        <v>0</v>
      </c>
      <c r="I2283">
        <v>413</v>
      </c>
      <c r="J2283">
        <v>428</v>
      </c>
      <c r="K2283" s="1">
        <v>46082</v>
      </c>
      <c r="L2283" t="s">
        <v>446</v>
      </c>
      <c r="M2283" t="s">
        <v>18</v>
      </c>
      <c r="N2283" s="2">
        <f>IFERROR(NHS_A_E[[#This Row],[T1_Over4hrs]]/NHS_A_E[[#This Row],[T1_Attendances]], 0)</f>
        <v>0.35069799114742933</v>
      </c>
      <c r="O2283">
        <f>NHS_A_E[[#This Row],[T1_Attendances]]+NHS_A_E[[#This Row],[Other_Attendances]]</f>
        <v>5874</v>
      </c>
      <c r="P2283">
        <f>MATCH(LEFT(A2283,FIND("-",A2283)-1),{"April","May","June","July","August","September","October","November","December","January","February","March"},0)</f>
        <v>12</v>
      </c>
      <c r="Q2283" s="3">
        <f t="shared" si="70"/>
        <v>7.2863466121893095E-2</v>
      </c>
      <c r="R2283" t="str">
        <f t="shared" si="71"/>
        <v>March</v>
      </c>
    </row>
    <row r="2284" spans="1:18" x14ac:dyDescent="0.35">
      <c r="A2284" t="s">
        <v>449</v>
      </c>
      <c r="B2284" t="s">
        <v>95</v>
      </c>
      <c r="C2284" t="s">
        <v>23</v>
      </c>
      <c r="D2284" t="s">
        <v>96</v>
      </c>
      <c r="E2284">
        <v>8309</v>
      </c>
      <c r="F2284">
        <v>5506</v>
      </c>
      <c r="G2284">
        <v>2730</v>
      </c>
      <c r="H2284">
        <v>93</v>
      </c>
      <c r="I2284">
        <v>603</v>
      </c>
      <c r="J2284">
        <v>0</v>
      </c>
      <c r="K2284" s="1">
        <v>46082</v>
      </c>
      <c r="L2284" t="s">
        <v>446</v>
      </c>
      <c r="M2284" t="s">
        <v>18</v>
      </c>
      <c r="N2284" s="2">
        <f>IFERROR(NHS_A_E[[#This Row],[T1_Over4hrs]]/NHS_A_E[[#This Row],[T1_Attendances]], 0)</f>
        <v>0.32855939342881213</v>
      </c>
      <c r="O2284">
        <f>NHS_A_E[[#This Row],[T1_Attendances]]+NHS_A_E[[#This Row],[Other_Attendances]]</f>
        <v>13815</v>
      </c>
      <c r="P2284">
        <f>MATCH(LEFT(A2284,FIND("-",A2284)-1),{"April","May","June","July","August","September","October","November","December","January","February","March"},0)</f>
        <v>12</v>
      </c>
      <c r="Q2284" s="3">
        <f t="shared" si="70"/>
        <v>0</v>
      </c>
      <c r="R2284" t="str">
        <f t="shared" si="71"/>
        <v>March</v>
      </c>
    </row>
    <row r="2285" spans="1:18" x14ac:dyDescent="0.35">
      <c r="A2285" t="s">
        <v>449</v>
      </c>
      <c r="B2285" t="s">
        <v>22</v>
      </c>
      <c r="C2285" t="s">
        <v>23</v>
      </c>
      <c r="D2285" t="s">
        <v>24</v>
      </c>
      <c r="E2285">
        <v>11646</v>
      </c>
      <c r="F2285">
        <v>13538</v>
      </c>
      <c r="G2285">
        <v>5020</v>
      </c>
      <c r="H2285">
        <v>844</v>
      </c>
      <c r="I2285">
        <v>883</v>
      </c>
      <c r="J2285">
        <v>548</v>
      </c>
      <c r="K2285" s="1">
        <v>46082</v>
      </c>
      <c r="L2285" t="s">
        <v>446</v>
      </c>
      <c r="M2285" t="s">
        <v>18</v>
      </c>
      <c r="N2285" s="2">
        <f>IFERROR(NHS_A_E[[#This Row],[T1_Over4hrs]]/NHS_A_E[[#This Row],[T1_Attendances]], 0)</f>
        <v>0.43104928730894726</v>
      </c>
      <c r="O2285">
        <f>NHS_A_E[[#This Row],[T1_Attendances]]+NHS_A_E[[#This Row],[Other_Attendances]]</f>
        <v>25184</v>
      </c>
      <c r="P2285">
        <f>MATCH(LEFT(A2285,FIND("-",A2285)-1),{"April","May","June","July","August","September","October","November","December","January","February","March"},0)</f>
        <v>12</v>
      </c>
      <c r="Q2285" s="3">
        <f t="shared" si="70"/>
        <v>4.7054782758028504E-2</v>
      </c>
      <c r="R2285" t="str">
        <f t="shared" si="71"/>
        <v>March</v>
      </c>
    </row>
    <row r="2286" spans="1:18" x14ac:dyDescent="0.35">
      <c r="A2286" t="s">
        <v>449</v>
      </c>
      <c r="B2286" t="s">
        <v>159</v>
      </c>
      <c r="C2286" t="s">
        <v>40</v>
      </c>
      <c r="D2286" t="s">
        <v>160</v>
      </c>
      <c r="E2286">
        <v>7179</v>
      </c>
      <c r="F2286">
        <v>5672</v>
      </c>
      <c r="G2286">
        <v>3234</v>
      </c>
      <c r="H2286">
        <v>84</v>
      </c>
      <c r="I2286">
        <v>534</v>
      </c>
      <c r="J2286">
        <v>82</v>
      </c>
      <c r="K2286" s="1">
        <v>46082</v>
      </c>
      <c r="L2286" t="s">
        <v>446</v>
      </c>
      <c r="M2286" t="s">
        <v>18</v>
      </c>
      <c r="N2286" s="2">
        <f>IFERROR(NHS_A_E[[#This Row],[T1_Over4hrs]]/NHS_A_E[[#This Row],[T1_Attendances]], 0)</f>
        <v>0.45048056832427913</v>
      </c>
      <c r="O2286">
        <f>NHS_A_E[[#This Row],[T1_Attendances]]+NHS_A_E[[#This Row],[Other_Attendances]]</f>
        <v>12851</v>
      </c>
      <c r="P2286">
        <f>MATCH(LEFT(A2286,FIND("-",A2286)-1),{"April","May","June","July","August","September","October","November","December","January","February","March"},0)</f>
        <v>12</v>
      </c>
      <c r="Q2286" s="3">
        <f t="shared" si="70"/>
        <v>1.1422203649533362E-2</v>
      </c>
      <c r="R2286" t="str">
        <f t="shared" si="71"/>
        <v>March</v>
      </c>
    </row>
    <row r="2287" spans="1:18" x14ac:dyDescent="0.35">
      <c r="A2287" t="s">
        <v>449</v>
      </c>
      <c r="B2287" t="s">
        <v>401</v>
      </c>
      <c r="C2287" t="s">
        <v>35</v>
      </c>
      <c r="D2287" t="s">
        <v>402</v>
      </c>
      <c r="E2287">
        <v>13405</v>
      </c>
      <c r="F2287">
        <v>5222</v>
      </c>
      <c r="G2287">
        <v>3841</v>
      </c>
      <c r="H2287">
        <v>0</v>
      </c>
      <c r="I2287">
        <v>292</v>
      </c>
      <c r="J2287">
        <v>678</v>
      </c>
      <c r="K2287" s="1">
        <v>46082</v>
      </c>
      <c r="L2287" t="s">
        <v>446</v>
      </c>
      <c r="M2287" t="s">
        <v>18</v>
      </c>
      <c r="N2287" s="2">
        <f>IFERROR(NHS_A_E[[#This Row],[T1_Over4hrs]]/NHS_A_E[[#This Row],[T1_Attendances]], 0)</f>
        <v>0.28653487504662439</v>
      </c>
      <c r="O2287">
        <f>NHS_A_E[[#This Row],[T1_Attendances]]+NHS_A_E[[#This Row],[Other_Attendances]]</f>
        <v>18627</v>
      </c>
      <c r="P2287">
        <f>MATCH(LEFT(A2287,FIND("-",A2287)-1),{"April","May","June","July","August","September","October","November","December","January","February","March"},0)</f>
        <v>12</v>
      </c>
      <c r="Q2287" s="3">
        <f t="shared" si="70"/>
        <v>5.0578142484147708E-2</v>
      </c>
      <c r="R2287" t="str">
        <f t="shared" si="71"/>
        <v>March</v>
      </c>
    </row>
    <row r="2288" spans="1:18" x14ac:dyDescent="0.35">
      <c r="A2288" t="s">
        <v>449</v>
      </c>
      <c r="B2288" t="s">
        <v>169</v>
      </c>
      <c r="C2288" t="s">
        <v>20</v>
      </c>
      <c r="D2288" t="s">
        <v>170</v>
      </c>
      <c r="E2288">
        <v>9545</v>
      </c>
      <c r="F2288">
        <v>0</v>
      </c>
      <c r="G2288">
        <v>3386</v>
      </c>
      <c r="H2288">
        <v>0</v>
      </c>
      <c r="I2288">
        <v>363</v>
      </c>
      <c r="J2288">
        <v>576</v>
      </c>
      <c r="K2288" s="1">
        <v>46082</v>
      </c>
      <c r="L2288" t="s">
        <v>446</v>
      </c>
      <c r="M2288" t="s">
        <v>18</v>
      </c>
      <c r="N2288" s="2">
        <f>IFERROR(NHS_A_E[[#This Row],[T1_Over4hrs]]/NHS_A_E[[#This Row],[T1_Attendances]], 0)</f>
        <v>0.35474070193818752</v>
      </c>
      <c r="O2288">
        <f>NHS_A_E[[#This Row],[T1_Attendances]]+NHS_A_E[[#This Row],[Other_Attendances]]</f>
        <v>9545</v>
      </c>
      <c r="P2288">
        <f>MATCH(LEFT(A2288,FIND("-",A2288)-1),{"April","May","June","July","August","September","October","November","December","January","February","March"},0)</f>
        <v>12</v>
      </c>
      <c r="Q2288" s="3">
        <f t="shared" si="70"/>
        <v>6.0345730749083289E-2</v>
      </c>
      <c r="R2288" t="str">
        <f t="shared" si="71"/>
        <v>March</v>
      </c>
    </row>
    <row r="2289" spans="1:18" x14ac:dyDescent="0.35">
      <c r="A2289" t="s">
        <v>449</v>
      </c>
      <c r="B2289" t="s">
        <v>50</v>
      </c>
      <c r="C2289" t="s">
        <v>15</v>
      </c>
      <c r="D2289" t="s">
        <v>51</v>
      </c>
      <c r="E2289">
        <v>12229</v>
      </c>
      <c r="F2289">
        <v>4068</v>
      </c>
      <c r="G2289">
        <v>2966</v>
      </c>
      <c r="H2289">
        <v>4</v>
      </c>
      <c r="I2289">
        <v>567</v>
      </c>
      <c r="J2289">
        <v>497</v>
      </c>
      <c r="K2289" s="1">
        <v>46082</v>
      </c>
      <c r="L2289" t="s">
        <v>446</v>
      </c>
      <c r="M2289" t="s">
        <v>18</v>
      </c>
      <c r="N2289" s="2">
        <f>IFERROR(NHS_A_E[[#This Row],[T1_Over4hrs]]/NHS_A_E[[#This Row],[T1_Attendances]], 0)</f>
        <v>0.2425382288003925</v>
      </c>
      <c r="O2289">
        <f>NHS_A_E[[#This Row],[T1_Attendances]]+NHS_A_E[[#This Row],[Other_Attendances]]</f>
        <v>16297</v>
      </c>
      <c r="P2289">
        <f>MATCH(LEFT(A2289,FIND("-",A2289)-1),{"April","May","June","July","August","September","October","November","December","January","February","March"},0)</f>
        <v>12</v>
      </c>
      <c r="Q2289" s="3">
        <f t="shared" si="70"/>
        <v>4.0641099026903264E-2</v>
      </c>
      <c r="R2289" t="str">
        <f t="shared" si="71"/>
        <v>March</v>
      </c>
    </row>
    <row r="2290" spans="1:18" x14ac:dyDescent="0.35">
      <c r="A2290" t="s">
        <v>449</v>
      </c>
      <c r="B2290" t="s">
        <v>77</v>
      </c>
      <c r="C2290" t="s">
        <v>63</v>
      </c>
      <c r="D2290" t="s">
        <v>78</v>
      </c>
      <c r="E2290">
        <v>0</v>
      </c>
      <c r="F2290">
        <v>1610</v>
      </c>
      <c r="G2290">
        <v>0</v>
      </c>
      <c r="H2290">
        <v>26</v>
      </c>
      <c r="I2290">
        <v>0</v>
      </c>
      <c r="J2290">
        <v>0</v>
      </c>
      <c r="K2290" s="1">
        <v>46082</v>
      </c>
      <c r="L2290" t="s">
        <v>446</v>
      </c>
      <c r="M2290" t="s">
        <v>18</v>
      </c>
      <c r="N2290" s="2">
        <f>IFERROR(NHS_A_E[[#This Row],[T1_Over4hrs]]/NHS_A_E[[#This Row],[T1_Attendances]], 0)</f>
        <v>0</v>
      </c>
      <c r="O2290">
        <f>NHS_A_E[[#This Row],[T1_Attendances]]+NHS_A_E[[#This Row],[Other_Attendances]]</f>
        <v>1610</v>
      </c>
      <c r="P2290">
        <f>MATCH(LEFT(A2290,FIND("-",A2290)-1),{"April","May","June","July","August","September","October","November","December","January","February","March"},0)</f>
        <v>12</v>
      </c>
      <c r="Q2290" s="3">
        <f t="shared" si="70"/>
        <v>0</v>
      </c>
      <c r="R2290" t="str">
        <f t="shared" si="71"/>
        <v>March</v>
      </c>
    </row>
    <row r="2291" spans="1:18" x14ac:dyDescent="0.35">
      <c r="A2291" t="s">
        <v>449</v>
      </c>
      <c r="B2291" t="s">
        <v>79</v>
      </c>
      <c r="C2291" t="s">
        <v>63</v>
      </c>
      <c r="D2291" t="s">
        <v>80</v>
      </c>
      <c r="E2291">
        <v>0</v>
      </c>
      <c r="F2291">
        <v>2708</v>
      </c>
      <c r="G2291">
        <v>0</v>
      </c>
      <c r="H2291">
        <v>127</v>
      </c>
      <c r="I2291">
        <v>0</v>
      </c>
      <c r="J2291">
        <v>0</v>
      </c>
      <c r="K2291" s="1">
        <v>46082</v>
      </c>
      <c r="L2291" t="s">
        <v>446</v>
      </c>
      <c r="M2291" t="s">
        <v>18</v>
      </c>
      <c r="N2291" s="2">
        <f>IFERROR(NHS_A_E[[#This Row],[T1_Over4hrs]]/NHS_A_E[[#This Row],[T1_Attendances]], 0)</f>
        <v>0</v>
      </c>
      <c r="O2291">
        <f>NHS_A_E[[#This Row],[T1_Attendances]]+NHS_A_E[[#This Row],[Other_Attendances]]</f>
        <v>2708</v>
      </c>
      <c r="P2291">
        <f>MATCH(LEFT(A2291,FIND("-",A2291)-1),{"April","May","June","July","August","September","October","November","December","January","February","March"},0)</f>
        <v>12</v>
      </c>
      <c r="Q2291" s="3">
        <f t="shared" si="70"/>
        <v>0</v>
      </c>
      <c r="R2291" t="str">
        <f t="shared" si="71"/>
        <v>March</v>
      </c>
    </row>
    <row r="2292" spans="1:18" x14ac:dyDescent="0.35">
      <c r="A2292" t="s">
        <v>449</v>
      </c>
      <c r="B2292" t="s">
        <v>81</v>
      </c>
      <c r="C2292" t="s">
        <v>63</v>
      </c>
      <c r="D2292" t="s">
        <v>82</v>
      </c>
      <c r="E2292">
        <v>0</v>
      </c>
      <c r="F2292">
        <v>1665</v>
      </c>
      <c r="G2292">
        <v>0</v>
      </c>
      <c r="H2292">
        <v>34</v>
      </c>
      <c r="I2292">
        <v>0</v>
      </c>
      <c r="J2292">
        <v>0</v>
      </c>
      <c r="K2292" s="1">
        <v>46082</v>
      </c>
      <c r="L2292" t="s">
        <v>446</v>
      </c>
      <c r="M2292" t="s">
        <v>18</v>
      </c>
      <c r="N2292" s="2">
        <f>IFERROR(NHS_A_E[[#This Row],[T1_Over4hrs]]/NHS_A_E[[#This Row],[T1_Attendances]], 0)</f>
        <v>0</v>
      </c>
      <c r="O2292">
        <f>NHS_A_E[[#This Row],[T1_Attendances]]+NHS_A_E[[#This Row],[Other_Attendances]]</f>
        <v>1665</v>
      </c>
      <c r="P2292">
        <f>MATCH(LEFT(A2292,FIND("-",A2292)-1),{"April","May","June","July","August","September","October","November","December","January","February","March"},0)</f>
        <v>12</v>
      </c>
      <c r="Q2292" s="3">
        <f t="shared" si="70"/>
        <v>0</v>
      </c>
      <c r="R2292" t="str">
        <f t="shared" si="71"/>
        <v>March</v>
      </c>
    </row>
    <row r="2293" spans="1:18" x14ac:dyDescent="0.35">
      <c r="A2293" t="s">
        <v>449</v>
      </c>
      <c r="B2293" t="s">
        <v>315</v>
      </c>
      <c r="C2293" t="s">
        <v>23</v>
      </c>
      <c r="D2293" t="s">
        <v>316</v>
      </c>
      <c r="E2293">
        <v>7717</v>
      </c>
      <c r="F2293">
        <v>1655</v>
      </c>
      <c r="G2293">
        <v>2678</v>
      </c>
      <c r="H2293">
        <v>0</v>
      </c>
      <c r="I2293">
        <v>479</v>
      </c>
      <c r="J2293">
        <v>427</v>
      </c>
      <c r="K2293" s="1">
        <v>46082</v>
      </c>
      <c r="L2293" t="s">
        <v>446</v>
      </c>
      <c r="M2293" t="s">
        <v>18</v>
      </c>
      <c r="N2293" s="2">
        <f>IFERROR(NHS_A_E[[#This Row],[T1_Over4hrs]]/NHS_A_E[[#This Row],[T1_Attendances]], 0)</f>
        <v>0.34702604639108464</v>
      </c>
      <c r="O2293">
        <f>NHS_A_E[[#This Row],[T1_Attendances]]+NHS_A_E[[#This Row],[Other_Attendances]]</f>
        <v>9372</v>
      </c>
      <c r="P2293">
        <f>MATCH(LEFT(A2293,FIND("-",A2293)-1),{"April","May","June","July","August","September","October","November","December","January","February","March"},0)</f>
        <v>12</v>
      </c>
      <c r="Q2293" s="3">
        <f t="shared" si="70"/>
        <v>5.533238305040819E-2</v>
      </c>
      <c r="R2293" t="str">
        <f t="shared" si="71"/>
        <v>March</v>
      </c>
    </row>
    <row r="2294" spans="1:18" x14ac:dyDescent="0.35">
      <c r="A2294" t="s">
        <v>449</v>
      </c>
      <c r="B2294" t="s">
        <v>235</v>
      </c>
      <c r="C2294" t="s">
        <v>35</v>
      </c>
      <c r="D2294" t="s">
        <v>236</v>
      </c>
      <c r="E2294">
        <v>11459</v>
      </c>
      <c r="F2294">
        <v>0</v>
      </c>
      <c r="G2294">
        <v>1708</v>
      </c>
      <c r="H2294">
        <v>0</v>
      </c>
      <c r="I2294">
        <v>200</v>
      </c>
      <c r="J2294">
        <v>22</v>
      </c>
      <c r="K2294" s="1">
        <v>46082</v>
      </c>
      <c r="L2294" t="s">
        <v>446</v>
      </c>
      <c r="M2294" t="s">
        <v>18</v>
      </c>
      <c r="N2294" s="2">
        <f>IFERROR(NHS_A_E[[#This Row],[T1_Over4hrs]]/NHS_A_E[[#This Row],[T1_Attendances]], 0)</f>
        <v>0.14905314599877825</v>
      </c>
      <c r="O2294">
        <f>NHS_A_E[[#This Row],[T1_Attendances]]+NHS_A_E[[#This Row],[Other_Attendances]]</f>
        <v>11459</v>
      </c>
      <c r="P2294">
        <f>MATCH(LEFT(A2294,FIND("-",A2294)-1),{"April","May","June","July","August","September","October","November","December","January","February","March"},0)</f>
        <v>12</v>
      </c>
      <c r="Q2294" s="3">
        <f t="shared" si="70"/>
        <v>1.9198882974081509E-3</v>
      </c>
      <c r="R2294" t="str">
        <f t="shared" si="71"/>
        <v>March</v>
      </c>
    </row>
    <row r="2295" spans="1:18" x14ac:dyDescent="0.35">
      <c r="A2295" t="s">
        <v>449</v>
      </c>
      <c r="B2295" t="s">
        <v>205</v>
      </c>
      <c r="C2295" t="s">
        <v>35</v>
      </c>
      <c r="D2295" t="s">
        <v>206</v>
      </c>
      <c r="E2295">
        <v>12422</v>
      </c>
      <c r="F2295">
        <v>6883</v>
      </c>
      <c r="G2295">
        <v>4438</v>
      </c>
      <c r="H2295">
        <v>258</v>
      </c>
      <c r="I2295">
        <v>580</v>
      </c>
      <c r="J2295">
        <v>0</v>
      </c>
      <c r="K2295" s="1">
        <v>46082</v>
      </c>
      <c r="L2295" t="s">
        <v>446</v>
      </c>
      <c r="M2295" t="s">
        <v>18</v>
      </c>
      <c r="N2295" s="2">
        <f>IFERROR(NHS_A_E[[#This Row],[T1_Over4hrs]]/NHS_A_E[[#This Row],[T1_Attendances]], 0)</f>
        <v>0.35726936081146354</v>
      </c>
      <c r="O2295">
        <f>NHS_A_E[[#This Row],[T1_Attendances]]+NHS_A_E[[#This Row],[Other_Attendances]]</f>
        <v>19305</v>
      </c>
      <c r="P2295">
        <f>MATCH(LEFT(A2295,FIND("-",A2295)-1),{"April","May","June","July","August","September","October","November","December","January","February","March"},0)</f>
        <v>12</v>
      </c>
      <c r="Q2295" s="3">
        <f t="shared" si="70"/>
        <v>0</v>
      </c>
      <c r="R2295" t="str">
        <f t="shared" si="71"/>
        <v>March</v>
      </c>
    </row>
    <row r="2296" spans="1:18" x14ac:dyDescent="0.35">
      <c r="A2296" t="s">
        <v>449</v>
      </c>
      <c r="B2296" t="s">
        <v>440</v>
      </c>
      <c r="C2296" t="s">
        <v>15</v>
      </c>
      <c r="D2296" t="s">
        <v>441</v>
      </c>
      <c r="E2296">
        <v>0</v>
      </c>
      <c r="F2296">
        <v>1070</v>
      </c>
      <c r="G2296">
        <v>0</v>
      </c>
      <c r="H2296">
        <v>0</v>
      </c>
      <c r="I2296">
        <v>0</v>
      </c>
      <c r="J2296">
        <v>0</v>
      </c>
      <c r="K2296" s="1">
        <v>46082</v>
      </c>
      <c r="L2296" t="s">
        <v>446</v>
      </c>
      <c r="M2296" t="s">
        <v>18</v>
      </c>
      <c r="N2296" s="2">
        <f>IFERROR(NHS_A_E[[#This Row],[T1_Over4hrs]]/NHS_A_E[[#This Row],[T1_Attendances]], 0)</f>
        <v>0</v>
      </c>
      <c r="O2296">
        <f>NHS_A_E[[#This Row],[T1_Attendances]]+NHS_A_E[[#This Row],[Other_Attendances]]</f>
        <v>1070</v>
      </c>
      <c r="P2296">
        <f>MATCH(LEFT(A2296,FIND("-",A2296)-1),{"April","May","June","July","August","September","October","November","December","January","February","March"},0)</f>
        <v>12</v>
      </c>
      <c r="Q2296" s="3">
        <f t="shared" si="70"/>
        <v>0</v>
      </c>
      <c r="R2296" t="str">
        <f t="shared" si="71"/>
        <v>March</v>
      </c>
    </row>
    <row r="2297" spans="1:18" x14ac:dyDescent="0.35">
      <c r="A2297" t="s">
        <v>449</v>
      </c>
      <c r="B2297" t="s">
        <v>291</v>
      </c>
      <c r="C2297" t="s">
        <v>63</v>
      </c>
      <c r="D2297" t="s">
        <v>292</v>
      </c>
      <c r="E2297">
        <v>5284</v>
      </c>
      <c r="F2297">
        <v>1591</v>
      </c>
      <c r="G2297">
        <v>1454</v>
      </c>
      <c r="H2297">
        <v>6</v>
      </c>
      <c r="I2297">
        <v>288</v>
      </c>
      <c r="J2297">
        <v>10</v>
      </c>
      <c r="K2297" s="1">
        <v>46082</v>
      </c>
      <c r="L2297" t="s">
        <v>446</v>
      </c>
      <c r="M2297" t="s">
        <v>18</v>
      </c>
      <c r="N2297" s="2">
        <f>IFERROR(NHS_A_E[[#This Row],[T1_Over4hrs]]/NHS_A_E[[#This Row],[T1_Attendances]], 0)</f>
        <v>0.27517032551097653</v>
      </c>
      <c r="O2297">
        <f>NHS_A_E[[#This Row],[T1_Attendances]]+NHS_A_E[[#This Row],[Other_Attendances]]</f>
        <v>6875</v>
      </c>
      <c r="P2297">
        <f>MATCH(LEFT(A2297,FIND("-",A2297)-1),{"April","May","June","July","August","September","October","November","December","January","February","March"},0)</f>
        <v>12</v>
      </c>
      <c r="Q2297" s="3">
        <f t="shared" si="70"/>
        <v>1.8925056775170325E-3</v>
      </c>
      <c r="R2297" t="str">
        <f t="shared" si="71"/>
        <v>March</v>
      </c>
    </row>
    <row r="2298" spans="1:18" x14ac:dyDescent="0.35">
      <c r="A2298" t="s">
        <v>449</v>
      </c>
      <c r="B2298" t="s">
        <v>391</v>
      </c>
      <c r="C2298" t="s">
        <v>63</v>
      </c>
      <c r="D2298" t="s">
        <v>392</v>
      </c>
      <c r="E2298">
        <v>4720</v>
      </c>
      <c r="F2298">
        <v>535</v>
      </c>
      <c r="G2298">
        <v>102</v>
      </c>
      <c r="H2298">
        <v>1</v>
      </c>
      <c r="I2298">
        <v>8</v>
      </c>
      <c r="J2298">
        <v>0</v>
      </c>
      <c r="K2298" s="1">
        <v>46082</v>
      </c>
      <c r="L2298" t="s">
        <v>446</v>
      </c>
      <c r="M2298" t="s">
        <v>18</v>
      </c>
      <c r="N2298" s="2">
        <f>IFERROR(NHS_A_E[[#This Row],[T1_Over4hrs]]/NHS_A_E[[#This Row],[T1_Attendances]], 0)</f>
        <v>2.1610169491525423E-2</v>
      </c>
      <c r="O2298">
        <f>NHS_A_E[[#This Row],[T1_Attendances]]+NHS_A_E[[#This Row],[Other_Attendances]]</f>
        <v>5255</v>
      </c>
      <c r="P2298">
        <f>MATCH(LEFT(A2298,FIND("-",A2298)-1),{"April","May","June","July","August","September","October","November","December","January","February","March"},0)</f>
        <v>12</v>
      </c>
      <c r="Q2298" s="3">
        <f t="shared" si="70"/>
        <v>0</v>
      </c>
      <c r="R2298" t="str">
        <f t="shared" si="71"/>
        <v>March</v>
      </c>
    </row>
    <row r="2299" spans="1:18" x14ac:dyDescent="0.35">
      <c r="A2299" t="s">
        <v>449</v>
      </c>
      <c r="B2299" t="s">
        <v>75</v>
      </c>
      <c r="C2299" t="s">
        <v>63</v>
      </c>
      <c r="D2299" t="s">
        <v>76</v>
      </c>
      <c r="E2299">
        <v>0</v>
      </c>
      <c r="F2299">
        <v>3817</v>
      </c>
      <c r="G2299">
        <v>0</v>
      </c>
      <c r="H2299">
        <v>299</v>
      </c>
      <c r="I2299">
        <v>0</v>
      </c>
      <c r="J2299">
        <v>0</v>
      </c>
      <c r="K2299" s="1">
        <v>46082</v>
      </c>
      <c r="L2299" t="s">
        <v>446</v>
      </c>
      <c r="M2299" t="s">
        <v>18</v>
      </c>
      <c r="N2299" s="2">
        <f>IFERROR(NHS_A_E[[#This Row],[T1_Over4hrs]]/NHS_A_E[[#This Row],[T1_Attendances]], 0)</f>
        <v>0</v>
      </c>
      <c r="O2299">
        <f>NHS_A_E[[#This Row],[T1_Attendances]]+NHS_A_E[[#This Row],[Other_Attendances]]</f>
        <v>3817</v>
      </c>
      <c r="P2299">
        <f>MATCH(LEFT(A2299,FIND("-",A2299)-1),{"April","May","June","July","August","September","October","November","December","January","February","March"},0)</f>
        <v>12</v>
      </c>
      <c r="Q2299" s="3">
        <f t="shared" si="70"/>
        <v>0</v>
      </c>
      <c r="R2299" t="str">
        <f t="shared" si="71"/>
        <v>March</v>
      </c>
    </row>
    <row r="2300" spans="1:18" x14ac:dyDescent="0.35">
      <c r="A2300" t="s">
        <v>449</v>
      </c>
      <c r="B2300" t="s">
        <v>109</v>
      </c>
      <c r="C2300" t="s">
        <v>35</v>
      </c>
      <c r="D2300" t="s">
        <v>110</v>
      </c>
      <c r="E2300">
        <v>10703</v>
      </c>
      <c r="F2300">
        <v>7039</v>
      </c>
      <c r="G2300">
        <v>4286</v>
      </c>
      <c r="H2300">
        <v>258</v>
      </c>
      <c r="I2300">
        <v>137</v>
      </c>
      <c r="J2300">
        <v>69</v>
      </c>
      <c r="K2300" s="1">
        <v>46082</v>
      </c>
      <c r="L2300" t="s">
        <v>446</v>
      </c>
      <c r="M2300" t="s">
        <v>18</v>
      </c>
      <c r="N2300" s="2">
        <f>IFERROR(NHS_A_E[[#This Row],[T1_Over4hrs]]/NHS_A_E[[#This Row],[T1_Attendances]], 0)</f>
        <v>0.40044847239091841</v>
      </c>
      <c r="O2300">
        <f>NHS_A_E[[#This Row],[T1_Attendances]]+NHS_A_E[[#This Row],[Other_Attendances]]</f>
        <v>17742</v>
      </c>
      <c r="P2300">
        <f>MATCH(LEFT(A2300,FIND("-",A2300)-1),{"April","May","June","July","August","September","October","November","December","January","February","March"},0)</f>
        <v>12</v>
      </c>
      <c r="Q2300" s="3">
        <f t="shared" si="70"/>
        <v>6.4467906194524902E-3</v>
      </c>
      <c r="R2300" t="str">
        <f t="shared" si="71"/>
        <v>March</v>
      </c>
    </row>
    <row r="2301" spans="1:18" x14ac:dyDescent="0.35">
      <c r="A2301" t="s">
        <v>449</v>
      </c>
      <c r="B2301" t="s">
        <v>85</v>
      </c>
      <c r="C2301" t="s">
        <v>63</v>
      </c>
      <c r="D2301" t="s">
        <v>86</v>
      </c>
      <c r="E2301">
        <v>9453</v>
      </c>
      <c r="F2301">
        <v>3238</v>
      </c>
      <c r="G2301">
        <v>2348</v>
      </c>
      <c r="H2301">
        <v>1</v>
      </c>
      <c r="I2301">
        <v>643</v>
      </c>
      <c r="J2301">
        <v>85</v>
      </c>
      <c r="K2301" s="1">
        <v>46082</v>
      </c>
      <c r="L2301" t="s">
        <v>446</v>
      </c>
      <c r="M2301" t="s">
        <v>18</v>
      </c>
      <c r="N2301" s="2">
        <f>IFERROR(NHS_A_E[[#This Row],[T1_Over4hrs]]/NHS_A_E[[#This Row],[T1_Attendances]], 0)</f>
        <v>0.24838675552734582</v>
      </c>
      <c r="O2301">
        <f>NHS_A_E[[#This Row],[T1_Attendances]]+NHS_A_E[[#This Row],[Other_Attendances]]</f>
        <v>12691</v>
      </c>
      <c r="P2301">
        <f>MATCH(LEFT(A2301,FIND("-",A2301)-1),{"April","May","June","July","August","September","October","November","December","January","February","March"},0)</f>
        <v>12</v>
      </c>
      <c r="Q2301" s="3">
        <f t="shared" si="70"/>
        <v>8.991854437744631E-3</v>
      </c>
      <c r="R2301" t="str">
        <f t="shared" si="71"/>
        <v>March</v>
      </c>
    </row>
    <row r="2302" spans="1:18" x14ac:dyDescent="0.35">
      <c r="A2302" t="s">
        <v>449</v>
      </c>
      <c r="B2302" t="s">
        <v>371</v>
      </c>
      <c r="C2302" t="s">
        <v>35</v>
      </c>
      <c r="D2302" t="s">
        <v>372</v>
      </c>
      <c r="E2302">
        <v>5375</v>
      </c>
      <c r="F2302">
        <v>6912</v>
      </c>
      <c r="G2302">
        <v>2277</v>
      </c>
      <c r="H2302">
        <v>82</v>
      </c>
      <c r="I2302">
        <v>393</v>
      </c>
      <c r="J2302">
        <v>14</v>
      </c>
      <c r="K2302" s="1">
        <v>46082</v>
      </c>
      <c r="L2302" t="s">
        <v>446</v>
      </c>
      <c r="M2302" t="s">
        <v>18</v>
      </c>
      <c r="N2302" s="2">
        <f>IFERROR(NHS_A_E[[#This Row],[T1_Over4hrs]]/NHS_A_E[[#This Row],[T1_Attendances]], 0)</f>
        <v>0.42362790697674418</v>
      </c>
      <c r="O2302">
        <f>NHS_A_E[[#This Row],[T1_Attendances]]+NHS_A_E[[#This Row],[Other_Attendances]]</f>
        <v>12287</v>
      </c>
      <c r="P2302">
        <f>MATCH(LEFT(A2302,FIND("-",A2302)-1),{"April","May","June","July","August","September","October","November","December","January","February","March"},0)</f>
        <v>12</v>
      </c>
      <c r="Q2302" s="3">
        <f t="shared" si="70"/>
        <v>2.6046511627906975E-3</v>
      </c>
      <c r="R2302" t="str">
        <f t="shared" si="71"/>
        <v>March</v>
      </c>
    </row>
    <row r="2303" spans="1:18" x14ac:dyDescent="0.35">
      <c r="A2303" t="s">
        <v>449</v>
      </c>
      <c r="B2303" t="s">
        <v>403</v>
      </c>
      <c r="C2303" t="s">
        <v>15</v>
      </c>
      <c r="D2303" t="s">
        <v>404</v>
      </c>
      <c r="E2303">
        <v>0</v>
      </c>
      <c r="F2303">
        <v>1372</v>
      </c>
      <c r="G2303">
        <v>0</v>
      </c>
      <c r="H2303">
        <v>18</v>
      </c>
      <c r="I2303">
        <v>0</v>
      </c>
      <c r="J2303">
        <v>0</v>
      </c>
      <c r="K2303" s="1">
        <v>46082</v>
      </c>
      <c r="L2303" t="s">
        <v>446</v>
      </c>
      <c r="M2303" t="s">
        <v>18</v>
      </c>
      <c r="N2303" s="2">
        <f>IFERROR(NHS_A_E[[#This Row],[T1_Over4hrs]]/NHS_A_E[[#This Row],[T1_Attendances]], 0)</f>
        <v>0</v>
      </c>
      <c r="O2303">
        <f>NHS_A_E[[#This Row],[T1_Attendances]]+NHS_A_E[[#This Row],[Other_Attendances]]</f>
        <v>1372</v>
      </c>
      <c r="P2303">
        <f>MATCH(LEFT(A2303,FIND("-",A2303)-1),{"April","May","June","July","August","September","October","November","December","January","February","March"},0)</f>
        <v>12</v>
      </c>
      <c r="Q2303" s="3">
        <f t="shared" si="70"/>
        <v>0</v>
      </c>
      <c r="R2303" t="str">
        <f t="shared" si="71"/>
        <v>March</v>
      </c>
    </row>
    <row r="2304" spans="1:18" x14ac:dyDescent="0.35">
      <c r="A2304" t="s">
        <v>449</v>
      </c>
      <c r="B2304" t="s">
        <v>271</v>
      </c>
      <c r="C2304" t="s">
        <v>30</v>
      </c>
      <c r="D2304" t="s">
        <v>272</v>
      </c>
      <c r="E2304">
        <v>0</v>
      </c>
      <c r="F2304">
        <v>14145</v>
      </c>
      <c r="G2304">
        <v>0</v>
      </c>
      <c r="H2304">
        <v>495</v>
      </c>
      <c r="I2304">
        <v>0</v>
      </c>
      <c r="J2304">
        <v>0</v>
      </c>
      <c r="K2304" s="1">
        <v>46082</v>
      </c>
      <c r="L2304" t="s">
        <v>446</v>
      </c>
      <c r="M2304" t="s">
        <v>18</v>
      </c>
      <c r="N2304" s="2">
        <f>IFERROR(NHS_A_E[[#This Row],[T1_Over4hrs]]/NHS_A_E[[#This Row],[T1_Attendances]], 0)</f>
        <v>0</v>
      </c>
      <c r="O2304">
        <f>NHS_A_E[[#This Row],[T1_Attendances]]+NHS_A_E[[#This Row],[Other_Attendances]]</f>
        <v>14145</v>
      </c>
      <c r="P2304">
        <f>MATCH(LEFT(A2304,FIND("-",A2304)-1),{"April","May","June","July","August","September","October","November","December","January","February","March"},0)</f>
        <v>12</v>
      </c>
      <c r="Q2304" s="3">
        <f t="shared" si="70"/>
        <v>0</v>
      </c>
      <c r="R2304" t="str">
        <f t="shared" si="71"/>
        <v>March</v>
      </c>
    </row>
    <row r="2305" spans="1:18" x14ac:dyDescent="0.35">
      <c r="A2305" t="s">
        <v>449</v>
      </c>
      <c r="B2305" t="s">
        <v>327</v>
      </c>
      <c r="C2305" t="s">
        <v>40</v>
      </c>
      <c r="D2305" t="s">
        <v>328</v>
      </c>
      <c r="E2305">
        <v>0</v>
      </c>
      <c r="F2305">
        <v>7724</v>
      </c>
      <c r="G2305">
        <v>0</v>
      </c>
      <c r="H2305">
        <v>491</v>
      </c>
      <c r="I2305">
        <v>0</v>
      </c>
      <c r="J2305">
        <v>0</v>
      </c>
      <c r="K2305" s="1">
        <v>46082</v>
      </c>
      <c r="L2305" t="s">
        <v>446</v>
      </c>
      <c r="M2305" t="s">
        <v>18</v>
      </c>
      <c r="N2305" s="2">
        <f>IFERROR(NHS_A_E[[#This Row],[T1_Over4hrs]]/NHS_A_E[[#This Row],[T1_Attendances]], 0)</f>
        <v>0</v>
      </c>
      <c r="O2305">
        <f>NHS_A_E[[#This Row],[T1_Attendances]]+NHS_A_E[[#This Row],[Other_Attendances]]</f>
        <v>7724</v>
      </c>
      <c r="P2305">
        <f>MATCH(LEFT(A2305,FIND("-",A2305)-1),{"April","May","June","July","August","September","October","November","December","January","February","March"},0)</f>
        <v>12</v>
      </c>
      <c r="Q2305" s="3">
        <f t="shared" si="70"/>
        <v>0</v>
      </c>
      <c r="R2305" t="str">
        <f t="shared" si="71"/>
        <v>March</v>
      </c>
    </row>
    <row r="2306" spans="1:18" x14ac:dyDescent="0.35">
      <c r="A2306" t="s">
        <v>449</v>
      </c>
      <c r="B2306" t="s">
        <v>261</v>
      </c>
      <c r="C2306" t="s">
        <v>15</v>
      </c>
      <c r="D2306" t="s">
        <v>262</v>
      </c>
      <c r="E2306">
        <v>0</v>
      </c>
      <c r="F2306">
        <v>5137</v>
      </c>
      <c r="G2306">
        <v>0</v>
      </c>
      <c r="H2306">
        <v>0</v>
      </c>
      <c r="I2306">
        <v>0</v>
      </c>
      <c r="J2306">
        <v>0</v>
      </c>
      <c r="K2306" s="1">
        <v>46082</v>
      </c>
      <c r="L2306" t="s">
        <v>446</v>
      </c>
      <c r="M2306" t="s">
        <v>18</v>
      </c>
      <c r="N2306" s="2">
        <f>IFERROR(NHS_A_E[[#This Row],[T1_Over4hrs]]/NHS_A_E[[#This Row],[T1_Attendances]], 0)</f>
        <v>0</v>
      </c>
      <c r="O2306">
        <f>NHS_A_E[[#This Row],[T1_Attendances]]+NHS_A_E[[#This Row],[Other_Attendances]]</f>
        <v>5137</v>
      </c>
      <c r="P2306">
        <f>MATCH(LEFT(A2306,FIND("-",A2306)-1),{"April","May","June","July","August","September","October","November","December","January","February","March"},0)</f>
        <v>12</v>
      </c>
      <c r="Q2306" s="3">
        <f t="shared" ref="Q2306:Q2369" si="72">IFERROR(J2306/E2306,0)</f>
        <v>0</v>
      </c>
      <c r="R2306" t="str">
        <f t="shared" ref="R2306:R2369" si="73">TEXT(A2306, "mmmm")</f>
        <v>March</v>
      </c>
    </row>
    <row r="2307" spans="1:18" x14ac:dyDescent="0.35">
      <c r="A2307" t="s">
        <v>449</v>
      </c>
      <c r="B2307" t="s">
        <v>397</v>
      </c>
      <c r="C2307" t="s">
        <v>63</v>
      </c>
      <c r="D2307" t="s">
        <v>398</v>
      </c>
      <c r="E2307">
        <v>0</v>
      </c>
      <c r="F2307">
        <v>435</v>
      </c>
      <c r="G2307">
        <v>0</v>
      </c>
      <c r="H2307">
        <v>0</v>
      </c>
      <c r="I2307">
        <v>0</v>
      </c>
      <c r="J2307">
        <v>0</v>
      </c>
      <c r="K2307" s="1">
        <v>46082</v>
      </c>
      <c r="L2307" t="s">
        <v>446</v>
      </c>
      <c r="M2307" t="s">
        <v>18</v>
      </c>
      <c r="N2307" s="2">
        <f>IFERROR(NHS_A_E[[#This Row],[T1_Over4hrs]]/NHS_A_E[[#This Row],[T1_Attendances]], 0)</f>
        <v>0</v>
      </c>
      <c r="O2307">
        <f>NHS_A_E[[#This Row],[T1_Attendances]]+NHS_A_E[[#This Row],[Other_Attendances]]</f>
        <v>435</v>
      </c>
      <c r="P2307">
        <f>MATCH(LEFT(A2307,FIND("-",A2307)-1),{"April","May","June","July","August","September","October","November","December","January","February","March"},0)</f>
        <v>12</v>
      </c>
      <c r="Q2307" s="3">
        <f t="shared" si="72"/>
        <v>0</v>
      </c>
      <c r="R2307" t="str">
        <f t="shared" si="73"/>
        <v>March</v>
      </c>
    </row>
    <row r="2308" spans="1:18" x14ac:dyDescent="0.35">
      <c r="A2308" t="s">
        <v>449</v>
      </c>
      <c r="B2308" t="s">
        <v>227</v>
      </c>
      <c r="C2308" t="s">
        <v>30</v>
      </c>
      <c r="D2308" t="s">
        <v>228</v>
      </c>
      <c r="E2308">
        <v>0</v>
      </c>
      <c r="F2308">
        <v>951</v>
      </c>
      <c r="G2308">
        <v>0</v>
      </c>
      <c r="H2308">
        <v>0</v>
      </c>
      <c r="I2308">
        <v>0</v>
      </c>
      <c r="J2308">
        <v>0</v>
      </c>
      <c r="K2308" s="1">
        <v>46082</v>
      </c>
      <c r="L2308" t="s">
        <v>446</v>
      </c>
      <c r="M2308" t="s">
        <v>18</v>
      </c>
      <c r="N2308" s="2">
        <f>IFERROR(NHS_A_E[[#This Row],[T1_Over4hrs]]/NHS_A_E[[#This Row],[T1_Attendances]], 0)</f>
        <v>0</v>
      </c>
      <c r="O2308">
        <f>NHS_A_E[[#This Row],[T1_Attendances]]+NHS_A_E[[#This Row],[Other_Attendances]]</f>
        <v>951</v>
      </c>
      <c r="P2308">
        <f>MATCH(LEFT(A2308,FIND("-",A2308)-1),{"April","May","June","July","August","September","October","November","December","January","February","March"},0)</f>
        <v>12</v>
      </c>
      <c r="Q2308" s="3">
        <f t="shared" si="72"/>
        <v>0</v>
      </c>
      <c r="R2308" t="str">
        <f t="shared" si="73"/>
        <v>March</v>
      </c>
    </row>
    <row r="2309" spans="1:18" x14ac:dyDescent="0.35">
      <c r="A2309" t="s">
        <v>449</v>
      </c>
      <c r="B2309" t="s">
        <v>389</v>
      </c>
      <c r="C2309" t="s">
        <v>20</v>
      </c>
      <c r="D2309" t="s">
        <v>390</v>
      </c>
      <c r="E2309">
        <v>4613</v>
      </c>
      <c r="F2309">
        <v>0</v>
      </c>
      <c r="G2309">
        <v>1791</v>
      </c>
      <c r="H2309">
        <v>0</v>
      </c>
      <c r="I2309">
        <v>209</v>
      </c>
      <c r="J2309">
        <v>92</v>
      </c>
      <c r="K2309" s="1">
        <v>46082</v>
      </c>
      <c r="L2309" t="s">
        <v>446</v>
      </c>
      <c r="M2309" t="s">
        <v>18</v>
      </c>
      <c r="N2309" s="2">
        <f>IFERROR(NHS_A_E[[#This Row],[T1_Over4hrs]]/NHS_A_E[[#This Row],[T1_Attendances]], 0)</f>
        <v>0.38825059614133967</v>
      </c>
      <c r="O2309">
        <f>NHS_A_E[[#This Row],[T1_Attendances]]+NHS_A_E[[#This Row],[Other_Attendances]]</f>
        <v>4613</v>
      </c>
      <c r="P2309">
        <f>MATCH(LEFT(A2309,FIND("-",A2309)-1),{"April","May","June","July","August","September","October","November","December","January","February","March"},0)</f>
        <v>12</v>
      </c>
      <c r="Q2309" s="3">
        <f t="shared" si="72"/>
        <v>1.9943637546065467E-2</v>
      </c>
      <c r="R2309" t="str">
        <f t="shared" si="73"/>
        <v>March</v>
      </c>
    </row>
    <row r="2310" spans="1:18" x14ac:dyDescent="0.35">
      <c r="A2310" t="s">
        <v>449</v>
      </c>
      <c r="B2310" t="s">
        <v>247</v>
      </c>
      <c r="C2310" t="s">
        <v>15</v>
      </c>
      <c r="D2310" t="s">
        <v>248</v>
      </c>
      <c r="E2310">
        <v>0</v>
      </c>
      <c r="F2310">
        <v>5461</v>
      </c>
      <c r="G2310">
        <v>0</v>
      </c>
      <c r="H2310">
        <v>121</v>
      </c>
      <c r="I2310">
        <v>0</v>
      </c>
      <c r="J2310">
        <v>0</v>
      </c>
      <c r="K2310" s="1">
        <v>46082</v>
      </c>
      <c r="L2310" t="s">
        <v>446</v>
      </c>
      <c r="M2310" t="s">
        <v>18</v>
      </c>
      <c r="N2310" s="2">
        <f>IFERROR(NHS_A_E[[#This Row],[T1_Over4hrs]]/NHS_A_E[[#This Row],[T1_Attendances]], 0)</f>
        <v>0</v>
      </c>
      <c r="O2310">
        <f>NHS_A_E[[#This Row],[T1_Attendances]]+NHS_A_E[[#This Row],[Other_Attendances]]</f>
        <v>5461</v>
      </c>
      <c r="P2310">
        <f>MATCH(LEFT(A2310,FIND("-",A2310)-1),{"April","May","June","July","August","September","October","November","December","January","February","March"},0)</f>
        <v>12</v>
      </c>
      <c r="Q2310" s="3">
        <f t="shared" si="72"/>
        <v>0</v>
      </c>
      <c r="R2310" t="str">
        <f t="shared" si="73"/>
        <v>March</v>
      </c>
    </row>
    <row r="2311" spans="1:18" x14ac:dyDescent="0.35">
      <c r="A2311" t="s">
        <v>449</v>
      </c>
      <c r="B2311" t="s">
        <v>383</v>
      </c>
      <c r="C2311" t="s">
        <v>20</v>
      </c>
      <c r="D2311" t="s">
        <v>384</v>
      </c>
      <c r="E2311">
        <v>0</v>
      </c>
      <c r="F2311">
        <v>86</v>
      </c>
      <c r="G2311">
        <v>0</v>
      </c>
      <c r="H2311">
        <v>0</v>
      </c>
      <c r="I2311">
        <v>0</v>
      </c>
      <c r="J2311">
        <v>0</v>
      </c>
      <c r="K2311" s="1">
        <v>46082</v>
      </c>
      <c r="L2311" t="s">
        <v>446</v>
      </c>
      <c r="M2311" t="s">
        <v>18</v>
      </c>
      <c r="N2311" s="2">
        <f>IFERROR(NHS_A_E[[#This Row],[T1_Over4hrs]]/NHS_A_E[[#This Row],[T1_Attendances]], 0)</f>
        <v>0</v>
      </c>
      <c r="O2311">
        <f>NHS_A_E[[#This Row],[T1_Attendances]]+NHS_A_E[[#This Row],[Other_Attendances]]</f>
        <v>86</v>
      </c>
      <c r="P2311">
        <f>MATCH(LEFT(A2311,FIND("-",A2311)-1),{"April","May","June","July","August","September","October","November","December","January","February","March"},0)</f>
        <v>12</v>
      </c>
      <c r="Q2311" s="3">
        <f t="shared" si="72"/>
        <v>0</v>
      </c>
      <c r="R2311" t="str">
        <f t="shared" si="73"/>
        <v>March</v>
      </c>
    </row>
    <row r="2312" spans="1:18" x14ac:dyDescent="0.35">
      <c r="A2312" t="s">
        <v>449</v>
      </c>
      <c r="B2312" t="s">
        <v>127</v>
      </c>
      <c r="C2312" t="s">
        <v>15</v>
      </c>
      <c r="D2312" t="s">
        <v>128</v>
      </c>
      <c r="E2312">
        <v>0</v>
      </c>
      <c r="F2312">
        <v>1827</v>
      </c>
      <c r="G2312">
        <v>0</v>
      </c>
      <c r="H2312">
        <v>0</v>
      </c>
      <c r="I2312">
        <v>0</v>
      </c>
      <c r="J2312">
        <v>0</v>
      </c>
      <c r="K2312" s="1">
        <v>46082</v>
      </c>
      <c r="L2312" t="s">
        <v>446</v>
      </c>
      <c r="M2312" t="s">
        <v>18</v>
      </c>
      <c r="N2312" s="2">
        <f>IFERROR(NHS_A_E[[#This Row],[T1_Over4hrs]]/NHS_A_E[[#This Row],[T1_Attendances]], 0)</f>
        <v>0</v>
      </c>
      <c r="O2312">
        <f>NHS_A_E[[#This Row],[T1_Attendances]]+NHS_A_E[[#This Row],[Other_Attendances]]</f>
        <v>1827</v>
      </c>
      <c r="P2312">
        <f>MATCH(LEFT(A2312,FIND("-",A2312)-1),{"April","May","June","July","August","September","October","November","December","January","February","March"},0)</f>
        <v>12</v>
      </c>
      <c r="Q2312" s="3">
        <f t="shared" si="72"/>
        <v>0</v>
      </c>
      <c r="R2312" t="str">
        <f t="shared" si="73"/>
        <v>March</v>
      </c>
    </row>
    <row r="2313" spans="1:18" x14ac:dyDescent="0.35">
      <c r="A2313" t="s">
        <v>449</v>
      </c>
      <c r="B2313" t="s">
        <v>267</v>
      </c>
      <c r="C2313" t="s">
        <v>15</v>
      </c>
      <c r="D2313" t="s">
        <v>268</v>
      </c>
      <c r="E2313">
        <v>0</v>
      </c>
      <c r="F2313">
        <v>7132</v>
      </c>
      <c r="G2313">
        <v>0</v>
      </c>
      <c r="H2313">
        <v>62</v>
      </c>
      <c r="I2313">
        <v>0</v>
      </c>
      <c r="J2313">
        <v>0</v>
      </c>
      <c r="K2313" s="1">
        <v>46082</v>
      </c>
      <c r="L2313" t="s">
        <v>446</v>
      </c>
      <c r="M2313" t="s">
        <v>18</v>
      </c>
      <c r="N2313" s="2">
        <f>IFERROR(NHS_A_E[[#This Row],[T1_Over4hrs]]/NHS_A_E[[#This Row],[T1_Attendances]], 0)</f>
        <v>0</v>
      </c>
      <c r="O2313">
        <f>NHS_A_E[[#This Row],[T1_Attendances]]+NHS_A_E[[#This Row],[Other_Attendances]]</f>
        <v>7132</v>
      </c>
      <c r="P2313">
        <f>MATCH(LEFT(A2313,FIND("-",A2313)-1),{"April","May","June","July","August","September","October","November","December","January","February","March"},0)</f>
        <v>12</v>
      </c>
      <c r="Q2313" s="3">
        <f t="shared" si="72"/>
        <v>0</v>
      </c>
      <c r="R2313" t="str">
        <f t="shared" si="73"/>
        <v>March</v>
      </c>
    </row>
    <row r="2314" spans="1:18" x14ac:dyDescent="0.35">
      <c r="A2314" t="s">
        <v>449</v>
      </c>
      <c r="B2314" t="s">
        <v>431</v>
      </c>
      <c r="C2314" t="s">
        <v>15</v>
      </c>
      <c r="D2314" t="s">
        <v>432</v>
      </c>
      <c r="E2314">
        <v>0</v>
      </c>
      <c r="F2314">
        <v>2623</v>
      </c>
      <c r="G2314">
        <v>0</v>
      </c>
      <c r="H2314">
        <v>0</v>
      </c>
      <c r="I2314">
        <v>0</v>
      </c>
      <c r="J2314">
        <v>0</v>
      </c>
      <c r="K2314" s="1">
        <v>46082</v>
      </c>
      <c r="L2314" t="s">
        <v>446</v>
      </c>
      <c r="M2314" t="s">
        <v>18</v>
      </c>
      <c r="N2314" s="2">
        <f>IFERROR(NHS_A_E[[#This Row],[T1_Over4hrs]]/NHS_A_E[[#This Row],[T1_Attendances]], 0)</f>
        <v>0</v>
      </c>
      <c r="O2314">
        <f>NHS_A_E[[#This Row],[T1_Attendances]]+NHS_A_E[[#This Row],[Other_Attendances]]</f>
        <v>2623</v>
      </c>
      <c r="P2314">
        <f>MATCH(LEFT(A2314,FIND("-",A2314)-1),{"April","May","June","July","August","September","October","November","December","January","February","March"},0)</f>
        <v>12</v>
      </c>
      <c r="Q2314" s="3">
        <f t="shared" si="72"/>
        <v>0</v>
      </c>
      <c r="R2314" t="str">
        <f t="shared" si="73"/>
        <v>March</v>
      </c>
    </row>
    <row r="2315" spans="1:18" x14ac:dyDescent="0.35">
      <c r="A2315" t="s">
        <v>449</v>
      </c>
      <c r="B2315" t="s">
        <v>14</v>
      </c>
      <c r="C2315" t="s">
        <v>15</v>
      </c>
      <c r="D2315" t="s">
        <v>16</v>
      </c>
      <c r="E2315">
        <v>0</v>
      </c>
      <c r="F2315">
        <v>2366</v>
      </c>
      <c r="G2315">
        <v>0</v>
      </c>
      <c r="H2315">
        <v>25</v>
      </c>
      <c r="I2315">
        <v>0</v>
      </c>
      <c r="J2315">
        <v>0</v>
      </c>
      <c r="K2315" s="1">
        <v>46082</v>
      </c>
      <c r="L2315" t="s">
        <v>446</v>
      </c>
      <c r="M2315" t="s">
        <v>18</v>
      </c>
      <c r="N2315" s="2">
        <f>IFERROR(NHS_A_E[[#This Row],[T1_Over4hrs]]/NHS_A_E[[#This Row],[T1_Attendances]], 0)</f>
        <v>0</v>
      </c>
      <c r="O2315">
        <f>NHS_A_E[[#This Row],[T1_Attendances]]+NHS_A_E[[#This Row],[Other_Attendances]]</f>
        <v>2366</v>
      </c>
      <c r="P2315">
        <f>MATCH(LEFT(A2315,FIND("-",A2315)-1),{"April","May","June","July","August","September","October","November","December","January","February","March"},0)</f>
        <v>12</v>
      </c>
      <c r="Q2315" s="3">
        <f t="shared" si="72"/>
        <v>0</v>
      </c>
      <c r="R2315" t="str">
        <f t="shared" si="73"/>
        <v>March</v>
      </c>
    </row>
    <row r="2316" spans="1:18" x14ac:dyDescent="0.35">
      <c r="A2316" t="s">
        <v>449</v>
      </c>
      <c r="B2316" t="s">
        <v>309</v>
      </c>
      <c r="C2316" t="s">
        <v>30</v>
      </c>
      <c r="D2316" t="s">
        <v>310</v>
      </c>
      <c r="E2316">
        <v>0</v>
      </c>
      <c r="F2316">
        <v>1696</v>
      </c>
      <c r="G2316">
        <v>0</v>
      </c>
      <c r="H2316">
        <v>16</v>
      </c>
      <c r="I2316">
        <v>0</v>
      </c>
      <c r="J2316">
        <v>0</v>
      </c>
      <c r="K2316" s="1">
        <v>46082</v>
      </c>
      <c r="L2316" t="s">
        <v>446</v>
      </c>
      <c r="M2316" t="s">
        <v>18</v>
      </c>
      <c r="N2316" s="2">
        <f>IFERROR(NHS_A_E[[#This Row],[T1_Over4hrs]]/NHS_A_E[[#This Row],[T1_Attendances]], 0)</f>
        <v>0</v>
      </c>
      <c r="O2316">
        <f>NHS_A_E[[#This Row],[T1_Attendances]]+NHS_A_E[[#This Row],[Other_Attendances]]</f>
        <v>1696</v>
      </c>
      <c r="P2316">
        <f>MATCH(LEFT(A2316,FIND("-",A2316)-1),{"April","May","June","July","August","September","October","November","December","January","February","March"},0)</f>
        <v>12</v>
      </c>
      <c r="Q2316" s="3">
        <f t="shared" si="72"/>
        <v>0</v>
      </c>
      <c r="R2316" t="str">
        <f t="shared" si="73"/>
        <v>March</v>
      </c>
    </row>
    <row r="2317" spans="1:18" x14ac:dyDescent="0.35">
      <c r="A2317" t="s">
        <v>449</v>
      </c>
      <c r="B2317" t="s">
        <v>311</v>
      </c>
      <c r="C2317" t="s">
        <v>20</v>
      </c>
      <c r="D2317" t="s">
        <v>312</v>
      </c>
      <c r="E2317">
        <v>0</v>
      </c>
      <c r="F2317">
        <v>1400</v>
      </c>
      <c r="G2317">
        <v>0</v>
      </c>
      <c r="H2317">
        <v>9</v>
      </c>
      <c r="I2317">
        <v>0</v>
      </c>
      <c r="J2317">
        <v>0</v>
      </c>
      <c r="K2317" s="1">
        <v>46082</v>
      </c>
      <c r="L2317" t="s">
        <v>446</v>
      </c>
      <c r="M2317" t="s">
        <v>18</v>
      </c>
      <c r="N2317" s="2">
        <f>IFERROR(NHS_A_E[[#This Row],[T1_Over4hrs]]/NHS_A_E[[#This Row],[T1_Attendances]], 0)</f>
        <v>0</v>
      </c>
      <c r="O2317">
        <f>NHS_A_E[[#This Row],[T1_Attendances]]+NHS_A_E[[#This Row],[Other_Attendances]]</f>
        <v>1400</v>
      </c>
      <c r="P2317">
        <f>MATCH(LEFT(A2317,FIND("-",A2317)-1),{"April","May","June","July","August","September","October","November","December","January","February","March"},0)</f>
        <v>12</v>
      </c>
      <c r="Q2317" s="3">
        <f t="shared" si="72"/>
        <v>0</v>
      </c>
      <c r="R2317" t="str">
        <f t="shared" si="73"/>
        <v>March</v>
      </c>
    </row>
    <row r="2318" spans="1:18" x14ac:dyDescent="0.35">
      <c r="A2318" t="s">
        <v>449</v>
      </c>
      <c r="B2318" t="s">
        <v>287</v>
      </c>
      <c r="C2318" t="s">
        <v>40</v>
      </c>
      <c r="D2318" t="s">
        <v>288</v>
      </c>
      <c r="E2318">
        <v>0</v>
      </c>
      <c r="F2318">
        <v>3046</v>
      </c>
      <c r="G2318">
        <v>0</v>
      </c>
      <c r="H2318">
        <v>0</v>
      </c>
      <c r="I2318">
        <v>0</v>
      </c>
      <c r="J2318">
        <v>0</v>
      </c>
      <c r="K2318" s="1">
        <v>46082</v>
      </c>
      <c r="L2318" t="s">
        <v>446</v>
      </c>
      <c r="M2318" t="s">
        <v>18</v>
      </c>
      <c r="N2318" s="2">
        <f>IFERROR(NHS_A_E[[#This Row],[T1_Over4hrs]]/NHS_A_E[[#This Row],[T1_Attendances]], 0)</f>
        <v>0</v>
      </c>
      <c r="O2318">
        <f>NHS_A_E[[#This Row],[T1_Attendances]]+NHS_A_E[[#This Row],[Other_Attendances]]</f>
        <v>3046</v>
      </c>
      <c r="P2318">
        <f>MATCH(LEFT(A2318,FIND("-",A2318)-1),{"April","May","June","July","August","September","October","November","December","January","February","March"},0)</f>
        <v>12</v>
      </c>
      <c r="Q2318" s="3">
        <f t="shared" si="72"/>
        <v>0</v>
      </c>
      <c r="R2318" t="str">
        <f t="shared" si="73"/>
        <v>March</v>
      </c>
    </row>
    <row r="2319" spans="1:18" x14ac:dyDescent="0.35">
      <c r="A2319" t="s">
        <v>449</v>
      </c>
      <c r="B2319" t="s">
        <v>277</v>
      </c>
      <c r="C2319" t="s">
        <v>15</v>
      </c>
      <c r="D2319" t="s">
        <v>278</v>
      </c>
      <c r="E2319">
        <v>0</v>
      </c>
      <c r="F2319">
        <v>2545</v>
      </c>
      <c r="G2319">
        <v>0</v>
      </c>
      <c r="H2319">
        <v>46</v>
      </c>
      <c r="I2319">
        <v>0</v>
      </c>
      <c r="J2319">
        <v>0</v>
      </c>
      <c r="K2319" s="1">
        <v>46082</v>
      </c>
      <c r="L2319" t="s">
        <v>446</v>
      </c>
      <c r="M2319" t="s">
        <v>18</v>
      </c>
      <c r="N2319" s="2">
        <f>IFERROR(NHS_A_E[[#This Row],[T1_Over4hrs]]/NHS_A_E[[#This Row],[T1_Attendances]], 0)</f>
        <v>0</v>
      </c>
      <c r="O2319">
        <f>NHS_A_E[[#This Row],[T1_Attendances]]+NHS_A_E[[#This Row],[Other_Attendances]]</f>
        <v>2545</v>
      </c>
      <c r="P2319">
        <f>MATCH(LEFT(A2319,FIND("-",A2319)-1),{"April","May","June","July","August","September","October","November","December","January","February","March"},0)</f>
        <v>12</v>
      </c>
      <c r="Q2319" s="3">
        <f t="shared" si="72"/>
        <v>0</v>
      </c>
      <c r="R2319" t="str">
        <f t="shared" si="73"/>
        <v>March</v>
      </c>
    </row>
    <row r="2320" spans="1:18" x14ac:dyDescent="0.35">
      <c r="A2320" t="s">
        <v>449</v>
      </c>
      <c r="B2320" t="s">
        <v>279</v>
      </c>
      <c r="C2320" t="s">
        <v>15</v>
      </c>
      <c r="D2320" t="s">
        <v>280</v>
      </c>
      <c r="E2320">
        <v>0</v>
      </c>
      <c r="F2320">
        <v>2883</v>
      </c>
      <c r="G2320">
        <v>0</v>
      </c>
      <c r="H2320">
        <v>28</v>
      </c>
      <c r="I2320">
        <v>0</v>
      </c>
      <c r="J2320">
        <v>0</v>
      </c>
      <c r="K2320" s="1">
        <v>46082</v>
      </c>
      <c r="L2320" t="s">
        <v>446</v>
      </c>
      <c r="M2320" t="s">
        <v>18</v>
      </c>
      <c r="N2320" s="2">
        <f>IFERROR(NHS_A_E[[#This Row],[T1_Over4hrs]]/NHS_A_E[[#This Row],[T1_Attendances]], 0)</f>
        <v>0</v>
      </c>
      <c r="O2320">
        <f>NHS_A_E[[#This Row],[T1_Attendances]]+NHS_A_E[[#This Row],[Other_Attendances]]</f>
        <v>2883</v>
      </c>
      <c r="P2320">
        <f>MATCH(LEFT(A2320,FIND("-",A2320)-1),{"April","May","June","July","August","September","October","November","December","January","February","March"},0)</f>
        <v>12</v>
      </c>
      <c r="Q2320" s="3">
        <f t="shared" si="72"/>
        <v>0</v>
      </c>
      <c r="R2320" t="str">
        <f t="shared" si="73"/>
        <v>March</v>
      </c>
    </row>
    <row r="2321" spans="1:18" x14ac:dyDescent="0.35">
      <c r="A2321" t="s">
        <v>449</v>
      </c>
      <c r="B2321" t="s">
        <v>289</v>
      </c>
      <c r="C2321" t="s">
        <v>30</v>
      </c>
      <c r="D2321" t="s">
        <v>290</v>
      </c>
      <c r="E2321">
        <v>0</v>
      </c>
      <c r="F2321">
        <v>0</v>
      </c>
      <c r="G2321">
        <v>0</v>
      </c>
      <c r="H2321">
        <v>0</v>
      </c>
      <c r="I2321">
        <v>0</v>
      </c>
      <c r="J2321">
        <v>0</v>
      </c>
      <c r="K2321" s="1">
        <v>46082</v>
      </c>
      <c r="L2321" t="s">
        <v>446</v>
      </c>
      <c r="M2321" t="s">
        <v>18</v>
      </c>
      <c r="N2321" s="2">
        <f>IFERROR(NHS_A_E[[#This Row],[T1_Over4hrs]]/NHS_A_E[[#This Row],[T1_Attendances]], 0)</f>
        <v>0</v>
      </c>
      <c r="O2321">
        <f>NHS_A_E[[#This Row],[T1_Attendances]]+NHS_A_E[[#This Row],[Other_Attendances]]</f>
        <v>0</v>
      </c>
      <c r="P2321">
        <f>MATCH(LEFT(A2321,FIND("-",A2321)-1),{"April","May","June","July","August","September","October","November","December","January","February","March"},0)</f>
        <v>12</v>
      </c>
      <c r="Q2321" s="3">
        <f t="shared" si="72"/>
        <v>0</v>
      </c>
      <c r="R2321" t="str">
        <f t="shared" si="73"/>
        <v>March</v>
      </c>
    </row>
    <row r="2322" spans="1:18" x14ac:dyDescent="0.35">
      <c r="A2322" t="s">
        <v>449</v>
      </c>
      <c r="B2322" t="s">
        <v>297</v>
      </c>
      <c r="C2322" t="s">
        <v>15</v>
      </c>
      <c r="D2322" t="s">
        <v>298</v>
      </c>
      <c r="E2322">
        <v>0</v>
      </c>
      <c r="F2322">
        <v>3154</v>
      </c>
      <c r="G2322">
        <v>0</v>
      </c>
      <c r="H2322">
        <v>22</v>
      </c>
      <c r="I2322">
        <v>0</v>
      </c>
      <c r="J2322">
        <v>0</v>
      </c>
      <c r="K2322" s="1">
        <v>46082</v>
      </c>
      <c r="L2322" t="s">
        <v>446</v>
      </c>
      <c r="M2322" t="s">
        <v>18</v>
      </c>
      <c r="N2322" s="2">
        <f>IFERROR(NHS_A_E[[#This Row],[T1_Over4hrs]]/NHS_A_E[[#This Row],[T1_Attendances]], 0)</f>
        <v>0</v>
      </c>
      <c r="O2322">
        <f>NHS_A_E[[#This Row],[T1_Attendances]]+NHS_A_E[[#This Row],[Other_Attendances]]</f>
        <v>3154</v>
      </c>
      <c r="P2322">
        <f>MATCH(LEFT(A2322,FIND("-",A2322)-1),{"April","May","June","July","August","September","October","November","December","January","February","March"},0)</f>
        <v>12</v>
      </c>
      <c r="Q2322" s="3">
        <f t="shared" si="72"/>
        <v>0</v>
      </c>
      <c r="R2322" t="str">
        <f t="shared" si="73"/>
        <v>March</v>
      </c>
    </row>
    <row r="2323" spans="1:18" x14ac:dyDescent="0.35">
      <c r="A2323" t="s">
        <v>449</v>
      </c>
      <c r="B2323" t="s">
        <v>409</v>
      </c>
      <c r="C2323" t="s">
        <v>15</v>
      </c>
      <c r="D2323" t="s">
        <v>410</v>
      </c>
      <c r="E2323">
        <v>19931</v>
      </c>
      <c r="F2323">
        <v>2009</v>
      </c>
      <c r="G2323">
        <v>4411</v>
      </c>
      <c r="H2323">
        <v>8</v>
      </c>
      <c r="I2323">
        <v>906</v>
      </c>
      <c r="J2323">
        <v>131</v>
      </c>
      <c r="K2323" s="1">
        <v>46082</v>
      </c>
      <c r="L2323" t="s">
        <v>446</v>
      </c>
      <c r="M2323" t="s">
        <v>18</v>
      </c>
      <c r="N2323" s="2">
        <f>IFERROR(NHS_A_E[[#This Row],[T1_Over4hrs]]/NHS_A_E[[#This Row],[T1_Attendances]], 0)</f>
        <v>0.22131353168431087</v>
      </c>
      <c r="O2323">
        <f>NHS_A_E[[#This Row],[T1_Attendances]]+NHS_A_E[[#This Row],[Other_Attendances]]</f>
        <v>21940</v>
      </c>
      <c r="P2323">
        <f>MATCH(LEFT(A2323,FIND("-",A2323)-1),{"April","May","June","July","August","September","October","November","December","January","February","March"},0)</f>
        <v>12</v>
      </c>
      <c r="Q2323" s="3">
        <f t="shared" si="72"/>
        <v>6.5726757312728912E-3</v>
      </c>
      <c r="R2323" t="str">
        <f t="shared" si="73"/>
        <v>March</v>
      </c>
    </row>
    <row r="2324" spans="1:18" x14ac:dyDescent="0.35">
      <c r="A2324" t="s">
        <v>449</v>
      </c>
      <c r="B2324" t="s">
        <v>299</v>
      </c>
      <c r="C2324" t="s">
        <v>63</v>
      </c>
      <c r="D2324" t="s">
        <v>300</v>
      </c>
      <c r="E2324">
        <v>16023</v>
      </c>
      <c r="F2324">
        <v>0</v>
      </c>
      <c r="G2324">
        <v>1957</v>
      </c>
      <c r="H2324">
        <v>0</v>
      </c>
      <c r="I2324">
        <v>808</v>
      </c>
      <c r="J2324">
        <v>34</v>
      </c>
      <c r="K2324" s="1">
        <v>46082</v>
      </c>
      <c r="L2324" t="s">
        <v>446</v>
      </c>
      <c r="M2324" t="s">
        <v>18</v>
      </c>
      <c r="N2324" s="2">
        <f>IFERROR(NHS_A_E[[#This Row],[T1_Over4hrs]]/NHS_A_E[[#This Row],[T1_Attendances]], 0)</f>
        <v>0.12213692816576172</v>
      </c>
      <c r="O2324">
        <f>NHS_A_E[[#This Row],[T1_Attendances]]+NHS_A_E[[#This Row],[Other_Attendances]]</f>
        <v>16023</v>
      </c>
      <c r="P2324">
        <f>MATCH(LEFT(A2324,FIND("-",A2324)-1),{"April","May","June","July","August","September","October","November","December","January","February","March"},0)</f>
        <v>12</v>
      </c>
      <c r="Q2324" s="3">
        <f t="shared" si="72"/>
        <v>2.1219496973101169E-3</v>
      </c>
      <c r="R2324" t="str">
        <f t="shared" si="73"/>
        <v>March</v>
      </c>
    </row>
    <row r="2325" spans="1:18" x14ac:dyDescent="0.35">
      <c r="A2325" t="s">
        <v>449</v>
      </c>
      <c r="B2325" t="s">
        <v>301</v>
      </c>
      <c r="C2325" t="s">
        <v>30</v>
      </c>
      <c r="D2325" t="s">
        <v>302</v>
      </c>
      <c r="E2325">
        <v>0</v>
      </c>
      <c r="F2325">
        <v>3798</v>
      </c>
      <c r="G2325">
        <v>0</v>
      </c>
      <c r="H2325">
        <v>154</v>
      </c>
      <c r="I2325">
        <v>0</v>
      </c>
      <c r="J2325">
        <v>0</v>
      </c>
      <c r="K2325" s="1">
        <v>46082</v>
      </c>
      <c r="L2325" t="s">
        <v>446</v>
      </c>
      <c r="M2325" t="s">
        <v>18</v>
      </c>
      <c r="N2325" s="2">
        <f>IFERROR(NHS_A_E[[#This Row],[T1_Over4hrs]]/NHS_A_E[[#This Row],[T1_Attendances]], 0)</f>
        <v>0</v>
      </c>
      <c r="O2325">
        <f>NHS_A_E[[#This Row],[T1_Attendances]]+NHS_A_E[[#This Row],[Other_Attendances]]</f>
        <v>3798</v>
      </c>
      <c r="P2325">
        <f>MATCH(LEFT(A2325,FIND("-",A2325)-1),{"April","May","June","July","August","September","October","November","December","January","February","March"},0)</f>
        <v>12</v>
      </c>
      <c r="Q2325" s="3">
        <f t="shared" si="72"/>
        <v>0</v>
      </c>
      <c r="R2325" t="str">
        <f t="shared" si="73"/>
        <v>March</v>
      </c>
    </row>
    <row r="2326" spans="1:18" x14ac:dyDescent="0.35">
      <c r="A2326" t="s">
        <v>449</v>
      </c>
      <c r="B2326" t="s">
        <v>305</v>
      </c>
      <c r="C2326" t="s">
        <v>30</v>
      </c>
      <c r="D2326" t="s">
        <v>306</v>
      </c>
      <c r="E2326">
        <v>0</v>
      </c>
      <c r="F2326">
        <v>1652</v>
      </c>
      <c r="G2326">
        <v>0</v>
      </c>
      <c r="H2326">
        <v>0</v>
      </c>
      <c r="I2326">
        <v>0</v>
      </c>
      <c r="J2326">
        <v>0</v>
      </c>
      <c r="K2326" s="1">
        <v>46082</v>
      </c>
      <c r="L2326" t="s">
        <v>446</v>
      </c>
      <c r="M2326" t="s">
        <v>18</v>
      </c>
      <c r="N2326" s="2">
        <f>IFERROR(NHS_A_E[[#This Row],[T1_Over4hrs]]/NHS_A_E[[#This Row],[T1_Attendances]], 0)</f>
        <v>0</v>
      </c>
      <c r="O2326">
        <f>NHS_A_E[[#This Row],[T1_Attendances]]+NHS_A_E[[#This Row],[Other_Attendances]]</f>
        <v>1652</v>
      </c>
      <c r="P2326">
        <f>MATCH(LEFT(A2326,FIND("-",A2326)-1),{"April","May","June","July","August","September","October","November","December","January","February","March"},0)</f>
        <v>12</v>
      </c>
      <c r="Q2326" s="3">
        <f t="shared" si="72"/>
        <v>0</v>
      </c>
      <c r="R2326" t="str">
        <f t="shared" si="73"/>
        <v>March</v>
      </c>
    </row>
    <row r="2327" spans="1:18" x14ac:dyDescent="0.35">
      <c r="A2327" t="s">
        <v>449</v>
      </c>
      <c r="B2327" t="s">
        <v>239</v>
      </c>
      <c r="C2327" t="s">
        <v>35</v>
      </c>
      <c r="D2327" t="s">
        <v>240</v>
      </c>
      <c r="E2327">
        <v>0</v>
      </c>
      <c r="F2327">
        <v>1094</v>
      </c>
      <c r="G2327">
        <v>0</v>
      </c>
      <c r="H2327">
        <v>0</v>
      </c>
      <c r="I2327">
        <v>0</v>
      </c>
      <c r="J2327">
        <v>0</v>
      </c>
      <c r="K2327" s="1">
        <v>46082</v>
      </c>
      <c r="L2327" t="s">
        <v>446</v>
      </c>
      <c r="M2327" t="s">
        <v>18</v>
      </c>
      <c r="N2327" s="2">
        <f>IFERROR(NHS_A_E[[#This Row],[T1_Over4hrs]]/NHS_A_E[[#This Row],[T1_Attendances]], 0)</f>
        <v>0</v>
      </c>
      <c r="O2327">
        <f>NHS_A_E[[#This Row],[T1_Attendances]]+NHS_A_E[[#This Row],[Other_Attendances]]</f>
        <v>1094</v>
      </c>
      <c r="P2327">
        <f>MATCH(LEFT(A2327,FIND("-",A2327)-1),{"April","May","June","July","August","September","October","November","December","January","February","March"},0)</f>
        <v>12</v>
      </c>
      <c r="Q2327" s="3">
        <f t="shared" si="72"/>
        <v>0</v>
      </c>
      <c r="R2327" t="str">
        <f t="shared" si="73"/>
        <v>March</v>
      </c>
    </row>
    <row r="2328" spans="1:18" x14ac:dyDescent="0.35">
      <c r="A2328" t="s">
        <v>449</v>
      </c>
      <c r="B2328" t="s">
        <v>321</v>
      </c>
      <c r="C2328" t="s">
        <v>20</v>
      </c>
      <c r="D2328" t="s">
        <v>322</v>
      </c>
      <c r="E2328">
        <v>0</v>
      </c>
      <c r="F2328">
        <v>667</v>
      </c>
      <c r="G2328">
        <v>0</v>
      </c>
      <c r="H2328">
        <v>1</v>
      </c>
      <c r="I2328">
        <v>0</v>
      </c>
      <c r="J2328">
        <v>0</v>
      </c>
      <c r="K2328" s="1">
        <v>46082</v>
      </c>
      <c r="L2328" t="s">
        <v>446</v>
      </c>
      <c r="M2328" t="s">
        <v>18</v>
      </c>
      <c r="N2328" s="2">
        <f>IFERROR(NHS_A_E[[#This Row],[T1_Over4hrs]]/NHS_A_E[[#This Row],[T1_Attendances]], 0)</f>
        <v>0</v>
      </c>
      <c r="O2328">
        <f>NHS_A_E[[#This Row],[T1_Attendances]]+NHS_A_E[[#This Row],[Other_Attendances]]</f>
        <v>667</v>
      </c>
      <c r="P2328">
        <f>MATCH(LEFT(A2328,FIND("-",A2328)-1),{"April","May","June","July","August","September","October","November","December","January","February","March"},0)</f>
        <v>12</v>
      </c>
      <c r="Q2328" s="3">
        <f t="shared" si="72"/>
        <v>0</v>
      </c>
      <c r="R2328" t="str">
        <f t="shared" si="73"/>
        <v>March</v>
      </c>
    </row>
    <row r="2329" spans="1:18" x14ac:dyDescent="0.35">
      <c r="A2329" t="s">
        <v>449</v>
      </c>
      <c r="B2329" t="s">
        <v>285</v>
      </c>
      <c r="C2329" t="s">
        <v>40</v>
      </c>
      <c r="D2329" t="s">
        <v>286</v>
      </c>
      <c r="E2329">
        <v>0</v>
      </c>
      <c r="F2329">
        <v>379</v>
      </c>
      <c r="G2329">
        <v>0</v>
      </c>
      <c r="H2329">
        <v>0</v>
      </c>
      <c r="I2329">
        <v>0</v>
      </c>
      <c r="J2329">
        <v>0</v>
      </c>
      <c r="K2329" s="1">
        <v>46082</v>
      </c>
      <c r="L2329" t="s">
        <v>446</v>
      </c>
      <c r="M2329" t="s">
        <v>18</v>
      </c>
      <c r="N2329" s="2">
        <f>IFERROR(NHS_A_E[[#This Row],[T1_Over4hrs]]/NHS_A_E[[#This Row],[T1_Attendances]], 0)</f>
        <v>0</v>
      </c>
      <c r="O2329">
        <f>NHS_A_E[[#This Row],[T1_Attendances]]+NHS_A_E[[#This Row],[Other_Attendances]]</f>
        <v>379</v>
      </c>
      <c r="P2329">
        <f>MATCH(LEFT(A2329,FIND("-",A2329)-1),{"April","May","June","July","August","September","October","November","December","January","February","March"},0)</f>
        <v>12</v>
      </c>
      <c r="Q2329" s="3">
        <f t="shared" si="72"/>
        <v>0</v>
      </c>
      <c r="R2329" t="str">
        <f t="shared" si="73"/>
        <v>March</v>
      </c>
    </row>
    <row r="2330" spans="1:18" x14ac:dyDescent="0.35">
      <c r="A2330" t="s">
        <v>449</v>
      </c>
      <c r="B2330" t="s">
        <v>307</v>
      </c>
      <c r="C2330" t="s">
        <v>40</v>
      </c>
      <c r="D2330" t="s">
        <v>308</v>
      </c>
      <c r="E2330">
        <v>0</v>
      </c>
      <c r="F2330">
        <v>3415</v>
      </c>
      <c r="G2330">
        <v>0</v>
      </c>
      <c r="H2330">
        <v>0</v>
      </c>
      <c r="I2330">
        <v>0</v>
      </c>
      <c r="J2330">
        <v>0</v>
      </c>
      <c r="K2330" s="1">
        <v>46082</v>
      </c>
      <c r="L2330" t="s">
        <v>446</v>
      </c>
      <c r="M2330" t="s">
        <v>18</v>
      </c>
      <c r="N2330" s="2">
        <f>IFERROR(NHS_A_E[[#This Row],[T1_Over4hrs]]/NHS_A_E[[#This Row],[T1_Attendances]], 0)</f>
        <v>0</v>
      </c>
      <c r="O2330">
        <f>NHS_A_E[[#This Row],[T1_Attendances]]+NHS_A_E[[#This Row],[Other_Attendances]]</f>
        <v>3415</v>
      </c>
      <c r="P2330">
        <f>MATCH(LEFT(A2330,FIND("-",A2330)-1),{"April","May","June","July","August","September","October","November","December","January","February","March"},0)</f>
        <v>12</v>
      </c>
      <c r="Q2330" s="3">
        <f t="shared" si="72"/>
        <v>0</v>
      </c>
      <c r="R2330" t="str">
        <f t="shared" si="73"/>
        <v>March</v>
      </c>
    </row>
    <row r="2331" spans="1:18" x14ac:dyDescent="0.35">
      <c r="A2331" t="s">
        <v>449</v>
      </c>
      <c r="B2331" t="s">
        <v>331</v>
      </c>
      <c r="C2331" t="s">
        <v>15</v>
      </c>
      <c r="D2331" t="s">
        <v>332</v>
      </c>
      <c r="E2331">
        <v>0</v>
      </c>
      <c r="F2331">
        <v>5451</v>
      </c>
      <c r="G2331">
        <v>0</v>
      </c>
      <c r="H2331">
        <v>77</v>
      </c>
      <c r="I2331">
        <v>0</v>
      </c>
      <c r="J2331">
        <v>0</v>
      </c>
      <c r="K2331" s="1">
        <v>46082</v>
      </c>
      <c r="L2331" t="s">
        <v>446</v>
      </c>
      <c r="M2331" t="s">
        <v>18</v>
      </c>
      <c r="N2331" s="2">
        <f>IFERROR(NHS_A_E[[#This Row],[T1_Over4hrs]]/NHS_A_E[[#This Row],[T1_Attendances]], 0)</f>
        <v>0</v>
      </c>
      <c r="O2331">
        <f>NHS_A_E[[#This Row],[T1_Attendances]]+NHS_A_E[[#This Row],[Other_Attendances]]</f>
        <v>5451</v>
      </c>
      <c r="P2331">
        <f>MATCH(LEFT(A2331,FIND("-",A2331)-1),{"April","May","June","July","August","September","October","November","December","January","February","March"},0)</f>
        <v>12</v>
      </c>
      <c r="Q2331" s="3">
        <f t="shared" si="72"/>
        <v>0</v>
      </c>
      <c r="R2331" t="str">
        <f t="shared" si="73"/>
        <v>March</v>
      </c>
    </row>
    <row r="2332" spans="1:18" x14ac:dyDescent="0.35">
      <c r="A2332" t="s">
        <v>449</v>
      </c>
      <c r="B2332" t="s">
        <v>231</v>
      </c>
      <c r="C2332" t="s">
        <v>63</v>
      </c>
      <c r="D2332" t="s">
        <v>232</v>
      </c>
      <c r="E2332">
        <v>9452</v>
      </c>
      <c r="F2332">
        <v>0</v>
      </c>
      <c r="G2332">
        <v>1843</v>
      </c>
      <c r="H2332">
        <v>0</v>
      </c>
      <c r="I2332">
        <v>283</v>
      </c>
      <c r="J2332">
        <v>0</v>
      </c>
      <c r="K2332" s="1">
        <v>46082</v>
      </c>
      <c r="L2332" t="s">
        <v>446</v>
      </c>
      <c r="M2332" t="s">
        <v>18</v>
      </c>
      <c r="N2332" s="2">
        <f>IFERROR(NHS_A_E[[#This Row],[T1_Over4hrs]]/NHS_A_E[[#This Row],[T1_Attendances]], 0)</f>
        <v>0.19498518831993228</v>
      </c>
      <c r="O2332">
        <f>NHS_A_E[[#This Row],[T1_Attendances]]+NHS_A_E[[#This Row],[Other_Attendances]]</f>
        <v>9452</v>
      </c>
      <c r="P2332">
        <f>MATCH(LEFT(A2332,FIND("-",A2332)-1),{"April","May","June","July","August","September","October","November","December","January","February","March"},0)</f>
        <v>12</v>
      </c>
      <c r="Q2332" s="3">
        <f t="shared" si="72"/>
        <v>0</v>
      </c>
      <c r="R2332" t="str">
        <f t="shared" si="73"/>
        <v>March</v>
      </c>
    </row>
    <row r="2333" spans="1:18" x14ac:dyDescent="0.35">
      <c r="A2333" t="s">
        <v>449</v>
      </c>
      <c r="B2333" t="s">
        <v>54</v>
      </c>
      <c r="C2333" t="s">
        <v>15</v>
      </c>
      <c r="D2333" t="s">
        <v>55</v>
      </c>
      <c r="E2333">
        <v>0</v>
      </c>
      <c r="F2333">
        <v>4189</v>
      </c>
      <c r="G2333">
        <v>0</v>
      </c>
      <c r="H2333">
        <v>184</v>
      </c>
      <c r="I2333">
        <v>0</v>
      </c>
      <c r="J2333">
        <v>0</v>
      </c>
      <c r="K2333" s="1">
        <v>46082</v>
      </c>
      <c r="L2333" t="s">
        <v>446</v>
      </c>
      <c r="M2333" t="s">
        <v>18</v>
      </c>
      <c r="N2333" s="2">
        <f>IFERROR(NHS_A_E[[#This Row],[T1_Over4hrs]]/NHS_A_E[[#This Row],[T1_Attendances]], 0)</f>
        <v>0</v>
      </c>
      <c r="O2333">
        <f>NHS_A_E[[#This Row],[T1_Attendances]]+NHS_A_E[[#This Row],[Other_Attendances]]</f>
        <v>4189</v>
      </c>
      <c r="P2333">
        <f>MATCH(LEFT(A2333,FIND("-",A2333)-1),{"April","May","June","July","August","September","October","November","December","January","February","March"},0)</f>
        <v>12</v>
      </c>
      <c r="Q2333" s="3">
        <f t="shared" si="72"/>
        <v>0</v>
      </c>
      <c r="R2333" t="str">
        <f t="shared" si="73"/>
        <v>March</v>
      </c>
    </row>
    <row r="2334" spans="1:18" x14ac:dyDescent="0.35">
      <c r="A2334" t="s">
        <v>449</v>
      </c>
      <c r="B2334" t="s">
        <v>201</v>
      </c>
      <c r="C2334" t="s">
        <v>20</v>
      </c>
      <c r="D2334" t="s">
        <v>202</v>
      </c>
      <c r="E2334">
        <v>0</v>
      </c>
      <c r="F2334">
        <v>2158</v>
      </c>
      <c r="G2334">
        <v>0</v>
      </c>
      <c r="H2334">
        <v>38</v>
      </c>
      <c r="I2334">
        <v>0</v>
      </c>
      <c r="J2334">
        <v>0</v>
      </c>
      <c r="K2334" s="1">
        <v>46082</v>
      </c>
      <c r="L2334" t="s">
        <v>446</v>
      </c>
      <c r="M2334" t="s">
        <v>18</v>
      </c>
      <c r="N2334" s="2">
        <f>IFERROR(NHS_A_E[[#This Row],[T1_Over4hrs]]/NHS_A_E[[#This Row],[T1_Attendances]], 0)</f>
        <v>0</v>
      </c>
      <c r="O2334">
        <f>NHS_A_E[[#This Row],[T1_Attendances]]+NHS_A_E[[#This Row],[Other_Attendances]]</f>
        <v>2158</v>
      </c>
      <c r="P2334">
        <f>MATCH(LEFT(A2334,FIND("-",A2334)-1),{"April","May","June","July","August","September","October","November","December","January","February","March"},0)</f>
        <v>12</v>
      </c>
      <c r="Q2334" s="3">
        <f t="shared" si="72"/>
        <v>0</v>
      </c>
      <c r="R2334" t="str">
        <f t="shared" si="73"/>
        <v>March</v>
      </c>
    </row>
    <row r="2335" spans="1:18" x14ac:dyDescent="0.35">
      <c r="A2335" t="s">
        <v>449</v>
      </c>
      <c r="B2335" t="s">
        <v>293</v>
      </c>
      <c r="C2335" t="s">
        <v>20</v>
      </c>
      <c r="D2335" t="s">
        <v>294</v>
      </c>
      <c r="E2335">
        <v>0</v>
      </c>
      <c r="F2335">
        <v>0</v>
      </c>
      <c r="G2335">
        <v>0</v>
      </c>
      <c r="H2335">
        <v>0</v>
      </c>
      <c r="I2335">
        <v>0</v>
      </c>
      <c r="J2335">
        <v>0</v>
      </c>
      <c r="K2335" s="1">
        <v>46082</v>
      </c>
      <c r="L2335" t="s">
        <v>446</v>
      </c>
      <c r="M2335" t="s">
        <v>18</v>
      </c>
      <c r="N2335" s="2">
        <f>IFERROR(NHS_A_E[[#This Row],[T1_Over4hrs]]/NHS_A_E[[#This Row],[T1_Attendances]], 0)</f>
        <v>0</v>
      </c>
      <c r="O2335">
        <f>NHS_A_E[[#This Row],[T1_Attendances]]+NHS_A_E[[#This Row],[Other_Attendances]]</f>
        <v>0</v>
      </c>
      <c r="P2335">
        <f>MATCH(LEFT(A2335,FIND("-",A2335)-1),{"April","May","June","July","August","September","October","November","December","January","February","March"},0)</f>
        <v>12</v>
      </c>
      <c r="Q2335" s="3">
        <f t="shared" si="72"/>
        <v>0</v>
      </c>
      <c r="R2335" t="str">
        <f t="shared" si="73"/>
        <v>March</v>
      </c>
    </row>
    <row r="2336" spans="1:18" x14ac:dyDescent="0.35">
      <c r="A2336" t="s">
        <v>449</v>
      </c>
      <c r="B2336" t="s">
        <v>39</v>
      </c>
      <c r="C2336" t="s">
        <v>40</v>
      </c>
      <c r="D2336" t="s">
        <v>41</v>
      </c>
      <c r="E2336">
        <v>15324</v>
      </c>
      <c r="F2336">
        <v>8614</v>
      </c>
      <c r="G2336">
        <v>8188</v>
      </c>
      <c r="H2336">
        <v>118</v>
      </c>
      <c r="I2336">
        <v>1208</v>
      </c>
      <c r="J2336">
        <v>820</v>
      </c>
      <c r="K2336" s="1">
        <v>46082</v>
      </c>
      <c r="L2336" t="s">
        <v>446</v>
      </c>
      <c r="M2336" t="s">
        <v>18</v>
      </c>
      <c r="N2336" s="2">
        <f>IFERROR(NHS_A_E[[#This Row],[T1_Over4hrs]]/NHS_A_E[[#This Row],[T1_Attendances]], 0)</f>
        <v>0.53432524145131821</v>
      </c>
      <c r="O2336">
        <f>NHS_A_E[[#This Row],[T1_Attendances]]+NHS_A_E[[#This Row],[Other_Attendances]]</f>
        <v>23938</v>
      </c>
      <c r="P2336">
        <f>MATCH(LEFT(A2336,FIND("-",A2336)-1),{"April","May","June","July","August","September","October","November","December","January","February","March"},0)</f>
        <v>12</v>
      </c>
      <c r="Q2336" s="3">
        <f t="shared" si="72"/>
        <v>5.3510832680762205E-2</v>
      </c>
      <c r="R2336" t="str">
        <f t="shared" si="73"/>
        <v>March</v>
      </c>
    </row>
    <row r="2337" spans="1:18" x14ac:dyDescent="0.35">
      <c r="A2337" t="s">
        <v>449</v>
      </c>
      <c r="B2337" t="s">
        <v>417</v>
      </c>
      <c r="C2337" t="s">
        <v>63</v>
      </c>
      <c r="D2337" t="s">
        <v>418</v>
      </c>
      <c r="E2337">
        <v>9401</v>
      </c>
      <c r="F2337">
        <v>1760</v>
      </c>
      <c r="G2337">
        <v>4075</v>
      </c>
      <c r="H2337">
        <v>97</v>
      </c>
      <c r="I2337">
        <v>563</v>
      </c>
      <c r="J2337">
        <v>346</v>
      </c>
      <c r="K2337" s="1">
        <v>46082</v>
      </c>
      <c r="L2337" t="s">
        <v>446</v>
      </c>
      <c r="M2337" t="s">
        <v>18</v>
      </c>
      <c r="N2337" s="2">
        <f>IFERROR(NHS_A_E[[#This Row],[T1_Over4hrs]]/NHS_A_E[[#This Row],[T1_Attendances]], 0)</f>
        <v>0.43346452505052652</v>
      </c>
      <c r="O2337">
        <f>NHS_A_E[[#This Row],[T1_Attendances]]+NHS_A_E[[#This Row],[Other_Attendances]]</f>
        <v>11161</v>
      </c>
      <c r="P2337">
        <f>MATCH(LEFT(A2337,FIND("-",A2337)-1),{"April","May","June","July","August","September","October","November","December","January","February","March"},0)</f>
        <v>12</v>
      </c>
      <c r="Q2337" s="3">
        <f t="shared" si="72"/>
        <v>3.6804595255823851E-2</v>
      </c>
      <c r="R2337" t="str">
        <f t="shared" si="73"/>
        <v>March</v>
      </c>
    </row>
    <row r="2338" spans="1:18" x14ac:dyDescent="0.35">
      <c r="A2338" t="s">
        <v>449</v>
      </c>
      <c r="B2338" t="s">
        <v>323</v>
      </c>
      <c r="C2338" t="s">
        <v>23</v>
      </c>
      <c r="D2338" t="s">
        <v>324</v>
      </c>
      <c r="E2338">
        <v>8912</v>
      </c>
      <c r="F2338">
        <v>2230</v>
      </c>
      <c r="G2338">
        <v>2370</v>
      </c>
      <c r="H2338">
        <v>0</v>
      </c>
      <c r="I2338">
        <v>477</v>
      </c>
      <c r="J2338">
        <v>177</v>
      </c>
      <c r="K2338" s="1">
        <v>46082</v>
      </c>
      <c r="L2338" t="s">
        <v>446</v>
      </c>
      <c r="M2338" t="s">
        <v>18</v>
      </c>
      <c r="N2338" s="2">
        <f>IFERROR(NHS_A_E[[#This Row],[T1_Over4hrs]]/NHS_A_E[[#This Row],[T1_Attendances]], 0)</f>
        <v>0.26593357271095153</v>
      </c>
      <c r="O2338">
        <f>NHS_A_E[[#This Row],[T1_Attendances]]+NHS_A_E[[#This Row],[Other_Attendances]]</f>
        <v>11142</v>
      </c>
      <c r="P2338">
        <f>MATCH(LEFT(A2338,FIND("-",A2338)-1),{"April","May","June","July","August","September","October","November","December","January","February","March"},0)</f>
        <v>12</v>
      </c>
      <c r="Q2338" s="3">
        <f t="shared" si="72"/>
        <v>1.9860861759425495E-2</v>
      </c>
      <c r="R2338" t="str">
        <f t="shared" si="73"/>
        <v>March</v>
      </c>
    </row>
    <row r="2339" spans="1:18" x14ac:dyDescent="0.35">
      <c r="A2339" t="s">
        <v>449</v>
      </c>
      <c r="B2339" t="s">
        <v>363</v>
      </c>
      <c r="C2339" t="s">
        <v>40</v>
      </c>
      <c r="D2339" t="s">
        <v>364</v>
      </c>
      <c r="E2339">
        <v>14334</v>
      </c>
      <c r="F2339">
        <v>6163</v>
      </c>
      <c r="G2339">
        <v>5805</v>
      </c>
      <c r="H2339">
        <v>47</v>
      </c>
      <c r="I2339">
        <v>841</v>
      </c>
      <c r="J2339">
        <v>835</v>
      </c>
      <c r="K2339" s="1">
        <v>46082</v>
      </c>
      <c r="L2339" t="s">
        <v>446</v>
      </c>
      <c r="M2339" t="s">
        <v>18</v>
      </c>
      <c r="N2339" s="2">
        <f>IFERROR(NHS_A_E[[#This Row],[T1_Over4hrs]]/NHS_A_E[[#This Row],[T1_Attendances]], 0)</f>
        <v>0.4049811636668062</v>
      </c>
      <c r="O2339">
        <f>NHS_A_E[[#This Row],[T1_Attendances]]+NHS_A_E[[#This Row],[Other_Attendances]]</f>
        <v>20497</v>
      </c>
      <c r="P2339">
        <f>MATCH(LEFT(A2339,FIND("-",A2339)-1),{"April","May","June","July","August","September","October","November","December","January","February","March"},0)</f>
        <v>12</v>
      </c>
      <c r="Q2339" s="3">
        <f t="shared" si="72"/>
        <v>5.8253104506767128E-2</v>
      </c>
      <c r="R2339" t="str">
        <f t="shared" si="73"/>
        <v>March</v>
      </c>
    </row>
    <row r="2340" spans="1:18" x14ac:dyDescent="0.35">
      <c r="A2340" t="s">
        <v>449</v>
      </c>
      <c r="B2340" t="s">
        <v>133</v>
      </c>
      <c r="C2340" t="s">
        <v>15</v>
      </c>
      <c r="D2340" t="s">
        <v>134</v>
      </c>
      <c r="E2340">
        <v>0</v>
      </c>
      <c r="F2340">
        <v>1461</v>
      </c>
      <c r="G2340">
        <v>0</v>
      </c>
      <c r="H2340">
        <v>14</v>
      </c>
      <c r="I2340">
        <v>0</v>
      </c>
      <c r="J2340">
        <v>0</v>
      </c>
      <c r="K2340" s="1">
        <v>46082</v>
      </c>
      <c r="L2340" t="s">
        <v>446</v>
      </c>
      <c r="M2340" t="s">
        <v>18</v>
      </c>
      <c r="N2340" s="2">
        <f>IFERROR(NHS_A_E[[#This Row],[T1_Over4hrs]]/NHS_A_E[[#This Row],[T1_Attendances]], 0)</f>
        <v>0</v>
      </c>
      <c r="O2340">
        <f>NHS_A_E[[#This Row],[T1_Attendances]]+NHS_A_E[[#This Row],[Other_Attendances]]</f>
        <v>1461</v>
      </c>
      <c r="P2340">
        <f>MATCH(LEFT(A2340,FIND("-",A2340)-1),{"April","May","June","July","August","September","October","November","December","January","February","March"},0)</f>
        <v>12</v>
      </c>
      <c r="Q2340" s="3">
        <f t="shared" si="72"/>
        <v>0</v>
      </c>
      <c r="R2340" t="str">
        <f t="shared" si="73"/>
        <v>March</v>
      </c>
    </row>
    <row r="2341" spans="1:18" x14ac:dyDescent="0.35">
      <c r="A2341" t="s">
        <v>449</v>
      </c>
      <c r="B2341" t="s">
        <v>373</v>
      </c>
      <c r="C2341" t="s">
        <v>40</v>
      </c>
      <c r="D2341" t="s">
        <v>374</v>
      </c>
      <c r="E2341">
        <v>13228</v>
      </c>
      <c r="F2341">
        <v>9850</v>
      </c>
      <c r="G2341">
        <v>7322</v>
      </c>
      <c r="H2341">
        <v>1196</v>
      </c>
      <c r="I2341">
        <v>114</v>
      </c>
      <c r="J2341">
        <v>1200</v>
      </c>
      <c r="K2341" s="1">
        <v>46082</v>
      </c>
      <c r="L2341" t="s">
        <v>446</v>
      </c>
      <c r="M2341" t="s">
        <v>18</v>
      </c>
      <c r="N2341" s="2">
        <f>IFERROR(NHS_A_E[[#This Row],[T1_Over4hrs]]/NHS_A_E[[#This Row],[T1_Attendances]], 0)</f>
        <v>0.55352283035984273</v>
      </c>
      <c r="O2341">
        <f>NHS_A_E[[#This Row],[T1_Attendances]]+NHS_A_E[[#This Row],[Other_Attendances]]</f>
        <v>23078</v>
      </c>
      <c r="P2341">
        <f>MATCH(LEFT(A2341,FIND("-",A2341)-1),{"April","May","June","July","August","September","October","November","December","January","February","March"},0)</f>
        <v>12</v>
      </c>
      <c r="Q2341" s="3">
        <f t="shared" si="72"/>
        <v>9.071666162685213E-2</v>
      </c>
      <c r="R2341" t="str">
        <f t="shared" si="73"/>
        <v>March</v>
      </c>
    </row>
    <row r="2342" spans="1:18" x14ac:dyDescent="0.35">
      <c r="A2342" t="s">
        <v>449</v>
      </c>
      <c r="B2342" t="s">
        <v>193</v>
      </c>
      <c r="C2342" t="s">
        <v>63</v>
      </c>
      <c r="D2342" t="s">
        <v>194</v>
      </c>
      <c r="E2342">
        <v>0</v>
      </c>
      <c r="F2342">
        <v>0</v>
      </c>
      <c r="G2342">
        <v>0</v>
      </c>
      <c r="H2342">
        <v>0</v>
      </c>
      <c r="I2342">
        <v>0</v>
      </c>
      <c r="J2342">
        <v>0</v>
      </c>
      <c r="K2342" s="1">
        <v>46082</v>
      </c>
      <c r="L2342" t="s">
        <v>446</v>
      </c>
      <c r="M2342" t="s">
        <v>18</v>
      </c>
      <c r="N2342" s="2">
        <f>IFERROR(NHS_A_E[[#This Row],[T1_Over4hrs]]/NHS_A_E[[#This Row],[T1_Attendances]], 0)</f>
        <v>0</v>
      </c>
      <c r="O2342">
        <f>NHS_A_E[[#This Row],[T1_Attendances]]+NHS_A_E[[#This Row],[Other_Attendances]]</f>
        <v>0</v>
      </c>
      <c r="P2342">
        <f>MATCH(LEFT(A2342,FIND("-",A2342)-1),{"April","May","June","July","August","September","October","November","December","January","February","March"},0)</f>
        <v>12</v>
      </c>
      <c r="Q2342" s="3">
        <f t="shared" si="72"/>
        <v>0</v>
      </c>
      <c r="R2342" t="str">
        <f t="shared" si="73"/>
        <v>March</v>
      </c>
    </row>
    <row r="2343" spans="1:18" x14ac:dyDescent="0.35">
      <c r="A2343" t="s">
        <v>449</v>
      </c>
      <c r="B2343" t="s">
        <v>369</v>
      </c>
      <c r="C2343" t="s">
        <v>30</v>
      </c>
      <c r="D2343" t="s">
        <v>370</v>
      </c>
      <c r="E2343">
        <v>0</v>
      </c>
      <c r="F2343">
        <v>3320</v>
      </c>
      <c r="G2343">
        <v>0</v>
      </c>
      <c r="H2343">
        <v>64</v>
      </c>
      <c r="I2343">
        <v>0</v>
      </c>
      <c r="J2343">
        <v>0</v>
      </c>
      <c r="K2343" s="1">
        <v>46082</v>
      </c>
      <c r="L2343" t="s">
        <v>446</v>
      </c>
      <c r="M2343" t="s">
        <v>18</v>
      </c>
      <c r="N2343" s="2">
        <f>IFERROR(NHS_A_E[[#This Row],[T1_Over4hrs]]/NHS_A_E[[#This Row],[T1_Attendances]], 0)</f>
        <v>0</v>
      </c>
      <c r="O2343">
        <f>NHS_A_E[[#This Row],[T1_Attendances]]+NHS_A_E[[#This Row],[Other_Attendances]]</f>
        <v>3320</v>
      </c>
      <c r="P2343">
        <f>MATCH(LEFT(A2343,FIND("-",A2343)-1),{"April","May","June","July","August","September","October","November","December","January","February","March"},0)</f>
        <v>12</v>
      </c>
      <c r="Q2343" s="3">
        <f t="shared" si="72"/>
        <v>0</v>
      </c>
      <c r="R2343" t="str">
        <f t="shared" si="73"/>
        <v>March</v>
      </c>
    </row>
    <row r="2344" spans="1:18" x14ac:dyDescent="0.35">
      <c r="A2344" t="s">
        <v>449</v>
      </c>
      <c r="B2344" t="s">
        <v>303</v>
      </c>
      <c r="C2344" t="s">
        <v>23</v>
      </c>
      <c r="D2344" t="s">
        <v>304</v>
      </c>
      <c r="E2344">
        <v>0</v>
      </c>
      <c r="F2344">
        <v>2867</v>
      </c>
      <c r="G2344">
        <v>0</v>
      </c>
      <c r="H2344">
        <v>0</v>
      </c>
      <c r="I2344">
        <v>0</v>
      </c>
      <c r="J2344">
        <v>0</v>
      </c>
      <c r="K2344" s="1">
        <v>46082</v>
      </c>
      <c r="L2344" t="s">
        <v>446</v>
      </c>
      <c r="M2344" t="s">
        <v>18</v>
      </c>
      <c r="N2344" s="2">
        <f>IFERROR(NHS_A_E[[#This Row],[T1_Over4hrs]]/NHS_A_E[[#This Row],[T1_Attendances]], 0)</f>
        <v>0</v>
      </c>
      <c r="O2344">
        <f>NHS_A_E[[#This Row],[T1_Attendances]]+NHS_A_E[[#This Row],[Other_Attendances]]</f>
        <v>2867</v>
      </c>
      <c r="P2344">
        <f>MATCH(LEFT(A2344,FIND("-",A2344)-1),{"April","May","June","July","August","September","October","November","December","January","February","March"},0)</f>
        <v>12</v>
      </c>
      <c r="Q2344" s="3">
        <f t="shared" si="72"/>
        <v>0</v>
      </c>
      <c r="R2344" t="str">
        <f t="shared" si="73"/>
        <v>March</v>
      </c>
    </row>
    <row r="2345" spans="1:18" x14ac:dyDescent="0.35">
      <c r="A2345" t="s">
        <v>449</v>
      </c>
      <c r="B2345" t="s">
        <v>263</v>
      </c>
      <c r="C2345" t="s">
        <v>35</v>
      </c>
      <c r="D2345" t="s">
        <v>264</v>
      </c>
      <c r="E2345">
        <v>0</v>
      </c>
      <c r="F2345">
        <v>3069</v>
      </c>
      <c r="G2345">
        <v>0</v>
      </c>
      <c r="H2345">
        <v>17</v>
      </c>
      <c r="I2345">
        <v>0</v>
      </c>
      <c r="J2345">
        <v>0</v>
      </c>
      <c r="K2345" s="1">
        <v>46082</v>
      </c>
      <c r="L2345" t="s">
        <v>446</v>
      </c>
      <c r="M2345" t="s">
        <v>18</v>
      </c>
      <c r="N2345" s="2">
        <f>IFERROR(NHS_A_E[[#This Row],[T1_Over4hrs]]/NHS_A_E[[#This Row],[T1_Attendances]], 0)</f>
        <v>0</v>
      </c>
      <c r="O2345">
        <f>NHS_A_E[[#This Row],[T1_Attendances]]+NHS_A_E[[#This Row],[Other_Attendances]]</f>
        <v>3069</v>
      </c>
      <c r="P2345">
        <f>MATCH(LEFT(A2345,FIND("-",A2345)-1),{"April","May","June","July","August","September","October","November","December","January","February","March"},0)</f>
        <v>12</v>
      </c>
      <c r="Q2345" s="3">
        <f t="shared" si="72"/>
        <v>0</v>
      </c>
      <c r="R2345" t="str">
        <f t="shared" si="73"/>
        <v>March</v>
      </c>
    </row>
    <row r="2346" spans="1:18" x14ac:dyDescent="0.35">
      <c r="A2346" t="s">
        <v>449</v>
      </c>
      <c r="B2346" t="s">
        <v>422</v>
      </c>
      <c r="C2346" t="s">
        <v>20</v>
      </c>
      <c r="D2346" t="s">
        <v>423</v>
      </c>
      <c r="E2346">
        <v>0</v>
      </c>
      <c r="F2346">
        <v>1340</v>
      </c>
      <c r="G2346">
        <v>0</v>
      </c>
      <c r="H2346">
        <v>4</v>
      </c>
      <c r="I2346">
        <v>0</v>
      </c>
      <c r="J2346">
        <v>0</v>
      </c>
      <c r="K2346" s="1">
        <v>46082</v>
      </c>
      <c r="L2346" t="s">
        <v>446</v>
      </c>
      <c r="M2346" t="s">
        <v>18</v>
      </c>
      <c r="N2346" s="2">
        <f>IFERROR(NHS_A_E[[#This Row],[T1_Over4hrs]]/NHS_A_E[[#This Row],[T1_Attendances]], 0)</f>
        <v>0</v>
      </c>
      <c r="O2346">
        <f>NHS_A_E[[#This Row],[T1_Attendances]]+NHS_A_E[[#This Row],[Other_Attendances]]</f>
        <v>1340</v>
      </c>
      <c r="P2346">
        <f>MATCH(LEFT(A2346,FIND("-",A2346)-1),{"April","May","June","July","August","September","October","November","December","January","February","March"},0)</f>
        <v>12</v>
      </c>
      <c r="Q2346" s="3">
        <f t="shared" si="72"/>
        <v>0</v>
      </c>
      <c r="R2346" t="str">
        <f t="shared" si="73"/>
        <v>March</v>
      </c>
    </row>
    <row r="2347" spans="1:18" x14ac:dyDescent="0.35">
      <c r="A2347" t="s">
        <v>449</v>
      </c>
      <c r="B2347" t="s">
        <v>265</v>
      </c>
      <c r="C2347" t="s">
        <v>35</v>
      </c>
      <c r="D2347" t="s">
        <v>266</v>
      </c>
      <c r="E2347">
        <v>0</v>
      </c>
      <c r="F2347">
        <v>2878</v>
      </c>
      <c r="G2347">
        <v>0</v>
      </c>
      <c r="H2347">
        <v>21</v>
      </c>
      <c r="I2347">
        <v>0</v>
      </c>
      <c r="J2347">
        <v>0</v>
      </c>
      <c r="K2347" s="1">
        <v>46082</v>
      </c>
      <c r="L2347" t="s">
        <v>446</v>
      </c>
      <c r="M2347" t="s">
        <v>18</v>
      </c>
      <c r="N2347" s="2">
        <f>IFERROR(NHS_A_E[[#This Row],[T1_Over4hrs]]/NHS_A_E[[#This Row],[T1_Attendances]], 0)</f>
        <v>0</v>
      </c>
      <c r="O2347">
        <f>NHS_A_E[[#This Row],[T1_Attendances]]+NHS_A_E[[#This Row],[Other_Attendances]]</f>
        <v>2878</v>
      </c>
      <c r="P2347">
        <f>MATCH(LEFT(A2347,FIND("-",A2347)-1),{"April","May","June","July","August","September","October","November","December","January","February","March"},0)</f>
        <v>12</v>
      </c>
      <c r="Q2347" s="3">
        <f t="shared" si="72"/>
        <v>0</v>
      </c>
      <c r="R2347" t="str">
        <f t="shared" si="73"/>
        <v>March</v>
      </c>
    </row>
    <row r="2348" spans="1:18" x14ac:dyDescent="0.35">
      <c r="A2348" t="s">
        <v>449</v>
      </c>
      <c r="B2348" t="s">
        <v>424</v>
      </c>
      <c r="C2348" t="s">
        <v>20</v>
      </c>
      <c r="D2348" t="s">
        <v>425</v>
      </c>
      <c r="E2348">
        <v>0</v>
      </c>
      <c r="F2348">
        <v>1657</v>
      </c>
      <c r="G2348">
        <v>0</v>
      </c>
      <c r="H2348">
        <v>25</v>
      </c>
      <c r="I2348">
        <v>0</v>
      </c>
      <c r="J2348">
        <v>0</v>
      </c>
      <c r="K2348" s="1">
        <v>46082</v>
      </c>
      <c r="L2348" t="s">
        <v>446</v>
      </c>
      <c r="M2348" t="s">
        <v>18</v>
      </c>
      <c r="N2348" s="2">
        <f>IFERROR(NHS_A_E[[#This Row],[T1_Over4hrs]]/NHS_A_E[[#This Row],[T1_Attendances]], 0)</f>
        <v>0</v>
      </c>
      <c r="O2348">
        <f>NHS_A_E[[#This Row],[T1_Attendances]]+NHS_A_E[[#This Row],[Other_Attendances]]</f>
        <v>1657</v>
      </c>
      <c r="P2348">
        <f>MATCH(LEFT(A2348,FIND("-",A2348)-1),{"April","May","June","July","August","September","October","November","December","January","February","March"},0)</f>
        <v>12</v>
      </c>
      <c r="Q2348" s="3">
        <f t="shared" si="72"/>
        <v>0</v>
      </c>
      <c r="R2348" t="str">
        <f t="shared" si="73"/>
        <v>March</v>
      </c>
    </row>
    <row r="2349" spans="1:18" x14ac:dyDescent="0.35">
      <c r="A2349" t="s">
        <v>449</v>
      </c>
      <c r="B2349" t="s">
        <v>87</v>
      </c>
      <c r="C2349" t="s">
        <v>23</v>
      </c>
      <c r="D2349" t="s">
        <v>88</v>
      </c>
      <c r="E2349">
        <v>28522</v>
      </c>
      <c r="F2349">
        <v>8415</v>
      </c>
      <c r="G2349">
        <v>11459</v>
      </c>
      <c r="H2349">
        <v>343</v>
      </c>
      <c r="I2349">
        <v>2337</v>
      </c>
      <c r="J2349">
        <v>793</v>
      </c>
      <c r="K2349" s="1">
        <v>46082</v>
      </c>
      <c r="L2349" t="s">
        <v>446</v>
      </c>
      <c r="M2349" t="s">
        <v>18</v>
      </c>
      <c r="N2349" s="2">
        <f>IFERROR(NHS_A_E[[#This Row],[T1_Over4hrs]]/NHS_A_E[[#This Row],[T1_Attendances]], 0)</f>
        <v>0.40176004487763833</v>
      </c>
      <c r="O2349">
        <f>NHS_A_E[[#This Row],[T1_Attendances]]+NHS_A_E[[#This Row],[Other_Attendances]]</f>
        <v>36937</v>
      </c>
      <c r="P2349">
        <f>MATCH(LEFT(A2349,FIND("-",A2349)-1),{"April","May","June","July","August","September","October","November","December","January","February","March"},0)</f>
        <v>12</v>
      </c>
      <c r="Q2349" s="3">
        <f t="shared" si="72"/>
        <v>2.780309936189608E-2</v>
      </c>
      <c r="R2349" t="str">
        <f t="shared" si="73"/>
        <v>March</v>
      </c>
    </row>
    <row r="2350" spans="1:18" x14ac:dyDescent="0.35">
      <c r="A2350" t="s">
        <v>449</v>
      </c>
      <c r="B2350" t="s">
        <v>341</v>
      </c>
      <c r="C2350" t="s">
        <v>40</v>
      </c>
      <c r="D2350" t="s">
        <v>342</v>
      </c>
      <c r="E2350">
        <v>9801</v>
      </c>
      <c r="F2350">
        <v>4476</v>
      </c>
      <c r="G2350">
        <v>1828</v>
      </c>
      <c r="H2350">
        <v>91</v>
      </c>
      <c r="I2350">
        <v>720</v>
      </c>
      <c r="J2350">
        <v>106</v>
      </c>
      <c r="K2350" s="1">
        <v>46082</v>
      </c>
      <c r="L2350" t="s">
        <v>446</v>
      </c>
      <c r="M2350" t="s">
        <v>18</v>
      </c>
      <c r="N2350" s="2">
        <f>IFERROR(NHS_A_E[[#This Row],[T1_Over4hrs]]/NHS_A_E[[#This Row],[T1_Attendances]], 0)</f>
        <v>0.18651158045097438</v>
      </c>
      <c r="O2350">
        <f>NHS_A_E[[#This Row],[T1_Attendances]]+NHS_A_E[[#This Row],[Other_Attendances]]</f>
        <v>14277</v>
      </c>
      <c r="P2350">
        <f>MATCH(LEFT(A2350,FIND("-",A2350)-1),{"April","May","June","July","August","September","October","November","December","January","February","March"},0)</f>
        <v>12</v>
      </c>
      <c r="Q2350" s="3">
        <f t="shared" si="72"/>
        <v>1.0815222936435057E-2</v>
      </c>
      <c r="R2350" t="str">
        <f t="shared" si="73"/>
        <v>March</v>
      </c>
    </row>
    <row r="2351" spans="1:18" x14ac:dyDescent="0.35">
      <c r="A2351" t="s">
        <v>449</v>
      </c>
      <c r="B2351" t="s">
        <v>211</v>
      </c>
      <c r="C2351" t="s">
        <v>30</v>
      </c>
      <c r="D2351" t="s">
        <v>212</v>
      </c>
      <c r="E2351">
        <v>8469</v>
      </c>
      <c r="F2351">
        <v>2937</v>
      </c>
      <c r="G2351">
        <v>4382</v>
      </c>
      <c r="H2351">
        <v>75</v>
      </c>
      <c r="I2351">
        <v>534</v>
      </c>
      <c r="J2351">
        <v>626</v>
      </c>
      <c r="K2351" s="1">
        <v>46082</v>
      </c>
      <c r="L2351" t="s">
        <v>446</v>
      </c>
      <c r="M2351" t="s">
        <v>18</v>
      </c>
      <c r="N2351" s="2">
        <f>IFERROR(NHS_A_E[[#This Row],[T1_Over4hrs]]/NHS_A_E[[#This Row],[T1_Attendances]], 0)</f>
        <v>0.51741646003070019</v>
      </c>
      <c r="O2351">
        <f>NHS_A_E[[#This Row],[T1_Attendances]]+NHS_A_E[[#This Row],[Other_Attendances]]</f>
        <v>11406</v>
      </c>
      <c r="P2351">
        <f>MATCH(LEFT(A2351,FIND("-",A2351)-1),{"April","May","June","July","August","September","October","November","December","January","February","March"},0)</f>
        <v>12</v>
      </c>
      <c r="Q2351" s="3">
        <f t="shared" si="72"/>
        <v>7.3916637147242892E-2</v>
      </c>
      <c r="R2351" t="str">
        <f t="shared" si="73"/>
        <v>March</v>
      </c>
    </row>
    <row r="2352" spans="1:18" x14ac:dyDescent="0.35">
      <c r="A2352" t="s">
        <v>449</v>
      </c>
      <c r="B2352" t="s">
        <v>25</v>
      </c>
      <c r="C2352" t="s">
        <v>15</v>
      </c>
      <c r="D2352" t="s">
        <v>26</v>
      </c>
      <c r="E2352">
        <v>0</v>
      </c>
      <c r="F2352">
        <v>11899</v>
      </c>
      <c r="G2352">
        <v>0</v>
      </c>
      <c r="H2352">
        <v>238</v>
      </c>
      <c r="I2352">
        <v>0</v>
      </c>
      <c r="J2352">
        <v>0</v>
      </c>
      <c r="K2352" s="1">
        <v>46082</v>
      </c>
      <c r="L2352" t="s">
        <v>446</v>
      </c>
      <c r="M2352" t="s">
        <v>18</v>
      </c>
      <c r="N2352" s="2">
        <f>IFERROR(NHS_A_E[[#This Row],[T1_Over4hrs]]/NHS_A_E[[#This Row],[T1_Attendances]], 0)</f>
        <v>0</v>
      </c>
      <c r="O2352">
        <f>NHS_A_E[[#This Row],[T1_Attendances]]+NHS_A_E[[#This Row],[Other_Attendances]]</f>
        <v>11899</v>
      </c>
      <c r="P2352">
        <f>MATCH(LEFT(A2352,FIND("-",A2352)-1),{"April","May","June","July","August","September","October","November","December","January","February","March"},0)</f>
        <v>12</v>
      </c>
      <c r="Q2352" s="3">
        <f t="shared" si="72"/>
        <v>0</v>
      </c>
      <c r="R2352" t="str">
        <f t="shared" si="73"/>
        <v>March</v>
      </c>
    </row>
    <row r="2353" spans="1:18" x14ac:dyDescent="0.35">
      <c r="A2353" t="s">
        <v>449</v>
      </c>
      <c r="B2353" t="s">
        <v>97</v>
      </c>
      <c r="C2353" t="s">
        <v>15</v>
      </c>
      <c r="D2353" t="s">
        <v>98</v>
      </c>
      <c r="E2353">
        <v>23737</v>
      </c>
      <c r="F2353">
        <v>11602</v>
      </c>
      <c r="G2353">
        <v>7555</v>
      </c>
      <c r="H2353">
        <v>243</v>
      </c>
      <c r="I2353">
        <v>1066</v>
      </c>
      <c r="J2353">
        <v>637</v>
      </c>
      <c r="K2353" s="1">
        <v>46082</v>
      </c>
      <c r="L2353" t="s">
        <v>446</v>
      </c>
      <c r="M2353" t="s">
        <v>18</v>
      </c>
      <c r="N2353" s="2">
        <f>IFERROR(NHS_A_E[[#This Row],[T1_Over4hrs]]/NHS_A_E[[#This Row],[T1_Attendances]], 0)</f>
        <v>0.3182794792939293</v>
      </c>
      <c r="O2353">
        <f>NHS_A_E[[#This Row],[T1_Attendances]]+NHS_A_E[[#This Row],[Other_Attendances]]</f>
        <v>35339</v>
      </c>
      <c r="P2353">
        <f>MATCH(LEFT(A2353,FIND("-",A2353)-1),{"April","May","June","July","August","September","October","November","December","January","February","March"},0)</f>
        <v>12</v>
      </c>
      <c r="Q2353" s="3">
        <f t="shared" si="72"/>
        <v>2.6835741669124152E-2</v>
      </c>
      <c r="R2353" t="str">
        <f t="shared" si="73"/>
        <v>March</v>
      </c>
    </row>
    <row r="2354" spans="1:18" x14ac:dyDescent="0.35">
      <c r="A2354" t="s">
        <v>449</v>
      </c>
      <c r="B2354" t="s">
        <v>99</v>
      </c>
      <c r="C2354" t="s">
        <v>30</v>
      </c>
      <c r="D2354" t="s">
        <v>100</v>
      </c>
      <c r="E2354">
        <v>0</v>
      </c>
      <c r="F2354">
        <v>0</v>
      </c>
      <c r="G2354">
        <v>0</v>
      </c>
      <c r="H2354">
        <v>0</v>
      </c>
      <c r="I2354">
        <v>0</v>
      </c>
      <c r="J2354">
        <v>0</v>
      </c>
      <c r="K2354" s="1">
        <v>46082</v>
      </c>
      <c r="L2354" t="s">
        <v>446</v>
      </c>
      <c r="M2354" t="s">
        <v>18</v>
      </c>
      <c r="N2354" s="2">
        <f>IFERROR(NHS_A_E[[#This Row],[T1_Over4hrs]]/NHS_A_E[[#This Row],[T1_Attendances]], 0)</f>
        <v>0</v>
      </c>
      <c r="O2354">
        <f>NHS_A_E[[#This Row],[T1_Attendances]]+NHS_A_E[[#This Row],[Other_Attendances]]</f>
        <v>0</v>
      </c>
      <c r="P2354">
        <f>MATCH(LEFT(A2354,FIND("-",A2354)-1),{"April","May","June","July","August","September","October","November","December","January","February","March"},0)</f>
        <v>12</v>
      </c>
      <c r="Q2354" s="3">
        <f t="shared" si="72"/>
        <v>0</v>
      </c>
      <c r="R2354" t="str">
        <f t="shared" si="73"/>
        <v>March</v>
      </c>
    </row>
    <row r="2355" spans="1:18" x14ac:dyDescent="0.35">
      <c r="A2355" t="s">
        <v>449</v>
      </c>
      <c r="B2355" t="s">
        <v>101</v>
      </c>
      <c r="C2355" t="s">
        <v>63</v>
      </c>
      <c r="D2355" t="s">
        <v>102</v>
      </c>
      <c r="E2355">
        <v>9778</v>
      </c>
      <c r="F2355">
        <v>0</v>
      </c>
      <c r="G2355">
        <v>3026</v>
      </c>
      <c r="H2355">
        <v>0</v>
      </c>
      <c r="I2355">
        <v>741</v>
      </c>
      <c r="J2355">
        <v>40</v>
      </c>
      <c r="K2355" s="1">
        <v>46082</v>
      </c>
      <c r="L2355" t="s">
        <v>446</v>
      </c>
      <c r="M2355" t="s">
        <v>18</v>
      </c>
      <c r="N2355" s="2">
        <f>IFERROR(NHS_A_E[[#This Row],[T1_Over4hrs]]/NHS_A_E[[#This Row],[T1_Attendances]], 0)</f>
        <v>0.30947023931274287</v>
      </c>
      <c r="O2355">
        <f>NHS_A_E[[#This Row],[T1_Attendances]]+NHS_A_E[[#This Row],[Other_Attendances]]</f>
        <v>9778</v>
      </c>
      <c r="P2355">
        <f>MATCH(LEFT(A2355,FIND("-",A2355)-1),{"April","May","June","July","August","September","October","November","December","January","February","March"},0)</f>
        <v>12</v>
      </c>
      <c r="Q2355" s="3">
        <f t="shared" si="72"/>
        <v>4.0908161178155045E-3</v>
      </c>
      <c r="R2355" t="str">
        <f t="shared" si="73"/>
        <v>March</v>
      </c>
    </row>
    <row r="2356" spans="1:18" x14ac:dyDescent="0.35">
      <c r="A2356" t="s">
        <v>449</v>
      </c>
      <c r="B2356" t="s">
        <v>349</v>
      </c>
      <c r="C2356" t="s">
        <v>20</v>
      </c>
      <c r="D2356" t="s">
        <v>350</v>
      </c>
      <c r="E2356">
        <v>13587</v>
      </c>
      <c r="F2356">
        <v>4364</v>
      </c>
      <c r="G2356">
        <v>5264</v>
      </c>
      <c r="H2356">
        <v>9</v>
      </c>
      <c r="I2356">
        <v>860</v>
      </c>
      <c r="J2356">
        <v>172</v>
      </c>
      <c r="K2356" s="1">
        <v>46082</v>
      </c>
      <c r="L2356" t="s">
        <v>446</v>
      </c>
      <c r="M2356" t="s">
        <v>18</v>
      </c>
      <c r="N2356" s="2">
        <f>IFERROR(NHS_A_E[[#This Row],[T1_Over4hrs]]/NHS_A_E[[#This Row],[T1_Attendances]], 0)</f>
        <v>0.38742916022668727</v>
      </c>
      <c r="O2356">
        <f>NHS_A_E[[#This Row],[T1_Attendances]]+NHS_A_E[[#This Row],[Other_Attendances]]</f>
        <v>17951</v>
      </c>
      <c r="P2356">
        <f>MATCH(LEFT(A2356,FIND("-",A2356)-1),{"April","May","June","July","August","September","October","November","December","January","February","March"},0)</f>
        <v>12</v>
      </c>
      <c r="Q2356" s="3">
        <f t="shared" si="72"/>
        <v>1.2659159490689629E-2</v>
      </c>
      <c r="R2356" t="str">
        <f t="shared" si="73"/>
        <v>March</v>
      </c>
    </row>
    <row r="2357" spans="1:18" x14ac:dyDescent="0.35">
      <c r="A2357" t="s">
        <v>449</v>
      </c>
      <c r="B2357" t="s">
        <v>107</v>
      </c>
      <c r="C2357" t="s">
        <v>63</v>
      </c>
      <c r="D2357" t="s">
        <v>108</v>
      </c>
      <c r="E2357">
        <v>8916</v>
      </c>
      <c r="F2357">
        <v>7691</v>
      </c>
      <c r="G2357">
        <v>4221</v>
      </c>
      <c r="H2357">
        <v>283</v>
      </c>
      <c r="I2357">
        <v>895</v>
      </c>
      <c r="J2357">
        <v>10</v>
      </c>
      <c r="K2357" s="1">
        <v>46082</v>
      </c>
      <c r="L2357" t="s">
        <v>446</v>
      </c>
      <c r="M2357" t="s">
        <v>18</v>
      </c>
      <c r="N2357" s="2">
        <f>IFERROR(NHS_A_E[[#This Row],[T1_Over4hrs]]/NHS_A_E[[#This Row],[T1_Attendances]], 0)</f>
        <v>0.47341857335127863</v>
      </c>
      <c r="O2357">
        <f>NHS_A_E[[#This Row],[T1_Attendances]]+NHS_A_E[[#This Row],[Other_Attendances]]</f>
        <v>16607</v>
      </c>
      <c r="P2357">
        <f>MATCH(LEFT(A2357,FIND("-",A2357)-1),{"April","May","June","July","August","September","October","November","December","January","February","March"},0)</f>
        <v>12</v>
      </c>
      <c r="Q2357" s="3">
        <f t="shared" si="72"/>
        <v>1.1215791834903544E-3</v>
      </c>
      <c r="R2357" t="str">
        <f t="shared" si="73"/>
        <v>March</v>
      </c>
    </row>
    <row r="2358" spans="1:18" x14ac:dyDescent="0.35">
      <c r="A2358" t="s">
        <v>449</v>
      </c>
      <c r="B2358" t="s">
        <v>353</v>
      </c>
      <c r="C2358" t="s">
        <v>40</v>
      </c>
      <c r="D2358" t="s">
        <v>354</v>
      </c>
      <c r="E2358">
        <v>11409</v>
      </c>
      <c r="F2358">
        <v>7357</v>
      </c>
      <c r="G2358">
        <v>4000</v>
      </c>
      <c r="H2358">
        <v>264</v>
      </c>
      <c r="I2358">
        <v>829</v>
      </c>
      <c r="J2358">
        <v>604</v>
      </c>
      <c r="K2358" s="1">
        <v>46082</v>
      </c>
      <c r="L2358" t="s">
        <v>446</v>
      </c>
      <c r="M2358" t="s">
        <v>18</v>
      </c>
      <c r="N2358" s="2">
        <f>IFERROR(NHS_A_E[[#This Row],[T1_Over4hrs]]/NHS_A_E[[#This Row],[T1_Attendances]], 0)</f>
        <v>0.35060040319046365</v>
      </c>
      <c r="O2358">
        <f>NHS_A_E[[#This Row],[T1_Attendances]]+NHS_A_E[[#This Row],[Other_Attendances]]</f>
        <v>18766</v>
      </c>
      <c r="P2358">
        <f>MATCH(LEFT(A2358,FIND("-",A2358)-1),{"April","May","June","July","August","September","October","November","December","January","February","March"},0)</f>
        <v>12</v>
      </c>
      <c r="Q2358" s="3">
        <f t="shared" si="72"/>
        <v>5.2940660881760013E-2</v>
      </c>
      <c r="R2358" t="str">
        <f t="shared" si="73"/>
        <v>March</v>
      </c>
    </row>
    <row r="2359" spans="1:18" x14ac:dyDescent="0.35">
      <c r="A2359" t="s">
        <v>449</v>
      </c>
      <c r="B2359" t="s">
        <v>357</v>
      </c>
      <c r="C2359" t="s">
        <v>20</v>
      </c>
      <c r="D2359" t="s">
        <v>358</v>
      </c>
      <c r="E2359">
        <v>6241</v>
      </c>
      <c r="F2359">
        <v>5981</v>
      </c>
      <c r="G2359">
        <v>3250</v>
      </c>
      <c r="H2359">
        <v>553</v>
      </c>
      <c r="I2359">
        <v>539</v>
      </c>
      <c r="J2359">
        <v>436</v>
      </c>
      <c r="K2359" s="1">
        <v>46082</v>
      </c>
      <c r="L2359" t="s">
        <v>446</v>
      </c>
      <c r="M2359" t="s">
        <v>18</v>
      </c>
      <c r="N2359" s="2">
        <f>IFERROR(NHS_A_E[[#This Row],[T1_Over4hrs]]/NHS_A_E[[#This Row],[T1_Attendances]], 0)</f>
        <v>0.52074987982695076</v>
      </c>
      <c r="O2359">
        <f>NHS_A_E[[#This Row],[T1_Attendances]]+NHS_A_E[[#This Row],[Other_Attendances]]</f>
        <v>12222</v>
      </c>
      <c r="P2359">
        <f>MATCH(LEFT(A2359,FIND("-",A2359)-1),{"April","May","June","July","August","September","October","November","December","January","February","March"},0)</f>
        <v>12</v>
      </c>
      <c r="Q2359" s="3">
        <f t="shared" si="72"/>
        <v>6.9860599262938639E-2</v>
      </c>
      <c r="R2359" t="str">
        <f t="shared" si="73"/>
        <v>March</v>
      </c>
    </row>
    <row r="2360" spans="1:18" x14ac:dyDescent="0.35">
      <c r="A2360" t="s">
        <v>449</v>
      </c>
      <c r="B2360" t="s">
        <v>317</v>
      </c>
      <c r="C2360" t="s">
        <v>63</v>
      </c>
      <c r="D2360" t="s">
        <v>318</v>
      </c>
      <c r="E2360">
        <v>7762</v>
      </c>
      <c r="F2360">
        <v>9952</v>
      </c>
      <c r="G2360">
        <v>3524</v>
      </c>
      <c r="H2360">
        <v>414</v>
      </c>
      <c r="I2360">
        <v>305</v>
      </c>
      <c r="J2360">
        <v>6</v>
      </c>
      <c r="K2360" s="1">
        <v>46082</v>
      </c>
      <c r="L2360" t="s">
        <v>446</v>
      </c>
      <c r="M2360" t="s">
        <v>18</v>
      </c>
      <c r="N2360" s="2">
        <f>IFERROR(NHS_A_E[[#This Row],[T1_Over4hrs]]/NHS_A_E[[#This Row],[T1_Attendances]], 0)</f>
        <v>0.45400669930430304</v>
      </c>
      <c r="O2360">
        <f>NHS_A_E[[#This Row],[T1_Attendances]]+NHS_A_E[[#This Row],[Other_Attendances]]</f>
        <v>17714</v>
      </c>
      <c r="P2360">
        <f>MATCH(LEFT(A2360,FIND("-",A2360)-1),{"April","May","June","July","August","September","October","November","December","January","February","March"},0)</f>
        <v>12</v>
      </c>
      <c r="Q2360" s="3">
        <f t="shared" si="72"/>
        <v>7.7299665034784846E-4</v>
      </c>
      <c r="R2360" t="str">
        <f t="shared" si="73"/>
        <v>March</v>
      </c>
    </row>
    <row r="2361" spans="1:18" x14ac:dyDescent="0.35">
      <c r="A2361" t="s">
        <v>449</v>
      </c>
      <c r="B2361" t="s">
        <v>56</v>
      </c>
      <c r="C2361" t="s">
        <v>20</v>
      </c>
      <c r="D2361" t="s">
        <v>57</v>
      </c>
      <c r="E2361">
        <v>4875</v>
      </c>
      <c r="F2361">
        <v>2070</v>
      </c>
      <c r="G2361">
        <v>2214</v>
      </c>
      <c r="H2361">
        <v>0</v>
      </c>
      <c r="I2361">
        <v>417</v>
      </c>
      <c r="J2361">
        <v>147</v>
      </c>
      <c r="K2361" s="1">
        <v>46082</v>
      </c>
      <c r="L2361" t="s">
        <v>446</v>
      </c>
      <c r="M2361" t="s">
        <v>18</v>
      </c>
      <c r="N2361" s="2">
        <f>IFERROR(NHS_A_E[[#This Row],[T1_Over4hrs]]/NHS_A_E[[#This Row],[T1_Attendances]], 0)</f>
        <v>0.45415384615384613</v>
      </c>
      <c r="O2361">
        <f>NHS_A_E[[#This Row],[T1_Attendances]]+NHS_A_E[[#This Row],[Other_Attendances]]</f>
        <v>6945</v>
      </c>
      <c r="P2361">
        <f>MATCH(LEFT(A2361,FIND("-",A2361)-1),{"April","May","June","July","August","September","October","November","December","January","February","March"},0)</f>
        <v>12</v>
      </c>
      <c r="Q2361" s="3">
        <f t="shared" si="72"/>
        <v>3.0153846153846153E-2</v>
      </c>
      <c r="R2361" t="str">
        <f t="shared" si="73"/>
        <v>March</v>
      </c>
    </row>
    <row r="2362" spans="1:18" x14ac:dyDescent="0.35">
      <c r="A2362" t="s">
        <v>449</v>
      </c>
      <c r="B2362" t="s">
        <v>131</v>
      </c>
      <c r="C2362" t="s">
        <v>40</v>
      </c>
      <c r="D2362" t="s">
        <v>132</v>
      </c>
      <c r="E2362">
        <v>20981</v>
      </c>
      <c r="F2362">
        <v>9855</v>
      </c>
      <c r="G2362">
        <v>9279</v>
      </c>
      <c r="H2362">
        <v>3</v>
      </c>
      <c r="I2362">
        <v>1225</v>
      </c>
      <c r="J2362">
        <v>455</v>
      </c>
      <c r="K2362" s="1">
        <v>46082</v>
      </c>
      <c r="L2362" t="s">
        <v>446</v>
      </c>
      <c r="M2362" t="s">
        <v>18</v>
      </c>
      <c r="N2362" s="2">
        <f>IFERROR(NHS_A_E[[#This Row],[T1_Over4hrs]]/NHS_A_E[[#This Row],[T1_Attendances]], 0)</f>
        <v>0.44225728039654927</v>
      </c>
      <c r="O2362">
        <f>NHS_A_E[[#This Row],[T1_Attendances]]+NHS_A_E[[#This Row],[Other_Attendances]]</f>
        <v>30836</v>
      </c>
      <c r="P2362">
        <f>MATCH(LEFT(A2362,FIND("-",A2362)-1),{"April","May","June","July","August","September","October","November","December","January","February","March"},0)</f>
        <v>12</v>
      </c>
      <c r="Q2362" s="3">
        <f t="shared" si="72"/>
        <v>2.168628759353701E-2</v>
      </c>
      <c r="R2362" t="str">
        <f t="shared" si="73"/>
        <v>March</v>
      </c>
    </row>
    <row r="2363" spans="1:18" x14ac:dyDescent="0.35">
      <c r="A2363" t="s">
        <v>449</v>
      </c>
      <c r="B2363" t="s">
        <v>233</v>
      </c>
      <c r="C2363" t="s">
        <v>30</v>
      </c>
      <c r="D2363" t="s">
        <v>234</v>
      </c>
      <c r="E2363">
        <v>5416</v>
      </c>
      <c r="F2363">
        <v>2673</v>
      </c>
      <c r="G2363">
        <v>2759</v>
      </c>
      <c r="H2363">
        <v>397</v>
      </c>
      <c r="I2363">
        <v>288</v>
      </c>
      <c r="J2363">
        <v>778</v>
      </c>
      <c r="K2363" s="1">
        <v>46082</v>
      </c>
      <c r="L2363" t="s">
        <v>446</v>
      </c>
      <c r="M2363" t="s">
        <v>18</v>
      </c>
      <c r="N2363" s="2">
        <f>IFERROR(NHS_A_E[[#This Row],[T1_Over4hrs]]/NHS_A_E[[#This Row],[T1_Attendances]], 0)</f>
        <v>0.50941654357459376</v>
      </c>
      <c r="O2363">
        <f>NHS_A_E[[#This Row],[T1_Attendances]]+NHS_A_E[[#This Row],[Other_Attendances]]</f>
        <v>8089</v>
      </c>
      <c r="P2363">
        <f>MATCH(LEFT(A2363,FIND("-",A2363)-1),{"April","May","June","July","August","September","October","November","December","January","February","March"},0)</f>
        <v>12</v>
      </c>
      <c r="Q2363" s="3">
        <f t="shared" si="72"/>
        <v>0.14364844903988183</v>
      </c>
      <c r="R2363" t="str">
        <f t="shared" si="73"/>
        <v>March</v>
      </c>
    </row>
    <row r="2364" spans="1:18" x14ac:dyDescent="0.35">
      <c r="A2364" t="s">
        <v>449</v>
      </c>
      <c r="B2364" t="s">
        <v>275</v>
      </c>
      <c r="C2364" t="s">
        <v>20</v>
      </c>
      <c r="D2364" t="s">
        <v>276</v>
      </c>
      <c r="E2364">
        <v>0</v>
      </c>
      <c r="F2364">
        <v>8390</v>
      </c>
      <c r="G2364">
        <v>0</v>
      </c>
      <c r="H2364">
        <v>223</v>
      </c>
      <c r="I2364">
        <v>0</v>
      </c>
      <c r="J2364">
        <v>0</v>
      </c>
      <c r="K2364" s="1">
        <v>46082</v>
      </c>
      <c r="L2364" t="s">
        <v>446</v>
      </c>
      <c r="M2364" t="s">
        <v>18</v>
      </c>
      <c r="N2364" s="2">
        <f>IFERROR(NHS_A_E[[#This Row],[T1_Over4hrs]]/NHS_A_E[[#This Row],[T1_Attendances]], 0)</f>
        <v>0</v>
      </c>
      <c r="O2364">
        <f>NHS_A_E[[#This Row],[T1_Attendances]]+NHS_A_E[[#This Row],[Other_Attendances]]</f>
        <v>8390</v>
      </c>
      <c r="P2364">
        <f>MATCH(LEFT(A2364,FIND("-",A2364)-1),{"April","May","June","July","August","September","October","November","December","January","February","March"},0)</f>
        <v>12</v>
      </c>
      <c r="Q2364" s="3">
        <f t="shared" si="72"/>
        <v>0</v>
      </c>
      <c r="R2364" t="str">
        <f t="shared" si="73"/>
        <v>March</v>
      </c>
    </row>
    <row r="2365" spans="1:18" x14ac:dyDescent="0.35">
      <c r="A2365" t="s">
        <v>449</v>
      </c>
      <c r="B2365" t="s">
        <v>219</v>
      </c>
      <c r="C2365" t="s">
        <v>30</v>
      </c>
      <c r="D2365" t="s">
        <v>220</v>
      </c>
      <c r="E2365">
        <v>8736</v>
      </c>
      <c r="F2365">
        <v>2678</v>
      </c>
      <c r="G2365">
        <v>3810</v>
      </c>
      <c r="H2365">
        <v>120</v>
      </c>
      <c r="I2365">
        <v>590</v>
      </c>
      <c r="J2365">
        <v>654</v>
      </c>
      <c r="K2365" s="1">
        <v>46082</v>
      </c>
      <c r="L2365" t="s">
        <v>446</v>
      </c>
      <c r="M2365" t="s">
        <v>18</v>
      </c>
      <c r="N2365" s="2">
        <f>IFERROR(NHS_A_E[[#This Row],[T1_Over4hrs]]/NHS_A_E[[#This Row],[T1_Attendances]], 0)</f>
        <v>0.43612637362637363</v>
      </c>
      <c r="O2365">
        <f>NHS_A_E[[#This Row],[T1_Attendances]]+NHS_A_E[[#This Row],[Other_Attendances]]</f>
        <v>11414</v>
      </c>
      <c r="P2365">
        <f>MATCH(LEFT(A2365,FIND("-",A2365)-1),{"April","May","June","July","August","September","October","November","December","January","February","March"},0)</f>
        <v>12</v>
      </c>
      <c r="Q2365" s="3">
        <f t="shared" si="72"/>
        <v>7.486263736263736E-2</v>
      </c>
      <c r="R2365" t="str">
        <f t="shared" si="73"/>
        <v>March</v>
      </c>
    </row>
    <row r="2366" spans="1:18" x14ac:dyDescent="0.35">
      <c r="A2366" t="s">
        <v>449</v>
      </c>
      <c r="B2366" t="s">
        <v>237</v>
      </c>
      <c r="C2366" t="s">
        <v>30</v>
      </c>
      <c r="D2366" t="s">
        <v>238</v>
      </c>
      <c r="E2366">
        <v>13923</v>
      </c>
      <c r="F2366">
        <v>11422</v>
      </c>
      <c r="G2366">
        <v>4268</v>
      </c>
      <c r="H2366">
        <v>464</v>
      </c>
      <c r="I2366">
        <v>529</v>
      </c>
      <c r="J2366">
        <v>977</v>
      </c>
      <c r="K2366" s="1">
        <v>46082</v>
      </c>
      <c r="L2366" t="s">
        <v>446</v>
      </c>
      <c r="M2366" t="s">
        <v>18</v>
      </c>
      <c r="N2366" s="2">
        <f>IFERROR(NHS_A_E[[#This Row],[T1_Over4hrs]]/NHS_A_E[[#This Row],[T1_Attendances]], 0)</f>
        <v>0.30654313007254186</v>
      </c>
      <c r="O2366">
        <f>NHS_A_E[[#This Row],[T1_Attendances]]+NHS_A_E[[#This Row],[Other_Attendances]]</f>
        <v>25345</v>
      </c>
      <c r="P2366">
        <f>MATCH(LEFT(A2366,FIND("-",A2366)-1),{"April","May","June","July","August","September","October","November","December","January","February","March"},0)</f>
        <v>12</v>
      </c>
      <c r="Q2366" s="3">
        <f t="shared" si="72"/>
        <v>7.0171658406952525E-2</v>
      </c>
      <c r="R2366" t="str">
        <f t="shared" si="73"/>
        <v>March</v>
      </c>
    </row>
    <row r="2367" spans="1:18" x14ac:dyDescent="0.35">
      <c r="A2367" t="s">
        <v>449</v>
      </c>
      <c r="B2367" t="s">
        <v>207</v>
      </c>
      <c r="C2367" t="s">
        <v>15</v>
      </c>
      <c r="D2367" t="s">
        <v>208</v>
      </c>
      <c r="E2367">
        <v>27989</v>
      </c>
      <c r="F2367">
        <v>1826</v>
      </c>
      <c r="G2367">
        <v>11131</v>
      </c>
      <c r="H2367">
        <v>211</v>
      </c>
      <c r="I2367">
        <v>834</v>
      </c>
      <c r="J2367">
        <v>1005</v>
      </c>
      <c r="K2367" s="1">
        <v>46082</v>
      </c>
      <c r="L2367" t="s">
        <v>446</v>
      </c>
      <c r="M2367" t="s">
        <v>18</v>
      </c>
      <c r="N2367" s="2">
        <f>IFERROR(NHS_A_E[[#This Row],[T1_Over4hrs]]/NHS_A_E[[#This Row],[T1_Attendances]], 0)</f>
        <v>0.39769195040908928</v>
      </c>
      <c r="O2367">
        <f>NHS_A_E[[#This Row],[T1_Attendances]]+NHS_A_E[[#This Row],[Other_Attendances]]</f>
        <v>29815</v>
      </c>
      <c r="P2367">
        <f>MATCH(LEFT(A2367,FIND("-",A2367)-1),{"April","May","June","July","August","September","October","November","December","January","February","March"},0)</f>
        <v>12</v>
      </c>
      <c r="Q2367" s="3">
        <f t="shared" si="72"/>
        <v>3.5906963449926756E-2</v>
      </c>
      <c r="R2367" t="str">
        <f t="shared" si="73"/>
        <v>March</v>
      </c>
    </row>
    <row r="2368" spans="1:18" x14ac:dyDescent="0.35">
      <c r="A2368" t="s">
        <v>449</v>
      </c>
      <c r="B2368" t="s">
        <v>281</v>
      </c>
      <c r="C2368" t="s">
        <v>40</v>
      </c>
      <c r="D2368" t="s">
        <v>282</v>
      </c>
      <c r="E2368">
        <v>0</v>
      </c>
      <c r="F2368">
        <v>3836</v>
      </c>
      <c r="G2368">
        <v>0</v>
      </c>
      <c r="H2368">
        <v>0</v>
      </c>
      <c r="I2368">
        <v>0</v>
      </c>
      <c r="J2368">
        <v>0</v>
      </c>
      <c r="K2368" s="1">
        <v>46082</v>
      </c>
      <c r="L2368" t="s">
        <v>446</v>
      </c>
      <c r="M2368" t="s">
        <v>18</v>
      </c>
      <c r="N2368" s="2">
        <f>IFERROR(NHS_A_E[[#This Row],[T1_Over4hrs]]/NHS_A_E[[#This Row],[T1_Attendances]], 0)</f>
        <v>0</v>
      </c>
      <c r="O2368">
        <f>NHS_A_E[[#This Row],[T1_Attendances]]+NHS_A_E[[#This Row],[Other_Attendances]]</f>
        <v>3836</v>
      </c>
      <c r="P2368">
        <f>MATCH(LEFT(A2368,FIND("-",A2368)-1),{"April","May","June","July","August","September","October","November","December","January","February","March"},0)</f>
        <v>12</v>
      </c>
      <c r="Q2368" s="3">
        <f t="shared" si="72"/>
        <v>0</v>
      </c>
      <c r="R2368" t="str">
        <f t="shared" si="73"/>
        <v>March</v>
      </c>
    </row>
    <row r="2369" spans="1:18" x14ac:dyDescent="0.35">
      <c r="A2369" t="s">
        <v>449</v>
      </c>
      <c r="B2369" t="s">
        <v>163</v>
      </c>
      <c r="C2369" t="s">
        <v>35</v>
      </c>
      <c r="D2369" t="s">
        <v>164</v>
      </c>
      <c r="E2369">
        <v>0</v>
      </c>
      <c r="F2369">
        <v>3686</v>
      </c>
      <c r="G2369">
        <v>0</v>
      </c>
      <c r="H2369">
        <v>21</v>
      </c>
      <c r="I2369">
        <v>0</v>
      </c>
      <c r="J2369">
        <v>0</v>
      </c>
      <c r="K2369" s="1">
        <v>46082</v>
      </c>
      <c r="L2369" t="s">
        <v>446</v>
      </c>
      <c r="M2369" t="s">
        <v>18</v>
      </c>
      <c r="N2369" s="2">
        <f>IFERROR(NHS_A_E[[#This Row],[T1_Over4hrs]]/NHS_A_E[[#This Row],[T1_Attendances]], 0)</f>
        <v>0</v>
      </c>
      <c r="O2369">
        <f>NHS_A_E[[#This Row],[T1_Attendances]]+NHS_A_E[[#This Row],[Other_Attendances]]</f>
        <v>3686</v>
      </c>
      <c r="P2369">
        <f>MATCH(LEFT(A2369,FIND("-",A2369)-1),{"April","May","June","July","August","September","October","November","December","January","February","March"},0)</f>
        <v>12</v>
      </c>
      <c r="Q2369" s="3">
        <f t="shared" si="72"/>
        <v>0</v>
      </c>
      <c r="R2369" t="str">
        <f t="shared" si="73"/>
        <v>March</v>
      </c>
    </row>
    <row r="2370" spans="1:18" x14ac:dyDescent="0.35">
      <c r="A2370" t="s">
        <v>449</v>
      </c>
      <c r="B2370" t="s">
        <v>135</v>
      </c>
      <c r="C2370" t="s">
        <v>40</v>
      </c>
      <c r="D2370" t="s">
        <v>136</v>
      </c>
      <c r="E2370">
        <v>0</v>
      </c>
      <c r="F2370">
        <v>5538</v>
      </c>
      <c r="G2370">
        <v>0</v>
      </c>
      <c r="H2370">
        <v>38</v>
      </c>
      <c r="I2370">
        <v>0</v>
      </c>
      <c r="J2370">
        <v>0</v>
      </c>
      <c r="K2370" s="1">
        <v>46082</v>
      </c>
      <c r="L2370" t="s">
        <v>446</v>
      </c>
      <c r="M2370" t="s">
        <v>18</v>
      </c>
      <c r="N2370" s="2">
        <f>IFERROR(NHS_A_E[[#This Row],[T1_Over4hrs]]/NHS_A_E[[#This Row],[T1_Attendances]], 0)</f>
        <v>0</v>
      </c>
      <c r="O2370">
        <f>NHS_A_E[[#This Row],[T1_Attendances]]+NHS_A_E[[#This Row],[Other_Attendances]]</f>
        <v>5538</v>
      </c>
      <c r="P2370">
        <f>MATCH(LEFT(A2370,FIND("-",A2370)-1),{"April","May","June","July","August","September","October","November","December","January","February","March"},0)</f>
        <v>12</v>
      </c>
      <c r="Q2370" s="3">
        <f t="shared" ref="Q2370:Q2386" si="74">IFERROR(J2370/E2370,0)</f>
        <v>0</v>
      </c>
      <c r="R2370" t="str">
        <f t="shared" ref="R2370:R2386" si="75">TEXT(A2370, "mmmm")</f>
        <v>March</v>
      </c>
    </row>
    <row r="2371" spans="1:18" x14ac:dyDescent="0.35">
      <c r="A2371" t="s">
        <v>449</v>
      </c>
      <c r="B2371" t="s">
        <v>137</v>
      </c>
      <c r="C2371" t="s">
        <v>40</v>
      </c>
      <c r="D2371" t="s">
        <v>138</v>
      </c>
      <c r="E2371">
        <v>0</v>
      </c>
      <c r="F2371">
        <v>171</v>
      </c>
      <c r="G2371">
        <v>0</v>
      </c>
      <c r="H2371">
        <v>0</v>
      </c>
      <c r="I2371">
        <v>0</v>
      </c>
      <c r="J2371">
        <v>0</v>
      </c>
      <c r="K2371" s="1">
        <v>46082</v>
      </c>
      <c r="L2371" t="s">
        <v>446</v>
      </c>
      <c r="M2371" t="s">
        <v>18</v>
      </c>
      <c r="N2371" s="2">
        <f>IFERROR(NHS_A_E[[#This Row],[T1_Over4hrs]]/NHS_A_E[[#This Row],[T1_Attendances]], 0)</f>
        <v>0</v>
      </c>
      <c r="O2371">
        <f>NHS_A_E[[#This Row],[T1_Attendances]]+NHS_A_E[[#This Row],[Other_Attendances]]</f>
        <v>171</v>
      </c>
      <c r="P2371">
        <f>MATCH(LEFT(A2371,FIND("-",A2371)-1),{"April","May","June","July","August","September","October","November","December","January","February","March"},0)</f>
        <v>12</v>
      </c>
      <c r="Q2371" s="3">
        <f t="shared" si="74"/>
        <v>0</v>
      </c>
      <c r="R2371" t="str">
        <f t="shared" si="75"/>
        <v>March</v>
      </c>
    </row>
    <row r="2372" spans="1:18" x14ac:dyDescent="0.35">
      <c r="A2372" t="s">
        <v>449</v>
      </c>
      <c r="B2372" t="s">
        <v>450</v>
      </c>
      <c r="C2372" t="s">
        <v>40</v>
      </c>
      <c r="D2372" t="s">
        <v>451</v>
      </c>
      <c r="E2372">
        <v>0</v>
      </c>
      <c r="F2372">
        <v>57</v>
      </c>
      <c r="G2372">
        <v>0</v>
      </c>
      <c r="H2372">
        <v>0</v>
      </c>
      <c r="I2372">
        <v>0</v>
      </c>
      <c r="J2372">
        <v>0</v>
      </c>
      <c r="K2372" s="1">
        <v>46082</v>
      </c>
      <c r="L2372" t="s">
        <v>446</v>
      </c>
      <c r="M2372" t="s">
        <v>18</v>
      </c>
      <c r="N2372" s="2">
        <f>IFERROR(NHS_A_E[[#This Row],[T1_Over4hrs]]/NHS_A_E[[#This Row],[T1_Attendances]], 0)</f>
        <v>0</v>
      </c>
      <c r="O2372">
        <f>NHS_A_E[[#This Row],[T1_Attendances]]+NHS_A_E[[#This Row],[Other_Attendances]]</f>
        <v>57</v>
      </c>
      <c r="P2372">
        <f>MATCH(LEFT(A2372,FIND("-",A2372)-1),{"April","May","June","July","August","September","October","November","December","January","February","March"},0)</f>
        <v>12</v>
      </c>
      <c r="Q2372" s="3">
        <f t="shared" si="74"/>
        <v>0</v>
      </c>
      <c r="R2372" t="str">
        <f t="shared" si="75"/>
        <v>March</v>
      </c>
    </row>
    <row r="2373" spans="1:18" x14ac:dyDescent="0.35">
      <c r="A2373" t="s">
        <v>449</v>
      </c>
      <c r="B2373" t="s">
        <v>452</v>
      </c>
      <c r="C2373" t="s">
        <v>40</v>
      </c>
      <c r="D2373" t="s">
        <v>453</v>
      </c>
      <c r="E2373">
        <v>0</v>
      </c>
      <c r="F2373">
        <v>38</v>
      </c>
      <c r="G2373">
        <v>0</v>
      </c>
      <c r="H2373">
        <v>0</v>
      </c>
      <c r="I2373">
        <v>0</v>
      </c>
      <c r="J2373">
        <v>0</v>
      </c>
      <c r="K2373" s="1">
        <v>46082</v>
      </c>
      <c r="L2373" t="s">
        <v>446</v>
      </c>
      <c r="M2373" t="s">
        <v>18</v>
      </c>
      <c r="N2373" s="2">
        <f>IFERROR(NHS_A_E[[#This Row],[T1_Over4hrs]]/NHS_A_E[[#This Row],[T1_Attendances]], 0)</f>
        <v>0</v>
      </c>
      <c r="O2373">
        <f>NHS_A_E[[#This Row],[T1_Attendances]]+NHS_A_E[[#This Row],[Other_Attendances]]</f>
        <v>38</v>
      </c>
      <c r="P2373">
        <f>MATCH(LEFT(A2373,FIND("-",A2373)-1),{"April","May","June","July","August","September","October","November","December","January","February","March"},0)</f>
        <v>12</v>
      </c>
      <c r="Q2373" s="3">
        <f t="shared" si="74"/>
        <v>0</v>
      </c>
      <c r="R2373" t="str">
        <f t="shared" si="75"/>
        <v>March</v>
      </c>
    </row>
    <row r="2374" spans="1:18" x14ac:dyDescent="0.35">
      <c r="A2374" t="s">
        <v>449</v>
      </c>
      <c r="B2374" t="s">
        <v>139</v>
      </c>
      <c r="C2374" t="s">
        <v>40</v>
      </c>
      <c r="D2374" t="s">
        <v>140</v>
      </c>
      <c r="E2374">
        <v>0</v>
      </c>
      <c r="F2374">
        <v>105</v>
      </c>
      <c r="G2374">
        <v>0</v>
      </c>
      <c r="H2374">
        <v>0</v>
      </c>
      <c r="I2374">
        <v>0</v>
      </c>
      <c r="J2374">
        <v>0</v>
      </c>
      <c r="K2374" s="1">
        <v>46082</v>
      </c>
      <c r="L2374" t="s">
        <v>446</v>
      </c>
      <c r="M2374" t="s">
        <v>18</v>
      </c>
      <c r="N2374" s="2">
        <f>IFERROR(NHS_A_E[[#This Row],[T1_Over4hrs]]/NHS_A_E[[#This Row],[T1_Attendances]], 0)</f>
        <v>0</v>
      </c>
      <c r="O2374">
        <f>NHS_A_E[[#This Row],[T1_Attendances]]+NHS_A_E[[#This Row],[Other_Attendances]]</f>
        <v>105</v>
      </c>
      <c r="P2374">
        <f>MATCH(LEFT(A2374,FIND("-",A2374)-1),{"April","May","June","July","August","September","October","November","December","January","February","March"},0)</f>
        <v>12</v>
      </c>
      <c r="Q2374" s="3">
        <f t="shared" si="74"/>
        <v>0</v>
      </c>
      <c r="R2374" t="str">
        <f t="shared" si="75"/>
        <v>March</v>
      </c>
    </row>
    <row r="2375" spans="1:18" x14ac:dyDescent="0.35">
      <c r="A2375" t="s">
        <v>449</v>
      </c>
      <c r="B2375" t="s">
        <v>141</v>
      </c>
      <c r="C2375" t="s">
        <v>40</v>
      </c>
      <c r="D2375" t="s">
        <v>142</v>
      </c>
      <c r="E2375">
        <v>0</v>
      </c>
      <c r="F2375">
        <v>52</v>
      </c>
      <c r="G2375">
        <v>0</v>
      </c>
      <c r="H2375">
        <v>0</v>
      </c>
      <c r="I2375">
        <v>0</v>
      </c>
      <c r="J2375">
        <v>0</v>
      </c>
      <c r="K2375" s="1">
        <v>46082</v>
      </c>
      <c r="L2375" t="s">
        <v>446</v>
      </c>
      <c r="M2375" t="s">
        <v>18</v>
      </c>
      <c r="N2375" s="2">
        <f>IFERROR(NHS_A_E[[#This Row],[T1_Over4hrs]]/NHS_A_E[[#This Row],[T1_Attendances]], 0)</f>
        <v>0</v>
      </c>
      <c r="O2375">
        <f>NHS_A_E[[#This Row],[T1_Attendances]]+NHS_A_E[[#This Row],[Other_Attendances]]</f>
        <v>52</v>
      </c>
      <c r="P2375">
        <f>MATCH(LEFT(A2375,FIND("-",A2375)-1),{"April","May","June","July","August","September","October","November","December","January","February","March"},0)</f>
        <v>12</v>
      </c>
      <c r="Q2375" s="3">
        <f t="shared" si="74"/>
        <v>0</v>
      </c>
      <c r="R2375" t="str">
        <f t="shared" si="75"/>
        <v>March</v>
      </c>
    </row>
    <row r="2376" spans="1:18" x14ac:dyDescent="0.35">
      <c r="A2376" t="s">
        <v>449</v>
      </c>
      <c r="B2376" t="s">
        <v>143</v>
      </c>
      <c r="C2376" t="s">
        <v>40</v>
      </c>
      <c r="D2376" t="s">
        <v>144</v>
      </c>
      <c r="E2376">
        <v>0</v>
      </c>
      <c r="F2376">
        <v>540</v>
      </c>
      <c r="G2376">
        <v>0</v>
      </c>
      <c r="H2376">
        <v>2</v>
      </c>
      <c r="I2376">
        <v>0</v>
      </c>
      <c r="J2376">
        <v>0</v>
      </c>
      <c r="K2376" s="1">
        <v>46082</v>
      </c>
      <c r="L2376" t="s">
        <v>446</v>
      </c>
      <c r="M2376" t="s">
        <v>18</v>
      </c>
      <c r="N2376" s="2">
        <f>IFERROR(NHS_A_E[[#This Row],[T1_Over4hrs]]/NHS_A_E[[#This Row],[T1_Attendances]], 0)</f>
        <v>0</v>
      </c>
      <c r="O2376">
        <f>NHS_A_E[[#This Row],[T1_Attendances]]+NHS_A_E[[#This Row],[Other_Attendances]]</f>
        <v>540</v>
      </c>
      <c r="P2376">
        <f>MATCH(LEFT(A2376,FIND("-",A2376)-1),{"April","May","June","July","August","September","October","November","December","January","February","March"},0)</f>
        <v>12</v>
      </c>
      <c r="Q2376" s="3">
        <f t="shared" si="74"/>
        <v>0</v>
      </c>
      <c r="R2376" t="str">
        <f t="shared" si="75"/>
        <v>March</v>
      </c>
    </row>
    <row r="2377" spans="1:18" x14ac:dyDescent="0.35">
      <c r="A2377" t="s">
        <v>449</v>
      </c>
      <c r="B2377" t="s">
        <v>145</v>
      </c>
      <c r="C2377" t="s">
        <v>40</v>
      </c>
      <c r="D2377" t="s">
        <v>146</v>
      </c>
      <c r="E2377">
        <v>0</v>
      </c>
      <c r="F2377">
        <v>294</v>
      </c>
      <c r="G2377">
        <v>0</v>
      </c>
      <c r="H2377">
        <v>0</v>
      </c>
      <c r="I2377">
        <v>0</v>
      </c>
      <c r="J2377">
        <v>0</v>
      </c>
      <c r="K2377" s="1">
        <v>46082</v>
      </c>
      <c r="L2377" t="s">
        <v>446</v>
      </c>
      <c r="M2377" t="s">
        <v>18</v>
      </c>
      <c r="N2377" s="2">
        <f>IFERROR(NHS_A_E[[#This Row],[T1_Over4hrs]]/NHS_A_E[[#This Row],[T1_Attendances]], 0)</f>
        <v>0</v>
      </c>
      <c r="O2377">
        <f>NHS_A_E[[#This Row],[T1_Attendances]]+NHS_A_E[[#This Row],[Other_Attendances]]</f>
        <v>294</v>
      </c>
      <c r="P2377">
        <f>MATCH(LEFT(A2377,FIND("-",A2377)-1),{"April","May","June","July","August","September","October","November","December","January","February","March"},0)</f>
        <v>12</v>
      </c>
      <c r="Q2377" s="3">
        <f t="shared" si="74"/>
        <v>0</v>
      </c>
      <c r="R2377" t="str">
        <f t="shared" si="75"/>
        <v>March</v>
      </c>
    </row>
    <row r="2378" spans="1:18" x14ac:dyDescent="0.35">
      <c r="A2378" t="s">
        <v>449</v>
      </c>
      <c r="B2378" t="s">
        <v>147</v>
      </c>
      <c r="C2378" t="s">
        <v>40</v>
      </c>
      <c r="D2378" t="s">
        <v>148</v>
      </c>
      <c r="E2378">
        <v>0</v>
      </c>
      <c r="F2378">
        <v>1999</v>
      </c>
      <c r="G2378">
        <v>0</v>
      </c>
      <c r="H2378">
        <v>0</v>
      </c>
      <c r="I2378">
        <v>0</v>
      </c>
      <c r="J2378">
        <v>0</v>
      </c>
      <c r="K2378" s="1">
        <v>46082</v>
      </c>
      <c r="L2378" t="s">
        <v>446</v>
      </c>
      <c r="M2378" t="s">
        <v>18</v>
      </c>
      <c r="N2378" s="2">
        <f>IFERROR(NHS_A_E[[#This Row],[T1_Over4hrs]]/NHS_A_E[[#This Row],[T1_Attendances]], 0)</f>
        <v>0</v>
      </c>
      <c r="O2378">
        <f>NHS_A_E[[#This Row],[T1_Attendances]]+NHS_A_E[[#This Row],[Other_Attendances]]</f>
        <v>1999</v>
      </c>
      <c r="P2378">
        <f>MATCH(LEFT(A2378,FIND("-",A2378)-1),{"April","May","June","July","August","September","October","November","December","January","February","March"},0)</f>
        <v>12</v>
      </c>
      <c r="Q2378" s="3">
        <f t="shared" si="74"/>
        <v>0</v>
      </c>
      <c r="R2378" t="str">
        <f t="shared" si="75"/>
        <v>March</v>
      </c>
    </row>
    <row r="2379" spans="1:18" x14ac:dyDescent="0.35">
      <c r="A2379" t="s">
        <v>449</v>
      </c>
      <c r="B2379" t="s">
        <v>335</v>
      </c>
      <c r="C2379" t="s">
        <v>63</v>
      </c>
      <c r="D2379" t="s">
        <v>336</v>
      </c>
      <c r="E2379">
        <v>11540</v>
      </c>
      <c r="F2379">
        <v>5982</v>
      </c>
      <c r="G2379">
        <v>4059</v>
      </c>
      <c r="H2379">
        <v>134</v>
      </c>
      <c r="I2379">
        <v>174</v>
      </c>
      <c r="J2379">
        <v>0</v>
      </c>
      <c r="K2379" s="1">
        <v>46082</v>
      </c>
      <c r="L2379" t="s">
        <v>446</v>
      </c>
      <c r="M2379" t="s">
        <v>18</v>
      </c>
      <c r="N2379" s="2">
        <f>IFERROR(NHS_A_E[[#This Row],[T1_Over4hrs]]/NHS_A_E[[#This Row],[T1_Attendances]], 0)</f>
        <v>0.35173310225303295</v>
      </c>
      <c r="O2379">
        <f>NHS_A_E[[#This Row],[T1_Attendances]]+NHS_A_E[[#This Row],[Other_Attendances]]</f>
        <v>17522</v>
      </c>
      <c r="P2379">
        <f>MATCH(LEFT(A2379,FIND("-",A2379)-1),{"April","May","June","July","August","September","October","November","December","January","February","March"},0)</f>
        <v>12</v>
      </c>
      <c r="Q2379" s="3">
        <f t="shared" si="74"/>
        <v>0</v>
      </c>
      <c r="R2379" t="str">
        <f t="shared" si="75"/>
        <v>March</v>
      </c>
    </row>
    <row r="2380" spans="1:18" x14ac:dyDescent="0.35">
      <c r="A2380" t="s">
        <v>449</v>
      </c>
      <c r="B2380" t="s">
        <v>115</v>
      </c>
      <c r="C2380" t="s">
        <v>40</v>
      </c>
      <c r="D2380" t="s">
        <v>116</v>
      </c>
      <c r="E2380">
        <v>0</v>
      </c>
      <c r="F2380">
        <v>3203</v>
      </c>
      <c r="G2380">
        <v>0</v>
      </c>
      <c r="H2380">
        <v>12</v>
      </c>
      <c r="I2380">
        <v>0</v>
      </c>
      <c r="J2380">
        <v>0</v>
      </c>
      <c r="K2380" s="1">
        <v>46082</v>
      </c>
      <c r="L2380" t="s">
        <v>446</v>
      </c>
      <c r="M2380" t="s">
        <v>18</v>
      </c>
      <c r="N2380" s="2">
        <f>IFERROR(NHS_A_E[[#This Row],[T1_Over4hrs]]/NHS_A_E[[#This Row],[T1_Attendances]], 0)</f>
        <v>0</v>
      </c>
      <c r="O2380">
        <f>NHS_A_E[[#This Row],[T1_Attendances]]+NHS_A_E[[#This Row],[Other_Attendances]]</f>
        <v>3203</v>
      </c>
      <c r="P2380">
        <f>MATCH(LEFT(A2380,FIND("-",A2380)-1),{"April","May","June","July","August","September","October","November","December","January","February","March"},0)</f>
        <v>12</v>
      </c>
      <c r="Q2380" s="3">
        <f t="shared" si="74"/>
        <v>0</v>
      </c>
      <c r="R2380" t="str">
        <f t="shared" si="75"/>
        <v>March</v>
      </c>
    </row>
    <row r="2381" spans="1:18" x14ac:dyDescent="0.35">
      <c r="A2381" t="s">
        <v>449</v>
      </c>
      <c r="B2381" t="s">
        <v>229</v>
      </c>
      <c r="C2381" t="s">
        <v>23</v>
      </c>
      <c r="D2381" t="s">
        <v>230</v>
      </c>
      <c r="E2381">
        <v>7041</v>
      </c>
      <c r="F2381">
        <v>2045</v>
      </c>
      <c r="G2381">
        <v>2973</v>
      </c>
      <c r="H2381">
        <v>0</v>
      </c>
      <c r="I2381">
        <v>166</v>
      </c>
      <c r="J2381">
        <v>108</v>
      </c>
      <c r="K2381" s="1">
        <v>46082</v>
      </c>
      <c r="L2381" t="s">
        <v>446</v>
      </c>
      <c r="M2381" t="s">
        <v>18</v>
      </c>
      <c r="N2381" s="2">
        <f>IFERROR(NHS_A_E[[#This Row],[T1_Over4hrs]]/NHS_A_E[[#This Row],[T1_Attendances]], 0)</f>
        <v>0.42224115892628888</v>
      </c>
      <c r="O2381">
        <f>NHS_A_E[[#This Row],[T1_Attendances]]+NHS_A_E[[#This Row],[Other_Attendances]]</f>
        <v>9086</v>
      </c>
      <c r="P2381">
        <f>MATCH(LEFT(A2381,FIND("-",A2381)-1),{"April","May","June","July","August","September","October","November","December","January","February","March"},0)</f>
        <v>12</v>
      </c>
      <c r="Q2381" s="3">
        <f t="shared" si="74"/>
        <v>1.5338730293992331E-2</v>
      </c>
      <c r="R2381" t="str">
        <f t="shared" si="75"/>
        <v>March</v>
      </c>
    </row>
    <row r="2382" spans="1:18" x14ac:dyDescent="0.35">
      <c r="A2382" t="s">
        <v>449</v>
      </c>
      <c r="B2382" t="s">
        <v>27</v>
      </c>
      <c r="C2382" t="s">
        <v>20</v>
      </c>
      <c r="D2382" t="s">
        <v>28</v>
      </c>
      <c r="E2382">
        <v>6938</v>
      </c>
      <c r="F2382">
        <v>12626</v>
      </c>
      <c r="G2382">
        <v>3391</v>
      </c>
      <c r="H2382">
        <v>601</v>
      </c>
      <c r="I2382">
        <v>518</v>
      </c>
      <c r="J2382">
        <v>467</v>
      </c>
      <c r="K2382" s="1">
        <v>46082</v>
      </c>
      <c r="L2382" t="s">
        <v>446</v>
      </c>
      <c r="M2382" t="s">
        <v>18</v>
      </c>
      <c r="N2382" s="2">
        <f>IFERROR(NHS_A_E[[#This Row],[T1_Over4hrs]]/NHS_A_E[[#This Row],[T1_Attendances]], 0)</f>
        <v>0.48875756702219658</v>
      </c>
      <c r="O2382">
        <f>NHS_A_E[[#This Row],[T1_Attendances]]+NHS_A_E[[#This Row],[Other_Attendances]]</f>
        <v>19564</v>
      </c>
      <c r="P2382">
        <f>MATCH(LEFT(A2382,FIND("-",A2382)-1),{"April","May","June","July","August","September","October","November","December","January","February","March"},0)</f>
        <v>12</v>
      </c>
      <c r="Q2382" s="3">
        <f t="shared" si="74"/>
        <v>6.7310464110694732E-2</v>
      </c>
      <c r="R2382" t="str">
        <f t="shared" si="75"/>
        <v>March</v>
      </c>
    </row>
    <row r="2383" spans="1:18" x14ac:dyDescent="0.35">
      <c r="A2383" t="s">
        <v>449</v>
      </c>
      <c r="B2383" t="s">
        <v>393</v>
      </c>
      <c r="C2383" t="s">
        <v>23</v>
      </c>
      <c r="D2383" t="s">
        <v>394</v>
      </c>
      <c r="E2383">
        <v>15848</v>
      </c>
      <c r="F2383">
        <v>5117</v>
      </c>
      <c r="G2383">
        <v>5755</v>
      </c>
      <c r="H2383">
        <v>180</v>
      </c>
      <c r="I2383">
        <v>403</v>
      </c>
      <c r="J2383">
        <v>945</v>
      </c>
      <c r="K2383" s="1">
        <v>46082</v>
      </c>
      <c r="L2383" t="s">
        <v>446</v>
      </c>
      <c r="M2383" t="s">
        <v>18</v>
      </c>
      <c r="N2383" s="2">
        <f>IFERROR(NHS_A_E[[#This Row],[T1_Over4hrs]]/NHS_A_E[[#This Row],[T1_Attendances]], 0)</f>
        <v>0.36313730439172137</v>
      </c>
      <c r="O2383">
        <f>NHS_A_E[[#This Row],[T1_Attendances]]+NHS_A_E[[#This Row],[Other_Attendances]]</f>
        <v>20965</v>
      </c>
      <c r="P2383">
        <f>MATCH(LEFT(A2383,FIND("-",A2383)-1),{"April","May","June","July","August","September","October","November","December","January","February","March"},0)</f>
        <v>12</v>
      </c>
      <c r="Q2383" s="3">
        <f t="shared" si="74"/>
        <v>5.9628975265017668E-2</v>
      </c>
      <c r="R2383" t="str">
        <f t="shared" si="75"/>
        <v>March</v>
      </c>
    </row>
    <row r="2384" spans="1:18" x14ac:dyDescent="0.35">
      <c r="A2384" t="s">
        <v>449</v>
      </c>
      <c r="B2384" t="s">
        <v>273</v>
      </c>
      <c r="C2384" t="s">
        <v>30</v>
      </c>
      <c r="D2384" t="s">
        <v>274</v>
      </c>
      <c r="E2384">
        <v>4365</v>
      </c>
      <c r="F2384">
        <v>0</v>
      </c>
      <c r="G2384">
        <v>2215</v>
      </c>
      <c r="H2384">
        <v>0</v>
      </c>
      <c r="I2384">
        <v>246</v>
      </c>
      <c r="J2384">
        <v>388</v>
      </c>
      <c r="K2384" s="1">
        <v>46082</v>
      </c>
      <c r="L2384" t="s">
        <v>446</v>
      </c>
      <c r="M2384" t="s">
        <v>18</v>
      </c>
      <c r="N2384" s="2">
        <f>IFERROR(NHS_A_E[[#This Row],[T1_Over4hrs]]/NHS_A_E[[#This Row],[T1_Attendances]], 0)</f>
        <v>0.5074455899198167</v>
      </c>
      <c r="O2384">
        <f>NHS_A_E[[#This Row],[T1_Attendances]]+NHS_A_E[[#This Row],[Other_Attendances]]</f>
        <v>4365</v>
      </c>
      <c r="P2384">
        <f>MATCH(LEFT(A2384,FIND("-",A2384)-1),{"April","May","June","July","August","September","October","November","December","January","February","March"},0)</f>
        <v>12</v>
      </c>
      <c r="Q2384" s="3">
        <f t="shared" si="74"/>
        <v>8.8888888888888892E-2</v>
      </c>
      <c r="R2384" t="str">
        <f t="shared" si="75"/>
        <v>March</v>
      </c>
    </row>
    <row r="2385" spans="1:18" x14ac:dyDescent="0.35">
      <c r="A2385" t="s">
        <v>449</v>
      </c>
      <c r="B2385" t="s">
        <v>167</v>
      </c>
      <c r="C2385" t="s">
        <v>30</v>
      </c>
      <c r="D2385" t="s">
        <v>168</v>
      </c>
      <c r="E2385">
        <v>8619</v>
      </c>
      <c r="F2385">
        <v>3561</v>
      </c>
      <c r="G2385">
        <v>3753</v>
      </c>
      <c r="H2385">
        <v>131</v>
      </c>
      <c r="I2385">
        <v>581</v>
      </c>
      <c r="J2385">
        <v>374</v>
      </c>
      <c r="K2385" s="1">
        <v>46082</v>
      </c>
      <c r="L2385" t="s">
        <v>446</v>
      </c>
      <c r="M2385" t="s">
        <v>18</v>
      </c>
      <c r="N2385" s="2">
        <f>IFERROR(NHS_A_E[[#This Row],[T1_Over4hrs]]/NHS_A_E[[#This Row],[T1_Attendances]], 0)</f>
        <v>0.43543334493560737</v>
      </c>
      <c r="O2385">
        <f>NHS_A_E[[#This Row],[T1_Attendances]]+NHS_A_E[[#This Row],[Other_Attendances]]</f>
        <v>12180</v>
      </c>
      <c r="P2385">
        <f>MATCH(LEFT(A2385,FIND("-",A2385)-1),{"April","May","June","July","August","September","October","November","December","January","February","March"},0)</f>
        <v>12</v>
      </c>
      <c r="Q2385" s="3">
        <f t="shared" si="74"/>
        <v>4.3392504930966469E-2</v>
      </c>
      <c r="R2385" t="str">
        <f t="shared" si="75"/>
        <v>March</v>
      </c>
    </row>
    <row r="2386" spans="1:18" x14ac:dyDescent="0.35">
      <c r="A2386" t="s">
        <v>449</v>
      </c>
      <c r="B2386" t="s">
        <v>157</v>
      </c>
      <c r="C2386" t="s">
        <v>40</v>
      </c>
      <c r="D2386" t="s">
        <v>158</v>
      </c>
      <c r="E2386">
        <v>34602</v>
      </c>
      <c r="F2386">
        <v>3203</v>
      </c>
      <c r="G2386">
        <v>13660</v>
      </c>
      <c r="H2386">
        <v>25</v>
      </c>
      <c r="I2386">
        <v>2883</v>
      </c>
      <c r="J2386">
        <v>1511</v>
      </c>
      <c r="K2386" s="1">
        <v>46082</v>
      </c>
      <c r="L2386" t="s">
        <v>446</v>
      </c>
      <c r="M2386" t="s">
        <v>18</v>
      </c>
      <c r="N2386" s="2">
        <f>IFERROR(NHS_A_E[[#This Row],[T1_Over4hrs]]/NHS_A_E[[#This Row],[T1_Attendances]], 0)</f>
        <v>0.39477486850471072</v>
      </c>
      <c r="O2386">
        <f>NHS_A_E[[#This Row],[T1_Attendances]]+NHS_A_E[[#This Row],[Other_Attendances]]</f>
        <v>37805</v>
      </c>
      <c r="P2386">
        <f>MATCH(LEFT(A2386,FIND("-",A2386)-1),{"April","May","June","July","August","September","October","November","December","January","February","March"},0)</f>
        <v>12</v>
      </c>
      <c r="Q2386" s="3">
        <f t="shared" si="74"/>
        <v>4.3667996069591354E-2</v>
      </c>
      <c r="R2386" t="str">
        <f t="shared" si="75"/>
        <v>March</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35110-5EF1-4AF3-8573-56C5AA158D17}">
  <dimension ref="A3:H260"/>
  <sheetViews>
    <sheetView topLeftCell="B41" workbookViewId="0">
      <selection activeCell="B58" sqref="B58"/>
    </sheetView>
  </sheetViews>
  <sheetFormatPr defaultRowHeight="14.5" x14ac:dyDescent="0.35"/>
  <cols>
    <col min="1" max="1" width="14.6328125" bestFit="1" customWidth="1"/>
    <col min="2" max="2" width="72.54296875" bestFit="1" customWidth="1"/>
    <col min="3" max="3" width="20.81640625" bestFit="1" customWidth="1"/>
    <col min="4" max="4" width="17.90625" bestFit="1" customWidth="1"/>
    <col min="5" max="5" width="16.7265625" bestFit="1" customWidth="1"/>
    <col min="6" max="6" width="20.54296875" bestFit="1" customWidth="1"/>
    <col min="7" max="7" width="16.81640625" bestFit="1" customWidth="1"/>
  </cols>
  <sheetData>
    <row r="3" spans="1:7" x14ac:dyDescent="0.35">
      <c r="A3" s="4" t="s">
        <v>457</v>
      </c>
      <c r="B3" t="s">
        <v>467</v>
      </c>
      <c r="C3" t="s">
        <v>468</v>
      </c>
      <c r="D3" t="s">
        <v>462</v>
      </c>
      <c r="E3" t="s">
        <v>469</v>
      </c>
      <c r="F3" t="s">
        <v>461</v>
      </c>
      <c r="G3" t="s">
        <v>490</v>
      </c>
    </row>
    <row r="4" spans="1:7" x14ac:dyDescent="0.35">
      <c r="A4" s="5" t="s">
        <v>13</v>
      </c>
      <c r="B4">
        <v>1354959</v>
      </c>
      <c r="C4">
        <v>805616</v>
      </c>
      <c r="D4">
        <v>2160575</v>
      </c>
      <c r="E4">
        <v>544820</v>
      </c>
      <c r="F4">
        <v>44648</v>
      </c>
      <c r="G4" s="2">
        <v>3.2951550563522586E-2</v>
      </c>
    </row>
    <row r="5" spans="1:7" x14ac:dyDescent="0.35">
      <c r="A5" s="5" t="s">
        <v>419</v>
      </c>
      <c r="B5">
        <v>1419306</v>
      </c>
      <c r="C5">
        <v>839622</v>
      </c>
      <c r="D5">
        <v>2258928</v>
      </c>
      <c r="E5">
        <v>555982</v>
      </c>
      <c r="F5">
        <v>42891</v>
      </c>
      <c r="G5" s="2">
        <v>3.0219698923276587E-2</v>
      </c>
    </row>
    <row r="6" spans="1:7" x14ac:dyDescent="0.35">
      <c r="A6" s="5" t="s">
        <v>426</v>
      </c>
      <c r="B6">
        <v>1395330</v>
      </c>
      <c r="C6">
        <v>821993</v>
      </c>
      <c r="D6">
        <v>2217323</v>
      </c>
      <c r="E6">
        <v>539355</v>
      </c>
      <c r="F6">
        <v>38683</v>
      </c>
      <c r="G6" s="2">
        <v>2.7723190929744217E-2</v>
      </c>
    </row>
    <row r="7" spans="1:7" x14ac:dyDescent="0.35">
      <c r="A7" s="5" t="s">
        <v>428</v>
      </c>
      <c r="B7">
        <v>1433180</v>
      </c>
      <c r="C7">
        <v>834765</v>
      </c>
      <c r="D7">
        <v>2267945</v>
      </c>
      <c r="E7">
        <v>534607</v>
      </c>
      <c r="F7">
        <v>35467</v>
      </c>
      <c r="G7" s="2">
        <v>2.4747065965196276E-2</v>
      </c>
    </row>
    <row r="8" spans="1:7" x14ac:dyDescent="0.35">
      <c r="A8" s="5" t="s">
        <v>433</v>
      </c>
      <c r="B8">
        <v>1351631</v>
      </c>
      <c r="C8">
        <v>782613</v>
      </c>
      <c r="D8">
        <v>2134244</v>
      </c>
      <c r="E8">
        <v>518160</v>
      </c>
      <c r="F8">
        <v>35909</v>
      </c>
      <c r="G8" s="2">
        <v>2.6567162191456099E-2</v>
      </c>
    </row>
    <row r="9" spans="1:7" x14ac:dyDescent="0.35">
      <c r="A9" s="5" t="s">
        <v>434</v>
      </c>
      <c r="B9">
        <v>1385429</v>
      </c>
      <c r="C9">
        <v>791957</v>
      </c>
      <c r="D9">
        <v>2177386</v>
      </c>
      <c r="E9">
        <v>543443</v>
      </c>
      <c r="F9">
        <v>44765</v>
      </c>
      <c r="G9" s="2">
        <v>3.2311291303993205E-2</v>
      </c>
    </row>
    <row r="10" spans="1:7" x14ac:dyDescent="0.35">
      <c r="A10" s="5" t="s">
        <v>438</v>
      </c>
      <c r="B10">
        <v>1449480</v>
      </c>
      <c r="C10">
        <v>810555</v>
      </c>
      <c r="D10">
        <v>2260035</v>
      </c>
      <c r="E10">
        <v>581850</v>
      </c>
      <c r="F10">
        <v>54314</v>
      </c>
      <c r="G10" s="2">
        <v>3.7471369042691174E-2</v>
      </c>
    </row>
    <row r="11" spans="1:7" x14ac:dyDescent="0.35">
      <c r="A11" s="5" t="s">
        <v>442</v>
      </c>
      <c r="B11">
        <v>1418397</v>
      </c>
      <c r="C11">
        <v>794353</v>
      </c>
      <c r="D11">
        <v>2212750</v>
      </c>
      <c r="E11">
        <v>566410</v>
      </c>
      <c r="F11">
        <v>50648</v>
      </c>
      <c r="G11" s="2">
        <v>3.5707915343870578E-2</v>
      </c>
    </row>
    <row r="12" spans="1:7" x14ac:dyDescent="0.35">
      <c r="A12" s="5" t="s">
        <v>443</v>
      </c>
      <c r="B12">
        <v>1407880</v>
      </c>
      <c r="C12">
        <v>785405</v>
      </c>
      <c r="D12">
        <v>2193285</v>
      </c>
      <c r="E12">
        <v>572137</v>
      </c>
      <c r="F12">
        <v>50775</v>
      </c>
      <c r="G12" s="2">
        <v>3.6064863482683181E-2</v>
      </c>
    </row>
    <row r="13" spans="1:7" x14ac:dyDescent="0.35">
      <c r="A13" s="5" t="s">
        <v>445</v>
      </c>
      <c r="B13">
        <v>1405298</v>
      </c>
      <c r="C13">
        <v>780500</v>
      </c>
      <c r="D13">
        <v>2185798</v>
      </c>
      <c r="E13">
        <v>603393</v>
      </c>
      <c r="F13">
        <v>71517</v>
      </c>
      <c r="G13" s="2">
        <v>5.0890985399538034E-2</v>
      </c>
    </row>
    <row r="14" spans="1:7" x14ac:dyDescent="0.35">
      <c r="A14" s="5" t="s">
        <v>448</v>
      </c>
      <c r="B14">
        <v>1271830</v>
      </c>
      <c r="C14">
        <v>723986</v>
      </c>
      <c r="D14">
        <v>1995816</v>
      </c>
      <c r="E14">
        <v>519984</v>
      </c>
      <c r="F14">
        <v>54649</v>
      </c>
      <c r="G14" s="2">
        <v>4.2968792999064337E-2</v>
      </c>
    </row>
    <row r="15" spans="1:7" x14ac:dyDescent="0.35">
      <c r="A15" s="5" t="s">
        <v>449</v>
      </c>
      <c r="B15">
        <v>1450980</v>
      </c>
      <c r="C15">
        <v>845475</v>
      </c>
      <c r="D15">
        <v>2296455</v>
      </c>
      <c r="E15">
        <v>524087</v>
      </c>
      <c r="F15">
        <v>46665</v>
      </c>
      <c r="G15" s="2">
        <v>3.2161022205681677E-2</v>
      </c>
    </row>
    <row r="16" spans="1:7" x14ac:dyDescent="0.35">
      <c r="A16" s="5" t="s">
        <v>458</v>
      </c>
      <c r="B16">
        <v>16743700</v>
      </c>
      <c r="C16">
        <v>9616840</v>
      </c>
      <c r="D16">
        <v>26360540</v>
      </c>
      <c r="E16">
        <v>6604228</v>
      </c>
      <c r="F16">
        <v>570931</v>
      </c>
      <c r="G16" s="2">
        <v>3.4098257852207096E-2</v>
      </c>
    </row>
    <row r="20" spans="1:6" x14ac:dyDescent="0.35">
      <c r="B20" s="4" t="s">
        <v>457</v>
      </c>
      <c r="C20" t="s">
        <v>467</v>
      </c>
      <c r="D20" t="s">
        <v>462</v>
      </c>
      <c r="E20" t="s">
        <v>469</v>
      </c>
      <c r="F20" t="s">
        <v>461</v>
      </c>
    </row>
    <row r="21" spans="1:6" x14ac:dyDescent="0.35">
      <c r="B21" s="5" t="s">
        <v>23</v>
      </c>
      <c r="C21">
        <v>1815322</v>
      </c>
      <c r="D21">
        <v>2752778</v>
      </c>
      <c r="E21">
        <v>682702</v>
      </c>
      <c r="F21">
        <v>45187</v>
      </c>
    </row>
    <row r="22" spans="1:6" x14ac:dyDescent="0.35">
      <c r="B22" s="5" t="s">
        <v>35</v>
      </c>
      <c r="C22">
        <v>2769899</v>
      </c>
      <c r="D22">
        <v>4680331</v>
      </c>
      <c r="E22">
        <v>1037972</v>
      </c>
      <c r="F22">
        <v>104356</v>
      </c>
    </row>
    <row r="23" spans="1:6" x14ac:dyDescent="0.35">
      <c r="B23" s="5" t="s">
        <v>40</v>
      </c>
      <c r="C23">
        <v>3160282</v>
      </c>
      <c r="D23">
        <v>4773763</v>
      </c>
      <c r="E23">
        <v>1315353</v>
      </c>
      <c r="F23">
        <v>146681</v>
      </c>
    </row>
    <row r="24" spans="1:6" x14ac:dyDescent="0.35">
      <c r="B24" s="5" t="s">
        <v>63</v>
      </c>
      <c r="C24">
        <v>2647310</v>
      </c>
      <c r="D24">
        <v>4114044</v>
      </c>
      <c r="E24">
        <v>1004561</v>
      </c>
      <c r="F24">
        <v>43059</v>
      </c>
    </row>
    <row r="25" spans="1:6" x14ac:dyDescent="0.35">
      <c r="B25" s="5" t="s">
        <v>30</v>
      </c>
      <c r="C25">
        <v>2380539</v>
      </c>
      <c r="D25">
        <v>3715077</v>
      </c>
      <c r="E25">
        <v>1014402</v>
      </c>
      <c r="F25">
        <v>119255</v>
      </c>
    </row>
    <row r="26" spans="1:6" x14ac:dyDescent="0.35">
      <c r="B26" s="5" t="s">
        <v>15</v>
      </c>
      <c r="C26">
        <v>2476463</v>
      </c>
      <c r="D26">
        <v>3983255</v>
      </c>
      <c r="E26">
        <v>914635</v>
      </c>
      <c r="F26">
        <v>71919</v>
      </c>
    </row>
    <row r="27" spans="1:6" x14ac:dyDescent="0.35">
      <c r="B27" s="5" t="s">
        <v>20</v>
      </c>
      <c r="C27">
        <v>1493885</v>
      </c>
      <c r="D27">
        <v>2341292</v>
      </c>
      <c r="E27">
        <v>634603</v>
      </c>
      <c r="F27">
        <v>40474</v>
      </c>
    </row>
    <row r="28" spans="1:6" x14ac:dyDescent="0.35">
      <c r="B28" s="5" t="s">
        <v>458</v>
      </c>
      <c r="C28">
        <v>16743700</v>
      </c>
      <c r="D28">
        <v>26360540</v>
      </c>
      <c r="E28">
        <v>6604228</v>
      </c>
      <c r="F28">
        <v>570931</v>
      </c>
    </row>
    <row r="32" spans="1:6" x14ac:dyDescent="0.35">
      <c r="A32" s="4" t="s">
        <v>457</v>
      </c>
      <c r="B32" t="s">
        <v>467</v>
      </c>
      <c r="C32" t="s">
        <v>469</v>
      </c>
      <c r="D32" t="s">
        <v>461</v>
      </c>
    </row>
    <row r="33" spans="1:4" x14ac:dyDescent="0.35">
      <c r="A33" s="5" t="s">
        <v>435</v>
      </c>
      <c r="B33">
        <v>4253306</v>
      </c>
      <c r="C33">
        <v>1691703</v>
      </c>
      <c r="D33">
        <v>149727</v>
      </c>
    </row>
    <row r="34" spans="1:4" x14ac:dyDescent="0.35">
      <c r="A34" s="5" t="s">
        <v>18</v>
      </c>
      <c r="B34">
        <v>4225245</v>
      </c>
      <c r="C34">
        <v>1624889</v>
      </c>
      <c r="D34">
        <v>134204</v>
      </c>
    </row>
    <row r="35" spans="1:4" x14ac:dyDescent="0.35">
      <c r="A35" s="5" t="s">
        <v>427</v>
      </c>
      <c r="B35">
        <v>4180141</v>
      </c>
      <c r="C35">
        <v>1592122</v>
      </c>
      <c r="D35">
        <v>110059</v>
      </c>
    </row>
    <row r="36" spans="1:4" x14ac:dyDescent="0.35">
      <c r="A36" s="5" t="s">
        <v>444</v>
      </c>
      <c r="B36">
        <v>4085008</v>
      </c>
      <c r="C36">
        <v>1695514</v>
      </c>
      <c r="D36">
        <v>176941</v>
      </c>
    </row>
    <row r="37" spans="1:4" x14ac:dyDescent="0.35">
      <c r="A37" s="5" t="s">
        <v>458</v>
      </c>
      <c r="B37">
        <v>16743700</v>
      </c>
      <c r="C37">
        <v>6604228</v>
      </c>
      <c r="D37">
        <v>570931</v>
      </c>
    </row>
    <row r="41" spans="1:4" x14ac:dyDescent="0.35">
      <c r="A41" s="4" t="s">
        <v>457</v>
      </c>
      <c r="B41" t="s">
        <v>467</v>
      </c>
      <c r="C41" t="s">
        <v>469</v>
      </c>
      <c r="D41" t="s">
        <v>473</v>
      </c>
    </row>
    <row r="42" spans="1:4" x14ac:dyDescent="0.35">
      <c r="A42" s="5" t="s">
        <v>17</v>
      </c>
      <c r="B42">
        <v>4169595</v>
      </c>
      <c r="C42">
        <v>1640157</v>
      </c>
      <c r="D42" s="11">
        <v>0.39336122573055654</v>
      </c>
    </row>
    <row r="43" spans="1:4" x14ac:dyDescent="0.35">
      <c r="A43" s="5" t="s">
        <v>429</v>
      </c>
      <c r="B43">
        <v>4170240</v>
      </c>
      <c r="C43">
        <v>1596210</v>
      </c>
      <c r="D43" s="11">
        <v>0.38276214318600366</v>
      </c>
    </row>
    <row r="44" spans="1:4" x14ac:dyDescent="0.35">
      <c r="A44" s="5" t="s">
        <v>439</v>
      </c>
      <c r="B44">
        <v>4275757</v>
      </c>
      <c r="C44">
        <v>1720397</v>
      </c>
      <c r="D44" s="11">
        <v>0.40236079833348809</v>
      </c>
    </row>
    <row r="45" spans="1:4" x14ac:dyDescent="0.35">
      <c r="A45" s="5" t="s">
        <v>446</v>
      </c>
      <c r="B45">
        <v>4128108</v>
      </c>
      <c r="C45">
        <v>1647464</v>
      </c>
      <c r="D45" s="11">
        <v>0.39908452007554068</v>
      </c>
    </row>
    <row r="46" spans="1:4" x14ac:dyDescent="0.35">
      <c r="A46" s="5" t="s">
        <v>458</v>
      </c>
      <c r="B46">
        <v>16743700</v>
      </c>
      <c r="C46">
        <v>6604228</v>
      </c>
      <c r="D46" s="11">
        <v>0.39443062166665671</v>
      </c>
    </row>
    <row r="50" spans="2:8" x14ac:dyDescent="0.35">
      <c r="B50" s="4" t="s">
        <v>457</v>
      </c>
      <c r="C50" t="s">
        <v>467</v>
      </c>
      <c r="D50" t="s">
        <v>469</v>
      </c>
      <c r="E50" t="s">
        <v>494</v>
      </c>
      <c r="G50" s="6" t="s">
        <v>492</v>
      </c>
      <c r="H50" s="6" t="s">
        <v>493</v>
      </c>
    </row>
    <row r="51" spans="2:8" x14ac:dyDescent="0.35">
      <c r="B51" s="5" t="s">
        <v>348</v>
      </c>
      <c r="C51">
        <v>72277</v>
      </c>
      <c r="D51">
        <v>27120</v>
      </c>
      <c r="E51" s="11">
        <v>0.37522310001798637</v>
      </c>
      <c r="G51" s="2">
        <v>2.6650811209439529</v>
      </c>
      <c r="H51">
        <v>72.277000000000001</v>
      </c>
    </row>
    <row r="52" spans="2:8" x14ac:dyDescent="0.35">
      <c r="B52" s="5" t="s">
        <v>344</v>
      </c>
      <c r="C52">
        <v>70785</v>
      </c>
      <c r="D52">
        <v>10471</v>
      </c>
      <c r="E52" s="11">
        <v>0.14792682065409338</v>
      </c>
      <c r="G52" s="2">
        <v>6.760099321936778</v>
      </c>
      <c r="H52">
        <v>70.784999999999997</v>
      </c>
    </row>
    <row r="53" spans="2:8" x14ac:dyDescent="0.35">
      <c r="B53" s="5" t="s">
        <v>122</v>
      </c>
      <c r="C53">
        <v>88158</v>
      </c>
      <c r="D53">
        <v>43396</v>
      </c>
      <c r="E53" s="11">
        <v>0.49225254656412348</v>
      </c>
      <c r="G53" s="2">
        <v>2.0314775555350724</v>
      </c>
      <c r="H53">
        <v>88.158000000000001</v>
      </c>
    </row>
    <row r="54" spans="2:8" x14ac:dyDescent="0.35">
      <c r="B54" s="5" t="s">
        <v>36</v>
      </c>
      <c r="C54">
        <v>161554</v>
      </c>
      <c r="D54">
        <v>73758</v>
      </c>
      <c r="E54" s="11">
        <v>0.45655322678485211</v>
      </c>
      <c r="G54" s="2" t="e">
        <v>#DIV/0!</v>
      </c>
      <c r="H54">
        <v>0</v>
      </c>
    </row>
    <row r="55" spans="2:8" x14ac:dyDescent="0.35">
      <c r="B55" s="5" t="s">
        <v>232</v>
      </c>
      <c r="C55">
        <v>110603</v>
      </c>
      <c r="D55">
        <v>31793</v>
      </c>
      <c r="E55" s="11">
        <v>0.28745151578166955</v>
      </c>
      <c r="G55" s="2" t="e">
        <v>#DIV/0!</v>
      </c>
      <c r="H55">
        <v>0</v>
      </c>
    </row>
    <row r="56" spans="2:8" x14ac:dyDescent="0.35">
      <c r="B56" s="5" t="s">
        <v>210</v>
      </c>
      <c r="C56">
        <v>305760</v>
      </c>
      <c r="D56">
        <v>134677</v>
      </c>
      <c r="E56" s="11">
        <v>0.44046637885923601</v>
      </c>
      <c r="G56" s="2" t="e">
        <v>#DIV/0!</v>
      </c>
      <c r="H56">
        <v>0</v>
      </c>
    </row>
    <row r="57" spans="2:8" x14ac:dyDescent="0.35">
      <c r="B57" s="5" t="s">
        <v>346</v>
      </c>
      <c r="C57">
        <v>201877</v>
      </c>
      <c r="D57">
        <v>76110</v>
      </c>
      <c r="E57" s="11">
        <v>0.37701174477528399</v>
      </c>
      <c r="G57" s="2" t="e">
        <v>#DIV/0!</v>
      </c>
      <c r="H57">
        <v>0</v>
      </c>
    </row>
    <row r="58" spans="2:8" x14ac:dyDescent="0.35">
      <c r="B58" s="5" t="s">
        <v>59</v>
      </c>
      <c r="C58">
        <v>57390</v>
      </c>
      <c r="D58">
        <v>10923</v>
      </c>
      <c r="E58" s="11">
        <v>0.19032932566649241</v>
      </c>
      <c r="G58" s="2">
        <v>2.1903251172754143</v>
      </c>
      <c r="H58">
        <v>161.554</v>
      </c>
    </row>
    <row r="59" spans="2:8" x14ac:dyDescent="0.35">
      <c r="B59" s="5" t="s">
        <v>196</v>
      </c>
      <c r="C59">
        <v>106388</v>
      </c>
      <c r="D59">
        <v>49825</v>
      </c>
      <c r="E59" s="11">
        <v>0.46833289468737077</v>
      </c>
      <c r="G59" s="2">
        <v>3.4788475450570879</v>
      </c>
      <c r="H59">
        <v>110.60299999999999</v>
      </c>
    </row>
    <row r="60" spans="2:8" x14ac:dyDescent="0.35">
      <c r="B60" s="5" t="s">
        <v>168</v>
      </c>
      <c r="C60">
        <v>98344</v>
      </c>
      <c r="D60">
        <v>47735</v>
      </c>
      <c r="E60" s="11">
        <v>0.48538802570568618</v>
      </c>
      <c r="G60" s="2">
        <v>2.2703208417175911</v>
      </c>
      <c r="H60">
        <v>305.76</v>
      </c>
    </row>
    <row r="61" spans="2:8" x14ac:dyDescent="0.35">
      <c r="B61" s="5" t="s">
        <v>86</v>
      </c>
      <c r="C61">
        <v>111776</v>
      </c>
      <c r="D61">
        <v>27482</v>
      </c>
      <c r="E61" s="11">
        <v>0.24586673346693386</v>
      </c>
      <c r="G61" s="2" t="e">
        <v>#DIV/0!</v>
      </c>
      <c r="H61">
        <v>0</v>
      </c>
    </row>
    <row r="62" spans="2:8" x14ac:dyDescent="0.35">
      <c r="B62" s="5" t="s">
        <v>120</v>
      </c>
      <c r="C62">
        <v>120816</v>
      </c>
      <c r="D62">
        <v>41867</v>
      </c>
      <c r="E62" s="11">
        <v>0.34653522712223545</v>
      </c>
      <c r="G62" s="2">
        <v>2.6524372618578371</v>
      </c>
      <c r="H62">
        <v>201.87700000000001</v>
      </c>
    </row>
    <row r="63" spans="2:8" x14ac:dyDescent="0.35">
      <c r="B63" s="5" t="s">
        <v>300</v>
      </c>
      <c r="C63">
        <v>192172</v>
      </c>
      <c r="D63">
        <v>31986</v>
      </c>
      <c r="E63" s="11">
        <v>0.16644464334034095</v>
      </c>
      <c r="G63" s="2" t="e">
        <v>#DIV/0!</v>
      </c>
      <c r="H63">
        <v>0</v>
      </c>
    </row>
    <row r="64" spans="2:8" x14ac:dyDescent="0.35">
      <c r="B64" s="5" t="s">
        <v>214</v>
      </c>
      <c r="C64">
        <v>130671</v>
      </c>
      <c r="D64">
        <v>54957</v>
      </c>
      <c r="E64" s="11">
        <v>0.42057533806276831</v>
      </c>
      <c r="G64" s="2">
        <v>5.254051084866795</v>
      </c>
      <c r="H64">
        <v>57.39</v>
      </c>
    </row>
    <row r="65" spans="2:8" x14ac:dyDescent="0.35">
      <c r="B65" s="5" t="s">
        <v>61</v>
      </c>
      <c r="C65">
        <v>237084</v>
      </c>
      <c r="D65">
        <v>66190</v>
      </c>
      <c r="E65" s="11">
        <v>0.27918374921968586</v>
      </c>
      <c r="G65" s="2">
        <v>2.1352333166081285</v>
      </c>
      <c r="H65">
        <v>106.38800000000001</v>
      </c>
    </row>
    <row r="66" spans="2:8" x14ac:dyDescent="0.35">
      <c r="B66" s="5" t="s">
        <v>160</v>
      </c>
      <c r="C66">
        <v>76171</v>
      </c>
      <c r="D66">
        <v>40146</v>
      </c>
      <c r="E66" s="11">
        <v>0.52705097740609941</v>
      </c>
      <c r="G66" s="2">
        <v>2.0602073949931916</v>
      </c>
      <c r="H66">
        <v>98.343999999999994</v>
      </c>
    </row>
    <row r="67" spans="2:8" x14ac:dyDescent="0.35">
      <c r="B67" s="5" t="s">
        <v>234</v>
      </c>
      <c r="C67">
        <v>64462</v>
      </c>
      <c r="D67">
        <v>32505</v>
      </c>
      <c r="E67" s="11">
        <v>0.50425056622506281</v>
      </c>
      <c r="G67" s="2">
        <v>4.0672440142638822</v>
      </c>
      <c r="H67">
        <v>111.776</v>
      </c>
    </row>
    <row r="68" spans="2:8" x14ac:dyDescent="0.35">
      <c r="B68" s="5" t="s">
        <v>198</v>
      </c>
      <c r="C68">
        <v>154625</v>
      </c>
      <c r="D68">
        <v>62475</v>
      </c>
      <c r="E68" s="11">
        <v>0.40404203718674214</v>
      </c>
      <c r="G68" s="2" t="e">
        <v>#DIV/0!</v>
      </c>
      <c r="H68">
        <v>0</v>
      </c>
    </row>
    <row r="69" spans="2:8" x14ac:dyDescent="0.35">
      <c r="B69" s="5" t="s">
        <v>402</v>
      </c>
      <c r="C69">
        <v>156286</v>
      </c>
      <c r="D69">
        <v>53230</v>
      </c>
      <c r="E69" s="11">
        <v>0.3405935272513213</v>
      </c>
      <c r="G69" s="2" t="e">
        <v>#DIV/0!</v>
      </c>
      <c r="H69">
        <v>0</v>
      </c>
    </row>
    <row r="70" spans="2:8" x14ac:dyDescent="0.35">
      <c r="B70" s="5" t="s">
        <v>51</v>
      </c>
      <c r="C70">
        <v>136640</v>
      </c>
      <c r="D70">
        <v>38124</v>
      </c>
      <c r="E70" s="11">
        <v>0.27901053864168618</v>
      </c>
      <c r="G70" s="2" t="e">
        <v>#DIV/0!</v>
      </c>
      <c r="H70">
        <v>0</v>
      </c>
    </row>
    <row r="71" spans="2:8" x14ac:dyDescent="0.35">
      <c r="B71" s="5" t="s">
        <v>130</v>
      </c>
      <c r="C71">
        <v>166412</v>
      </c>
      <c r="D71">
        <v>59790</v>
      </c>
      <c r="E71" s="11">
        <v>0.35928899358219357</v>
      </c>
      <c r="G71" s="2" t="e">
        <v>#DIV/0!</v>
      </c>
      <c r="H71">
        <v>0</v>
      </c>
    </row>
    <row r="72" spans="2:8" x14ac:dyDescent="0.35">
      <c r="B72" s="5" t="s">
        <v>390</v>
      </c>
      <c r="C72">
        <v>54622</v>
      </c>
      <c r="D72">
        <v>19480</v>
      </c>
      <c r="E72" s="11">
        <v>0.35663285855516091</v>
      </c>
      <c r="G72" s="2">
        <v>2.8857095086822557</v>
      </c>
      <c r="H72">
        <v>120.816</v>
      </c>
    </row>
    <row r="73" spans="2:8" x14ac:dyDescent="0.35">
      <c r="B73" s="5" t="s">
        <v>186</v>
      </c>
      <c r="C73">
        <v>43314</v>
      </c>
      <c r="D73">
        <v>20202</v>
      </c>
      <c r="E73" s="11">
        <v>0.46640808976312509</v>
      </c>
      <c r="G73" s="2">
        <v>6.0080035015319204</v>
      </c>
      <c r="H73">
        <v>192.172</v>
      </c>
    </row>
    <row r="74" spans="2:8" x14ac:dyDescent="0.35">
      <c r="B74" s="5" t="s">
        <v>437</v>
      </c>
      <c r="C74">
        <v>64151</v>
      </c>
      <c r="D74">
        <v>33024</v>
      </c>
      <c r="E74" s="11">
        <v>0.51478542813050454</v>
      </c>
      <c r="G74" s="2">
        <v>2.3776952890441616</v>
      </c>
      <c r="H74">
        <v>130.67099999999999</v>
      </c>
    </row>
    <row r="75" spans="2:8" x14ac:dyDescent="0.35">
      <c r="B75" s="5" t="s">
        <v>274</v>
      </c>
      <c r="C75">
        <v>53202</v>
      </c>
      <c r="D75">
        <v>28236</v>
      </c>
      <c r="E75" s="11">
        <v>0.53073192737115149</v>
      </c>
      <c r="G75" s="2" t="e">
        <v>#DIV/0!</v>
      </c>
      <c r="H75">
        <v>0</v>
      </c>
    </row>
    <row r="76" spans="2:8" x14ac:dyDescent="0.35">
      <c r="B76" s="5" t="s">
        <v>124</v>
      </c>
      <c r="C76">
        <v>155660</v>
      </c>
      <c r="D76">
        <v>71738</v>
      </c>
      <c r="E76" s="11">
        <v>0.46086342027495825</v>
      </c>
      <c r="G76" s="2">
        <v>3.5818703731681523</v>
      </c>
      <c r="H76">
        <v>237.084</v>
      </c>
    </row>
    <row r="77" spans="2:8" x14ac:dyDescent="0.35">
      <c r="B77" s="5" t="s">
        <v>238</v>
      </c>
      <c r="C77">
        <v>163072</v>
      </c>
      <c r="D77">
        <v>55465</v>
      </c>
      <c r="E77" s="11">
        <v>0.34012583398744112</v>
      </c>
      <c r="G77" s="2">
        <v>1.8973496736910278</v>
      </c>
      <c r="H77">
        <v>76.171000000000006</v>
      </c>
    </row>
    <row r="78" spans="2:8" x14ac:dyDescent="0.35">
      <c r="B78" s="5" t="s">
        <v>24</v>
      </c>
      <c r="C78">
        <v>138748</v>
      </c>
      <c r="D78">
        <v>67125</v>
      </c>
      <c r="E78" s="11">
        <v>0.48379075734425003</v>
      </c>
      <c r="G78" s="2" t="e">
        <v>#DIV/0!</v>
      </c>
      <c r="H78">
        <v>0</v>
      </c>
    </row>
    <row r="79" spans="2:8" x14ac:dyDescent="0.35">
      <c r="B79" s="5" t="s">
        <v>192</v>
      </c>
      <c r="C79">
        <v>107317</v>
      </c>
      <c r="D79">
        <v>44124</v>
      </c>
      <c r="E79" s="11">
        <v>0.41115573487891016</v>
      </c>
      <c r="G79" s="2" t="e">
        <v>#DIV/0!</v>
      </c>
      <c r="H79">
        <v>0</v>
      </c>
    </row>
    <row r="80" spans="2:8" x14ac:dyDescent="0.35">
      <c r="B80" s="5" t="s">
        <v>172</v>
      </c>
      <c r="C80">
        <v>132725</v>
      </c>
      <c r="D80">
        <v>41449</v>
      </c>
      <c r="E80" s="11">
        <v>0.31229233377283855</v>
      </c>
      <c r="G80" s="2">
        <v>1.9831410552222735</v>
      </c>
      <c r="H80">
        <v>64.462000000000003</v>
      </c>
    </row>
    <row r="81" spans="2:8" x14ac:dyDescent="0.35">
      <c r="B81" s="5" t="s">
        <v>98</v>
      </c>
      <c r="C81">
        <v>271749</v>
      </c>
      <c r="D81">
        <v>111361</v>
      </c>
      <c r="E81" s="11">
        <v>0.40979359629658252</v>
      </c>
      <c r="G81" s="2">
        <v>2.4749899959983992</v>
      </c>
      <c r="H81">
        <v>154.625</v>
      </c>
    </row>
    <row r="82" spans="2:8" x14ac:dyDescent="0.35">
      <c r="B82" s="5" t="s">
        <v>254</v>
      </c>
      <c r="C82">
        <v>70789</v>
      </c>
      <c r="D82">
        <v>28361</v>
      </c>
      <c r="E82" s="11">
        <v>0.40064134258147455</v>
      </c>
      <c r="G82" s="2" t="e">
        <v>#DIV/0!</v>
      </c>
      <c r="H82">
        <v>0</v>
      </c>
    </row>
    <row r="83" spans="2:8" x14ac:dyDescent="0.35">
      <c r="B83" s="5" t="s">
        <v>49</v>
      </c>
      <c r="C83">
        <v>83605</v>
      </c>
      <c r="D83">
        <v>24160</v>
      </c>
      <c r="E83" s="11">
        <v>0.28897793194186949</v>
      </c>
      <c r="G83" s="2">
        <v>2.9360510990043207</v>
      </c>
      <c r="H83">
        <v>156.286</v>
      </c>
    </row>
    <row r="84" spans="2:8" x14ac:dyDescent="0.35">
      <c r="B84" s="5" t="s">
        <v>70</v>
      </c>
      <c r="C84">
        <v>160541</v>
      </c>
      <c r="D84">
        <v>60767</v>
      </c>
      <c r="E84" s="11">
        <v>0.37851389987604411</v>
      </c>
      <c r="G84" s="2">
        <v>3.5840940090231874</v>
      </c>
      <c r="H84">
        <v>136.63999999999999</v>
      </c>
    </row>
    <row r="85" spans="2:8" x14ac:dyDescent="0.35">
      <c r="B85" s="5" t="s">
        <v>358</v>
      </c>
      <c r="C85">
        <v>71163</v>
      </c>
      <c r="D85">
        <v>36450</v>
      </c>
      <c r="E85" s="11">
        <v>0.51220437586948275</v>
      </c>
      <c r="G85" s="2" t="e">
        <v>#DIV/0!</v>
      </c>
      <c r="H85">
        <v>0</v>
      </c>
    </row>
    <row r="86" spans="2:8" x14ac:dyDescent="0.35">
      <c r="B86" s="5" t="s">
        <v>110</v>
      </c>
      <c r="C86">
        <v>122924</v>
      </c>
      <c r="D86">
        <v>43585</v>
      </c>
      <c r="E86" s="11">
        <v>0.35456867658065144</v>
      </c>
      <c r="G86" s="2" t="e">
        <v>#DIV/0!</v>
      </c>
      <c r="H86">
        <v>0</v>
      </c>
    </row>
    <row r="87" spans="2:8" x14ac:dyDescent="0.35">
      <c r="B87" s="5" t="s">
        <v>218</v>
      </c>
      <c r="C87">
        <v>128090</v>
      </c>
      <c r="D87">
        <v>58353</v>
      </c>
      <c r="E87" s="11">
        <v>0.4555624951206183</v>
      </c>
      <c r="G87" s="2">
        <v>2.78327479511624</v>
      </c>
      <c r="H87">
        <v>166.41200000000001</v>
      </c>
    </row>
    <row r="88" spans="2:8" x14ac:dyDescent="0.35">
      <c r="B88" s="5" t="s">
        <v>292</v>
      </c>
      <c r="C88">
        <v>62153</v>
      </c>
      <c r="D88">
        <v>17853</v>
      </c>
      <c r="E88" s="11">
        <v>0.28724277186941899</v>
      </c>
      <c r="G88" s="2">
        <v>2.8040041067761807</v>
      </c>
      <c r="H88">
        <v>54.622</v>
      </c>
    </row>
    <row r="89" spans="2:8" x14ac:dyDescent="0.35">
      <c r="B89" s="5" t="s">
        <v>236</v>
      </c>
      <c r="C89">
        <v>132768</v>
      </c>
      <c r="D89">
        <v>24250</v>
      </c>
      <c r="E89" s="11">
        <v>0.18264943359845745</v>
      </c>
      <c r="G89" s="2" t="e">
        <v>#DIV/0!</v>
      </c>
      <c r="H89">
        <v>0</v>
      </c>
    </row>
    <row r="90" spans="2:8" x14ac:dyDescent="0.35">
      <c r="B90" s="5" t="s">
        <v>178</v>
      </c>
      <c r="C90">
        <v>116768</v>
      </c>
      <c r="D90">
        <v>64781</v>
      </c>
      <c r="E90" s="11">
        <v>0.55478384488901067</v>
      </c>
      <c r="G90" s="2">
        <v>2.144045144045144</v>
      </c>
      <c r="H90">
        <v>43.314</v>
      </c>
    </row>
    <row r="91" spans="2:8" x14ac:dyDescent="0.35">
      <c r="B91" s="5" t="s">
        <v>206</v>
      </c>
      <c r="C91">
        <v>145309</v>
      </c>
      <c r="D91">
        <v>61011</v>
      </c>
      <c r="E91" s="11">
        <v>0.41987075817740127</v>
      </c>
      <c r="G91" s="2">
        <v>1.9425569282945736</v>
      </c>
      <c r="H91">
        <v>64.150999999999996</v>
      </c>
    </row>
    <row r="92" spans="2:8" x14ac:dyDescent="0.35">
      <c r="B92" s="5" t="s">
        <v>74</v>
      </c>
      <c r="C92">
        <v>50764</v>
      </c>
      <c r="D92">
        <v>19102</v>
      </c>
      <c r="E92" s="11">
        <v>0.37629028445354978</v>
      </c>
      <c r="G92" s="2" t="e">
        <v>#DIV/0!</v>
      </c>
      <c r="H92">
        <v>0</v>
      </c>
    </row>
    <row r="93" spans="2:8" x14ac:dyDescent="0.35">
      <c r="B93" s="5" t="s">
        <v>316</v>
      </c>
      <c r="C93">
        <v>89217</v>
      </c>
      <c r="D93">
        <v>32236</v>
      </c>
      <c r="E93" s="11">
        <v>0.36132127285158661</v>
      </c>
      <c r="G93" s="2">
        <v>1.8841903952401189</v>
      </c>
      <c r="H93">
        <v>53.201999999999998</v>
      </c>
    </row>
    <row r="94" spans="2:8" x14ac:dyDescent="0.35">
      <c r="B94" s="5" t="s">
        <v>362</v>
      </c>
      <c r="C94">
        <v>122553</v>
      </c>
      <c r="D94">
        <v>45586</v>
      </c>
      <c r="E94" s="11">
        <v>0.37196967842484474</v>
      </c>
      <c r="G94" s="2">
        <v>2.1698402520282136</v>
      </c>
      <c r="H94">
        <v>155.66</v>
      </c>
    </row>
    <row r="95" spans="2:8" x14ac:dyDescent="0.35">
      <c r="B95" s="5" t="s">
        <v>416</v>
      </c>
      <c r="C95">
        <v>186678</v>
      </c>
      <c r="D95">
        <v>80622</v>
      </c>
      <c r="E95" s="11">
        <v>0.43187735030373153</v>
      </c>
      <c r="G95" s="2">
        <v>2.9400883440007211</v>
      </c>
      <c r="H95">
        <v>163.072</v>
      </c>
    </row>
    <row r="96" spans="2:8" x14ac:dyDescent="0.35">
      <c r="B96" s="5" t="s">
        <v>252</v>
      </c>
      <c r="C96">
        <v>83358</v>
      </c>
      <c r="D96">
        <v>43876</v>
      </c>
      <c r="E96" s="11">
        <v>0.52635619856522464</v>
      </c>
      <c r="G96" s="2" t="e">
        <v>#DIV/0!</v>
      </c>
      <c r="H96">
        <v>0</v>
      </c>
    </row>
    <row r="97" spans="2:8" x14ac:dyDescent="0.35">
      <c r="B97" s="5" t="s">
        <v>154</v>
      </c>
      <c r="C97">
        <v>144196</v>
      </c>
      <c r="D97">
        <v>53752</v>
      </c>
      <c r="E97" s="11">
        <v>0.37277039585009292</v>
      </c>
      <c r="G97" s="2">
        <v>2.0670093109869647</v>
      </c>
      <c r="H97">
        <v>138.74799999999999</v>
      </c>
    </row>
    <row r="98" spans="2:8" x14ac:dyDescent="0.35">
      <c r="B98" s="5" t="s">
        <v>64</v>
      </c>
      <c r="C98">
        <v>213504</v>
      </c>
      <c r="D98">
        <v>83189</v>
      </c>
      <c r="E98" s="11">
        <v>0.38963672811750599</v>
      </c>
      <c r="G98" s="2">
        <v>2.4321684344121115</v>
      </c>
      <c r="H98">
        <v>107.31699999999999</v>
      </c>
    </row>
    <row r="99" spans="2:8" x14ac:dyDescent="0.35">
      <c r="B99" s="5" t="s">
        <v>38</v>
      </c>
      <c r="C99">
        <v>190385</v>
      </c>
      <c r="D99">
        <v>93973</v>
      </c>
      <c r="E99" s="11">
        <v>0.49359455839483152</v>
      </c>
      <c r="G99" s="2" t="e">
        <v>#DIV/0!</v>
      </c>
      <c r="H99">
        <v>0</v>
      </c>
    </row>
    <row r="100" spans="2:8" x14ac:dyDescent="0.35">
      <c r="B100" s="5" t="s">
        <v>31</v>
      </c>
      <c r="C100">
        <v>192474</v>
      </c>
      <c r="D100">
        <v>95050</v>
      </c>
      <c r="E100" s="11">
        <v>0.49383293327930006</v>
      </c>
      <c r="G100" s="2">
        <v>3.2021279162344087</v>
      </c>
      <c r="H100">
        <v>132.72499999999999</v>
      </c>
    </row>
    <row r="101" spans="2:8" x14ac:dyDescent="0.35">
      <c r="B101" s="5" t="s">
        <v>84</v>
      </c>
      <c r="C101">
        <v>164066</v>
      </c>
      <c r="D101">
        <v>78854</v>
      </c>
      <c r="E101" s="11">
        <v>0.48062365145734032</v>
      </c>
      <c r="G101" s="2" t="e">
        <v>#DIV/0!</v>
      </c>
      <c r="H101">
        <v>0</v>
      </c>
    </row>
    <row r="102" spans="2:8" x14ac:dyDescent="0.35">
      <c r="B102" s="5" t="s">
        <v>410</v>
      </c>
      <c r="C102">
        <v>224932</v>
      </c>
      <c r="D102">
        <v>50115</v>
      </c>
      <c r="E102" s="11">
        <v>0.22280066864652429</v>
      </c>
      <c r="G102" s="2" t="e">
        <v>#DIV/0!</v>
      </c>
      <c r="H102">
        <v>0</v>
      </c>
    </row>
    <row r="103" spans="2:8" x14ac:dyDescent="0.35">
      <c r="B103" s="5" t="s">
        <v>334</v>
      </c>
      <c r="C103">
        <v>309660</v>
      </c>
      <c r="D103">
        <v>124916</v>
      </c>
      <c r="E103" s="11">
        <v>0.40339727443002005</v>
      </c>
      <c r="G103" s="2" t="e">
        <v>#DIV/0!</v>
      </c>
      <c r="H103">
        <v>0</v>
      </c>
    </row>
    <row r="104" spans="2:8" x14ac:dyDescent="0.35">
      <c r="B104" s="5" t="s">
        <v>406</v>
      </c>
      <c r="C104">
        <v>114871</v>
      </c>
      <c r="D104">
        <v>40916</v>
      </c>
      <c r="E104" s="11">
        <v>0.35619085757066621</v>
      </c>
      <c r="G104" s="2">
        <v>2.4402528712924632</v>
      </c>
      <c r="H104">
        <v>271.74900000000002</v>
      </c>
    </row>
    <row r="105" spans="2:8" x14ac:dyDescent="0.35">
      <c r="B105" s="5" t="s">
        <v>92</v>
      </c>
      <c r="C105">
        <v>208546</v>
      </c>
      <c r="D105">
        <v>78969</v>
      </c>
      <c r="E105" s="11">
        <v>0.37866465911597441</v>
      </c>
      <c r="G105" s="2">
        <v>2.4959980254574945</v>
      </c>
      <c r="H105">
        <v>70.789000000000001</v>
      </c>
    </row>
    <row r="106" spans="2:8" x14ac:dyDescent="0.35">
      <c r="B106" s="5" t="s">
        <v>88</v>
      </c>
      <c r="C106">
        <v>343747</v>
      </c>
      <c r="D106">
        <v>118279</v>
      </c>
      <c r="E106" s="11">
        <v>0.34408736658065381</v>
      </c>
      <c r="G106" s="2">
        <v>3.4604718543046356</v>
      </c>
      <c r="H106">
        <v>83.605000000000004</v>
      </c>
    </row>
    <row r="107" spans="2:8" x14ac:dyDescent="0.35">
      <c r="B107" s="5" t="s">
        <v>162</v>
      </c>
      <c r="C107">
        <v>84933</v>
      </c>
      <c r="D107">
        <v>47869</v>
      </c>
      <c r="E107" s="11">
        <v>0.56360896235856495</v>
      </c>
      <c r="G107" s="2" t="e">
        <v>#DIV/0!</v>
      </c>
      <c r="H107">
        <v>0</v>
      </c>
    </row>
    <row r="108" spans="2:8" x14ac:dyDescent="0.35">
      <c r="B108" s="5" t="s">
        <v>378</v>
      </c>
      <c r="C108">
        <v>198544</v>
      </c>
      <c r="D108">
        <v>74289</v>
      </c>
      <c r="E108" s="11">
        <v>0.37416894995567734</v>
      </c>
      <c r="G108" s="2">
        <v>2.6419109055902052</v>
      </c>
      <c r="H108">
        <v>160.541</v>
      </c>
    </row>
    <row r="109" spans="2:8" x14ac:dyDescent="0.35">
      <c r="B109" s="5" t="s">
        <v>96</v>
      </c>
      <c r="C109">
        <v>97109</v>
      </c>
      <c r="D109">
        <v>38798</v>
      </c>
      <c r="E109" s="11">
        <v>0.39953042457444726</v>
      </c>
      <c r="G109" s="2" t="e">
        <v>#DIV/0!</v>
      </c>
      <c r="H109">
        <v>0</v>
      </c>
    </row>
    <row r="110" spans="2:8" x14ac:dyDescent="0.35">
      <c r="B110" s="5" t="s">
        <v>174</v>
      </c>
      <c r="C110">
        <v>152705</v>
      </c>
      <c r="D110">
        <v>46748</v>
      </c>
      <c r="E110" s="11">
        <v>0.306132739595953</v>
      </c>
      <c r="G110" s="2">
        <v>1.9523456790123457</v>
      </c>
      <c r="H110">
        <v>71.162999999999997</v>
      </c>
    </row>
    <row r="111" spans="2:8" x14ac:dyDescent="0.35">
      <c r="B111" s="5" t="s">
        <v>170</v>
      </c>
      <c r="C111">
        <v>110606</v>
      </c>
      <c r="D111">
        <v>40157</v>
      </c>
      <c r="E111" s="11">
        <v>0.36306348661012966</v>
      </c>
      <c r="G111" s="2">
        <v>2.8203280945279339</v>
      </c>
      <c r="H111">
        <v>122.92400000000001</v>
      </c>
    </row>
    <row r="112" spans="2:8" x14ac:dyDescent="0.35">
      <c r="B112" s="5" t="s">
        <v>418</v>
      </c>
      <c r="C112">
        <v>106085</v>
      </c>
      <c r="D112">
        <v>47707</v>
      </c>
      <c r="E112" s="11">
        <v>0.44970542489513127</v>
      </c>
      <c r="G112" s="2" t="e">
        <v>#DIV/0!</v>
      </c>
      <c r="H112">
        <v>0</v>
      </c>
    </row>
    <row r="113" spans="2:8" x14ac:dyDescent="0.35">
      <c r="B113" s="5" t="s">
        <v>176</v>
      </c>
      <c r="C113">
        <v>59209</v>
      </c>
      <c r="D113">
        <v>31552</v>
      </c>
      <c r="E113" s="11">
        <v>0.53289195899272068</v>
      </c>
      <c r="G113" s="2">
        <v>2.1950885130156119</v>
      </c>
      <c r="H113">
        <v>128.09</v>
      </c>
    </row>
    <row r="114" spans="2:8" x14ac:dyDescent="0.35">
      <c r="B114" s="5" t="s">
        <v>394</v>
      </c>
      <c r="C114">
        <v>179535</v>
      </c>
      <c r="D114">
        <v>69736</v>
      </c>
      <c r="E114" s="11">
        <v>0.3884256551647311</v>
      </c>
      <c r="G114" s="2" t="e">
        <v>#DIV/0!</v>
      </c>
      <c r="H114">
        <v>0</v>
      </c>
    </row>
    <row r="115" spans="2:8" x14ac:dyDescent="0.35">
      <c r="B115" s="5" t="s">
        <v>53</v>
      </c>
      <c r="C115">
        <v>125498</v>
      </c>
      <c r="D115">
        <v>50660</v>
      </c>
      <c r="E115" s="11">
        <v>0.40367177166169976</v>
      </c>
      <c r="G115" s="2">
        <v>3.4813756791575647</v>
      </c>
      <c r="H115">
        <v>62.152999999999999</v>
      </c>
    </row>
    <row r="116" spans="2:8" x14ac:dyDescent="0.35">
      <c r="B116" s="5" t="s">
        <v>152</v>
      </c>
      <c r="C116">
        <v>313494</v>
      </c>
      <c r="D116">
        <v>123579</v>
      </c>
      <c r="E116" s="11">
        <v>0.39419893203697676</v>
      </c>
      <c r="G116" s="2" t="e">
        <v>#DIV/0!</v>
      </c>
      <c r="H116">
        <v>0</v>
      </c>
    </row>
    <row r="117" spans="2:8" x14ac:dyDescent="0.35">
      <c r="B117" s="5" t="s">
        <v>352</v>
      </c>
      <c r="C117">
        <v>114803</v>
      </c>
      <c r="D117">
        <v>59705</v>
      </c>
      <c r="E117" s="11">
        <v>0.52006480666881527</v>
      </c>
      <c r="G117" s="2" t="e">
        <v>#DIV/0!</v>
      </c>
      <c r="H117">
        <v>0</v>
      </c>
    </row>
    <row r="118" spans="2:8" x14ac:dyDescent="0.35">
      <c r="B118" s="5" t="s">
        <v>222</v>
      </c>
      <c r="C118">
        <v>123841</v>
      </c>
      <c r="D118">
        <v>30218</v>
      </c>
      <c r="E118" s="11">
        <v>0.24400642759667637</v>
      </c>
      <c r="G118" s="2" t="e">
        <v>#DIV/0!</v>
      </c>
      <c r="H118">
        <v>0</v>
      </c>
    </row>
    <row r="119" spans="2:8" x14ac:dyDescent="0.35">
      <c r="B119" s="5" t="s">
        <v>374</v>
      </c>
      <c r="C119">
        <v>153351</v>
      </c>
      <c r="D119">
        <v>85127</v>
      </c>
      <c r="E119" s="11">
        <v>0.55511212838520774</v>
      </c>
      <c r="G119" s="2" t="e">
        <v>#DIV/0!</v>
      </c>
      <c r="H119">
        <v>0</v>
      </c>
    </row>
    <row r="120" spans="2:8" x14ac:dyDescent="0.35">
      <c r="B120" s="5" t="s">
        <v>224</v>
      </c>
      <c r="C120">
        <v>147484</v>
      </c>
      <c r="D120">
        <v>44933</v>
      </c>
      <c r="E120" s="11">
        <v>0.30466355672479728</v>
      </c>
      <c r="G120" s="2">
        <v>5.4749690721649484</v>
      </c>
      <c r="H120">
        <v>132.768</v>
      </c>
    </row>
    <row r="121" spans="2:8" x14ac:dyDescent="0.35">
      <c r="B121" s="5" t="s">
        <v>150</v>
      </c>
      <c r="C121">
        <v>127358</v>
      </c>
      <c r="D121">
        <v>48836</v>
      </c>
      <c r="E121" s="11">
        <v>0.38345451404701708</v>
      </c>
      <c r="G121" s="2">
        <v>1.8025038205646717</v>
      </c>
      <c r="H121">
        <v>116.768</v>
      </c>
    </row>
    <row r="122" spans="2:8" x14ac:dyDescent="0.35">
      <c r="B122" s="5" t="s">
        <v>156</v>
      </c>
      <c r="C122">
        <v>132716</v>
      </c>
      <c r="D122">
        <v>46822</v>
      </c>
      <c r="E122" s="11">
        <v>0.35279845685523975</v>
      </c>
      <c r="G122" s="2" t="e">
        <v>#DIV/0!</v>
      </c>
      <c r="H122">
        <v>0</v>
      </c>
    </row>
    <row r="123" spans="2:8" x14ac:dyDescent="0.35">
      <c r="B123" s="5" t="s">
        <v>28</v>
      </c>
      <c r="C123">
        <v>82361</v>
      </c>
      <c r="D123">
        <v>40207</v>
      </c>
      <c r="E123" s="11">
        <v>0.48818008523451634</v>
      </c>
      <c r="G123" s="2">
        <v>2.3816852698693678</v>
      </c>
      <c r="H123">
        <v>145.309</v>
      </c>
    </row>
    <row r="124" spans="2:8" x14ac:dyDescent="0.35">
      <c r="B124" s="5" t="s">
        <v>350</v>
      </c>
      <c r="C124">
        <v>153723</v>
      </c>
      <c r="D124">
        <v>64847</v>
      </c>
      <c r="E124" s="11">
        <v>0.42184318546996868</v>
      </c>
      <c r="G124" s="2">
        <v>2.6575227724845565</v>
      </c>
      <c r="H124">
        <v>50.764000000000003</v>
      </c>
    </row>
    <row r="125" spans="2:8" x14ac:dyDescent="0.35">
      <c r="B125" s="5" t="s">
        <v>90</v>
      </c>
      <c r="C125">
        <v>313776</v>
      </c>
      <c r="D125">
        <v>105321</v>
      </c>
      <c r="E125" s="11">
        <v>0.33565664677986845</v>
      </c>
      <c r="G125" s="2">
        <v>2.7676200521156473</v>
      </c>
      <c r="H125">
        <v>89.216999999999999</v>
      </c>
    </row>
    <row r="126" spans="2:8" x14ac:dyDescent="0.35">
      <c r="B126" s="5" t="s">
        <v>118</v>
      </c>
      <c r="C126">
        <v>33220</v>
      </c>
      <c r="D126">
        <v>10178</v>
      </c>
      <c r="E126" s="11">
        <v>0.30638169777242624</v>
      </c>
      <c r="G126" s="2" t="e">
        <v>#DIV/0!</v>
      </c>
      <c r="H126">
        <v>0</v>
      </c>
    </row>
    <row r="127" spans="2:8" x14ac:dyDescent="0.35">
      <c r="B127" s="5" t="s">
        <v>436</v>
      </c>
      <c r="C127">
        <v>47241</v>
      </c>
      <c r="D127">
        <v>16336</v>
      </c>
      <c r="E127" s="11">
        <v>0.34580131665290742</v>
      </c>
      <c r="G127" s="2">
        <v>2.6883911727284691</v>
      </c>
      <c r="H127">
        <v>122.553</v>
      </c>
    </row>
    <row r="128" spans="2:8" x14ac:dyDescent="0.35">
      <c r="B128" s="5" t="s">
        <v>21</v>
      </c>
      <c r="C128">
        <v>107136</v>
      </c>
      <c r="D128">
        <v>44929</v>
      </c>
      <c r="E128" s="11">
        <v>0.41936417264038234</v>
      </c>
      <c r="G128" s="2">
        <v>2.3154722036168787</v>
      </c>
      <c r="H128">
        <v>186.678</v>
      </c>
    </row>
    <row r="129" spans="2:8" x14ac:dyDescent="0.35">
      <c r="B129" s="5" t="s">
        <v>57</v>
      </c>
      <c r="C129">
        <v>56530</v>
      </c>
      <c r="D129">
        <v>23799</v>
      </c>
      <c r="E129" s="11">
        <v>0.42099770033610473</v>
      </c>
      <c r="G129" s="2">
        <v>1.8998541343787037</v>
      </c>
      <c r="H129">
        <v>83.358000000000004</v>
      </c>
    </row>
    <row r="130" spans="2:8" x14ac:dyDescent="0.35">
      <c r="B130" s="5" t="s">
        <v>376</v>
      </c>
      <c r="C130">
        <v>136068</v>
      </c>
      <c r="D130">
        <v>57463</v>
      </c>
      <c r="E130" s="11">
        <v>0.42231090337184352</v>
      </c>
      <c r="G130" s="2">
        <v>2.6826164607828544</v>
      </c>
      <c r="H130">
        <v>144.196</v>
      </c>
    </row>
    <row r="131" spans="2:8" x14ac:dyDescent="0.35">
      <c r="B131" s="5" t="s">
        <v>392</v>
      </c>
      <c r="C131">
        <v>53216</v>
      </c>
      <c r="D131">
        <v>4049</v>
      </c>
      <c r="E131" s="11">
        <v>7.6086139506915215E-2</v>
      </c>
      <c r="G131" s="2" t="e">
        <v>#DIV/0!</v>
      </c>
      <c r="H131">
        <v>0</v>
      </c>
    </row>
    <row r="132" spans="2:8" x14ac:dyDescent="0.35">
      <c r="B132" s="5" t="s">
        <v>108</v>
      </c>
      <c r="C132">
        <v>106838</v>
      </c>
      <c r="D132">
        <v>54302</v>
      </c>
      <c r="E132" s="11">
        <v>0.50826484958535356</v>
      </c>
      <c r="G132" s="2">
        <v>2.5664931661637955</v>
      </c>
      <c r="H132">
        <v>213.50399999999999</v>
      </c>
    </row>
    <row r="133" spans="2:8" x14ac:dyDescent="0.35">
      <c r="B133" s="5" t="s">
        <v>43</v>
      </c>
      <c r="C133">
        <v>131388</v>
      </c>
      <c r="D133">
        <v>50845</v>
      </c>
      <c r="E133" s="11">
        <v>0.38698359058665938</v>
      </c>
      <c r="G133" s="2">
        <v>2.0259542634586531</v>
      </c>
      <c r="H133">
        <v>190.38499999999999</v>
      </c>
    </row>
    <row r="134" spans="2:8" x14ac:dyDescent="0.35">
      <c r="B134" s="5" t="s">
        <v>104</v>
      </c>
      <c r="C134">
        <v>147892</v>
      </c>
      <c r="D134">
        <v>69701</v>
      </c>
      <c r="E134" s="11">
        <v>0.47129662185919452</v>
      </c>
      <c r="G134" s="2" t="e">
        <v>#DIV/0!</v>
      </c>
      <c r="H134">
        <v>0</v>
      </c>
    </row>
    <row r="135" spans="2:8" x14ac:dyDescent="0.35">
      <c r="B135" s="5" t="s">
        <v>318</v>
      </c>
      <c r="C135">
        <v>89015</v>
      </c>
      <c r="D135">
        <v>44573</v>
      </c>
      <c r="E135" s="11">
        <v>0.50073583103971242</v>
      </c>
      <c r="G135" s="2" t="e">
        <v>#DIV/0!</v>
      </c>
      <c r="H135">
        <v>0</v>
      </c>
    </row>
    <row r="136" spans="2:8" x14ac:dyDescent="0.35">
      <c r="B136" s="5" t="s">
        <v>336</v>
      </c>
      <c r="C136">
        <v>134524</v>
      </c>
      <c r="D136">
        <v>63032</v>
      </c>
      <c r="E136" s="11">
        <v>0.46855579673515507</v>
      </c>
      <c r="G136" s="2">
        <v>2.0249763282482904</v>
      </c>
      <c r="H136">
        <v>192.47399999999999</v>
      </c>
    </row>
    <row r="137" spans="2:8" x14ac:dyDescent="0.35">
      <c r="B137" s="5" t="s">
        <v>400</v>
      </c>
      <c r="C137">
        <v>99705</v>
      </c>
      <c r="D137">
        <v>26397</v>
      </c>
      <c r="E137" s="11">
        <v>0.26475101549571234</v>
      </c>
      <c r="G137" s="2" t="e">
        <v>#DIV/0!</v>
      </c>
      <c r="H137">
        <v>0</v>
      </c>
    </row>
    <row r="138" spans="2:8" x14ac:dyDescent="0.35">
      <c r="B138" s="5" t="s">
        <v>216</v>
      </c>
      <c r="C138">
        <v>103814</v>
      </c>
      <c r="D138">
        <v>30807</v>
      </c>
      <c r="E138" s="11">
        <v>0.29675188317567958</v>
      </c>
      <c r="G138" s="2" t="e">
        <v>#DIV/0!</v>
      </c>
      <c r="H138">
        <v>0</v>
      </c>
    </row>
    <row r="139" spans="2:8" x14ac:dyDescent="0.35">
      <c r="B139" s="5" t="s">
        <v>188</v>
      </c>
      <c r="C139">
        <v>95448</v>
      </c>
      <c r="D139">
        <v>38071</v>
      </c>
      <c r="E139" s="11">
        <v>0.39886639845779903</v>
      </c>
      <c r="G139" s="2" t="e">
        <v>#DIV/0!</v>
      </c>
      <c r="H139">
        <v>0</v>
      </c>
    </row>
    <row r="140" spans="2:8" x14ac:dyDescent="0.35">
      <c r="B140" s="5" t="s">
        <v>296</v>
      </c>
      <c r="C140">
        <v>127380</v>
      </c>
      <c r="D140">
        <v>50172</v>
      </c>
      <c r="E140" s="11">
        <v>0.39387658973151202</v>
      </c>
      <c r="G140" s="2">
        <v>2.0806300251096963</v>
      </c>
      <c r="H140">
        <v>164.066</v>
      </c>
    </row>
    <row r="141" spans="2:8" x14ac:dyDescent="0.35">
      <c r="B141" s="5" t="s">
        <v>356</v>
      </c>
      <c r="C141">
        <v>101711</v>
      </c>
      <c r="D141">
        <v>50294</v>
      </c>
      <c r="E141" s="11">
        <v>0.49447945649929703</v>
      </c>
      <c r="G141" s="2" t="e">
        <v>#DIV/0!</v>
      </c>
      <c r="H141">
        <v>0</v>
      </c>
    </row>
    <row r="142" spans="2:8" x14ac:dyDescent="0.35">
      <c r="B142" s="5" t="s">
        <v>360</v>
      </c>
      <c r="C142">
        <v>119003</v>
      </c>
      <c r="D142">
        <v>38496</v>
      </c>
      <c r="E142" s="11">
        <v>0.32348764316865963</v>
      </c>
      <c r="G142" s="2" t="e">
        <v>#DIV/0!</v>
      </c>
      <c r="H142">
        <v>0</v>
      </c>
    </row>
    <row r="143" spans="2:8" x14ac:dyDescent="0.35">
      <c r="B143" s="5" t="s">
        <v>372</v>
      </c>
      <c r="C143">
        <v>66118</v>
      </c>
      <c r="D143">
        <v>30871</v>
      </c>
      <c r="E143" s="11">
        <v>0.4669076499591639</v>
      </c>
      <c r="G143" s="2">
        <v>4.4883168711962487</v>
      </c>
      <c r="H143">
        <v>224.93199999999999</v>
      </c>
    </row>
    <row r="144" spans="2:8" x14ac:dyDescent="0.35">
      <c r="B144" s="5" t="s">
        <v>166</v>
      </c>
      <c r="C144">
        <v>146955</v>
      </c>
      <c r="D144">
        <v>57771</v>
      </c>
      <c r="E144" s="11">
        <v>0.39312034296213128</v>
      </c>
      <c r="G144" s="2">
        <v>2.4789458516122833</v>
      </c>
      <c r="H144">
        <v>309.66000000000003</v>
      </c>
    </row>
    <row r="145" spans="2:8" x14ac:dyDescent="0.35">
      <c r="B145" s="5" t="s">
        <v>324</v>
      </c>
      <c r="C145">
        <v>99401</v>
      </c>
      <c r="D145">
        <v>32430</v>
      </c>
      <c r="E145" s="11">
        <v>0.32625426303558314</v>
      </c>
      <c r="G145" s="2" t="e">
        <v>#DIV/0!</v>
      </c>
      <c r="H145">
        <v>0</v>
      </c>
    </row>
    <row r="146" spans="2:8" x14ac:dyDescent="0.35">
      <c r="B146" s="5" t="s">
        <v>230</v>
      </c>
      <c r="C146">
        <v>79663</v>
      </c>
      <c r="D146">
        <v>35202</v>
      </c>
      <c r="E146" s="11">
        <v>0.4418864466565407</v>
      </c>
      <c r="G146" s="2" t="e">
        <v>#DIV/0!</v>
      </c>
      <c r="H146">
        <v>0</v>
      </c>
    </row>
    <row r="147" spans="2:8" x14ac:dyDescent="0.35">
      <c r="B147" s="5" t="s">
        <v>102</v>
      </c>
      <c r="C147">
        <v>111229</v>
      </c>
      <c r="D147">
        <v>34447</v>
      </c>
      <c r="E147" s="11">
        <v>0.30969441422650568</v>
      </c>
      <c r="G147" s="2">
        <v>2.8074836249877797</v>
      </c>
      <c r="H147">
        <v>114.871</v>
      </c>
    </row>
    <row r="148" spans="2:8" x14ac:dyDescent="0.35">
      <c r="B148" s="5" t="s">
        <v>354</v>
      </c>
      <c r="C148">
        <v>142208</v>
      </c>
      <c r="D148">
        <v>46126</v>
      </c>
      <c r="E148" s="11">
        <v>0.32435587308730873</v>
      </c>
      <c r="G148" s="2" t="e">
        <v>#DIV/0!</v>
      </c>
      <c r="H148">
        <v>0</v>
      </c>
    </row>
    <row r="149" spans="2:8" x14ac:dyDescent="0.35">
      <c r="B149" s="5" t="s">
        <v>200</v>
      </c>
      <c r="C149">
        <v>129655</v>
      </c>
      <c r="D149">
        <v>72004</v>
      </c>
      <c r="E149" s="11">
        <v>0.5553507384983225</v>
      </c>
      <c r="G149" s="2">
        <v>2.6408590712811355</v>
      </c>
      <c r="H149">
        <v>208.54599999999999</v>
      </c>
    </row>
    <row r="150" spans="2:8" x14ac:dyDescent="0.35">
      <c r="B150" s="5" t="s">
        <v>250</v>
      </c>
      <c r="C150">
        <v>79832</v>
      </c>
      <c r="D150">
        <v>35830</v>
      </c>
      <c r="E150" s="11">
        <v>0.448817516785249</v>
      </c>
      <c r="G150" s="2" t="e">
        <v>#DIV/0!</v>
      </c>
      <c r="H150">
        <v>0</v>
      </c>
    </row>
    <row r="151" spans="2:8" x14ac:dyDescent="0.35">
      <c r="B151" s="5" t="s">
        <v>180</v>
      </c>
      <c r="C151">
        <v>204323</v>
      </c>
      <c r="D151">
        <v>81331</v>
      </c>
      <c r="E151" s="11">
        <v>0.39805112493453992</v>
      </c>
      <c r="G151" s="2">
        <v>2.906238639149807</v>
      </c>
      <c r="H151">
        <v>343.74700000000001</v>
      </c>
    </row>
    <row r="152" spans="2:8" x14ac:dyDescent="0.35">
      <c r="B152" s="5" t="s">
        <v>366</v>
      </c>
      <c r="C152">
        <v>159521</v>
      </c>
      <c r="D152">
        <v>44923</v>
      </c>
      <c r="E152" s="11">
        <v>0.28161182540229812</v>
      </c>
      <c r="G152" s="2">
        <v>1.7742798053019699</v>
      </c>
      <c r="H152">
        <v>84.933000000000007</v>
      </c>
    </row>
    <row r="153" spans="2:8" x14ac:dyDescent="0.35">
      <c r="B153" s="5" t="s">
        <v>106</v>
      </c>
      <c r="C153">
        <v>140531</v>
      </c>
      <c r="D153">
        <v>53611</v>
      </c>
      <c r="E153" s="11">
        <v>0.38148878183461299</v>
      </c>
      <c r="G153" s="2">
        <v>2.6725894816190823</v>
      </c>
      <c r="H153">
        <v>198.54400000000001</v>
      </c>
    </row>
    <row r="154" spans="2:8" x14ac:dyDescent="0.35">
      <c r="B154" s="5" t="s">
        <v>158</v>
      </c>
      <c r="C154">
        <v>414623</v>
      </c>
      <c r="D154">
        <v>168412</v>
      </c>
      <c r="E154" s="11">
        <v>0.40618103674904671</v>
      </c>
      <c r="G154" s="2">
        <v>2.5029382957884425</v>
      </c>
      <c r="H154">
        <v>97.108999999999995</v>
      </c>
    </row>
    <row r="155" spans="2:8" x14ac:dyDescent="0.35">
      <c r="B155" s="5" t="s">
        <v>340</v>
      </c>
      <c r="C155">
        <v>188807</v>
      </c>
      <c r="D155">
        <v>67649</v>
      </c>
      <c r="E155" s="11">
        <v>0.3582970970355972</v>
      </c>
      <c r="G155" s="2" t="e">
        <v>#DIV/0!</v>
      </c>
      <c r="H155">
        <v>0</v>
      </c>
    </row>
    <row r="156" spans="2:8" x14ac:dyDescent="0.35">
      <c r="B156" s="5" t="s">
        <v>45</v>
      </c>
      <c r="C156">
        <v>149153</v>
      </c>
      <c r="D156">
        <v>62008</v>
      </c>
      <c r="E156" s="11">
        <v>0.41573417899740533</v>
      </c>
      <c r="G156" s="2" t="e">
        <v>#DIV/0!</v>
      </c>
      <c r="H156">
        <v>0</v>
      </c>
    </row>
    <row r="157" spans="2:8" x14ac:dyDescent="0.35">
      <c r="B157" s="5" t="s">
        <v>338</v>
      </c>
      <c r="C157">
        <v>173162</v>
      </c>
      <c r="D157">
        <v>71994</v>
      </c>
      <c r="E157" s="11">
        <v>0.41576096372183274</v>
      </c>
      <c r="G157" s="2" t="e">
        <v>#DIV/0!</v>
      </c>
      <c r="H157">
        <v>0</v>
      </c>
    </row>
    <row r="158" spans="2:8" x14ac:dyDescent="0.35">
      <c r="B158" s="5" t="s">
        <v>132</v>
      </c>
      <c r="C158">
        <v>225634</v>
      </c>
      <c r="D158">
        <v>107355</v>
      </c>
      <c r="E158" s="11">
        <v>0.47579265536222376</v>
      </c>
      <c r="G158" s="2" t="e">
        <v>#DIV/0!</v>
      </c>
      <c r="H158">
        <v>0</v>
      </c>
    </row>
    <row r="159" spans="2:8" x14ac:dyDescent="0.35">
      <c r="B159" s="5" t="s">
        <v>182</v>
      </c>
      <c r="C159">
        <v>264994</v>
      </c>
      <c r="D159">
        <v>105620</v>
      </c>
      <c r="E159" s="11">
        <v>0.39857506207687721</v>
      </c>
      <c r="G159" s="2">
        <v>3.2665568580474029</v>
      </c>
      <c r="H159">
        <v>152.70500000000001</v>
      </c>
    </row>
    <row r="160" spans="2:8" x14ac:dyDescent="0.35">
      <c r="B160" s="5" t="s">
        <v>220</v>
      </c>
      <c r="C160">
        <v>108549</v>
      </c>
      <c r="D160">
        <v>42912</v>
      </c>
      <c r="E160" s="11">
        <v>0.39532377083160603</v>
      </c>
      <c r="G160" s="2">
        <v>2.7543392185671238</v>
      </c>
      <c r="H160">
        <v>110.60599999999999</v>
      </c>
    </row>
    <row r="161" spans="2:8" x14ac:dyDescent="0.35">
      <c r="B161" s="5" t="s">
        <v>41</v>
      </c>
      <c r="C161">
        <v>174149</v>
      </c>
      <c r="D161">
        <v>91608</v>
      </c>
      <c r="E161" s="11">
        <v>0.52603230566928316</v>
      </c>
      <c r="G161" s="2">
        <v>2.2236778669796884</v>
      </c>
      <c r="H161">
        <v>106.08499999999999</v>
      </c>
    </row>
    <row r="162" spans="2:8" x14ac:dyDescent="0.35">
      <c r="B162" s="5" t="s">
        <v>414</v>
      </c>
      <c r="C162">
        <v>107510</v>
      </c>
      <c r="D162">
        <v>58793</v>
      </c>
      <c r="E162" s="11">
        <v>0.54686075713887083</v>
      </c>
      <c r="G162" s="2" t="e">
        <v>#DIV/0!</v>
      </c>
      <c r="H162">
        <v>0</v>
      </c>
    </row>
    <row r="163" spans="2:8" x14ac:dyDescent="0.35">
      <c r="B163" s="5" t="s">
        <v>208</v>
      </c>
      <c r="C163">
        <v>321536</v>
      </c>
      <c r="D163">
        <v>124651</v>
      </c>
      <c r="E163" s="11">
        <v>0.38767354199840764</v>
      </c>
      <c r="G163" s="2">
        <v>1.8765529918864097</v>
      </c>
      <c r="H163">
        <v>59.209000000000003</v>
      </c>
    </row>
    <row r="164" spans="2:8" x14ac:dyDescent="0.35">
      <c r="B164" s="5" t="s">
        <v>342</v>
      </c>
      <c r="C164">
        <v>114286</v>
      </c>
      <c r="D164">
        <v>38399</v>
      </c>
      <c r="E164" s="11">
        <v>0.33599041002397495</v>
      </c>
      <c r="G164" s="2">
        <v>2.5744952391877938</v>
      </c>
      <c r="H164">
        <v>179.535</v>
      </c>
    </row>
    <row r="165" spans="2:8" x14ac:dyDescent="0.35">
      <c r="B165" s="5" t="s">
        <v>190</v>
      </c>
      <c r="C165">
        <v>82707</v>
      </c>
      <c r="D165">
        <v>42544</v>
      </c>
      <c r="E165" s="11">
        <v>0.51439418670729198</v>
      </c>
      <c r="G165" s="2">
        <v>2.4772601658112912</v>
      </c>
      <c r="H165">
        <v>125.498</v>
      </c>
    </row>
    <row r="166" spans="2:8" x14ac:dyDescent="0.35">
      <c r="B166" s="5" t="s">
        <v>184</v>
      </c>
      <c r="C166">
        <v>100615</v>
      </c>
      <c r="D166">
        <v>29834</v>
      </c>
      <c r="E166" s="11">
        <v>0.29651642399244643</v>
      </c>
      <c r="G166" s="2">
        <v>2.5367902313499866</v>
      </c>
      <c r="H166">
        <v>313.49400000000003</v>
      </c>
    </row>
    <row r="167" spans="2:8" x14ac:dyDescent="0.35">
      <c r="B167" s="5" t="s">
        <v>396</v>
      </c>
      <c r="C167">
        <v>94569</v>
      </c>
      <c r="D167">
        <v>28021</v>
      </c>
      <c r="E167" s="11">
        <v>0.29630217090166966</v>
      </c>
      <c r="G167" s="2">
        <v>1.9228372833096055</v>
      </c>
      <c r="H167">
        <v>114.803</v>
      </c>
    </row>
    <row r="168" spans="2:8" x14ac:dyDescent="0.35">
      <c r="B168" s="5" t="s">
        <v>412</v>
      </c>
      <c r="C168">
        <v>107773</v>
      </c>
      <c r="D168">
        <v>30575</v>
      </c>
      <c r="E168" s="11">
        <v>0.2836981433197554</v>
      </c>
      <c r="G168" s="2">
        <v>4.0982526970679727</v>
      </c>
      <c r="H168">
        <v>123.84099999999999</v>
      </c>
    </row>
    <row r="169" spans="2:8" x14ac:dyDescent="0.35">
      <c r="B169" s="5" t="s">
        <v>212</v>
      </c>
      <c r="C169">
        <v>94474</v>
      </c>
      <c r="D169">
        <v>50771</v>
      </c>
      <c r="E169" s="11">
        <v>0.53740711730211488</v>
      </c>
      <c r="G169" s="2" t="e">
        <v>#DIV/0!</v>
      </c>
      <c r="H169">
        <v>0</v>
      </c>
    </row>
    <row r="170" spans="2:8" x14ac:dyDescent="0.35">
      <c r="B170" s="5" t="s">
        <v>364</v>
      </c>
      <c r="C170">
        <v>165200</v>
      </c>
      <c r="D170">
        <v>82519</v>
      </c>
      <c r="E170" s="11">
        <v>0.4995096852300242</v>
      </c>
      <c r="G170" s="2">
        <v>1.8014378516804304</v>
      </c>
      <c r="H170">
        <v>153.351</v>
      </c>
    </row>
    <row r="171" spans="2:8" x14ac:dyDescent="0.35">
      <c r="B171" s="5" t="s">
        <v>66</v>
      </c>
      <c r="C171">
        <v>67550</v>
      </c>
      <c r="D171">
        <v>30653</v>
      </c>
      <c r="E171" s="11">
        <v>0.45378238341968913</v>
      </c>
      <c r="G171" s="2" t="e">
        <v>#DIV/0!</v>
      </c>
      <c r="H171">
        <v>0</v>
      </c>
    </row>
    <row r="172" spans="2:8" x14ac:dyDescent="0.35">
      <c r="B172" s="5" t="s">
        <v>447</v>
      </c>
      <c r="C172">
        <v>20544</v>
      </c>
      <c r="D172">
        <v>10785</v>
      </c>
      <c r="E172" s="11">
        <v>0.52497079439252337</v>
      </c>
      <c r="G172" s="2" t="e">
        <v>#DIV/0!</v>
      </c>
      <c r="H172">
        <v>0</v>
      </c>
    </row>
    <row r="173" spans="2:8" x14ac:dyDescent="0.35">
      <c r="B173" s="5" t="s">
        <v>270</v>
      </c>
      <c r="C173">
        <v>71325</v>
      </c>
      <c r="D173">
        <v>30168</v>
      </c>
      <c r="E173" s="11">
        <v>0.42296529968454261</v>
      </c>
      <c r="G173" s="2" t="e">
        <v>#DIV/0!</v>
      </c>
      <c r="H173">
        <v>0</v>
      </c>
    </row>
    <row r="174" spans="2:8" x14ac:dyDescent="0.35">
      <c r="B174" s="5" t="s">
        <v>94</v>
      </c>
      <c r="C174">
        <v>131972</v>
      </c>
      <c r="D174">
        <v>68086</v>
      </c>
      <c r="E174" s="11">
        <v>0.51591246628072618</v>
      </c>
      <c r="G174" s="2" t="e">
        <v>#DIV/0!</v>
      </c>
      <c r="H174">
        <v>0</v>
      </c>
    </row>
    <row r="175" spans="2:8" x14ac:dyDescent="0.35">
      <c r="B175" s="5" t="s">
        <v>458</v>
      </c>
      <c r="C175">
        <v>16743700</v>
      </c>
      <c r="D175">
        <v>6604228</v>
      </c>
      <c r="E175" s="11">
        <v>0.39443062166665671</v>
      </c>
      <c r="G175" s="2">
        <v>3.2823092159437386</v>
      </c>
      <c r="H175">
        <v>147.48400000000001</v>
      </c>
    </row>
    <row r="176" spans="2:8" x14ac:dyDescent="0.35">
      <c r="G176" s="2" t="e">
        <v>#DIV/0!</v>
      </c>
      <c r="H176">
        <v>0</v>
      </c>
    </row>
    <row r="177" spans="7:8" x14ac:dyDescent="0.35">
      <c r="G177" s="2" t="e">
        <v>#DIV/0!</v>
      </c>
      <c r="H177">
        <v>0</v>
      </c>
    </row>
    <row r="178" spans="7:8" x14ac:dyDescent="0.35">
      <c r="G178" s="2">
        <v>2.6078712425260053</v>
      </c>
      <c r="H178">
        <v>127.358</v>
      </c>
    </row>
    <row r="179" spans="7:8" x14ac:dyDescent="0.35">
      <c r="G179" s="2" t="e">
        <v>#DIV/0!</v>
      </c>
      <c r="H179">
        <v>0</v>
      </c>
    </row>
    <row r="180" spans="7:8" x14ac:dyDescent="0.35">
      <c r="G180" s="2" t="e">
        <v>#DIV/0!</v>
      </c>
      <c r="H180">
        <v>0</v>
      </c>
    </row>
    <row r="181" spans="7:8" x14ac:dyDescent="0.35">
      <c r="G181" s="2" t="e">
        <v>#DIV/0!</v>
      </c>
      <c r="H181">
        <v>0</v>
      </c>
    </row>
    <row r="182" spans="7:8" x14ac:dyDescent="0.35">
      <c r="G182" s="2" t="e">
        <v>#DIV/0!</v>
      </c>
      <c r="H182">
        <v>0</v>
      </c>
    </row>
    <row r="183" spans="7:8" x14ac:dyDescent="0.35">
      <c r="G183" s="2" t="e">
        <v>#DIV/0!</v>
      </c>
      <c r="H183">
        <v>0</v>
      </c>
    </row>
    <row r="184" spans="7:8" x14ac:dyDescent="0.35">
      <c r="G184" s="2" t="e">
        <v>#DIV/0!</v>
      </c>
      <c r="H184">
        <v>0</v>
      </c>
    </row>
    <row r="185" spans="7:8" x14ac:dyDescent="0.35">
      <c r="G185" s="2">
        <v>2.8344795181752169</v>
      </c>
      <c r="H185">
        <v>132.71600000000001</v>
      </c>
    </row>
    <row r="186" spans="7:8" x14ac:dyDescent="0.35">
      <c r="G186" s="2">
        <v>2.0484244037107966</v>
      </c>
      <c r="H186">
        <v>82.361000000000004</v>
      </c>
    </row>
    <row r="187" spans="7:8" x14ac:dyDescent="0.35">
      <c r="G187" s="2">
        <v>2.3705491387419619</v>
      </c>
      <c r="H187">
        <v>153.72300000000001</v>
      </c>
    </row>
    <row r="188" spans="7:8" x14ac:dyDescent="0.35">
      <c r="G188" s="2">
        <v>2.9792349104167259</v>
      </c>
      <c r="H188">
        <v>313.77600000000001</v>
      </c>
    </row>
    <row r="189" spans="7:8" x14ac:dyDescent="0.35">
      <c r="G189" s="2" t="e">
        <v>#DIV/0!</v>
      </c>
      <c r="H189">
        <v>0</v>
      </c>
    </row>
    <row r="190" spans="7:8" x14ac:dyDescent="0.35">
      <c r="G190" s="2">
        <v>3.2639025348791511</v>
      </c>
      <c r="H190">
        <v>33.22</v>
      </c>
    </row>
    <row r="191" spans="7:8" x14ac:dyDescent="0.35">
      <c r="G191" s="2">
        <v>2.8918339862879532</v>
      </c>
      <c r="H191">
        <v>47.241</v>
      </c>
    </row>
    <row r="192" spans="7:8" x14ac:dyDescent="0.35">
      <c r="G192" s="2">
        <v>2.3845623094215318</v>
      </c>
      <c r="H192">
        <v>107.136</v>
      </c>
    </row>
    <row r="193" spans="7:8" x14ac:dyDescent="0.35">
      <c r="G193" s="2">
        <v>2.3753098869700406</v>
      </c>
      <c r="H193">
        <v>56.53</v>
      </c>
    </row>
    <row r="194" spans="7:8" x14ac:dyDescent="0.35">
      <c r="G194" s="2">
        <v>2.3679237074291284</v>
      </c>
      <c r="H194">
        <v>136.06800000000001</v>
      </c>
    </row>
    <row r="195" spans="7:8" x14ac:dyDescent="0.35">
      <c r="G195" s="2">
        <v>13.142998271178069</v>
      </c>
      <c r="H195">
        <v>53.216000000000001</v>
      </c>
    </row>
    <row r="196" spans="7:8" x14ac:dyDescent="0.35">
      <c r="G196" s="2">
        <v>1.9674781775993517</v>
      </c>
      <c r="H196">
        <v>106.83799999999999</v>
      </c>
    </row>
    <row r="197" spans="7:8" x14ac:dyDescent="0.35">
      <c r="G197" s="2">
        <v>2.584088897630052</v>
      </c>
      <c r="H197">
        <v>131.38800000000001</v>
      </c>
    </row>
    <row r="198" spans="7:8" x14ac:dyDescent="0.35">
      <c r="G198" s="2" t="e">
        <v>#DIV/0!</v>
      </c>
      <c r="H198">
        <v>0</v>
      </c>
    </row>
    <row r="199" spans="7:8" x14ac:dyDescent="0.35">
      <c r="G199" s="2" t="e">
        <v>#DIV/0!</v>
      </c>
      <c r="H199">
        <v>0</v>
      </c>
    </row>
    <row r="200" spans="7:8" x14ac:dyDescent="0.35">
      <c r="G200" s="2" t="e">
        <v>#DIV/0!</v>
      </c>
      <c r="H200">
        <v>0</v>
      </c>
    </row>
    <row r="201" spans="7:8" x14ac:dyDescent="0.35">
      <c r="G201" s="2" t="e">
        <v>#DIV/0!</v>
      </c>
      <c r="H201">
        <v>0</v>
      </c>
    </row>
    <row r="202" spans="7:8" x14ac:dyDescent="0.35">
      <c r="G202" s="2">
        <v>2.1218059999139181</v>
      </c>
      <c r="H202">
        <v>147.892</v>
      </c>
    </row>
    <row r="203" spans="7:8" x14ac:dyDescent="0.35">
      <c r="G203" s="2" t="e">
        <v>#DIV/0!</v>
      </c>
      <c r="H203">
        <v>0</v>
      </c>
    </row>
    <row r="204" spans="7:8" x14ac:dyDescent="0.35">
      <c r="G204" s="2">
        <v>1.9970610010544501</v>
      </c>
      <c r="H204">
        <v>89.015000000000001</v>
      </c>
    </row>
    <row r="205" spans="7:8" x14ac:dyDescent="0.35">
      <c r="G205" s="2">
        <v>2.1342175402969921</v>
      </c>
      <c r="H205">
        <v>134.524</v>
      </c>
    </row>
    <row r="206" spans="7:8" x14ac:dyDescent="0.35">
      <c r="G206" s="2">
        <v>3.777133765200591</v>
      </c>
      <c r="H206">
        <v>99.704999999999998</v>
      </c>
    </row>
    <row r="207" spans="7:8" x14ac:dyDescent="0.35">
      <c r="G207" s="2" t="e">
        <v>#DIV/0!</v>
      </c>
      <c r="H207">
        <v>0</v>
      </c>
    </row>
    <row r="208" spans="7:8" x14ac:dyDescent="0.35">
      <c r="G208" s="2" t="e">
        <v>#DIV/0!</v>
      </c>
      <c r="H208">
        <v>0</v>
      </c>
    </row>
    <row r="209" spans="7:8" x14ac:dyDescent="0.35">
      <c r="G209" s="2">
        <v>3.3698185477326583</v>
      </c>
      <c r="H209">
        <v>103.81399999999999</v>
      </c>
    </row>
    <row r="210" spans="7:8" x14ac:dyDescent="0.35">
      <c r="G210" s="2" t="e">
        <v>#DIV/0!</v>
      </c>
      <c r="H210">
        <v>0</v>
      </c>
    </row>
    <row r="211" spans="7:8" x14ac:dyDescent="0.35">
      <c r="G211" s="2">
        <v>2.5071051456489193</v>
      </c>
      <c r="H211">
        <v>95.447999999999993</v>
      </c>
    </row>
    <row r="212" spans="7:8" x14ac:dyDescent="0.35">
      <c r="G212" s="2" t="e">
        <v>#DIV/0!</v>
      </c>
      <c r="H212">
        <v>0</v>
      </c>
    </row>
    <row r="213" spans="7:8" x14ac:dyDescent="0.35">
      <c r="G213" s="2">
        <v>2.5388662999282468</v>
      </c>
      <c r="H213">
        <v>127.38</v>
      </c>
    </row>
    <row r="214" spans="7:8" x14ac:dyDescent="0.35">
      <c r="G214" s="2" t="e">
        <v>#DIV/0!</v>
      </c>
      <c r="H214">
        <v>0</v>
      </c>
    </row>
    <row r="215" spans="7:8" x14ac:dyDescent="0.35">
      <c r="G215" s="2">
        <v>2.0223287072016545</v>
      </c>
      <c r="H215">
        <v>101.711</v>
      </c>
    </row>
    <row r="216" spans="7:8" x14ac:dyDescent="0.35">
      <c r="G216" s="2" t="e">
        <v>#DIV/0!</v>
      </c>
      <c r="H216">
        <v>0</v>
      </c>
    </row>
    <row r="217" spans="7:8" x14ac:dyDescent="0.35">
      <c r="G217" s="2" t="e">
        <v>#DIV/0!</v>
      </c>
      <c r="H217">
        <v>0</v>
      </c>
    </row>
    <row r="218" spans="7:8" x14ac:dyDescent="0.35">
      <c r="G218" s="2">
        <v>3.0913081878636741</v>
      </c>
      <c r="H218">
        <v>119.003</v>
      </c>
    </row>
    <row r="219" spans="7:8" x14ac:dyDescent="0.35">
      <c r="G219" s="2">
        <v>2.1417511580447668</v>
      </c>
      <c r="H219">
        <v>66.117999999999995</v>
      </c>
    </row>
    <row r="220" spans="7:8" x14ac:dyDescent="0.35">
      <c r="G220" s="2">
        <v>2.5437503245573039</v>
      </c>
      <c r="H220">
        <v>146.95500000000001</v>
      </c>
    </row>
    <row r="221" spans="7:8" x14ac:dyDescent="0.35">
      <c r="G221" s="2" t="e">
        <v>#DIV/0!</v>
      </c>
      <c r="H221">
        <v>0</v>
      </c>
    </row>
    <row r="222" spans="7:8" x14ac:dyDescent="0.35">
      <c r="G222" s="2">
        <v>3.0650940487203209</v>
      </c>
      <c r="H222">
        <v>99.400999999999996</v>
      </c>
    </row>
    <row r="223" spans="7:8" x14ac:dyDescent="0.35">
      <c r="G223" s="2">
        <v>2.2630248281347649</v>
      </c>
      <c r="H223">
        <v>79.662999999999997</v>
      </c>
    </row>
    <row r="224" spans="7:8" x14ac:dyDescent="0.35">
      <c r="G224" s="2" t="e">
        <v>#DIV/0!</v>
      </c>
      <c r="H224">
        <v>0</v>
      </c>
    </row>
    <row r="225" spans="7:8" x14ac:dyDescent="0.35">
      <c r="G225" s="2">
        <v>3.2289894620721689</v>
      </c>
      <c r="H225">
        <v>111.229</v>
      </c>
    </row>
    <row r="226" spans="7:8" x14ac:dyDescent="0.35">
      <c r="G226" s="2">
        <v>3.0830334301695355</v>
      </c>
      <c r="H226">
        <v>142.208</v>
      </c>
    </row>
    <row r="227" spans="7:8" x14ac:dyDescent="0.35">
      <c r="G227" s="2">
        <v>1.8006638520082217</v>
      </c>
      <c r="H227">
        <v>129.655</v>
      </c>
    </row>
    <row r="228" spans="7:8" x14ac:dyDescent="0.35">
      <c r="G228" s="2" t="e">
        <v>#DIV/0!</v>
      </c>
      <c r="H228">
        <v>0</v>
      </c>
    </row>
    <row r="229" spans="7:8" x14ac:dyDescent="0.35">
      <c r="G229" s="2">
        <v>2.2280770304214346</v>
      </c>
      <c r="H229">
        <v>79.831999999999994</v>
      </c>
    </row>
    <row r="230" spans="7:8" x14ac:dyDescent="0.35">
      <c r="G230" s="2" t="e">
        <v>#DIV/0!</v>
      </c>
      <c r="H230">
        <v>0</v>
      </c>
    </row>
    <row r="231" spans="7:8" x14ac:dyDescent="0.35">
      <c r="G231" s="2">
        <v>2.5122401052489209</v>
      </c>
      <c r="H231">
        <v>204.32300000000001</v>
      </c>
    </row>
    <row r="232" spans="7:8" x14ac:dyDescent="0.35">
      <c r="G232" s="2">
        <v>3.5509872448411728</v>
      </c>
      <c r="H232">
        <v>159.52099999999999</v>
      </c>
    </row>
    <row r="233" spans="7:8" x14ac:dyDescent="0.35">
      <c r="G233" s="2">
        <v>2.6213090597078956</v>
      </c>
      <c r="H233">
        <v>140.53100000000001</v>
      </c>
    </row>
    <row r="234" spans="7:8" x14ac:dyDescent="0.35">
      <c r="G234" s="2">
        <v>2.4619563926561052</v>
      </c>
      <c r="H234">
        <v>414.62299999999999</v>
      </c>
    </row>
    <row r="235" spans="7:8" x14ac:dyDescent="0.35">
      <c r="G235" s="2">
        <v>2.7909799110112492</v>
      </c>
      <c r="H235">
        <v>188.80699999999999</v>
      </c>
    </row>
    <row r="236" spans="7:8" x14ac:dyDescent="0.35">
      <c r="G236" s="2">
        <v>2.4053831763643401</v>
      </c>
      <c r="H236">
        <v>149.15299999999999</v>
      </c>
    </row>
    <row r="237" spans="7:8" x14ac:dyDescent="0.35">
      <c r="G237" s="2">
        <v>2.4052282134622329</v>
      </c>
      <c r="H237">
        <v>173.16200000000001</v>
      </c>
    </row>
    <row r="238" spans="7:8" x14ac:dyDescent="0.35">
      <c r="G238" s="2">
        <v>2.1017558567369941</v>
      </c>
      <c r="H238">
        <v>225.63399999999999</v>
      </c>
    </row>
    <row r="239" spans="7:8" x14ac:dyDescent="0.35">
      <c r="G239" s="2">
        <v>2.5089377011929557</v>
      </c>
      <c r="H239">
        <v>264.99400000000003</v>
      </c>
    </row>
    <row r="240" spans="7:8" x14ac:dyDescent="0.35">
      <c r="G240" s="2">
        <v>2.5295721476510069</v>
      </c>
      <c r="H240">
        <v>108.54900000000001</v>
      </c>
    </row>
    <row r="241" spans="7:8" x14ac:dyDescent="0.35">
      <c r="G241" s="2">
        <v>1.9010239280412191</v>
      </c>
      <c r="H241">
        <v>174.149</v>
      </c>
    </row>
    <row r="242" spans="7:8" x14ac:dyDescent="0.35">
      <c r="G242" s="2">
        <v>1.8286190532886568</v>
      </c>
      <c r="H242">
        <v>107.51</v>
      </c>
    </row>
    <row r="243" spans="7:8" x14ac:dyDescent="0.35">
      <c r="G243" s="2">
        <v>2.5794899359010355</v>
      </c>
      <c r="H243">
        <v>321.536</v>
      </c>
    </row>
    <row r="244" spans="7:8" x14ac:dyDescent="0.35">
      <c r="G244" s="2" t="e">
        <v>#DIV/0!</v>
      </c>
      <c r="H244">
        <v>0</v>
      </c>
    </row>
    <row r="245" spans="7:8" x14ac:dyDescent="0.35">
      <c r="G245" s="2">
        <v>2.9762754238391627</v>
      </c>
      <c r="H245">
        <v>114.286</v>
      </c>
    </row>
    <row r="246" spans="7:8" x14ac:dyDescent="0.35">
      <c r="G246" s="2">
        <v>1.9440344114328696</v>
      </c>
      <c r="H246">
        <v>82.706999999999994</v>
      </c>
    </row>
    <row r="247" spans="7:8" x14ac:dyDescent="0.35">
      <c r="G247" s="2">
        <v>3.3724944693973318</v>
      </c>
      <c r="H247">
        <v>100.61499999999999</v>
      </c>
    </row>
    <row r="248" spans="7:8" x14ac:dyDescent="0.35">
      <c r="G248" s="2">
        <v>3.374933085899861</v>
      </c>
      <c r="H248">
        <v>94.569000000000003</v>
      </c>
    </row>
    <row r="249" spans="7:8" x14ac:dyDescent="0.35">
      <c r="G249" s="2" t="e">
        <v>#DIV/0!</v>
      </c>
      <c r="H249">
        <v>0</v>
      </c>
    </row>
    <row r="250" spans="7:8" x14ac:dyDescent="0.35">
      <c r="G250" s="2">
        <v>3.5248732624693377</v>
      </c>
      <c r="H250">
        <v>107.773</v>
      </c>
    </row>
    <row r="251" spans="7:8" x14ac:dyDescent="0.35">
      <c r="G251" s="2" t="e">
        <v>#DIV/0!</v>
      </c>
      <c r="H251">
        <v>0</v>
      </c>
    </row>
    <row r="252" spans="7:8" x14ac:dyDescent="0.35">
      <c r="G252" s="2">
        <v>1.8607866695554549</v>
      </c>
      <c r="H252">
        <v>94.474000000000004</v>
      </c>
    </row>
    <row r="253" spans="7:8" x14ac:dyDescent="0.35">
      <c r="G253" s="2" t="e">
        <v>#DIV/0!</v>
      </c>
      <c r="H253">
        <v>0</v>
      </c>
    </row>
    <row r="254" spans="7:8" x14ac:dyDescent="0.35">
      <c r="G254" s="2">
        <v>2.0019631842363577</v>
      </c>
      <c r="H254">
        <v>165.2</v>
      </c>
    </row>
    <row r="255" spans="7:8" x14ac:dyDescent="0.35">
      <c r="G255" s="2" t="e">
        <v>#DIV/0!</v>
      </c>
      <c r="H255">
        <v>0</v>
      </c>
    </row>
    <row r="256" spans="7:8" x14ac:dyDescent="0.35">
      <c r="G256" s="2">
        <v>2.2036994747659282</v>
      </c>
      <c r="H256">
        <v>67.55</v>
      </c>
    </row>
    <row r="257" spans="7:8" x14ac:dyDescent="0.35">
      <c r="G257" s="2">
        <v>1.9048678720445062</v>
      </c>
      <c r="H257">
        <v>20.544</v>
      </c>
    </row>
    <row r="258" spans="7:8" x14ac:dyDescent="0.35">
      <c r="G258" s="2">
        <v>2.3642601431980905</v>
      </c>
      <c r="H258">
        <v>71.325000000000003</v>
      </c>
    </row>
    <row r="259" spans="7:8" x14ac:dyDescent="0.35">
      <c r="G259" s="2">
        <v>1.9383133096378109</v>
      </c>
      <c r="H259">
        <v>131.97200000000001</v>
      </c>
    </row>
    <row r="260" spans="7:8" x14ac:dyDescent="0.35">
      <c r="G260" s="38">
        <v>2.5353001138058833</v>
      </c>
      <c r="H260" s="39">
        <v>16743.7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1EF8-FD1F-484C-A750-F1B274B08961}">
  <dimension ref="A1:M184"/>
  <sheetViews>
    <sheetView topLeftCell="A13" workbookViewId="0">
      <selection activeCell="K11" sqref="K11"/>
    </sheetView>
  </sheetViews>
  <sheetFormatPr defaultRowHeight="14.5" x14ac:dyDescent="0.35"/>
  <cols>
    <col min="2" max="2" width="10" bestFit="1" customWidth="1"/>
    <col min="4" max="4" width="10" bestFit="1" customWidth="1"/>
    <col min="6" max="6" width="10.7265625" customWidth="1"/>
    <col min="7" max="7" width="9.90625" customWidth="1"/>
    <col min="10" max="10" width="11.08984375" customWidth="1"/>
    <col min="11" max="11" width="10.6328125" customWidth="1"/>
  </cols>
  <sheetData>
    <row r="1" spans="1:13" ht="35" thickBot="1" x14ac:dyDescent="0.4">
      <c r="A1" s="28" t="s">
        <v>474</v>
      </c>
      <c r="B1" s="29" t="s">
        <v>475</v>
      </c>
      <c r="C1" s="30" t="s">
        <v>476</v>
      </c>
      <c r="D1" s="29" t="s">
        <v>477</v>
      </c>
      <c r="E1" s="30" t="s">
        <v>478</v>
      </c>
      <c r="F1" s="30" t="s">
        <v>479</v>
      </c>
      <c r="G1" s="30" t="s">
        <v>480</v>
      </c>
      <c r="H1" s="30" t="s">
        <v>481</v>
      </c>
      <c r="I1" s="31"/>
      <c r="J1" s="28" t="s">
        <v>2</v>
      </c>
      <c r="K1" s="30" t="s">
        <v>479</v>
      </c>
      <c r="L1" s="30" t="s">
        <v>489</v>
      </c>
      <c r="M1" s="30" t="s">
        <v>480</v>
      </c>
    </row>
    <row r="2" spans="1:13" ht="15" thickBot="1" x14ac:dyDescent="0.4">
      <c r="A2" s="14">
        <v>45748</v>
      </c>
      <c r="B2" s="23">
        <v>1354959</v>
      </c>
      <c r="C2" s="15">
        <v>805616</v>
      </c>
      <c r="D2" s="23">
        <v>2160575</v>
      </c>
      <c r="E2" s="15">
        <v>544820</v>
      </c>
      <c r="F2" s="20">
        <v>0.40210000000000001</v>
      </c>
      <c r="G2" s="20">
        <v>3.3000000000000002E-2</v>
      </c>
      <c r="H2" s="15">
        <v>0.24</v>
      </c>
      <c r="J2" s="26" t="s">
        <v>482</v>
      </c>
      <c r="K2" s="19">
        <v>0.42609999999999998</v>
      </c>
      <c r="L2" s="19">
        <v>2380539</v>
      </c>
      <c r="M2" s="19">
        <v>5.0099999999999999E-2</v>
      </c>
    </row>
    <row r="3" spans="1:13" ht="15" thickBot="1" x14ac:dyDescent="0.4">
      <c r="A3" s="16">
        <v>45778</v>
      </c>
      <c r="B3" s="24">
        <v>1419306</v>
      </c>
      <c r="C3" s="17">
        <v>839622</v>
      </c>
      <c r="D3" s="24">
        <v>2258928</v>
      </c>
      <c r="E3" s="17">
        <v>555982</v>
      </c>
      <c r="F3" s="21">
        <v>0.39169999999999999</v>
      </c>
      <c r="G3" s="21">
        <v>3.0200000000000001E-2</v>
      </c>
      <c r="H3" s="17">
        <v>0.24</v>
      </c>
      <c r="J3" s="27" t="s">
        <v>483</v>
      </c>
      <c r="K3" s="17">
        <v>0.42480000000000001</v>
      </c>
      <c r="L3" s="17">
        <v>1493885</v>
      </c>
      <c r="M3" s="17">
        <v>2.7099999999999999E-2</v>
      </c>
    </row>
    <row r="4" spans="1:13" ht="15" thickBot="1" x14ac:dyDescent="0.4">
      <c r="A4" s="18">
        <v>45809</v>
      </c>
      <c r="B4" s="25">
        <v>1395330</v>
      </c>
      <c r="C4" s="19">
        <v>821993</v>
      </c>
      <c r="D4" s="25">
        <v>2217323</v>
      </c>
      <c r="E4" s="19">
        <v>539355</v>
      </c>
      <c r="F4" s="22">
        <v>0.38650000000000001</v>
      </c>
      <c r="G4" s="22">
        <v>2.7699999999999999E-2</v>
      </c>
      <c r="H4" s="19">
        <v>0.24</v>
      </c>
      <c r="J4" s="26" t="s">
        <v>484</v>
      </c>
      <c r="K4" s="19">
        <v>0.41620000000000001</v>
      </c>
      <c r="L4" s="19">
        <v>3160282</v>
      </c>
      <c r="M4" s="19">
        <v>4.6399999999999997E-2</v>
      </c>
    </row>
    <row r="5" spans="1:13" ht="30.5" thickBot="1" x14ac:dyDescent="0.4">
      <c r="A5" s="16">
        <v>45839</v>
      </c>
      <c r="B5" s="24">
        <v>1433180</v>
      </c>
      <c r="C5" s="17">
        <v>834765</v>
      </c>
      <c r="D5" s="24">
        <v>2267945</v>
      </c>
      <c r="E5" s="17">
        <v>534607</v>
      </c>
      <c r="F5" s="21">
        <v>0.373</v>
      </c>
      <c r="G5" s="21">
        <v>2.47E-2</v>
      </c>
      <c r="H5" s="17">
        <v>0.24</v>
      </c>
      <c r="J5" s="27" t="s">
        <v>485</v>
      </c>
      <c r="K5" s="17">
        <v>0.3795</v>
      </c>
      <c r="L5" s="17">
        <v>2647310</v>
      </c>
      <c r="M5" s="17">
        <v>1.6299999999999999E-2</v>
      </c>
    </row>
    <row r="6" spans="1:13" ht="20.5" thickBot="1" x14ac:dyDescent="0.4">
      <c r="A6" s="18">
        <v>45870</v>
      </c>
      <c r="B6" s="25">
        <v>1351631</v>
      </c>
      <c r="C6" s="19">
        <v>782613</v>
      </c>
      <c r="D6" s="25">
        <v>2134244</v>
      </c>
      <c r="E6" s="19">
        <v>518160</v>
      </c>
      <c r="F6" s="22">
        <v>0.38340000000000002</v>
      </c>
      <c r="G6" s="22">
        <v>2.6599999999999999E-2</v>
      </c>
      <c r="H6" s="19">
        <v>0.24</v>
      </c>
      <c r="J6" s="26" t="s">
        <v>486</v>
      </c>
      <c r="K6" s="19">
        <v>0.37609999999999999</v>
      </c>
      <c r="L6" s="19">
        <v>1815322</v>
      </c>
      <c r="M6" s="19">
        <v>2.4899999999999999E-2</v>
      </c>
    </row>
    <row r="7" spans="1:13" ht="15" thickBot="1" x14ac:dyDescent="0.4">
      <c r="A7" s="16">
        <v>45901</v>
      </c>
      <c r="B7" s="24">
        <v>1385429</v>
      </c>
      <c r="C7" s="17">
        <v>791957</v>
      </c>
      <c r="D7" s="24">
        <v>2177386</v>
      </c>
      <c r="E7" s="17">
        <v>543443</v>
      </c>
      <c r="F7" s="21">
        <v>0.39229999999999998</v>
      </c>
      <c r="G7" s="21">
        <v>3.2300000000000002E-2</v>
      </c>
      <c r="H7" s="17">
        <v>0.24</v>
      </c>
      <c r="J7" s="27" t="s">
        <v>487</v>
      </c>
      <c r="K7" s="17">
        <v>0.37469999999999998</v>
      </c>
      <c r="L7" s="17">
        <v>2769899</v>
      </c>
      <c r="M7" s="17">
        <v>3.7699999999999997E-2</v>
      </c>
    </row>
    <row r="8" spans="1:13" ht="15" thickBot="1" x14ac:dyDescent="0.4">
      <c r="A8" s="18">
        <v>45931</v>
      </c>
      <c r="B8" s="25">
        <v>1449480</v>
      </c>
      <c r="C8" s="19">
        <v>810555</v>
      </c>
      <c r="D8" s="25">
        <v>2260035</v>
      </c>
      <c r="E8" s="19">
        <v>581850</v>
      </c>
      <c r="F8" s="22">
        <v>0.40139999999999998</v>
      </c>
      <c r="G8" s="22">
        <v>3.7499999999999999E-2</v>
      </c>
      <c r="H8" s="19">
        <v>0.24</v>
      </c>
      <c r="J8" s="26" t="s">
        <v>488</v>
      </c>
      <c r="K8" s="19">
        <v>0.36930000000000002</v>
      </c>
      <c r="L8" s="19">
        <v>2476463</v>
      </c>
      <c r="M8" s="19">
        <v>2.9000000000000001E-2</v>
      </c>
    </row>
    <row r="9" spans="1:13" ht="15" thickBot="1" x14ac:dyDescent="0.4">
      <c r="A9" s="16">
        <v>45962</v>
      </c>
      <c r="B9" s="24">
        <v>1418397</v>
      </c>
      <c r="C9" s="17">
        <v>794353</v>
      </c>
      <c r="D9" s="24">
        <v>2212750</v>
      </c>
      <c r="E9" s="17">
        <v>566410</v>
      </c>
      <c r="F9" s="21">
        <v>0.39929999999999999</v>
      </c>
      <c r="G9" s="21">
        <v>3.5700000000000003E-2</v>
      </c>
      <c r="H9" s="17">
        <v>0.24</v>
      </c>
    </row>
    <row r="10" spans="1:13" ht="15" thickBot="1" x14ac:dyDescent="0.4">
      <c r="A10" s="18">
        <v>45992</v>
      </c>
      <c r="B10" s="25">
        <v>1407880</v>
      </c>
      <c r="C10" s="19">
        <v>785405</v>
      </c>
      <c r="D10" s="25">
        <v>2193285</v>
      </c>
      <c r="E10" s="19">
        <v>572137</v>
      </c>
      <c r="F10" s="22">
        <v>0.40639999999999998</v>
      </c>
      <c r="G10" s="22">
        <v>3.61E-2</v>
      </c>
      <c r="H10" s="19">
        <v>0.24</v>
      </c>
    </row>
    <row r="11" spans="1:13" ht="15" thickBot="1" x14ac:dyDescent="0.4">
      <c r="A11" s="16">
        <v>46023</v>
      </c>
      <c r="B11" s="24">
        <v>1405298</v>
      </c>
      <c r="C11" s="17">
        <v>780500</v>
      </c>
      <c r="D11" s="24">
        <v>2185798</v>
      </c>
      <c r="E11" s="17">
        <v>603393</v>
      </c>
      <c r="F11" s="21">
        <v>0.4294</v>
      </c>
      <c r="G11" s="21">
        <v>5.0900000000000001E-2</v>
      </c>
      <c r="H11" s="17">
        <v>0.24</v>
      </c>
    </row>
    <row r="12" spans="1:13" ht="15" thickBot="1" x14ac:dyDescent="0.4">
      <c r="A12" s="18">
        <v>46054</v>
      </c>
      <c r="B12" s="25">
        <v>1271830</v>
      </c>
      <c r="C12" s="19">
        <v>723986</v>
      </c>
      <c r="D12" s="25">
        <v>1995816</v>
      </c>
      <c r="E12" s="19">
        <v>519984</v>
      </c>
      <c r="F12" s="22">
        <v>0.4088</v>
      </c>
      <c r="G12" s="22">
        <v>4.2999999999999997E-2</v>
      </c>
      <c r="H12" s="19">
        <v>0.24</v>
      </c>
    </row>
    <row r="13" spans="1:13" ht="15" thickBot="1" x14ac:dyDescent="0.4">
      <c r="A13" s="16">
        <v>46082</v>
      </c>
      <c r="B13" s="24">
        <v>1450980</v>
      </c>
      <c r="C13" s="17">
        <v>845475</v>
      </c>
      <c r="D13" s="24">
        <v>2296455</v>
      </c>
      <c r="E13" s="17">
        <v>524087</v>
      </c>
      <c r="F13" s="21">
        <v>0.36120000000000002</v>
      </c>
      <c r="G13" s="21">
        <v>3.2199999999999999E-2</v>
      </c>
      <c r="H13" s="17">
        <v>0.24</v>
      </c>
    </row>
    <row r="15" spans="1:13" ht="15" thickBot="1" x14ac:dyDescent="0.4"/>
    <row r="16" spans="1:13" ht="22.5" thickBot="1" x14ac:dyDescent="0.4">
      <c r="A16" s="12" t="s">
        <v>491</v>
      </c>
      <c r="B16" s="13" t="s">
        <v>479</v>
      </c>
      <c r="C16" s="13" t="s">
        <v>475</v>
      </c>
      <c r="D16" s="13" t="s">
        <v>480</v>
      </c>
      <c r="F16" s="32" t="s">
        <v>11</v>
      </c>
      <c r="G16" s="33" t="s">
        <v>479</v>
      </c>
      <c r="H16" s="33" t="s">
        <v>480</v>
      </c>
    </row>
    <row r="17" spans="1:8" ht="15" thickBot="1" x14ac:dyDescent="0.4">
      <c r="A17" s="26" t="s">
        <v>444</v>
      </c>
      <c r="B17" s="19">
        <v>0.41510000000000002</v>
      </c>
      <c r="C17" s="19">
        <v>4085008</v>
      </c>
      <c r="D17" s="19">
        <v>4.3299999999999998E-2</v>
      </c>
      <c r="F17" s="34" t="s">
        <v>17</v>
      </c>
      <c r="G17" s="35">
        <v>0.39340000000000003</v>
      </c>
      <c r="H17" s="35">
        <v>3.0300000000000001E-2</v>
      </c>
    </row>
    <row r="18" spans="1:8" ht="15" thickBot="1" x14ac:dyDescent="0.4">
      <c r="A18" s="27" t="s">
        <v>435</v>
      </c>
      <c r="B18" s="17">
        <v>0.3977</v>
      </c>
      <c r="C18" s="17">
        <v>4253306</v>
      </c>
      <c r="D18" s="17">
        <v>3.5200000000000002E-2</v>
      </c>
      <c r="F18" s="36" t="s">
        <v>429</v>
      </c>
      <c r="G18" s="37">
        <v>0.38279999999999997</v>
      </c>
      <c r="H18" s="37">
        <v>2.7799999999999998E-2</v>
      </c>
    </row>
    <row r="19" spans="1:8" ht="15" thickBot="1" x14ac:dyDescent="0.4">
      <c r="A19" s="26" t="s">
        <v>18</v>
      </c>
      <c r="B19" s="19">
        <v>0.3846</v>
      </c>
      <c r="C19" s="19">
        <v>4225245</v>
      </c>
      <c r="D19" s="19">
        <v>3.1800000000000002E-2</v>
      </c>
      <c r="F19" s="34" t="s">
        <v>439</v>
      </c>
      <c r="G19" s="35">
        <v>0.40239999999999998</v>
      </c>
      <c r="H19" s="35">
        <v>3.6400000000000002E-2</v>
      </c>
    </row>
    <row r="20" spans="1:8" ht="15" thickBot="1" x14ac:dyDescent="0.4">
      <c r="A20" s="27" t="s">
        <v>427</v>
      </c>
      <c r="B20" s="17">
        <v>0.38090000000000002</v>
      </c>
      <c r="C20" s="17">
        <v>4180141</v>
      </c>
      <c r="D20" s="17">
        <v>2.63E-2</v>
      </c>
      <c r="F20" s="36" t="s">
        <v>446</v>
      </c>
      <c r="G20" s="37">
        <v>0.39910000000000001</v>
      </c>
      <c r="H20" s="37">
        <v>4.19E-2</v>
      </c>
    </row>
    <row r="59" spans="1:5" x14ac:dyDescent="0.35">
      <c r="A59" t="s">
        <v>457</v>
      </c>
      <c r="B59" t="s">
        <v>467</v>
      </c>
      <c r="C59" t="s">
        <v>469</v>
      </c>
      <c r="D59" t="s">
        <v>494</v>
      </c>
      <c r="E59" t="s">
        <v>495</v>
      </c>
    </row>
    <row r="60" spans="1:5" x14ac:dyDescent="0.35">
      <c r="A60" t="s">
        <v>348</v>
      </c>
      <c r="B60">
        <v>72277</v>
      </c>
      <c r="C60">
        <v>27120</v>
      </c>
      <c r="D60" s="10">
        <v>0.37522310001798637</v>
      </c>
      <c r="E60">
        <f>B60/1000</f>
        <v>72.277000000000001</v>
      </c>
    </row>
    <row r="61" spans="1:5" x14ac:dyDescent="0.35">
      <c r="A61" t="s">
        <v>344</v>
      </c>
      <c r="B61">
        <v>70785</v>
      </c>
      <c r="C61">
        <v>10471</v>
      </c>
      <c r="D61" s="10">
        <v>0.14792682065409338</v>
      </c>
      <c r="E61">
        <f t="shared" ref="E61:E124" si="0">B61/1000</f>
        <v>70.784999999999997</v>
      </c>
    </row>
    <row r="62" spans="1:5" x14ac:dyDescent="0.35">
      <c r="A62" t="s">
        <v>122</v>
      </c>
      <c r="B62">
        <v>88158</v>
      </c>
      <c r="C62">
        <v>43396</v>
      </c>
      <c r="D62" s="10">
        <v>0.49225254656412348</v>
      </c>
      <c r="E62">
        <f t="shared" si="0"/>
        <v>88.158000000000001</v>
      </c>
    </row>
    <row r="63" spans="1:5" x14ac:dyDescent="0.35">
      <c r="A63" t="s">
        <v>36</v>
      </c>
      <c r="B63">
        <v>161554</v>
      </c>
      <c r="C63">
        <v>73758</v>
      </c>
      <c r="D63" s="10">
        <v>0.45655322678485211</v>
      </c>
      <c r="E63">
        <f t="shared" si="0"/>
        <v>161.554</v>
      </c>
    </row>
    <row r="64" spans="1:5" x14ac:dyDescent="0.35">
      <c r="A64" t="s">
        <v>232</v>
      </c>
      <c r="B64">
        <v>110603</v>
      </c>
      <c r="C64">
        <v>31793</v>
      </c>
      <c r="D64" s="10">
        <v>0.28745151578166955</v>
      </c>
      <c r="E64">
        <f t="shared" si="0"/>
        <v>110.60299999999999</v>
      </c>
    </row>
    <row r="65" spans="1:5" x14ac:dyDescent="0.35">
      <c r="A65" t="s">
        <v>210</v>
      </c>
      <c r="B65">
        <v>305760</v>
      </c>
      <c r="C65">
        <v>134677</v>
      </c>
      <c r="D65" s="10">
        <v>0.44046637885923601</v>
      </c>
      <c r="E65">
        <f t="shared" si="0"/>
        <v>305.76</v>
      </c>
    </row>
    <row r="66" spans="1:5" x14ac:dyDescent="0.35">
      <c r="A66" t="s">
        <v>346</v>
      </c>
      <c r="B66">
        <v>201877</v>
      </c>
      <c r="C66">
        <v>76110</v>
      </c>
      <c r="D66" s="10">
        <v>0.37701174477528399</v>
      </c>
      <c r="E66">
        <f t="shared" si="0"/>
        <v>201.87700000000001</v>
      </c>
    </row>
    <row r="67" spans="1:5" x14ac:dyDescent="0.35">
      <c r="A67" t="s">
        <v>59</v>
      </c>
      <c r="B67">
        <v>57390</v>
      </c>
      <c r="C67">
        <v>10923</v>
      </c>
      <c r="D67" s="10">
        <v>0.19032932566649241</v>
      </c>
      <c r="E67">
        <f t="shared" si="0"/>
        <v>57.39</v>
      </c>
    </row>
    <row r="68" spans="1:5" x14ac:dyDescent="0.35">
      <c r="A68" t="s">
        <v>196</v>
      </c>
      <c r="B68">
        <v>106388</v>
      </c>
      <c r="C68">
        <v>49825</v>
      </c>
      <c r="D68" s="10">
        <v>0.46833289468737077</v>
      </c>
      <c r="E68">
        <f t="shared" si="0"/>
        <v>106.38800000000001</v>
      </c>
    </row>
    <row r="69" spans="1:5" x14ac:dyDescent="0.35">
      <c r="A69" t="s">
        <v>168</v>
      </c>
      <c r="B69">
        <v>98344</v>
      </c>
      <c r="C69">
        <v>47735</v>
      </c>
      <c r="D69" s="10">
        <v>0.48538802570568618</v>
      </c>
      <c r="E69">
        <f t="shared" si="0"/>
        <v>98.343999999999994</v>
      </c>
    </row>
    <row r="70" spans="1:5" x14ac:dyDescent="0.35">
      <c r="A70" t="s">
        <v>86</v>
      </c>
      <c r="B70">
        <v>111776</v>
      </c>
      <c r="C70">
        <v>27482</v>
      </c>
      <c r="D70" s="10">
        <v>0.24586673346693386</v>
      </c>
      <c r="E70">
        <f t="shared" si="0"/>
        <v>111.776</v>
      </c>
    </row>
    <row r="71" spans="1:5" x14ac:dyDescent="0.35">
      <c r="A71" t="s">
        <v>120</v>
      </c>
      <c r="B71">
        <v>120816</v>
      </c>
      <c r="C71">
        <v>41867</v>
      </c>
      <c r="D71" s="10">
        <v>0.34653522712223545</v>
      </c>
      <c r="E71">
        <f t="shared" si="0"/>
        <v>120.816</v>
      </c>
    </row>
    <row r="72" spans="1:5" x14ac:dyDescent="0.35">
      <c r="A72" t="s">
        <v>300</v>
      </c>
      <c r="B72">
        <v>192172</v>
      </c>
      <c r="C72">
        <v>31986</v>
      </c>
      <c r="D72" s="10">
        <v>0.16644464334034095</v>
      </c>
      <c r="E72">
        <f t="shared" si="0"/>
        <v>192.172</v>
      </c>
    </row>
    <row r="73" spans="1:5" x14ac:dyDescent="0.35">
      <c r="A73" t="s">
        <v>214</v>
      </c>
      <c r="B73">
        <v>130671</v>
      </c>
      <c r="C73">
        <v>54957</v>
      </c>
      <c r="D73" s="10">
        <v>0.42057533806276831</v>
      </c>
      <c r="E73">
        <f t="shared" si="0"/>
        <v>130.67099999999999</v>
      </c>
    </row>
    <row r="74" spans="1:5" x14ac:dyDescent="0.35">
      <c r="A74" t="s">
        <v>61</v>
      </c>
      <c r="B74">
        <v>237084</v>
      </c>
      <c r="C74">
        <v>66190</v>
      </c>
      <c r="D74" s="10">
        <v>0.27918374921968586</v>
      </c>
      <c r="E74">
        <f t="shared" si="0"/>
        <v>237.084</v>
      </c>
    </row>
    <row r="75" spans="1:5" x14ac:dyDescent="0.35">
      <c r="A75" t="s">
        <v>160</v>
      </c>
      <c r="B75">
        <v>76171</v>
      </c>
      <c r="C75">
        <v>40146</v>
      </c>
      <c r="D75" s="10">
        <v>0.52705097740609941</v>
      </c>
      <c r="E75">
        <f t="shared" si="0"/>
        <v>76.171000000000006</v>
      </c>
    </row>
    <row r="76" spans="1:5" x14ac:dyDescent="0.35">
      <c r="A76" t="s">
        <v>234</v>
      </c>
      <c r="B76">
        <v>64462</v>
      </c>
      <c r="C76">
        <v>32505</v>
      </c>
      <c r="D76" s="10">
        <v>0.50425056622506281</v>
      </c>
      <c r="E76">
        <f t="shared" si="0"/>
        <v>64.462000000000003</v>
      </c>
    </row>
    <row r="77" spans="1:5" x14ac:dyDescent="0.35">
      <c r="A77" t="s">
        <v>198</v>
      </c>
      <c r="B77">
        <v>154625</v>
      </c>
      <c r="C77">
        <v>62475</v>
      </c>
      <c r="D77" s="10">
        <v>0.40404203718674214</v>
      </c>
      <c r="E77">
        <f t="shared" si="0"/>
        <v>154.625</v>
      </c>
    </row>
    <row r="78" spans="1:5" x14ac:dyDescent="0.35">
      <c r="A78" t="s">
        <v>402</v>
      </c>
      <c r="B78">
        <v>156286</v>
      </c>
      <c r="C78">
        <v>53230</v>
      </c>
      <c r="D78" s="10">
        <v>0.3405935272513213</v>
      </c>
      <c r="E78">
        <f t="shared" si="0"/>
        <v>156.286</v>
      </c>
    </row>
    <row r="79" spans="1:5" x14ac:dyDescent="0.35">
      <c r="A79" t="s">
        <v>51</v>
      </c>
      <c r="B79">
        <v>136640</v>
      </c>
      <c r="C79">
        <v>38124</v>
      </c>
      <c r="D79" s="10">
        <v>0.27901053864168618</v>
      </c>
      <c r="E79">
        <f t="shared" si="0"/>
        <v>136.63999999999999</v>
      </c>
    </row>
    <row r="80" spans="1:5" x14ac:dyDescent="0.35">
      <c r="A80" t="s">
        <v>130</v>
      </c>
      <c r="B80">
        <v>166412</v>
      </c>
      <c r="C80">
        <v>59790</v>
      </c>
      <c r="D80" s="10">
        <v>0.35928899358219357</v>
      </c>
      <c r="E80">
        <f t="shared" si="0"/>
        <v>166.41200000000001</v>
      </c>
    </row>
    <row r="81" spans="1:5" x14ac:dyDescent="0.35">
      <c r="A81" t="s">
        <v>390</v>
      </c>
      <c r="B81">
        <v>54622</v>
      </c>
      <c r="C81">
        <v>19480</v>
      </c>
      <c r="D81" s="10">
        <v>0.35663285855516091</v>
      </c>
      <c r="E81">
        <f t="shared" si="0"/>
        <v>54.622</v>
      </c>
    </row>
    <row r="82" spans="1:5" x14ac:dyDescent="0.35">
      <c r="A82" t="s">
        <v>186</v>
      </c>
      <c r="B82">
        <v>43314</v>
      </c>
      <c r="C82">
        <v>20202</v>
      </c>
      <c r="D82" s="10">
        <v>0.46640808976312509</v>
      </c>
      <c r="E82">
        <f t="shared" si="0"/>
        <v>43.314</v>
      </c>
    </row>
    <row r="83" spans="1:5" x14ac:dyDescent="0.35">
      <c r="A83" t="s">
        <v>437</v>
      </c>
      <c r="B83">
        <v>64151</v>
      </c>
      <c r="C83">
        <v>33024</v>
      </c>
      <c r="D83" s="10">
        <v>0.51478542813050454</v>
      </c>
      <c r="E83">
        <f t="shared" si="0"/>
        <v>64.150999999999996</v>
      </c>
    </row>
    <row r="84" spans="1:5" x14ac:dyDescent="0.35">
      <c r="A84" t="s">
        <v>274</v>
      </c>
      <c r="B84">
        <v>53202</v>
      </c>
      <c r="C84">
        <v>28236</v>
      </c>
      <c r="D84" s="10">
        <v>0.53073192737115149</v>
      </c>
      <c r="E84">
        <f t="shared" si="0"/>
        <v>53.201999999999998</v>
      </c>
    </row>
    <row r="85" spans="1:5" x14ac:dyDescent="0.35">
      <c r="A85" t="s">
        <v>124</v>
      </c>
      <c r="B85">
        <v>155660</v>
      </c>
      <c r="C85">
        <v>71738</v>
      </c>
      <c r="D85" s="10">
        <v>0.46086342027495825</v>
      </c>
      <c r="E85">
        <f t="shared" si="0"/>
        <v>155.66</v>
      </c>
    </row>
    <row r="86" spans="1:5" x14ac:dyDescent="0.35">
      <c r="A86" t="s">
        <v>238</v>
      </c>
      <c r="B86">
        <v>163072</v>
      </c>
      <c r="C86">
        <v>55465</v>
      </c>
      <c r="D86" s="10">
        <v>0.34012583398744112</v>
      </c>
      <c r="E86">
        <f t="shared" si="0"/>
        <v>163.072</v>
      </c>
    </row>
    <row r="87" spans="1:5" x14ac:dyDescent="0.35">
      <c r="A87" t="s">
        <v>24</v>
      </c>
      <c r="B87">
        <v>138748</v>
      </c>
      <c r="C87">
        <v>67125</v>
      </c>
      <c r="D87" s="10">
        <v>0.48379075734425003</v>
      </c>
      <c r="E87">
        <f t="shared" si="0"/>
        <v>138.74799999999999</v>
      </c>
    </row>
    <row r="88" spans="1:5" x14ac:dyDescent="0.35">
      <c r="A88" t="s">
        <v>192</v>
      </c>
      <c r="B88">
        <v>107317</v>
      </c>
      <c r="C88">
        <v>44124</v>
      </c>
      <c r="D88" s="10">
        <v>0.41115573487891016</v>
      </c>
      <c r="E88">
        <f t="shared" si="0"/>
        <v>107.31699999999999</v>
      </c>
    </row>
    <row r="89" spans="1:5" x14ac:dyDescent="0.35">
      <c r="A89" t="s">
        <v>172</v>
      </c>
      <c r="B89">
        <v>132725</v>
      </c>
      <c r="C89">
        <v>41449</v>
      </c>
      <c r="D89" s="10">
        <v>0.31229233377283855</v>
      </c>
      <c r="E89">
        <f t="shared" si="0"/>
        <v>132.72499999999999</v>
      </c>
    </row>
    <row r="90" spans="1:5" x14ac:dyDescent="0.35">
      <c r="A90" t="s">
        <v>98</v>
      </c>
      <c r="B90">
        <v>271749</v>
      </c>
      <c r="C90">
        <v>111361</v>
      </c>
      <c r="D90" s="10">
        <v>0.40979359629658252</v>
      </c>
      <c r="E90">
        <f t="shared" si="0"/>
        <v>271.74900000000002</v>
      </c>
    </row>
    <row r="91" spans="1:5" x14ac:dyDescent="0.35">
      <c r="A91" t="s">
        <v>254</v>
      </c>
      <c r="B91">
        <v>70789</v>
      </c>
      <c r="C91">
        <v>28361</v>
      </c>
      <c r="D91" s="10">
        <v>0.40064134258147455</v>
      </c>
      <c r="E91">
        <f t="shared" si="0"/>
        <v>70.789000000000001</v>
      </c>
    </row>
    <row r="92" spans="1:5" x14ac:dyDescent="0.35">
      <c r="A92" t="s">
        <v>49</v>
      </c>
      <c r="B92">
        <v>83605</v>
      </c>
      <c r="C92">
        <v>24160</v>
      </c>
      <c r="D92" s="10">
        <v>0.28897793194186949</v>
      </c>
      <c r="E92">
        <f t="shared" si="0"/>
        <v>83.605000000000004</v>
      </c>
    </row>
    <row r="93" spans="1:5" x14ac:dyDescent="0.35">
      <c r="A93" t="s">
        <v>70</v>
      </c>
      <c r="B93">
        <v>160541</v>
      </c>
      <c r="C93">
        <v>60767</v>
      </c>
      <c r="D93" s="10">
        <v>0.37851389987604411</v>
      </c>
      <c r="E93">
        <f t="shared" si="0"/>
        <v>160.541</v>
      </c>
    </row>
    <row r="94" spans="1:5" x14ac:dyDescent="0.35">
      <c r="A94" t="s">
        <v>358</v>
      </c>
      <c r="B94">
        <v>71163</v>
      </c>
      <c r="C94">
        <v>36450</v>
      </c>
      <c r="D94" s="10">
        <v>0.51220437586948275</v>
      </c>
      <c r="E94">
        <f t="shared" si="0"/>
        <v>71.162999999999997</v>
      </c>
    </row>
    <row r="95" spans="1:5" x14ac:dyDescent="0.35">
      <c r="A95" t="s">
        <v>110</v>
      </c>
      <c r="B95">
        <v>122924</v>
      </c>
      <c r="C95">
        <v>43585</v>
      </c>
      <c r="D95" s="10">
        <v>0.35456867658065144</v>
      </c>
      <c r="E95">
        <f t="shared" si="0"/>
        <v>122.92400000000001</v>
      </c>
    </row>
    <row r="96" spans="1:5" x14ac:dyDescent="0.35">
      <c r="A96" t="s">
        <v>218</v>
      </c>
      <c r="B96">
        <v>128090</v>
      </c>
      <c r="C96">
        <v>58353</v>
      </c>
      <c r="D96" s="10">
        <v>0.4555624951206183</v>
      </c>
      <c r="E96">
        <f t="shared" si="0"/>
        <v>128.09</v>
      </c>
    </row>
    <row r="97" spans="1:5" x14ac:dyDescent="0.35">
      <c r="A97" t="s">
        <v>292</v>
      </c>
      <c r="B97">
        <v>62153</v>
      </c>
      <c r="C97">
        <v>17853</v>
      </c>
      <c r="D97" s="10">
        <v>0.28724277186941899</v>
      </c>
      <c r="E97">
        <f t="shared" si="0"/>
        <v>62.152999999999999</v>
      </c>
    </row>
    <row r="98" spans="1:5" x14ac:dyDescent="0.35">
      <c r="A98" t="s">
        <v>236</v>
      </c>
      <c r="B98">
        <v>132768</v>
      </c>
      <c r="C98">
        <v>24250</v>
      </c>
      <c r="D98" s="10">
        <v>0.18264943359845745</v>
      </c>
      <c r="E98">
        <f t="shared" si="0"/>
        <v>132.768</v>
      </c>
    </row>
    <row r="99" spans="1:5" x14ac:dyDescent="0.35">
      <c r="A99" t="s">
        <v>178</v>
      </c>
      <c r="B99">
        <v>116768</v>
      </c>
      <c r="C99">
        <v>64781</v>
      </c>
      <c r="D99" s="10">
        <v>0.55478384488901067</v>
      </c>
      <c r="E99">
        <f t="shared" si="0"/>
        <v>116.768</v>
      </c>
    </row>
    <row r="100" spans="1:5" x14ac:dyDescent="0.35">
      <c r="A100" t="s">
        <v>206</v>
      </c>
      <c r="B100">
        <v>145309</v>
      </c>
      <c r="C100">
        <v>61011</v>
      </c>
      <c r="D100" s="10">
        <v>0.41987075817740127</v>
      </c>
      <c r="E100">
        <f t="shared" si="0"/>
        <v>145.309</v>
      </c>
    </row>
    <row r="101" spans="1:5" x14ac:dyDescent="0.35">
      <c r="A101" t="s">
        <v>74</v>
      </c>
      <c r="B101">
        <v>50764</v>
      </c>
      <c r="C101">
        <v>19102</v>
      </c>
      <c r="D101" s="10">
        <v>0.37629028445354978</v>
      </c>
      <c r="E101">
        <f t="shared" si="0"/>
        <v>50.764000000000003</v>
      </c>
    </row>
    <row r="102" spans="1:5" x14ac:dyDescent="0.35">
      <c r="A102" t="s">
        <v>316</v>
      </c>
      <c r="B102">
        <v>89217</v>
      </c>
      <c r="C102">
        <v>32236</v>
      </c>
      <c r="D102" s="10">
        <v>0.36132127285158661</v>
      </c>
      <c r="E102">
        <f t="shared" si="0"/>
        <v>89.216999999999999</v>
      </c>
    </row>
    <row r="103" spans="1:5" x14ac:dyDescent="0.35">
      <c r="A103" t="s">
        <v>362</v>
      </c>
      <c r="B103">
        <v>122553</v>
      </c>
      <c r="C103">
        <v>45586</v>
      </c>
      <c r="D103" s="10">
        <v>0.37196967842484474</v>
      </c>
      <c r="E103">
        <f t="shared" si="0"/>
        <v>122.553</v>
      </c>
    </row>
    <row r="104" spans="1:5" x14ac:dyDescent="0.35">
      <c r="A104" t="s">
        <v>416</v>
      </c>
      <c r="B104">
        <v>186678</v>
      </c>
      <c r="C104">
        <v>80622</v>
      </c>
      <c r="D104" s="10">
        <v>0.43187735030373153</v>
      </c>
      <c r="E104">
        <f t="shared" si="0"/>
        <v>186.678</v>
      </c>
    </row>
    <row r="105" spans="1:5" x14ac:dyDescent="0.35">
      <c r="A105" t="s">
        <v>252</v>
      </c>
      <c r="B105">
        <v>83358</v>
      </c>
      <c r="C105">
        <v>43876</v>
      </c>
      <c r="D105" s="10">
        <v>0.52635619856522464</v>
      </c>
      <c r="E105">
        <f t="shared" si="0"/>
        <v>83.358000000000004</v>
      </c>
    </row>
    <row r="106" spans="1:5" x14ac:dyDescent="0.35">
      <c r="A106" t="s">
        <v>154</v>
      </c>
      <c r="B106">
        <v>144196</v>
      </c>
      <c r="C106">
        <v>53752</v>
      </c>
      <c r="D106" s="10">
        <v>0.37277039585009292</v>
      </c>
      <c r="E106">
        <f t="shared" si="0"/>
        <v>144.196</v>
      </c>
    </row>
    <row r="107" spans="1:5" x14ac:dyDescent="0.35">
      <c r="A107" t="s">
        <v>64</v>
      </c>
      <c r="B107">
        <v>213504</v>
      </c>
      <c r="C107">
        <v>83189</v>
      </c>
      <c r="D107" s="10">
        <v>0.38963672811750599</v>
      </c>
      <c r="E107">
        <f t="shared" si="0"/>
        <v>213.50399999999999</v>
      </c>
    </row>
    <row r="108" spans="1:5" x14ac:dyDescent="0.35">
      <c r="A108" t="s">
        <v>38</v>
      </c>
      <c r="B108">
        <v>190385</v>
      </c>
      <c r="C108">
        <v>93973</v>
      </c>
      <c r="D108" s="10">
        <v>0.49359455839483152</v>
      </c>
      <c r="E108">
        <f t="shared" si="0"/>
        <v>190.38499999999999</v>
      </c>
    </row>
    <row r="109" spans="1:5" x14ac:dyDescent="0.35">
      <c r="A109" t="s">
        <v>31</v>
      </c>
      <c r="B109">
        <v>192474</v>
      </c>
      <c r="C109">
        <v>95050</v>
      </c>
      <c r="D109" s="10">
        <v>0.49383293327930006</v>
      </c>
      <c r="E109">
        <f t="shared" si="0"/>
        <v>192.47399999999999</v>
      </c>
    </row>
    <row r="110" spans="1:5" x14ac:dyDescent="0.35">
      <c r="A110" t="s">
        <v>84</v>
      </c>
      <c r="B110">
        <v>164066</v>
      </c>
      <c r="C110">
        <v>78854</v>
      </c>
      <c r="D110" s="10">
        <v>0.48062365145734032</v>
      </c>
      <c r="E110">
        <f t="shared" si="0"/>
        <v>164.066</v>
      </c>
    </row>
    <row r="111" spans="1:5" x14ac:dyDescent="0.35">
      <c r="A111" t="s">
        <v>410</v>
      </c>
      <c r="B111">
        <v>224932</v>
      </c>
      <c r="C111">
        <v>50115</v>
      </c>
      <c r="D111" s="10">
        <v>0.22280066864652429</v>
      </c>
      <c r="E111">
        <f t="shared" si="0"/>
        <v>224.93199999999999</v>
      </c>
    </row>
    <row r="112" spans="1:5" x14ac:dyDescent="0.35">
      <c r="A112" t="s">
        <v>334</v>
      </c>
      <c r="B112">
        <v>309660</v>
      </c>
      <c r="C112">
        <v>124916</v>
      </c>
      <c r="D112" s="10">
        <v>0.40339727443002005</v>
      </c>
      <c r="E112">
        <f t="shared" si="0"/>
        <v>309.66000000000003</v>
      </c>
    </row>
    <row r="113" spans="1:5" x14ac:dyDescent="0.35">
      <c r="A113" t="s">
        <v>406</v>
      </c>
      <c r="B113">
        <v>114871</v>
      </c>
      <c r="C113">
        <v>40916</v>
      </c>
      <c r="D113" s="10">
        <v>0.35619085757066621</v>
      </c>
      <c r="E113">
        <f t="shared" si="0"/>
        <v>114.871</v>
      </c>
    </row>
    <row r="114" spans="1:5" x14ac:dyDescent="0.35">
      <c r="A114" t="s">
        <v>92</v>
      </c>
      <c r="B114">
        <v>208546</v>
      </c>
      <c r="C114">
        <v>78969</v>
      </c>
      <c r="D114" s="10">
        <v>0.37866465911597441</v>
      </c>
      <c r="E114">
        <f t="shared" si="0"/>
        <v>208.54599999999999</v>
      </c>
    </row>
    <row r="115" spans="1:5" x14ac:dyDescent="0.35">
      <c r="A115" t="s">
        <v>88</v>
      </c>
      <c r="B115">
        <v>343747</v>
      </c>
      <c r="C115">
        <v>118279</v>
      </c>
      <c r="D115" s="10">
        <v>0.34408736658065381</v>
      </c>
      <c r="E115">
        <f t="shared" si="0"/>
        <v>343.74700000000001</v>
      </c>
    </row>
    <row r="116" spans="1:5" x14ac:dyDescent="0.35">
      <c r="A116" t="s">
        <v>162</v>
      </c>
      <c r="B116">
        <v>84933</v>
      </c>
      <c r="C116">
        <v>47869</v>
      </c>
      <c r="D116" s="10">
        <v>0.56360896235856495</v>
      </c>
      <c r="E116">
        <f t="shared" si="0"/>
        <v>84.933000000000007</v>
      </c>
    </row>
    <row r="117" spans="1:5" x14ac:dyDescent="0.35">
      <c r="A117" t="s">
        <v>378</v>
      </c>
      <c r="B117">
        <v>198544</v>
      </c>
      <c r="C117">
        <v>74289</v>
      </c>
      <c r="D117" s="10">
        <v>0.37416894995567734</v>
      </c>
      <c r="E117">
        <f t="shared" si="0"/>
        <v>198.54400000000001</v>
      </c>
    </row>
    <row r="118" spans="1:5" x14ac:dyDescent="0.35">
      <c r="A118" t="s">
        <v>96</v>
      </c>
      <c r="B118">
        <v>97109</v>
      </c>
      <c r="C118">
        <v>38798</v>
      </c>
      <c r="D118" s="10">
        <v>0.39953042457444726</v>
      </c>
      <c r="E118">
        <f t="shared" si="0"/>
        <v>97.108999999999995</v>
      </c>
    </row>
    <row r="119" spans="1:5" x14ac:dyDescent="0.35">
      <c r="A119" t="s">
        <v>174</v>
      </c>
      <c r="B119">
        <v>152705</v>
      </c>
      <c r="C119">
        <v>46748</v>
      </c>
      <c r="D119" s="10">
        <v>0.306132739595953</v>
      </c>
      <c r="E119">
        <f t="shared" si="0"/>
        <v>152.70500000000001</v>
      </c>
    </row>
    <row r="120" spans="1:5" x14ac:dyDescent="0.35">
      <c r="A120" t="s">
        <v>170</v>
      </c>
      <c r="B120">
        <v>110606</v>
      </c>
      <c r="C120">
        <v>40157</v>
      </c>
      <c r="D120" s="10">
        <v>0.36306348661012966</v>
      </c>
      <c r="E120">
        <f t="shared" si="0"/>
        <v>110.60599999999999</v>
      </c>
    </row>
    <row r="121" spans="1:5" x14ac:dyDescent="0.35">
      <c r="A121" t="s">
        <v>418</v>
      </c>
      <c r="B121">
        <v>106085</v>
      </c>
      <c r="C121">
        <v>47707</v>
      </c>
      <c r="D121" s="10">
        <v>0.44970542489513127</v>
      </c>
      <c r="E121">
        <f t="shared" si="0"/>
        <v>106.08499999999999</v>
      </c>
    </row>
    <row r="122" spans="1:5" x14ac:dyDescent="0.35">
      <c r="A122" t="s">
        <v>176</v>
      </c>
      <c r="B122">
        <v>59209</v>
      </c>
      <c r="C122">
        <v>31552</v>
      </c>
      <c r="D122" s="10">
        <v>0.53289195899272068</v>
      </c>
      <c r="E122">
        <f t="shared" si="0"/>
        <v>59.209000000000003</v>
      </c>
    </row>
    <row r="123" spans="1:5" x14ac:dyDescent="0.35">
      <c r="A123" t="s">
        <v>394</v>
      </c>
      <c r="B123">
        <v>179535</v>
      </c>
      <c r="C123">
        <v>69736</v>
      </c>
      <c r="D123" s="10">
        <v>0.3884256551647311</v>
      </c>
      <c r="E123">
        <f t="shared" si="0"/>
        <v>179.535</v>
      </c>
    </row>
    <row r="124" spans="1:5" x14ac:dyDescent="0.35">
      <c r="A124" t="s">
        <v>53</v>
      </c>
      <c r="B124">
        <v>125498</v>
      </c>
      <c r="C124">
        <v>50660</v>
      </c>
      <c r="D124" s="10">
        <v>0.40367177166169976</v>
      </c>
      <c r="E124">
        <f t="shared" si="0"/>
        <v>125.498</v>
      </c>
    </row>
    <row r="125" spans="1:5" x14ac:dyDescent="0.35">
      <c r="A125" t="s">
        <v>152</v>
      </c>
      <c r="B125">
        <v>313494</v>
      </c>
      <c r="C125">
        <v>123579</v>
      </c>
      <c r="D125" s="10">
        <v>0.39419893203697676</v>
      </c>
      <c r="E125">
        <f t="shared" ref="E125:E184" si="1">B125/1000</f>
        <v>313.49400000000003</v>
      </c>
    </row>
    <row r="126" spans="1:5" x14ac:dyDescent="0.35">
      <c r="A126" t="s">
        <v>352</v>
      </c>
      <c r="B126">
        <v>114803</v>
      </c>
      <c r="C126">
        <v>59705</v>
      </c>
      <c r="D126" s="10">
        <v>0.52006480666881527</v>
      </c>
      <c r="E126">
        <f t="shared" si="1"/>
        <v>114.803</v>
      </c>
    </row>
    <row r="127" spans="1:5" x14ac:dyDescent="0.35">
      <c r="A127" t="s">
        <v>222</v>
      </c>
      <c r="B127">
        <v>123841</v>
      </c>
      <c r="C127">
        <v>30218</v>
      </c>
      <c r="D127" s="10">
        <v>0.24400642759667637</v>
      </c>
      <c r="E127">
        <f t="shared" si="1"/>
        <v>123.84099999999999</v>
      </c>
    </row>
    <row r="128" spans="1:5" x14ac:dyDescent="0.35">
      <c r="A128" t="s">
        <v>374</v>
      </c>
      <c r="B128">
        <v>153351</v>
      </c>
      <c r="C128">
        <v>85127</v>
      </c>
      <c r="D128" s="10">
        <v>0.55511212838520774</v>
      </c>
      <c r="E128">
        <f t="shared" si="1"/>
        <v>153.351</v>
      </c>
    </row>
    <row r="129" spans="1:5" x14ac:dyDescent="0.35">
      <c r="A129" t="s">
        <v>224</v>
      </c>
      <c r="B129">
        <v>147484</v>
      </c>
      <c r="C129">
        <v>44933</v>
      </c>
      <c r="D129" s="10">
        <v>0.30466355672479728</v>
      </c>
      <c r="E129">
        <f t="shared" si="1"/>
        <v>147.48400000000001</v>
      </c>
    </row>
    <row r="130" spans="1:5" x14ac:dyDescent="0.35">
      <c r="A130" t="s">
        <v>150</v>
      </c>
      <c r="B130">
        <v>127358</v>
      </c>
      <c r="C130">
        <v>48836</v>
      </c>
      <c r="D130" s="10">
        <v>0.38345451404701708</v>
      </c>
      <c r="E130">
        <f t="shared" si="1"/>
        <v>127.358</v>
      </c>
    </row>
    <row r="131" spans="1:5" x14ac:dyDescent="0.35">
      <c r="A131" t="s">
        <v>156</v>
      </c>
      <c r="B131">
        <v>132716</v>
      </c>
      <c r="C131">
        <v>46822</v>
      </c>
      <c r="D131" s="10">
        <v>0.35279845685523975</v>
      </c>
      <c r="E131">
        <f t="shared" si="1"/>
        <v>132.71600000000001</v>
      </c>
    </row>
    <row r="132" spans="1:5" x14ac:dyDescent="0.35">
      <c r="A132" t="s">
        <v>28</v>
      </c>
      <c r="B132">
        <v>82361</v>
      </c>
      <c r="C132">
        <v>40207</v>
      </c>
      <c r="D132" s="10">
        <v>0.48818008523451634</v>
      </c>
      <c r="E132">
        <f t="shared" si="1"/>
        <v>82.361000000000004</v>
      </c>
    </row>
    <row r="133" spans="1:5" x14ac:dyDescent="0.35">
      <c r="A133" t="s">
        <v>350</v>
      </c>
      <c r="B133">
        <v>153723</v>
      </c>
      <c r="C133">
        <v>64847</v>
      </c>
      <c r="D133" s="10">
        <v>0.42184318546996868</v>
      </c>
      <c r="E133">
        <f t="shared" si="1"/>
        <v>153.72300000000001</v>
      </c>
    </row>
    <row r="134" spans="1:5" x14ac:dyDescent="0.35">
      <c r="A134" t="s">
        <v>90</v>
      </c>
      <c r="B134">
        <v>313776</v>
      </c>
      <c r="C134">
        <v>105321</v>
      </c>
      <c r="D134" s="10">
        <v>0.33565664677986845</v>
      </c>
      <c r="E134">
        <f t="shared" si="1"/>
        <v>313.77600000000001</v>
      </c>
    </row>
    <row r="135" spans="1:5" x14ac:dyDescent="0.35">
      <c r="A135" t="s">
        <v>118</v>
      </c>
      <c r="B135">
        <v>33220</v>
      </c>
      <c r="C135">
        <v>10178</v>
      </c>
      <c r="D135" s="10">
        <v>0.30638169777242624</v>
      </c>
      <c r="E135">
        <f t="shared" si="1"/>
        <v>33.22</v>
      </c>
    </row>
    <row r="136" spans="1:5" x14ac:dyDescent="0.35">
      <c r="A136" t="s">
        <v>436</v>
      </c>
      <c r="B136">
        <v>47241</v>
      </c>
      <c r="C136">
        <v>16336</v>
      </c>
      <c r="D136" s="10">
        <v>0.34580131665290742</v>
      </c>
      <c r="E136">
        <f t="shared" si="1"/>
        <v>47.241</v>
      </c>
    </row>
    <row r="137" spans="1:5" x14ac:dyDescent="0.35">
      <c r="A137" t="s">
        <v>21</v>
      </c>
      <c r="B137">
        <v>107136</v>
      </c>
      <c r="C137">
        <v>44929</v>
      </c>
      <c r="D137" s="10">
        <v>0.41936417264038234</v>
      </c>
      <c r="E137">
        <f t="shared" si="1"/>
        <v>107.136</v>
      </c>
    </row>
    <row r="138" spans="1:5" x14ac:dyDescent="0.35">
      <c r="A138" t="s">
        <v>57</v>
      </c>
      <c r="B138">
        <v>56530</v>
      </c>
      <c r="C138">
        <v>23799</v>
      </c>
      <c r="D138" s="10">
        <v>0.42099770033610473</v>
      </c>
      <c r="E138">
        <f t="shared" si="1"/>
        <v>56.53</v>
      </c>
    </row>
    <row r="139" spans="1:5" x14ac:dyDescent="0.35">
      <c r="A139" t="s">
        <v>376</v>
      </c>
      <c r="B139">
        <v>136068</v>
      </c>
      <c r="C139">
        <v>57463</v>
      </c>
      <c r="D139" s="10">
        <v>0.42231090337184352</v>
      </c>
      <c r="E139">
        <f t="shared" si="1"/>
        <v>136.06800000000001</v>
      </c>
    </row>
    <row r="140" spans="1:5" x14ac:dyDescent="0.35">
      <c r="A140" t="s">
        <v>392</v>
      </c>
      <c r="B140">
        <v>53216</v>
      </c>
      <c r="C140">
        <v>4049</v>
      </c>
      <c r="D140" s="10">
        <v>7.6086139506915215E-2</v>
      </c>
      <c r="E140">
        <f t="shared" si="1"/>
        <v>53.216000000000001</v>
      </c>
    </row>
    <row r="141" spans="1:5" x14ac:dyDescent="0.35">
      <c r="A141" t="s">
        <v>108</v>
      </c>
      <c r="B141">
        <v>106838</v>
      </c>
      <c r="C141">
        <v>54302</v>
      </c>
      <c r="D141" s="10">
        <v>0.50826484958535356</v>
      </c>
      <c r="E141">
        <f t="shared" si="1"/>
        <v>106.83799999999999</v>
      </c>
    </row>
    <row r="142" spans="1:5" x14ac:dyDescent="0.35">
      <c r="A142" t="s">
        <v>43</v>
      </c>
      <c r="B142">
        <v>131388</v>
      </c>
      <c r="C142">
        <v>50845</v>
      </c>
      <c r="D142" s="10">
        <v>0.38698359058665938</v>
      </c>
      <c r="E142">
        <f t="shared" si="1"/>
        <v>131.38800000000001</v>
      </c>
    </row>
    <row r="143" spans="1:5" x14ac:dyDescent="0.35">
      <c r="A143" t="s">
        <v>104</v>
      </c>
      <c r="B143">
        <v>147892</v>
      </c>
      <c r="C143">
        <v>69701</v>
      </c>
      <c r="D143" s="10">
        <v>0.47129662185919452</v>
      </c>
      <c r="E143">
        <f t="shared" si="1"/>
        <v>147.892</v>
      </c>
    </row>
    <row r="144" spans="1:5" x14ac:dyDescent="0.35">
      <c r="A144" t="s">
        <v>318</v>
      </c>
      <c r="B144">
        <v>89015</v>
      </c>
      <c r="C144">
        <v>44573</v>
      </c>
      <c r="D144" s="10">
        <v>0.50073583103971242</v>
      </c>
      <c r="E144">
        <f t="shared" si="1"/>
        <v>89.015000000000001</v>
      </c>
    </row>
    <row r="145" spans="1:5" x14ac:dyDescent="0.35">
      <c r="A145" t="s">
        <v>336</v>
      </c>
      <c r="B145">
        <v>134524</v>
      </c>
      <c r="C145">
        <v>63032</v>
      </c>
      <c r="D145" s="10">
        <v>0.46855579673515507</v>
      </c>
      <c r="E145">
        <f t="shared" si="1"/>
        <v>134.524</v>
      </c>
    </row>
    <row r="146" spans="1:5" x14ac:dyDescent="0.35">
      <c r="A146" t="s">
        <v>400</v>
      </c>
      <c r="B146">
        <v>99705</v>
      </c>
      <c r="C146">
        <v>26397</v>
      </c>
      <c r="D146" s="10">
        <v>0.26475101549571234</v>
      </c>
      <c r="E146">
        <f t="shared" si="1"/>
        <v>99.704999999999998</v>
      </c>
    </row>
    <row r="147" spans="1:5" x14ac:dyDescent="0.35">
      <c r="A147" t="s">
        <v>216</v>
      </c>
      <c r="B147">
        <v>103814</v>
      </c>
      <c r="C147">
        <v>30807</v>
      </c>
      <c r="D147" s="10">
        <v>0.29675188317567958</v>
      </c>
      <c r="E147">
        <f t="shared" si="1"/>
        <v>103.81399999999999</v>
      </c>
    </row>
    <row r="148" spans="1:5" x14ac:dyDescent="0.35">
      <c r="A148" t="s">
        <v>188</v>
      </c>
      <c r="B148">
        <v>95448</v>
      </c>
      <c r="C148">
        <v>38071</v>
      </c>
      <c r="D148" s="10">
        <v>0.39886639845779903</v>
      </c>
      <c r="E148">
        <f t="shared" si="1"/>
        <v>95.447999999999993</v>
      </c>
    </row>
    <row r="149" spans="1:5" x14ac:dyDescent="0.35">
      <c r="A149" t="s">
        <v>296</v>
      </c>
      <c r="B149">
        <v>127380</v>
      </c>
      <c r="C149">
        <v>50172</v>
      </c>
      <c r="D149" s="10">
        <v>0.39387658973151202</v>
      </c>
      <c r="E149">
        <f t="shared" si="1"/>
        <v>127.38</v>
      </c>
    </row>
    <row r="150" spans="1:5" x14ac:dyDescent="0.35">
      <c r="A150" t="s">
        <v>356</v>
      </c>
      <c r="B150">
        <v>101711</v>
      </c>
      <c r="C150">
        <v>50294</v>
      </c>
      <c r="D150" s="10">
        <v>0.49447945649929703</v>
      </c>
      <c r="E150">
        <f t="shared" si="1"/>
        <v>101.711</v>
      </c>
    </row>
    <row r="151" spans="1:5" x14ac:dyDescent="0.35">
      <c r="A151" t="s">
        <v>360</v>
      </c>
      <c r="B151">
        <v>119003</v>
      </c>
      <c r="C151">
        <v>38496</v>
      </c>
      <c r="D151" s="10">
        <v>0.32348764316865963</v>
      </c>
      <c r="E151">
        <f t="shared" si="1"/>
        <v>119.003</v>
      </c>
    </row>
    <row r="152" spans="1:5" x14ac:dyDescent="0.35">
      <c r="A152" t="s">
        <v>372</v>
      </c>
      <c r="B152">
        <v>66118</v>
      </c>
      <c r="C152">
        <v>30871</v>
      </c>
      <c r="D152" s="10">
        <v>0.4669076499591639</v>
      </c>
      <c r="E152">
        <f t="shared" si="1"/>
        <v>66.117999999999995</v>
      </c>
    </row>
    <row r="153" spans="1:5" x14ac:dyDescent="0.35">
      <c r="A153" t="s">
        <v>166</v>
      </c>
      <c r="B153">
        <v>146955</v>
      </c>
      <c r="C153">
        <v>57771</v>
      </c>
      <c r="D153" s="10">
        <v>0.39312034296213128</v>
      </c>
      <c r="E153">
        <f t="shared" si="1"/>
        <v>146.95500000000001</v>
      </c>
    </row>
    <row r="154" spans="1:5" x14ac:dyDescent="0.35">
      <c r="A154" t="s">
        <v>324</v>
      </c>
      <c r="B154">
        <v>99401</v>
      </c>
      <c r="C154">
        <v>32430</v>
      </c>
      <c r="D154" s="10">
        <v>0.32625426303558314</v>
      </c>
      <c r="E154">
        <f t="shared" si="1"/>
        <v>99.400999999999996</v>
      </c>
    </row>
    <row r="155" spans="1:5" x14ac:dyDescent="0.35">
      <c r="A155" t="s">
        <v>230</v>
      </c>
      <c r="B155">
        <v>79663</v>
      </c>
      <c r="C155">
        <v>35202</v>
      </c>
      <c r="D155" s="10">
        <v>0.4418864466565407</v>
      </c>
      <c r="E155">
        <f t="shared" si="1"/>
        <v>79.662999999999997</v>
      </c>
    </row>
    <row r="156" spans="1:5" x14ac:dyDescent="0.35">
      <c r="A156" t="s">
        <v>102</v>
      </c>
      <c r="B156">
        <v>111229</v>
      </c>
      <c r="C156">
        <v>34447</v>
      </c>
      <c r="D156" s="10">
        <v>0.30969441422650568</v>
      </c>
      <c r="E156">
        <f t="shared" si="1"/>
        <v>111.229</v>
      </c>
    </row>
    <row r="157" spans="1:5" x14ac:dyDescent="0.35">
      <c r="A157" t="s">
        <v>354</v>
      </c>
      <c r="B157">
        <v>142208</v>
      </c>
      <c r="C157">
        <v>46126</v>
      </c>
      <c r="D157" s="10">
        <v>0.32435587308730873</v>
      </c>
      <c r="E157">
        <f t="shared" si="1"/>
        <v>142.208</v>
      </c>
    </row>
    <row r="158" spans="1:5" x14ac:dyDescent="0.35">
      <c r="A158" t="s">
        <v>200</v>
      </c>
      <c r="B158">
        <v>129655</v>
      </c>
      <c r="C158">
        <v>72004</v>
      </c>
      <c r="D158" s="10">
        <v>0.5553507384983225</v>
      </c>
      <c r="E158">
        <f t="shared" si="1"/>
        <v>129.655</v>
      </c>
    </row>
    <row r="159" spans="1:5" x14ac:dyDescent="0.35">
      <c r="A159" t="s">
        <v>250</v>
      </c>
      <c r="B159">
        <v>79832</v>
      </c>
      <c r="C159">
        <v>35830</v>
      </c>
      <c r="D159" s="10">
        <v>0.448817516785249</v>
      </c>
      <c r="E159">
        <f t="shared" si="1"/>
        <v>79.831999999999994</v>
      </c>
    </row>
    <row r="160" spans="1:5" x14ac:dyDescent="0.35">
      <c r="A160" t="s">
        <v>180</v>
      </c>
      <c r="B160">
        <v>204323</v>
      </c>
      <c r="C160">
        <v>81331</v>
      </c>
      <c r="D160" s="10">
        <v>0.39805112493453992</v>
      </c>
      <c r="E160">
        <f t="shared" si="1"/>
        <v>204.32300000000001</v>
      </c>
    </row>
    <row r="161" spans="1:5" x14ac:dyDescent="0.35">
      <c r="A161" t="s">
        <v>366</v>
      </c>
      <c r="B161">
        <v>159521</v>
      </c>
      <c r="C161">
        <v>44923</v>
      </c>
      <c r="D161" s="10">
        <v>0.28161182540229812</v>
      </c>
      <c r="E161">
        <f t="shared" si="1"/>
        <v>159.52099999999999</v>
      </c>
    </row>
    <row r="162" spans="1:5" x14ac:dyDescent="0.35">
      <c r="A162" t="s">
        <v>106</v>
      </c>
      <c r="B162">
        <v>140531</v>
      </c>
      <c r="C162">
        <v>53611</v>
      </c>
      <c r="D162" s="10">
        <v>0.38148878183461299</v>
      </c>
      <c r="E162">
        <f t="shared" si="1"/>
        <v>140.53100000000001</v>
      </c>
    </row>
    <row r="163" spans="1:5" x14ac:dyDescent="0.35">
      <c r="A163" t="s">
        <v>158</v>
      </c>
      <c r="B163">
        <v>414623</v>
      </c>
      <c r="C163">
        <v>168412</v>
      </c>
      <c r="D163" s="10">
        <v>0.40618103674904671</v>
      </c>
      <c r="E163">
        <f t="shared" si="1"/>
        <v>414.62299999999999</v>
      </c>
    </row>
    <row r="164" spans="1:5" x14ac:dyDescent="0.35">
      <c r="A164" t="s">
        <v>340</v>
      </c>
      <c r="B164">
        <v>188807</v>
      </c>
      <c r="C164">
        <v>67649</v>
      </c>
      <c r="D164" s="10">
        <v>0.3582970970355972</v>
      </c>
      <c r="E164">
        <f t="shared" si="1"/>
        <v>188.80699999999999</v>
      </c>
    </row>
    <row r="165" spans="1:5" x14ac:dyDescent="0.35">
      <c r="A165" t="s">
        <v>45</v>
      </c>
      <c r="B165">
        <v>149153</v>
      </c>
      <c r="C165">
        <v>62008</v>
      </c>
      <c r="D165" s="10">
        <v>0.41573417899740533</v>
      </c>
      <c r="E165">
        <f t="shared" si="1"/>
        <v>149.15299999999999</v>
      </c>
    </row>
    <row r="166" spans="1:5" x14ac:dyDescent="0.35">
      <c r="A166" t="s">
        <v>338</v>
      </c>
      <c r="B166">
        <v>173162</v>
      </c>
      <c r="C166">
        <v>71994</v>
      </c>
      <c r="D166" s="10">
        <v>0.41576096372183274</v>
      </c>
      <c r="E166">
        <f t="shared" si="1"/>
        <v>173.16200000000001</v>
      </c>
    </row>
    <row r="167" spans="1:5" x14ac:dyDescent="0.35">
      <c r="A167" t="s">
        <v>132</v>
      </c>
      <c r="B167">
        <v>225634</v>
      </c>
      <c r="C167">
        <v>107355</v>
      </c>
      <c r="D167" s="10">
        <v>0.47579265536222376</v>
      </c>
      <c r="E167">
        <f t="shared" si="1"/>
        <v>225.63399999999999</v>
      </c>
    </row>
    <row r="168" spans="1:5" x14ac:dyDescent="0.35">
      <c r="A168" t="s">
        <v>182</v>
      </c>
      <c r="B168">
        <v>264994</v>
      </c>
      <c r="C168">
        <v>105620</v>
      </c>
      <c r="D168" s="10">
        <v>0.39857506207687721</v>
      </c>
      <c r="E168">
        <f t="shared" si="1"/>
        <v>264.99400000000003</v>
      </c>
    </row>
    <row r="169" spans="1:5" x14ac:dyDescent="0.35">
      <c r="A169" t="s">
        <v>220</v>
      </c>
      <c r="B169">
        <v>108549</v>
      </c>
      <c r="C169">
        <v>42912</v>
      </c>
      <c r="D169" s="10">
        <v>0.39532377083160603</v>
      </c>
      <c r="E169">
        <f t="shared" si="1"/>
        <v>108.54900000000001</v>
      </c>
    </row>
    <row r="170" spans="1:5" x14ac:dyDescent="0.35">
      <c r="A170" t="s">
        <v>41</v>
      </c>
      <c r="B170">
        <v>174149</v>
      </c>
      <c r="C170">
        <v>91608</v>
      </c>
      <c r="D170" s="10">
        <v>0.52603230566928316</v>
      </c>
      <c r="E170">
        <f t="shared" si="1"/>
        <v>174.149</v>
      </c>
    </row>
    <row r="171" spans="1:5" x14ac:dyDescent="0.35">
      <c r="A171" t="s">
        <v>414</v>
      </c>
      <c r="B171">
        <v>107510</v>
      </c>
      <c r="C171">
        <v>58793</v>
      </c>
      <c r="D171" s="10">
        <v>0.54686075713887083</v>
      </c>
      <c r="E171">
        <f t="shared" si="1"/>
        <v>107.51</v>
      </c>
    </row>
    <row r="172" spans="1:5" x14ac:dyDescent="0.35">
      <c r="A172" t="s">
        <v>208</v>
      </c>
      <c r="B172">
        <v>321536</v>
      </c>
      <c r="C172">
        <v>124651</v>
      </c>
      <c r="D172" s="10">
        <v>0.38767354199840764</v>
      </c>
      <c r="E172">
        <f t="shared" si="1"/>
        <v>321.536</v>
      </c>
    </row>
    <row r="173" spans="1:5" x14ac:dyDescent="0.35">
      <c r="A173" t="s">
        <v>342</v>
      </c>
      <c r="B173">
        <v>114286</v>
      </c>
      <c r="C173">
        <v>38399</v>
      </c>
      <c r="D173" s="10">
        <v>0.33599041002397495</v>
      </c>
      <c r="E173">
        <f t="shared" si="1"/>
        <v>114.286</v>
      </c>
    </row>
    <row r="174" spans="1:5" x14ac:dyDescent="0.35">
      <c r="A174" t="s">
        <v>190</v>
      </c>
      <c r="B174">
        <v>82707</v>
      </c>
      <c r="C174">
        <v>42544</v>
      </c>
      <c r="D174" s="10">
        <v>0.51439418670729198</v>
      </c>
      <c r="E174">
        <f t="shared" si="1"/>
        <v>82.706999999999994</v>
      </c>
    </row>
    <row r="175" spans="1:5" x14ac:dyDescent="0.35">
      <c r="A175" t="s">
        <v>184</v>
      </c>
      <c r="B175">
        <v>100615</v>
      </c>
      <c r="C175">
        <v>29834</v>
      </c>
      <c r="D175" s="10">
        <v>0.29651642399244643</v>
      </c>
      <c r="E175">
        <f t="shared" si="1"/>
        <v>100.61499999999999</v>
      </c>
    </row>
    <row r="176" spans="1:5" x14ac:dyDescent="0.35">
      <c r="A176" t="s">
        <v>396</v>
      </c>
      <c r="B176">
        <v>94569</v>
      </c>
      <c r="C176">
        <v>28021</v>
      </c>
      <c r="D176" s="10">
        <v>0.29630217090166966</v>
      </c>
      <c r="E176">
        <f t="shared" si="1"/>
        <v>94.569000000000003</v>
      </c>
    </row>
    <row r="177" spans="1:5" x14ac:dyDescent="0.35">
      <c r="A177" t="s">
        <v>412</v>
      </c>
      <c r="B177">
        <v>107773</v>
      </c>
      <c r="C177">
        <v>30575</v>
      </c>
      <c r="D177" s="10">
        <v>0.2836981433197554</v>
      </c>
      <c r="E177">
        <f t="shared" si="1"/>
        <v>107.773</v>
      </c>
    </row>
    <row r="178" spans="1:5" x14ac:dyDescent="0.35">
      <c r="A178" t="s">
        <v>212</v>
      </c>
      <c r="B178">
        <v>94474</v>
      </c>
      <c r="C178">
        <v>50771</v>
      </c>
      <c r="D178" s="10">
        <v>0.53740711730211488</v>
      </c>
      <c r="E178">
        <f t="shared" si="1"/>
        <v>94.474000000000004</v>
      </c>
    </row>
    <row r="179" spans="1:5" x14ac:dyDescent="0.35">
      <c r="A179" t="s">
        <v>364</v>
      </c>
      <c r="B179">
        <v>165200</v>
      </c>
      <c r="C179">
        <v>82519</v>
      </c>
      <c r="D179" s="10">
        <v>0.4995096852300242</v>
      </c>
      <c r="E179">
        <f t="shared" si="1"/>
        <v>165.2</v>
      </c>
    </row>
    <row r="180" spans="1:5" x14ac:dyDescent="0.35">
      <c r="A180" t="s">
        <v>66</v>
      </c>
      <c r="B180">
        <v>67550</v>
      </c>
      <c r="C180">
        <v>30653</v>
      </c>
      <c r="D180" s="10">
        <v>0.45378238341968913</v>
      </c>
      <c r="E180">
        <f t="shared" si="1"/>
        <v>67.55</v>
      </c>
    </row>
    <row r="181" spans="1:5" x14ac:dyDescent="0.35">
      <c r="A181" t="s">
        <v>447</v>
      </c>
      <c r="B181">
        <v>20544</v>
      </c>
      <c r="C181">
        <v>10785</v>
      </c>
      <c r="D181" s="10">
        <v>0.52497079439252337</v>
      </c>
      <c r="E181">
        <f t="shared" si="1"/>
        <v>20.544</v>
      </c>
    </row>
    <row r="182" spans="1:5" x14ac:dyDescent="0.35">
      <c r="A182" t="s">
        <v>270</v>
      </c>
      <c r="B182">
        <v>71325</v>
      </c>
      <c r="C182">
        <v>30168</v>
      </c>
      <c r="D182" s="10">
        <v>0.42296529968454261</v>
      </c>
      <c r="E182">
        <f t="shared" si="1"/>
        <v>71.325000000000003</v>
      </c>
    </row>
    <row r="183" spans="1:5" x14ac:dyDescent="0.35">
      <c r="A183" t="s">
        <v>94</v>
      </c>
      <c r="B183">
        <v>131972</v>
      </c>
      <c r="C183">
        <v>68086</v>
      </c>
      <c r="D183" s="10">
        <v>0.51591246628072618</v>
      </c>
      <c r="E183">
        <f t="shared" si="1"/>
        <v>131.97200000000001</v>
      </c>
    </row>
    <row r="184" spans="1:5" x14ac:dyDescent="0.35">
      <c r="A184" t="s">
        <v>458</v>
      </c>
      <c r="B184">
        <v>16743700</v>
      </c>
      <c r="C184">
        <v>6604228</v>
      </c>
      <c r="D184" s="10">
        <v>0.39443062166665671</v>
      </c>
      <c r="E184">
        <f t="shared" si="1"/>
        <v>16743.7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1A66-95BF-414D-84D7-B5F008125FC6}">
  <dimension ref="A1:N75"/>
  <sheetViews>
    <sheetView showGridLines="0" topLeftCell="A58" workbookViewId="0">
      <selection activeCell="E73" sqref="E73"/>
    </sheetView>
  </sheetViews>
  <sheetFormatPr defaultRowHeight="14.5" x14ac:dyDescent="0.35"/>
  <cols>
    <col min="1" max="2" width="2.26953125" customWidth="1"/>
    <col min="3" max="3" width="27.26953125" customWidth="1"/>
    <col min="4" max="4" width="30" customWidth="1"/>
    <col min="5" max="5" width="28.90625" customWidth="1"/>
    <col min="6" max="6" width="30.08984375" customWidth="1"/>
    <col min="7" max="7" width="30.90625" customWidth="1"/>
    <col min="8" max="8" width="13.81640625" customWidth="1"/>
    <col min="9" max="13" width="14.7265625" customWidth="1"/>
    <col min="14" max="14" width="2.1796875" customWidth="1"/>
  </cols>
  <sheetData>
    <row r="1" spans="1:14" ht="10" customHeight="1" x14ac:dyDescent="0.35">
      <c r="A1" s="74"/>
      <c r="B1" s="74"/>
      <c r="C1" s="74"/>
      <c r="D1" s="74"/>
      <c r="E1" s="74"/>
      <c r="F1" s="74"/>
      <c r="G1" s="74"/>
      <c r="H1" s="75"/>
      <c r="I1" s="75"/>
      <c r="J1" s="75"/>
      <c r="K1" s="75"/>
      <c r="L1" s="75"/>
      <c r="M1" s="75"/>
      <c r="N1" s="75"/>
    </row>
    <row r="2" spans="1:14" ht="52" customHeight="1" x14ac:dyDescent="0.65">
      <c r="A2" s="85" t="s">
        <v>557</v>
      </c>
      <c r="B2" s="85"/>
      <c r="C2" s="85"/>
      <c r="D2" s="85"/>
      <c r="E2" s="85"/>
      <c r="F2" s="85"/>
      <c r="G2" s="85"/>
      <c r="H2" s="84"/>
      <c r="I2" s="76"/>
      <c r="J2" s="76"/>
      <c r="K2" s="76"/>
      <c r="L2" s="76"/>
      <c r="M2" s="76"/>
      <c r="N2" s="76"/>
    </row>
    <row r="3" spans="1:14" s="9" customFormat="1" ht="22" customHeight="1" x14ac:dyDescent="0.35">
      <c r="A3" s="69" t="s">
        <v>496</v>
      </c>
      <c r="B3" s="69"/>
      <c r="C3" s="69"/>
      <c r="D3" s="69"/>
      <c r="E3" s="69"/>
      <c r="F3" s="69"/>
      <c r="G3" s="69"/>
      <c r="H3" s="83"/>
      <c r="I3" s="77"/>
      <c r="J3" s="77"/>
      <c r="K3" s="77"/>
      <c r="L3" s="77"/>
      <c r="M3" s="77"/>
      <c r="N3" s="77"/>
    </row>
    <row r="4" spans="1:14" ht="8.5" customHeight="1" x14ac:dyDescent="0.35"/>
    <row r="5" spans="1:14" ht="16.5" customHeight="1" x14ac:dyDescent="0.35">
      <c r="C5" s="40" t="s">
        <v>497</v>
      </c>
      <c r="D5" s="46" t="s">
        <v>498</v>
      </c>
      <c r="E5" s="43" t="s">
        <v>499</v>
      </c>
      <c r="F5" s="49" t="s">
        <v>500</v>
      </c>
      <c r="G5" s="52" t="s">
        <v>501</v>
      </c>
      <c r="H5" s="80"/>
    </row>
    <row r="6" spans="1:14" ht="34.5" customHeight="1" x14ac:dyDescent="0.35">
      <c r="C6" s="41">
        <v>26360540</v>
      </c>
      <c r="D6" s="47">
        <v>16743700</v>
      </c>
      <c r="E6" s="44">
        <v>0.39400000000000002</v>
      </c>
      <c r="F6" s="50">
        <v>570931</v>
      </c>
      <c r="G6" s="53">
        <v>124</v>
      </c>
      <c r="H6" s="81"/>
    </row>
    <row r="7" spans="1:14" ht="18" customHeight="1" x14ac:dyDescent="0.35">
      <c r="C7" s="42" t="s">
        <v>506</v>
      </c>
      <c r="D7" s="48" t="s">
        <v>505</v>
      </c>
      <c r="E7" s="45" t="s">
        <v>504</v>
      </c>
      <c r="F7" s="51" t="s">
        <v>503</v>
      </c>
      <c r="G7" s="54" t="s">
        <v>502</v>
      </c>
      <c r="H7" s="82"/>
    </row>
    <row r="8" spans="1:14" ht="10.5" customHeight="1" x14ac:dyDescent="0.35"/>
    <row r="9" spans="1:14" ht="9" customHeight="1" x14ac:dyDescent="0.35"/>
    <row r="10" spans="1:14" x14ac:dyDescent="0.35">
      <c r="C10" s="79" t="s">
        <v>507</v>
      </c>
      <c r="D10" s="79"/>
      <c r="E10" s="79"/>
      <c r="F10" s="79"/>
      <c r="G10" s="79"/>
      <c r="H10" s="78"/>
    </row>
    <row r="11" spans="1:14" ht="15" thickBot="1" x14ac:dyDescent="0.4"/>
    <row r="12" spans="1:14" ht="34" customHeight="1" thickBot="1" x14ac:dyDescent="0.4">
      <c r="C12" s="55" t="s">
        <v>508</v>
      </c>
      <c r="D12" s="56" t="s">
        <v>509</v>
      </c>
      <c r="E12" s="57" t="s">
        <v>510</v>
      </c>
      <c r="F12" s="58" t="s">
        <v>511</v>
      </c>
      <c r="G12" s="59" t="s">
        <v>512</v>
      </c>
    </row>
    <row r="14" spans="1:14" x14ac:dyDescent="0.35">
      <c r="C14" s="64" t="s">
        <v>517</v>
      </c>
      <c r="D14" s="64"/>
      <c r="E14" s="64"/>
      <c r="F14" s="65" t="s">
        <v>518</v>
      </c>
      <c r="G14" s="66"/>
    </row>
    <row r="31" spans="3:7" x14ac:dyDescent="0.35">
      <c r="C31" s="67" t="s">
        <v>516</v>
      </c>
      <c r="D31" s="67"/>
      <c r="E31" s="67"/>
      <c r="F31" s="68" t="s">
        <v>515</v>
      </c>
      <c r="G31" s="68"/>
    </row>
    <row r="48" spans="3:7" x14ac:dyDescent="0.35">
      <c r="C48" s="60" t="s">
        <v>514</v>
      </c>
      <c r="D48" s="61"/>
      <c r="E48" s="61"/>
      <c r="F48" s="62" t="s">
        <v>513</v>
      </c>
      <c r="G48" s="63"/>
    </row>
    <row r="66" spans="3:8" x14ac:dyDescent="0.35">
      <c r="C66" s="70" t="s">
        <v>519</v>
      </c>
      <c r="D66" s="71"/>
      <c r="E66" s="71"/>
      <c r="F66" s="71"/>
      <c r="G66" s="71"/>
      <c r="H66" s="71"/>
    </row>
    <row r="67" spans="3:8" ht="15" thickBot="1" x14ac:dyDescent="0.4"/>
    <row r="68" spans="3:8" ht="23" customHeight="1" thickBot="1" x14ac:dyDescent="0.4">
      <c r="C68" s="72" t="s">
        <v>520</v>
      </c>
      <c r="D68" s="73" t="s">
        <v>521</v>
      </c>
      <c r="E68" s="73" t="s">
        <v>522</v>
      </c>
      <c r="F68" s="73" t="s">
        <v>523</v>
      </c>
      <c r="G68" s="73" t="s">
        <v>524</v>
      </c>
      <c r="H68" s="73" t="s">
        <v>525</v>
      </c>
    </row>
    <row r="69" spans="3:8" ht="40" customHeight="1" thickBot="1" x14ac:dyDescent="0.4">
      <c r="C69" s="26">
        <v>1</v>
      </c>
      <c r="D69" s="19" t="s">
        <v>526</v>
      </c>
      <c r="E69" s="19" t="s">
        <v>527</v>
      </c>
      <c r="F69" s="19" t="s">
        <v>528</v>
      </c>
      <c r="G69" s="19" t="s">
        <v>529</v>
      </c>
      <c r="H69" s="19" t="s">
        <v>530</v>
      </c>
    </row>
    <row r="70" spans="3:8" ht="46.5" customHeight="1" thickBot="1" x14ac:dyDescent="0.4">
      <c r="C70" s="27">
        <v>2</v>
      </c>
      <c r="D70" s="17" t="s">
        <v>531</v>
      </c>
      <c r="E70" s="17" t="s">
        <v>527</v>
      </c>
      <c r="F70" s="17" t="s">
        <v>532</v>
      </c>
      <c r="G70" s="17" t="s">
        <v>533</v>
      </c>
      <c r="H70" s="17" t="s">
        <v>534</v>
      </c>
    </row>
    <row r="71" spans="3:8" ht="46" customHeight="1" thickBot="1" x14ac:dyDescent="0.4">
      <c r="C71" s="26">
        <v>3</v>
      </c>
      <c r="D71" s="19" t="s">
        <v>535</v>
      </c>
      <c r="E71" s="19" t="s">
        <v>536</v>
      </c>
      <c r="F71" s="19" t="s">
        <v>537</v>
      </c>
      <c r="G71" s="19" t="s">
        <v>538</v>
      </c>
      <c r="H71" s="19" t="s">
        <v>539</v>
      </c>
    </row>
    <row r="72" spans="3:8" ht="37" customHeight="1" thickBot="1" x14ac:dyDescent="0.4">
      <c r="C72" s="27">
        <v>4</v>
      </c>
      <c r="D72" s="17" t="s">
        <v>540</v>
      </c>
      <c r="E72" s="17" t="s">
        <v>536</v>
      </c>
      <c r="F72" s="17" t="s">
        <v>541</v>
      </c>
      <c r="G72" s="17" t="s">
        <v>542</v>
      </c>
      <c r="H72" s="17" t="s">
        <v>543</v>
      </c>
    </row>
    <row r="73" spans="3:8" ht="40" customHeight="1" thickBot="1" x14ac:dyDescent="0.4">
      <c r="C73" s="26">
        <v>5</v>
      </c>
      <c r="D73" s="19" t="s">
        <v>544</v>
      </c>
      <c r="E73" s="19" t="s">
        <v>536</v>
      </c>
      <c r="F73" s="19" t="s">
        <v>545</v>
      </c>
      <c r="G73" s="19" t="s">
        <v>546</v>
      </c>
      <c r="H73" s="19" t="s">
        <v>547</v>
      </c>
    </row>
    <row r="74" spans="3:8" ht="31" customHeight="1" thickBot="1" x14ac:dyDescent="0.4">
      <c r="C74" s="27">
        <v>6</v>
      </c>
      <c r="D74" s="17" t="s">
        <v>548</v>
      </c>
      <c r="E74" s="17" t="s">
        <v>536</v>
      </c>
      <c r="F74" s="17" t="s">
        <v>549</v>
      </c>
      <c r="G74" s="17" t="s">
        <v>550</v>
      </c>
      <c r="H74" s="17" t="s">
        <v>551</v>
      </c>
    </row>
    <row r="75" spans="3:8" ht="35" customHeight="1" thickBot="1" x14ac:dyDescent="0.4">
      <c r="C75" s="26">
        <v>7</v>
      </c>
      <c r="D75" s="19" t="s">
        <v>552</v>
      </c>
      <c r="E75" s="19" t="s">
        <v>553</v>
      </c>
      <c r="F75" s="19" t="s">
        <v>554</v>
      </c>
      <c r="G75" s="19" t="s">
        <v>555</v>
      </c>
      <c r="H75" s="19" t="s">
        <v>556</v>
      </c>
    </row>
  </sheetData>
  <mergeCells count="10">
    <mergeCell ref="C66:H66"/>
    <mergeCell ref="C10:G10"/>
    <mergeCell ref="A3:G3"/>
    <mergeCell ref="A2:G2"/>
    <mergeCell ref="C48:E48"/>
    <mergeCell ref="F48:G48"/>
    <mergeCell ref="C14:E14"/>
    <mergeCell ref="F14:G14"/>
    <mergeCell ref="C31:E31"/>
    <mergeCell ref="F31:G3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A05B-7802-4E48-AE4C-2C9BBC331176}">
  <dimension ref="A1:C9"/>
  <sheetViews>
    <sheetView tabSelected="1" workbookViewId="0">
      <selection activeCell="C4" sqref="C4"/>
    </sheetView>
  </sheetViews>
  <sheetFormatPr defaultRowHeight="14.5" x14ac:dyDescent="0.35"/>
  <cols>
    <col min="2" max="2" width="17.81640625" customWidth="1"/>
    <col min="3" max="3" width="136.36328125" customWidth="1"/>
  </cols>
  <sheetData>
    <row r="1" spans="1:3" ht="24.5" customHeight="1" thickBot="1" x14ac:dyDescent="0.4">
      <c r="A1" s="86" t="s">
        <v>558</v>
      </c>
      <c r="B1" s="87" t="s">
        <v>559</v>
      </c>
      <c r="C1" s="87" t="s">
        <v>560</v>
      </c>
    </row>
    <row r="2" spans="1:3" ht="61" customHeight="1" thickBot="1" x14ac:dyDescent="0.4">
      <c r="A2" s="88">
        <v>1</v>
      </c>
      <c r="B2" s="89" t="s">
        <v>561</v>
      </c>
      <c r="C2" s="89" t="s">
        <v>562</v>
      </c>
    </row>
    <row r="3" spans="1:3" ht="51.5" customHeight="1" thickBot="1" x14ac:dyDescent="0.4">
      <c r="A3" s="90">
        <v>2</v>
      </c>
      <c r="B3" s="91" t="s">
        <v>563</v>
      </c>
      <c r="C3" s="91" t="s">
        <v>564</v>
      </c>
    </row>
    <row r="4" spans="1:3" ht="63" customHeight="1" thickBot="1" x14ac:dyDescent="0.4">
      <c r="A4" s="88">
        <v>3</v>
      </c>
      <c r="B4" s="89" t="s">
        <v>565</v>
      </c>
      <c r="C4" s="89" t="s">
        <v>566</v>
      </c>
    </row>
    <row r="5" spans="1:3" ht="53" customHeight="1" thickBot="1" x14ac:dyDescent="0.4">
      <c r="A5" s="90">
        <v>4</v>
      </c>
      <c r="B5" s="91" t="s">
        <v>567</v>
      </c>
      <c r="C5" s="91" t="s">
        <v>568</v>
      </c>
    </row>
    <row r="6" spans="1:3" ht="66" customHeight="1" thickBot="1" x14ac:dyDescent="0.4">
      <c r="A6" s="88">
        <v>5</v>
      </c>
      <c r="B6" s="89" t="s">
        <v>569</v>
      </c>
      <c r="C6" s="89" t="s">
        <v>570</v>
      </c>
    </row>
    <row r="7" spans="1:3" ht="45.5" customHeight="1" thickBot="1" x14ac:dyDescent="0.4">
      <c r="A7" s="90">
        <v>6</v>
      </c>
      <c r="B7" s="91" t="s">
        <v>571</v>
      </c>
      <c r="C7" s="91" t="s">
        <v>572</v>
      </c>
    </row>
    <row r="8" spans="1:3" ht="59.5" customHeight="1" thickBot="1" x14ac:dyDescent="0.4">
      <c r="A8" s="88">
        <v>7</v>
      </c>
      <c r="B8" s="89" t="s">
        <v>573</v>
      </c>
      <c r="C8" s="89" t="s">
        <v>574</v>
      </c>
    </row>
    <row r="9" spans="1:3" ht="64.5" customHeight="1" thickBot="1" x14ac:dyDescent="0.4">
      <c r="A9" s="90" t="s">
        <v>575</v>
      </c>
      <c r="B9" s="91" t="s">
        <v>576</v>
      </c>
      <c r="C9" s="91" t="s">
        <v>577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4CC877-9C98-4EB4-9F05-56D9E0557D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Sheet2</vt:lpstr>
      <vt:lpstr>NHS_A&amp;E</vt:lpstr>
      <vt:lpstr>PIVOT TABLES</vt:lpstr>
      <vt:lpstr>CHART DATA</vt:lpstr>
      <vt:lpstr>DASHBOARD</vt:lpstr>
      <vt:lpstr>METHODOLOGY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singh</dc:creator>
  <cp:lastModifiedBy>SAHIL SINGH G</cp:lastModifiedBy>
  <dcterms:created xsi:type="dcterms:W3CDTF">2026-04-21T10:44:56Z</dcterms:created>
  <dcterms:modified xsi:type="dcterms:W3CDTF">2026-05-10T14:18:14Z</dcterms:modified>
</cp:coreProperties>
</file>